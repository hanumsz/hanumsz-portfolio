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35f559eff067289/Documents/COMMERCE GPA 4.0/second year/204 project/"/>
    </mc:Choice>
  </mc:AlternateContent>
  <xr:revisionPtr revIDLastSave="30" documentId="8_{C9A7B590-E342-4374-8AB4-B72197F4DC5A}" xr6:coauthVersionLast="47" xr6:coauthVersionMax="47" xr10:uidLastSave="{4D8C6FAC-A0DC-4294-9C51-3B0FA9CAAE44}"/>
  <bookViews>
    <workbookView xWindow="-110" yWindow="-110" windowWidth="19420" windowHeight="11500" xr2:uid="{F8B08764-7E46-42E6-ABAA-FE55C59A2EB3}"/>
  </bookViews>
  <sheets>
    <sheet name="Sheet1" sheetId="17" r:id="rId1"/>
    <sheet name="FRED 90-Day T-Bill Data" sheetId="1" r:id="rId2"/>
    <sheet name="CRSP-DATA" sheetId="2" r:id="rId3"/>
    <sheet name="Google Finance -ESS " sheetId="3" r:id="rId4"/>
    <sheet name="Google Finance-ED" sheetId="4" r:id="rId5"/>
    <sheet name="Raw Google" sheetId="5" r:id="rId6"/>
    <sheet name="FILTERED-DATA" sheetId="7" r:id="rId7"/>
    <sheet name="MASTER-DATA" sheetId="6" r:id="rId8"/>
    <sheet name="Summary-Stats" sheetId="11" r:id="rId9"/>
    <sheet name="STATS-PORTFOLIO" sheetId="10" r:id="rId10"/>
    <sheet name="SHRINKAGE-PORTFOLIO" sheetId="12" r:id="rId11"/>
    <sheet name="WIENER-PORTFOLIO" sheetId="13" r:id="rId12"/>
    <sheet name="ITO-PORTFOLIO" sheetId="15" r:id="rId13"/>
    <sheet name="PORTFOLIO-SUMMARY" sheetId="16" r:id="rId14"/>
  </sheets>
  <externalReferences>
    <externalReference r:id="rId15"/>
  </externalReferences>
  <definedNames>
    <definedName name="_xlnm._FilterDatabase" localSheetId="6" hidden="1">'FILTERED-DATA'!$A$1:$D$21</definedName>
    <definedName name="_xlnm._FilterDatabase" localSheetId="3" hidden="1">'Google Finance -ESS '!$D$3:$E$215</definedName>
    <definedName name="_xlnm._FilterDatabase" localSheetId="4" hidden="1">'Google Finance-ED'!$D$3:$E$215</definedName>
    <definedName name="_xlnm._FilterDatabase" localSheetId="5" hidden="1">'Raw Google'!$G$8:$H$220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6" l="1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46" i="10"/>
  <c r="B47" i="10"/>
  <c r="G12" i="16"/>
  <c r="G11" i="16"/>
  <c r="F12" i="16"/>
  <c r="F11" i="16"/>
  <c r="G10" i="16"/>
  <c r="G9" i="16"/>
  <c r="G8" i="16"/>
  <c r="F10" i="16"/>
  <c r="F9" i="16"/>
  <c r="F8" i="16"/>
  <c r="G7" i="16"/>
  <c r="F7" i="16"/>
  <c r="G6" i="16"/>
  <c r="F6" i="16"/>
  <c r="D10" i="16"/>
  <c r="C68" i="15"/>
  <c r="C67" i="15"/>
  <c r="C66" i="15"/>
  <c r="B65" i="15"/>
  <c r="C63" i="15"/>
  <c r="C62" i="15"/>
  <c r="C61" i="15"/>
  <c r="C59" i="15"/>
  <c r="C58" i="15"/>
  <c r="C60" i="15" s="1"/>
  <c r="G57" i="15" s="1"/>
  <c r="C57" i="15"/>
  <c r="B40" i="15"/>
  <c r="B41" i="15" s="1"/>
  <c r="C39" i="15"/>
  <c r="E39" i="15" s="1"/>
  <c r="D28" i="15"/>
  <c r="D29" i="15" s="1"/>
  <c r="C28" i="15"/>
  <c r="C29" i="15" s="1"/>
  <c r="D27" i="15"/>
  <c r="C27" i="15"/>
  <c r="D26" i="15"/>
  <c r="C26" i="15"/>
  <c r="D25" i="15"/>
  <c r="C25" i="15"/>
  <c r="B12" i="15"/>
  <c r="C12" i="15"/>
  <c r="C69" i="15" l="1"/>
  <c r="C70" i="15" s="1"/>
  <c r="C71" i="15" s="1"/>
  <c r="G58" i="15"/>
  <c r="G59" i="15"/>
  <c r="G60" i="15" s="1"/>
  <c r="G61" i="15"/>
  <c r="B42" i="15"/>
  <c r="C41" i="15"/>
  <c r="E41" i="15" s="1"/>
  <c r="D39" i="15"/>
  <c r="C40" i="15"/>
  <c r="D40" i="15"/>
  <c r="E40" i="15"/>
  <c r="G62" i="15" l="1"/>
  <c r="C42" i="15"/>
  <c r="B43" i="15"/>
  <c r="E42" i="15"/>
  <c r="D42" i="15"/>
  <c r="D41" i="15"/>
  <c r="B44" i="15" l="1"/>
  <c r="C43" i="15"/>
  <c r="E43" i="15" s="1"/>
  <c r="D43" i="15" l="1"/>
  <c r="B45" i="15"/>
  <c r="C44" i="15"/>
  <c r="D44" i="15" s="1"/>
  <c r="B46" i="15" l="1"/>
  <c r="C45" i="15"/>
  <c r="E45" i="15" s="1"/>
  <c r="E44" i="15"/>
  <c r="D45" i="15" l="1"/>
  <c r="C46" i="15"/>
  <c r="D46" i="15" s="1"/>
  <c r="B47" i="15"/>
  <c r="E46" i="15"/>
  <c r="B48" i="15" l="1"/>
  <c r="C47" i="15"/>
  <c r="E47" i="15" s="1"/>
  <c r="B49" i="15" l="1"/>
  <c r="C48" i="15"/>
  <c r="E48" i="15" s="1"/>
  <c r="D47" i="15"/>
  <c r="D48" i="15" l="1"/>
  <c r="B50" i="15"/>
  <c r="C49" i="15"/>
  <c r="E49" i="15" s="1"/>
  <c r="D49" i="15" l="1"/>
  <c r="C50" i="15"/>
  <c r="E50" i="15" s="1"/>
  <c r="B51" i="15"/>
  <c r="D50" i="15" l="1"/>
  <c r="B52" i="15"/>
  <c r="C51" i="15"/>
  <c r="E51" i="15" s="1"/>
  <c r="D51" i="15" l="1"/>
  <c r="B53" i="15"/>
  <c r="C52" i="15"/>
  <c r="E52" i="15" s="1"/>
  <c r="D52" i="15" l="1"/>
  <c r="C53" i="15"/>
  <c r="E53" i="15" s="1"/>
  <c r="D53" i="15" l="1"/>
  <c r="C69" i="13" l="1"/>
  <c r="C68" i="13"/>
  <c r="C67" i="13"/>
  <c r="B66" i="13"/>
  <c r="C63" i="13"/>
  <c r="C62" i="13"/>
  <c r="C61" i="13"/>
  <c r="C59" i="13"/>
  <c r="C58" i="13"/>
  <c r="C60" i="13" s="1"/>
  <c r="G57" i="13" s="1"/>
  <c r="C57" i="13"/>
  <c r="B40" i="13"/>
  <c r="B41" i="13" s="1"/>
  <c r="C39" i="13"/>
  <c r="E39" i="13" s="1"/>
  <c r="D27" i="13"/>
  <c r="C27" i="13"/>
  <c r="D26" i="13"/>
  <c r="D28" i="13" s="1"/>
  <c r="D29" i="13" s="1"/>
  <c r="C26" i="13"/>
  <c r="C28" i="13" s="1"/>
  <c r="C29" i="13" s="1"/>
  <c r="D25" i="13"/>
  <c r="C25" i="13"/>
  <c r="C12" i="13"/>
  <c r="B12" i="13"/>
  <c r="C58" i="12"/>
  <c r="B57" i="12"/>
  <c r="C53" i="12"/>
  <c r="C70" i="13" l="1"/>
  <c r="C71" i="13" s="1"/>
  <c r="C72" i="13" s="1"/>
  <c r="G58" i="13"/>
  <c r="G59" i="13" s="1"/>
  <c r="G60" i="13" s="1"/>
  <c r="G62" i="13" s="1"/>
  <c r="G61" i="13"/>
  <c r="C41" i="13"/>
  <c r="E41" i="13" s="1"/>
  <c r="B42" i="13"/>
  <c r="D39" i="13"/>
  <c r="C40" i="13"/>
  <c r="D40" i="13"/>
  <c r="E40" i="13"/>
  <c r="B43" i="13" l="1"/>
  <c r="C42" i="13"/>
  <c r="E42" i="13" s="1"/>
  <c r="D41" i="13"/>
  <c r="D42" i="13" l="1"/>
  <c r="B44" i="13"/>
  <c r="C43" i="13"/>
  <c r="E43" i="13" s="1"/>
  <c r="D43" i="13"/>
  <c r="D44" i="13" l="1"/>
  <c r="C44" i="13"/>
  <c r="E44" i="13" s="1"/>
  <c r="B45" i="13"/>
  <c r="C45" i="13" l="1"/>
  <c r="E45" i="13" s="1"/>
  <c r="B46" i="13"/>
  <c r="D45" i="13"/>
  <c r="B47" i="13" l="1"/>
  <c r="C46" i="13"/>
  <c r="E46" i="13" s="1"/>
  <c r="D46" i="13" l="1"/>
  <c r="C47" i="13"/>
  <c r="E47" i="13" s="1"/>
  <c r="B48" i="13"/>
  <c r="B49" i="13" l="1"/>
  <c r="C48" i="13"/>
  <c r="E48" i="13" s="1"/>
  <c r="D47" i="13"/>
  <c r="B50" i="13" l="1"/>
  <c r="C49" i="13"/>
  <c r="E49" i="13"/>
  <c r="D49" i="13"/>
  <c r="D48" i="13"/>
  <c r="C50" i="13" l="1"/>
  <c r="E50" i="13" s="1"/>
  <c r="D50" i="13"/>
  <c r="B51" i="13"/>
  <c r="B52" i="13" l="1"/>
  <c r="E51" i="13"/>
  <c r="C51" i="13"/>
  <c r="D51" i="13"/>
  <c r="B53" i="13" l="1"/>
  <c r="E52" i="13"/>
  <c r="C52" i="13"/>
  <c r="D52" i="13" s="1"/>
  <c r="C53" i="13" l="1"/>
  <c r="E53" i="13" s="1"/>
  <c r="D53" i="13" l="1"/>
  <c r="B29" i="12" l="1"/>
  <c r="B30" i="12" s="1"/>
  <c r="C28" i="12"/>
  <c r="D20" i="12"/>
  <c r="D22" i="12"/>
  <c r="C52" i="12" s="1"/>
  <c r="D21" i="12"/>
  <c r="C21" i="12"/>
  <c r="B6" i="12"/>
  <c r="B5" i="10"/>
  <c r="A6" i="12"/>
  <c r="A5" i="10"/>
  <c r="E33" i="12" l="1"/>
  <c r="C23" i="12"/>
  <c r="E38" i="12"/>
  <c r="E39" i="12"/>
  <c r="E40" i="12"/>
  <c r="E41" i="12"/>
  <c r="E42" i="12"/>
  <c r="E34" i="12"/>
  <c r="E36" i="12"/>
  <c r="E35" i="12"/>
  <c r="E37" i="12"/>
  <c r="E29" i="12"/>
  <c r="E30" i="12"/>
  <c r="E31" i="12"/>
  <c r="E32" i="12"/>
  <c r="E28" i="12"/>
  <c r="C47" i="12"/>
  <c r="C49" i="12" s="1"/>
  <c r="D23" i="12"/>
  <c r="D24" i="12" s="1"/>
  <c r="C48" i="12"/>
  <c r="C50" i="12" s="1"/>
  <c r="C22" i="12"/>
  <c r="C30" i="12"/>
  <c r="B31" i="12"/>
  <c r="C29" i="12"/>
  <c r="C20" i="12"/>
  <c r="C24" i="12" l="1"/>
  <c r="D30" i="12"/>
  <c r="D42" i="12"/>
  <c r="D31" i="12"/>
  <c r="D28" i="12"/>
  <c r="D32" i="12"/>
  <c r="D33" i="12"/>
  <c r="D40" i="12"/>
  <c r="D41" i="12"/>
  <c r="D34" i="12"/>
  <c r="D37" i="12"/>
  <c r="D38" i="12"/>
  <c r="D39" i="12"/>
  <c r="D29" i="12"/>
  <c r="D35" i="12"/>
  <c r="D36" i="12"/>
  <c r="C51" i="12"/>
  <c r="C31" i="12"/>
  <c r="B32" i="12"/>
  <c r="G47" i="12" l="1"/>
  <c r="C32" i="12"/>
  <c r="B33" i="12"/>
  <c r="G48" i="12" l="1"/>
  <c r="E6" i="16"/>
  <c r="G51" i="12"/>
  <c r="C33" i="12"/>
  <c r="B34" i="12"/>
  <c r="E10" i="16" l="1"/>
  <c r="C60" i="12"/>
  <c r="G49" i="12"/>
  <c r="E7" i="16"/>
  <c r="B35" i="12"/>
  <c r="C34" i="12"/>
  <c r="E8" i="16" l="1"/>
  <c r="G50" i="12"/>
  <c r="C59" i="12"/>
  <c r="C61" i="12" s="1"/>
  <c r="C62" i="12" s="1"/>
  <c r="B36" i="12"/>
  <c r="C35" i="12"/>
  <c r="C63" i="12" l="1"/>
  <c r="E12" i="16"/>
  <c r="E9" i="16"/>
  <c r="G52" i="12"/>
  <c r="E11" i="16" s="1"/>
  <c r="B37" i="12"/>
  <c r="C36" i="12"/>
  <c r="B38" i="12" l="1"/>
  <c r="C37" i="12"/>
  <c r="B39" i="12" l="1"/>
  <c r="C38" i="12"/>
  <c r="C39" i="12" l="1"/>
  <c r="B40" i="12"/>
  <c r="C40" i="12" l="1"/>
  <c r="B41" i="12"/>
  <c r="B42" i="12" l="1"/>
  <c r="C41" i="12"/>
  <c r="C42" i="12" l="1"/>
  <c r="B51" i="10" l="1"/>
  <c r="B48" i="10"/>
  <c r="B46" i="10"/>
  <c r="B45" i="10"/>
  <c r="B44" i="10"/>
  <c r="B43" i="10"/>
  <c r="B42" i="10"/>
  <c r="D26" i="10" l="1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25" i="10"/>
  <c r="C26" i="10"/>
  <c r="C27" i="10"/>
  <c r="C28" i="10"/>
  <c r="C29" i="10"/>
  <c r="C30" i="10"/>
  <c r="C31" i="10"/>
  <c r="C32" i="10"/>
  <c r="C33" i="10"/>
  <c r="C34" i="10"/>
  <c r="C35" i="10"/>
  <c r="C36" i="10"/>
  <c r="C37" i="10"/>
  <c r="C38" i="10"/>
  <c r="C39" i="10"/>
  <c r="C25" i="10"/>
  <c r="C20" i="10"/>
  <c r="A26" i="10"/>
  <c r="B25" i="10"/>
  <c r="K3" i="6"/>
  <c r="C21" i="10"/>
  <c r="B21" i="10"/>
  <c r="B22" i="10" s="1"/>
  <c r="B20" i="10"/>
  <c r="C19" i="10"/>
  <c r="B19" i="10"/>
  <c r="C18" i="10"/>
  <c r="B18" i="10"/>
  <c r="C15" i="10"/>
  <c r="B15" i="10"/>
  <c r="C14" i="10"/>
  <c r="B14" i="10"/>
  <c r="C11" i="10"/>
  <c r="B11" i="10"/>
  <c r="C10" i="10"/>
  <c r="B10" i="10"/>
  <c r="C9" i="10"/>
  <c r="B9" i="10"/>
  <c r="C8" i="10"/>
  <c r="B8" i="10"/>
  <c r="D7" i="10"/>
  <c r="C7" i="10"/>
  <c r="B7" i="10"/>
  <c r="B13" i="10" s="1"/>
  <c r="A14" i="10" s="1"/>
  <c r="C13" i="10"/>
  <c r="A15" i="10" s="1"/>
  <c r="C22" i="10" l="1"/>
  <c r="F42" i="10"/>
  <c r="A27" i="10"/>
  <c r="B26" i="10"/>
  <c r="D6" i="16" l="1"/>
  <c r="F43" i="10"/>
  <c r="B27" i="10"/>
  <c r="A28" i="10"/>
  <c r="D7" i="16" l="1"/>
  <c r="D11" i="16"/>
  <c r="F44" i="10"/>
  <c r="D8" i="16" s="1"/>
  <c r="A29" i="10"/>
  <c r="B28" i="10"/>
  <c r="B53" i="10" l="1"/>
  <c r="F45" i="10"/>
  <c r="B52" i="10"/>
  <c r="B54" i="10" s="1"/>
  <c r="B55" i="10" s="1"/>
  <c r="A30" i="10"/>
  <c r="B29" i="10"/>
  <c r="F47" i="10" l="1"/>
  <c r="D9" i="16"/>
  <c r="B56" i="10"/>
  <c r="D12" i="16"/>
  <c r="A31" i="10"/>
  <c r="B30" i="10"/>
  <c r="A32" i="10" l="1"/>
  <c r="B31" i="10"/>
  <c r="B32" i="10" l="1"/>
  <c r="A33" i="10"/>
  <c r="B33" i="10" l="1"/>
  <c r="A34" i="10"/>
  <c r="A35" i="10" l="1"/>
  <c r="B34" i="10"/>
  <c r="B35" i="10" l="1"/>
  <c r="A36" i="10"/>
  <c r="B36" i="10" l="1"/>
  <c r="A37" i="10"/>
  <c r="A38" i="10" l="1"/>
  <c r="B37" i="10"/>
  <c r="A39" i="10" l="1"/>
  <c r="B38" i="10"/>
  <c r="B39" i="10" l="1"/>
  <c r="O7" i="11" l="1"/>
  <c r="O6" i="11"/>
  <c r="P7" i="11"/>
  <c r="P6" i="11"/>
  <c r="K8" i="11"/>
  <c r="J8" i="11"/>
  <c r="I8" i="11"/>
  <c r="H5" i="11"/>
  <c r="F11" i="11"/>
  <c r="F12" i="11" s="1"/>
  <c r="E11" i="11"/>
  <c r="D11" i="11"/>
  <c r="D12" i="11" s="1"/>
  <c r="C11" i="11"/>
  <c r="C12" i="11" s="1"/>
  <c r="F9" i="11"/>
  <c r="E9" i="11"/>
  <c r="D9" i="11"/>
  <c r="C9" i="11"/>
  <c r="F7" i="11"/>
  <c r="E7" i="11"/>
  <c r="D8" i="10" s="1"/>
  <c r="D7" i="11"/>
  <c r="C7" i="11"/>
  <c r="F6" i="11"/>
  <c r="E6" i="11"/>
  <c r="D6" i="11"/>
  <c r="C6" i="11"/>
  <c r="F5" i="11"/>
  <c r="E5" i="11"/>
  <c r="D5" i="11"/>
  <c r="C5" i="11"/>
  <c r="F22" i="11"/>
  <c r="F21" i="11"/>
  <c r="E22" i="11" s="1"/>
  <c r="E21" i="11"/>
  <c r="E20" i="11"/>
  <c r="D21" i="11" s="1"/>
  <c r="F20" i="11"/>
  <c r="D22" i="11" s="1"/>
  <c r="D20" i="11"/>
  <c r="D19" i="11"/>
  <c r="C20" i="11" s="1"/>
  <c r="E19" i="11"/>
  <c r="C21" i="11" s="1"/>
  <c r="F19" i="11"/>
  <c r="C22" i="11" s="1"/>
  <c r="C19" i="11"/>
  <c r="F18" i="11"/>
  <c r="F4" i="11" s="1"/>
  <c r="E18" i="11"/>
  <c r="E4" i="11" s="1"/>
  <c r="D18" i="11"/>
  <c r="D4" i="11" s="1"/>
  <c r="C18" i="11"/>
  <c r="B19" i="11" s="1"/>
  <c r="J25" i="11"/>
  <c r="I25" i="11"/>
  <c r="H25" i="11"/>
  <c r="G25" i="11"/>
  <c r="E12" i="11" l="1"/>
  <c r="D10" i="10"/>
  <c r="P8" i="11"/>
  <c r="B20" i="11"/>
  <c r="B22" i="11"/>
  <c r="B21" i="11"/>
  <c r="C4" i="11"/>
  <c r="D11" i="10" l="1"/>
  <c r="O8" i="11"/>
  <c r="J31" i="11"/>
  <c r="J32" i="11"/>
  <c r="J33" i="11"/>
  <c r="J34" i="11"/>
  <c r="J35" i="11"/>
  <c r="J36" i="11"/>
  <c r="J37" i="11"/>
  <c r="J38" i="11"/>
  <c r="J39" i="11"/>
  <c r="J40" i="11"/>
  <c r="J41" i="11"/>
  <c r="J42" i="11"/>
  <c r="J43" i="11"/>
  <c r="J44" i="11"/>
  <c r="J45" i="11"/>
  <c r="J46" i="11"/>
  <c r="J47" i="11"/>
  <c r="J48" i="11"/>
  <c r="J49" i="11"/>
  <c r="J50" i="11"/>
  <c r="J51" i="11"/>
  <c r="J52" i="11"/>
  <c r="J53" i="11"/>
  <c r="J54" i="11"/>
  <c r="J55" i="11"/>
  <c r="J56" i="11"/>
  <c r="J57" i="11"/>
  <c r="J58" i="11"/>
  <c r="J59" i="11"/>
  <c r="J60" i="11"/>
  <c r="J61" i="11"/>
  <c r="J62" i="11"/>
  <c r="J63" i="11"/>
  <c r="J64" i="11"/>
  <c r="J65" i="11"/>
  <c r="J66" i="11"/>
  <c r="J67" i="11"/>
  <c r="J68" i="11"/>
  <c r="J69" i="11"/>
  <c r="J70" i="11"/>
  <c r="J71" i="11"/>
  <c r="J72" i="11"/>
  <c r="J73" i="11"/>
  <c r="J74" i="11"/>
  <c r="J75" i="11"/>
  <c r="J76" i="11"/>
  <c r="J77" i="11"/>
  <c r="J78" i="11"/>
  <c r="J79" i="11"/>
  <c r="J80" i="11"/>
  <c r="J81" i="11"/>
  <c r="J82" i="11"/>
  <c r="J83" i="11"/>
  <c r="J84" i="11"/>
  <c r="J85" i="11"/>
  <c r="J86" i="11"/>
  <c r="J87" i="11"/>
  <c r="J88" i="11"/>
  <c r="J89" i="11"/>
  <c r="J90" i="11"/>
  <c r="J91" i="11"/>
  <c r="J92" i="11"/>
  <c r="J93" i="11"/>
  <c r="J94" i="11"/>
  <c r="J95" i="11"/>
  <c r="J96" i="11"/>
  <c r="J97" i="11"/>
  <c r="J98" i="11"/>
  <c r="J99" i="11"/>
  <c r="J100" i="11"/>
  <c r="J101" i="11"/>
  <c r="J102" i="11"/>
  <c r="J103" i="11"/>
  <c r="J104" i="11"/>
  <c r="J105" i="11"/>
  <c r="J106" i="11"/>
  <c r="J107" i="11"/>
  <c r="J108" i="11"/>
  <c r="J109" i="11"/>
  <c r="J110" i="11"/>
  <c r="J111" i="11"/>
  <c r="J112" i="11"/>
  <c r="J113" i="11"/>
  <c r="J114" i="11"/>
  <c r="J115" i="11"/>
  <c r="J116" i="11"/>
  <c r="J117" i="11"/>
  <c r="J118" i="11"/>
  <c r="J119" i="11"/>
  <c r="J120" i="11"/>
  <c r="J121" i="11"/>
  <c r="J122" i="11"/>
  <c r="J123" i="11"/>
  <c r="J124" i="11"/>
  <c r="J125" i="11"/>
  <c r="J126" i="11"/>
  <c r="J127" i="11"/>
  <c r="J128" i="11"/>
  <c r="J129" i="11"/>
  <c r="J130" i="11"/>
  <c r="J131" i="11"/>
  <c r="J132" i="11"/>
  <c r="J133" i="11"/>
  <c r="J134" i="11"/>
  <c r="J135" i="11"/>
  <c r="J136" i="11"/>
  <c r="J137" i="11"/>
  <c r="J138" i="11"/>
  <c r="J139" i="11"/>
  <c r="J140" i="11"/>
  <c r="J141" i="11"/>
  <c r="J142" i="11"/>
  <c r="J143" i="11"/>
  <c r="J144" i="11"/>
  <c r="J145" i="11"/>
  <c r="J146" i="11"/>
  <c r="J147" i="11"/>
  <c r="J148" i="11"/>
  <c r="J149" i="11"/>
  <c r="J150" i="11"/>
  <c r="J151" i="11"/>
  <c r="J152" i="11"/>
  <c r="J153" i="11"/>
  <c r="J154" i="11"/>
  <c r="J155" i="11"/>
  <c r="J156" i="11"/>
  <c r="J157" i="11"/>
  <c r="J158" i="11"/>
  <c r="J159" i="11"/>
  <c r="J160" i="11"/>
  <c r="J161" i="11"/>
  <c r="J162" i="11"/>
  <c r="J163" i="11"/>
  <c r="J164" i="11"/>
  <c r="J165" i="11"/>
  <c r="J166" i="11"/>
  <c r="J167" i="11"/>
  <c r="J168" i="11"/>
  <c r="J169" i="11"/>
  <c r="J170" i="11"/>
  <c r="J171" i="11"/>
  <c r="J172" i="11"/>
  <c r="J173" i="11"/>
  <c r="J174" i="11"/>
  <c r="J175" i="11"/>
  <c r="J176" i="11"/>
  <c r="J177" i="11"/>
  <c r="J178" i="11"/>
  <c r="J179" i="11"/>
  <c r="J180" i="11"/>
  <c r="J181" i="11"/>
  <c r="J182" i="11"/>
  <c r="J183" i="11"/>
  <c r="J184" i="11"/>
  <c r="J185" i="11"/>
  <c r="J186" i="11"/>
  <c r="J187" i="11"/>
  <c r="J188" i="11"/>
  <c r="J189" i="11"/>
  <c r="J190" i="11"/>
  <c r="J191" i="11"/>
  <c r="J192" i="11"/>
  <c r="J193" i="11"/>
  <c r="J194" i="11"/>
  <c r="J195" i="11"/>
  <c r="J196" i="11"/>
  <c r="J197" i="11"/>
  <c r="J198" i="11"/>
  <c r="J199" i="11"/>
  <c r="J200" i="11"/>
  <c r="J201" i="11"/>
  <c r="J202" i="11"/>
  <c r="J203" i="11"/>
  <c r="J204" i="11"/>
  <c r="J205" i="11"/>
  <c r="J206" i="11"/>
  <c r="J207" i="11"/>
  <c r="J208" i="11"/>
  <c r="J209" i="11"/>
  <c r="J210" i="11"/>
  <c r="J211" i="11"/>
  <c r="J212" i="11"/>
  <c r="J213" i="11"/>
  <c r="J214" i="11"/>
  <c r="J215" i="11"/>
  <c r="J216" i="11"/>
  <c r="J217" i="11"/>
  <c r="J218" i="11"/>
  <c r="J219" i="11"/>
  <c r="J220" i="11"/>
  <c r="J221" i="11"/>
  <c r="J222" i="11"/>
  <c r="J223" i="11"/>
  <c r="J224" i="11"/>
  <c r="J225" i="11"/>
  <c r="J226" i="11"/>
  <c r="J227" i="11"/>
  <c r="J228" i="11"/>
  <c r="J229" i="11"/>
  <c r="J230" i="11"/>
  <c r="J231" i="11"/>
  <c r="J232" i="11"/>
  <c r="J233" i="11"/>
  <c r="J234" i="11"/>
  <c r="J235" i="11"/>
  <c r="J236" i="11"/>
  <c r="J237" i="11"/>
  <c r="J238" i="11"/>
  <c r="J239" i="11"/>
  <c r="J240" i="11"/>
  <c r="J241" i="11"/>
  <c r="J242" i="11"/>
  <c r="J243" i="11"/>
  <c r="J244" i="11"/>
  <c r="J245" i="11"/>
  <c r="J246" i="11"/>
  <c r="J247" i="11"/>
  <c r="J248" i="11"/>
  <c r="J249" i="11"/>
  <c r="J250" i="11"/>
  <c r="J251" i="11"/>
  <c r="J252" i="11"/>
  <c r="J253" i="11"/>
  <c r="J254" i="11"/>
  <c r="J255" i="11"/>
  <c r="J256" i="11"/>
  <c r="J257" i="11"/>
  <c r="J258" i="11"/>
  <c r="J259" i="11"/>
  <c r="J260" i="11"/>
  <c r="J261" i="11"/>
  <c r="J262" i="11"/>
  <c r="J263" i="11"/>
  <c r="J264" i="11"/>
  <c r="J265" i="11"/>
  <c r="J266" i="11"/>
  <c r="J267" i="11"/>
  <c r="J268" i="11"/>
  <c r="J269" i="11"/>
  <c r="J270" i="11"/>
  <c r="J271" i="11"/>
  <c r="J272" i="11"/>
  <c r="J273" i="11"/>
  <c r="J274" i="11"/>
  <c r="J275" i="11"/>
  <c r="J276" i="11"/>
  <c r="J277" i="11"/>
  <c r="J278" i="11"/>
  <c r="J279" i="11"/>
  <c r="J280" i="11"/>
  <c r="J281" i="11"/>
  <c r="J282" i="11"/>
  <c r="J283" i="11"/>
  <c r="J284" i="11"/>
  <c r="J285" i="11"/>
  <c r="J286" i="11"/>
  <c r="J287" i="11"/>
  <c r="J288" i="11"/>
  <c r="J289" i="11"/>
  <c r="J290" i="11"/>
  <c r="J291" i="11"/>
  <c r="J292" i="11"/>
  <c r="J293" i="11"/>
  <c r="J294" i="11"/>
  <c r="J295" i="11"/>
  <c r="J296" i="11"/>
  <c r="J297" i="11"/>
  <c r="J298" i="11"/>
  <c r="J299" i="11"/>
  <c r="J300" i="11"/>
  <c r="J301" i="11"/>
  <c r="J302" i="11"/>
  <c r="J303" i="11"/>
  <c r="J304" i="11"/>
  <c r="J305" i="11"/>
  <c r="J306" i="11"/>
  <c r="J307" i="11"/>
  <c r="J308" i="11"/>
  <c r="J309" i="11"/>
  <c r="J310" i="11"/>
  <c r="J311" i="11"/>
  <c r="J312" i="11"/>
  <c r="J313" i="11"/>
  <c r="J314" i="11"/>
  <c r="J315" i="11"/>
  <c r="J316" i="11"/>
  <c r="J317" i="11"/>
  <c r="J318" i="11"/>
  <c r="J319" i="11"/>
  <c r="J320" i="11"/>
  <c r="J321" i="11"/>
  <c r="J322" i="11"/>
  <c r="J323" i="11"/>
  <c r="J324" i="11"/>
  <c r="J325" i="11"/>
  <c r="J326" i="11"/>
  <c r="J327" i="11"/>
  <c r="J328" i="11"/>
  <c r="J329" i="11"/>
  <c r="J330" i="11"/>
  <c r="J331" i="11"/>
  <c r="J332" i="11"/>
  <c r="J333" i="11"/>
  <c r="J334" i="11"/>
  <c r="J335" i="11"/>
  <c r="J336" i="11"/>
  <c r="J337" i="11"/>
  <c r="J338" i="11"/>
  <c r="J339" i="11"/>
  <c r="J340" i="11"/>
  <c r="J341" i="11"/>
  <c r="J342" i="11"/>
  <c r="J343" i="11"/>
  <c r="J344" i="11"/>
  <c r="J345" i="11"/>
  <c r="J346" i="11"/>
  <c r="J347" i="11"/>
  <c r="J348" i="11"/>
  <c r="J349" i="11"/>
  <c r="J350" i="11"/>
  <c r="J351" i="11"/>
  <c r="J352" i="11"/>
  <c r="J353" i="11"/>
  <c r="J354" i="11"/>
  <c r="J355" i="11"/>
  <c r="J356" i="11"/>
  <c r="J357" i="11"/>
  <c r="J358" i="11"/>
  <c r="J359" i="11"/>
  <c r="J360" i="11"/>
  <c r="J361" i="11"/>
  <c r="J362" i="11"/>
  <c r="J363" i="11"/>
  <c r="J364" i="11"/>
  <c r="J365" i="11"/>
  <c r="J366" i="11"/>
  <c r="J367" i="11"/>
  <c r="J368" i="11"/>
  <c r="J369" i="11"/>
  <c r="J370" i="11"/>
  <c r="J371" i="11"/>
  <c r="J372" i="11"/>
  <c r="J373" i="11"/>
  <c r="J374" i="11"/>
  <c r="J375" i="11"/>
  <c r="J376" i="11"/>
  <c r="J377" i="11"/>
  <c r="J378" i="11"/>
  <c r="J379" i="11"/>
  <c r="J380" i="11"/>
  <c r="J381" i="11"/>
  <c r="J382" i="11"/>
  <c r="J383" i="11"/>
  <c r="J384" i="11"/>
  <c r="J385" i="11"/>
  <c r="J386" i="11"/>
  <c r="J387" i="11"/>
  <c r="J388" i="11"/>
  <c r="J389" i="11"/>
  <c r="J390" i="11"/>
  <c r="J391" i="11"/>
  <c r="J392" i="11"/>
  <c r="J30" i="11"/>
  <c r="I44" i="11"/>
  <c r="I45" i="11"/>
  <c r="I46" i="11"/>
  <c r="I47" i="11"/>
  <c r="I48" i="11"/>
  <c r="I49" i="11"/>
  <c r="I50" i="11"/>
  <c r="I51" i="11"/>
  <c r="I52" i="11"/>
  <c r="I53" i="11"/>
  <c r="I54" i="11"/>
  <c r="I55" i="11"/>
  <c r="I56" i="11"/>
  <c r="I57" i="11"/>
  <c r="I58" i="11"/>
  <c r="I59" i="11"/>
  <c r="I60" i="11"/>
  <c r="I61" i="11"/>
  <c r="I62" i="11"/>
  <c r="I63" i="11"/>
  <c r="I64" i="11"/>
  <c r="I65" i="11"/>
  <c r="I66" i="11"/>
  <c r="I67" i="11"/>
  <c r="I68" i="11"/>
  <c r="I69" i="11"/>
  <c r="I70" i="11"/>
  <c r="I71" i="11"/>
  <c r="I72" i="11"/>
  <c r="I73" i="11"/>
  <c r="I74" i="11"/>
  <c r="I75" i="11"/>
  <c r="I76" i="11"/>
  <c r="I77" i="11"/>
  <c r="I78" i="11"/>
  <c r="I79" i="11"/>
  <c r="I80" i="11"/>
  <c r="I81" i="11"/>
  <c r="I82" i="11"/>
  <c r="I83" i="11"/>
  <c r="I84" i="11"/>
  <c r="I85" i="11"/>
  <c r="I86" i="11"/>
  <c r="I87" i="11"/>
  <c r="I88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1" i="11"/>
  <c r="I102" i="11"/>
  <c r="I103" i="11"/>
  <c r="I104" i="11"/>
  <c r="I105" i="11"/>
  <c r="I106" i="11"/>
  <c r="I107" i="11"/>
  <c r="I108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2" i="11"/>
  <c r="I143" i="11"/>
  <c r="I144" i="11"/>
  <c r="I145" i="11"/>
  <c r="I146" i="11"/>
  <c r="I147" i="11"/>
  <c r="I148" i="11"/>
  <c r="I149" i="11"/>
  <c r="I150" i="11"/>
  <c r="I151" i="11"/>
  <c r="I152" i="11"/>
  <c r="I153" i="11"/>
  <c r="I154" i="11"/>
  <c r="I155" i="11"/>
  <c r="I156" i="11"/>
  <c r="I157" i="11"/>
  <c r="I158" i="11"/>
  <c r="I159" i="11"/>
  <c r="I160" i="11"/>
  <c r="I161" i="11"/>
  <c r="I162" i="11"/>
  <c r="I163" i="11"/>
  <c r="I164" i="11"/>
  <c r="I165" i="11"/>
  <c r="I166" i="11"/>
  <c r="I167" i="11"/>
  <c r="I168" i="11"/>
  <c r="I169" i="11"/>
  <c r="I170" i="11"/>
  <c r="I171" i="11"/>
  <c r="I172" i="11"/>
  <c r="I173" i="11"/>
  <c r="I174" i="11"/>
  <c r="I175" i="11"/>
  <c r="I176" i="11"/>
  <c r="I177" i="11"/>
  <c r="I178" i="11"/>
  <c r="I179" i="11"/>
  <c r="I180" i="11"/>
  <c r="I181" i="11"/>
  <c r="I182" i="11"/>
  <c r="I183" i="11"/>
  <c r="I184" i="11"/>
  <c r="I185" i="11"/>
  <c r="I186" i="11"/>
  <c r="I187" i="11"/>
  <c r="I188" i="11"/>
  <c r="I189" i="11"/>
  <c r="I190" i="11"/>
  <c r="I191" i="11"/>
  <c r="I192" i="11"/>
  <c r="I193" i="11"/>
  <c r="I194" i="11"/>
  <c r="I195" i="11"/>
  <c r="I196" i="11"/>
  <c r="I197" i="11"/>
  <c r="I198" i="11"/>
  <c r="I199" i="11"/>
  <c r="I200" i="11"/>
  <c r="I201" i="11"/>
  <c r="I202" i="11"/>
  <c r="I203" i="11"/>
  <c r="I204" i="11"/>
  <c r="I205" i="11"/>
  <c r="I206" i="11"/>
  <c r="I207" i="11"/>
  <c r="I208" i="11"/>
  <c r="I209" i="11"/>
  <c r="I210" i="11"/>
  <c r="I211" i="11"/>
  <c r="I212" i="11"/>
  <c r="I213" i="11"/>
  <c r="I214" i="11"/>
  <c r="I215" i="11"/>
  <c r="I216" i="11"/>
  <c r="I217" i="11"/>
  <c r="I218" i="11"/>
  <c r="I219" i="11"/>
  <c r="I220" i="11"/>
  <c r="I221" i="11"/>
  <c r="I222" i="11"/>
  <c r="I223" i="11"/>
  <c r="I224" i="11"/>
  <c r="I225" i="11"/>
  <c r="I226" i="11"/>
  <c r="I227" i="11"/>
  <c r="I228" i="11"/>
  <c r="I229" i="11"/>
  <c r="I230" i="11"/>
  <c r="I231" i="11"/>
  <c r="I232" i="11"/>
  <c r="I233" i="11"/>
  <c r="I234" i="11"/>
  <c r="I235" i="11"/>
  <c r="I236" i="11"/>
  <c r="I237" i="11"/>
  <c r="I238" i="11"/>
  <c r="I239" i="11"/>
  <c r="I240" i="11"/>
  <c r="I241" i="11"/>
  <c r="I242" i="11"/>
  <c r="I243" i="11"/>
  <c r="I244" i="11"/>
  <c r="I245" i="11"/>
  <c r="I246" i="11"/>
  <c r="I247" i="11"/>
  <c r="I248" i="11"/>
  <c r="I249" i="11"/>
  <c r="I250" i="11"/>
  <c r="I251" i="11"/>
  <c r="I252" i="11"/>
  <c r="I253" i="11"/>
  <c r="I254" i="11"/>
  <c r="I255" i="11"/>
  <c r="I256" i="11"/>
  <c r="I257" i="11"/>
  <c r="I258" i="11"/>
  <c r="I259" i="11"/>
  <c r="I260" i="11"/>
  <c r="I261" i="11"/>
  <c r="I262" i="11"/>
  <c r="I263" i="11"/>
  <c r="I264" i="11"/>
  <c r="I265" i="11"/>
  <c r="I266" i="11"/>
  <c r="I267" i="11"/>
  <c r="I268" i="11"/>
  <c r="I269" i="11"/>
  <c r="I270" i="11"/>
  <c r="I271" i="11"/>
  <c r="I272" i="11"/>
  <c r="I273" i="11"/>
  <c r="I274" i="11"/>
  <c r="I275" i="11"/>
  <c r="I276" i="11"/>
  <c r="I277" i="11"/>
  <c r="I278" i="11"/>
  <c r="I279" i="11"/>
  <c r="I280" i="11"/>
  <c r="I281" i="11"/>
  <c r="I282" i="11"/>
  <c r="I283" i="11"/>
  <c r="I284" i="11"/>
  <c r="I285" i="11"/>
  <c r="I286" i="11"/>
  <c r="I287" i="11"/>
  <c r="I288" i="11"/>
  <c r="I289" i="11"/>
  <c r="I290" i="11"/>
  <c r="I291" i="11"/>
  <c r="I292" i="11"/>
  <c r="I293" i="11"/>
  <c r="I294" i="11"/>
  <c r="I295" i="11"/>
  <c r="I296" i="11"/>
  <c r="I297" i="11"/>
  <c r="I298" i="11"/>
  <c r="I299" i="11"/>
  <c r="I300" i="11"/>
  <c r="I301" i="11"/>
  <c r="I302" i="11"/>
  <c r="I303" i="11"/>
  <c r="I304" i="11"/>
  <c r="I305" i="11"/>
  <c r="I306" i="11"/>
  <c r="I307" i="11"/>
  <c r="I308" i="11"/>
  <c r="I309" i="11"/>
  <c r="I310" i="11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1" i="11"/>
  <c r="I32" i="11"/>
  <c r="I33" i="11"/>
  <c r="I34" i="11"/>
  <c r="I35" i="11"/>
  <c r="I36" i="11"/>
  <c r="I37" i="11"/>
  <c r="I38" i="11"/>
  <c r="I39" i="11"/>
  <c r="I40" i="11"/>
  <c r="I41" i="11"/>
  <c r="I42" i="11"/>
  <c r="I43" i="11"/>
  <c r="I30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H301" i="11"/>
  <c r="H302" i="11"/>
  <c r="H303" i="11"/>
  <c r="H304" i="11"/>
  <c r="H305" i="11"/>
  <c r="H306" i="11"/>
  <c r="H307" i="11"/>
  <c r="H308" i="11"/>
  <c r="H309" i="11"/>
  <c r="H310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31" i="11"/>
  <c r="H32" i="11"/>
  <c r="H33" i="11"/>
  <c r="H34" i="11"/>
  <c r="H30" i="11"/>
  <c r="G342" i="11"/>
  <c r="G343" i="11"/>
  <c r="G344" i="11"/>
  <c r="G345" i="11"/>
  <c r="G346" i="11"/>
  <c r="G347" i="11"/>
  <c r="G348" i="11"/>
  <c r="G349" i="11"/>
  <c r="G350" i="11"/>
  <c r="G351" i="11"/>
  <c r="G352" i="11"/>
  <c r="G353" i="11"/>
  <c r="G354" i="11"/>
  <c r="G355" i="11"/>
  <c r="G356" i="11"/>
  <c r="G357" i="11"/>
  <c r="G358" i="11"/>
  <c r="G359" i="11"/>
  <c r="G360" i="11"/>
  <c r="G361" i="11"/>
  <c r="G362" i="11"/>
  <c r="G363" i="11"/>
  <c r="G364" i="11"/>
  <c r="G365" i="11"/>
  <c r="G366" i="11"/>
  <c r="G367" i="11"/>
  <c r="G368" i="11"/>
  <c r="G369" i="11"/>
  <c r="G370" i="11"/>
  <c r="G371" i="11"/>
  <c r="G372" i="11"/>
  <c r="G373" i="11"/>
  <c r="G374" i="11"/>
  <c r="G375" i="11"/>
  <c r="G376" i="11"/>
  <c r="G377" i="11"/>
  <c r="G378" i="11"/>
  <c r="G379" i="11"/>
  <c r="G380" i="11"/>
  <c r="G381" i="11"/>
  <c r="G382" i="11"/>
  <c r="G383" i="11"/>
  <c r="G384" i="11"/>
  <c r="G385" i="11"/>
  <c r="G386" i="11"/>
  <c r="G387" i="11"/>
  <c r="G388" i="11"/>
  <c r="G389" i="11"/>
  <c r="G390" i="11"/>
  <c r="G391" i="11"/>
  <c r="G39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G301" i="11"/>
  <c r="G302" i="11"/>
  <c r="G303" i="11"/>
  <c r="G304" i="11"/>
  <c r="G305" i="11"/>
  <c r="G306" i="11"/>
  <c r="G307" i="11"/>
  <c r="G308" i="11"/>
  <c r="G309" i="11"/>
  <c r="G310" i="11"/>
  <c r="G311" i="11"/>
  <c r="G312" i="11"/>
  <c r="G313" i="11"/>
  <c r="G314" i="11"/>
  <c r="G315" i="11"/>
  <c r="G316" i="11"/>
  <c r="G317" i="11"/>
  <c r="G318" i="11"/>
  <c r="G319" i="11"/>
  <c r="G320" i="11"/>
  <c r="G321" i="11"/>
  <c r="G322" i="11"/>
  <c r="G323" i="11"/>
  <c r="G324" i="11"/>
  <c r="G325" i="11"/>
  <c r="G326" i="11"/>
  <c r="G327" i="11"/>
  <c r="G328" i="11"/>
  <c r="G329" i="11"/>
  <c r="G330" i="11"/>
  <c r="G331" i="11"/>
  <c r="G332" i="11"/>
  <c r="G333" i="11"/>
  <c r="G334" i="11"/>
  <c r="G335" i="11"/>
  <c r="G336" i="11"/>
  <c r="G337" i="11"/>
  <c r="G338" i="11"/>
  <c r="G339" i="11"/>
  <c r="G340" i="11"/>
  <c r="G341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35" i="11"/>
  <c r="G36" i="11"/>
  <c r="G31" i="11"/>
  <c r="G32" i="11"/>
  <c r="G33" i="11"/>
  <c r="G34" i="11"/>
  <c r="G30" i="11"/>
  <c r="H26" i="11" l="1"/>
  <c r="D8" i="11" s="1"/>
  <c r="I26" i="11"/>
  <c r="E8" i="11" s="1"/>
  <c r="D9" i="10" s="1"/>
  <c r="J26" i="11"/>
  <c r="F8" i="11" s="1"/>
  <c r="G26" i="11"/>
  <c r="C8" i="11" s="1"/>
  <c r="C13" i="11" l="1"/>
  <c r="C10" i="11"/>
  <c r="F13" i="11"/>
  <c r="F10" i="11"/>
  <c r="E13" i="11"/>
  <c r="E10" i="11"/>
  <c r="D13" i="11"/>
  <c r="D10" i="11"/>
  <c r="F358" i="6" l="1"/>
  <c r="F359" i="6"/>
  <c r="F360" i="6"/>
  <c r="F361" i="6"/>
  <c r="F362" i="6"/>
  <c r="F363" i="6"/>
  <c r="F364" i="6"/>
  <c r="F365" i="6"/>
  <c r="F366" i="6"/>
  <c r="C529" i="1"/>
  <c r="D529" i="1" s="1"/>
  <c r="E529" i="1" s="1"/>
  <c r="C528" i="1"/>
  <c r="D528" i="1" s="1"/>
  <c r="E528" i="1" s="1"/>
  <c r="C14" i="1"/>
  <c r="E357" i="1"/>
  <c r="F3" i="7" l="1"/>
  <c r="F21" i="7" l="1"/>
  <c r="H21" i="7"/>
  <c r="H19" i="7"/>
  <c r="H17" i="7"/>
  <c r="H15" i="7"/>
  <c r="H13" i="7"/>
  <c r="H11" i="7"/>
  <c r="H9" i="7"/>
  <c r="H7" i="7"/>
  <c r="H5" i="7"/>
  <c r="H3" i="7"/>
  <c r="G21" i="7"/>
  <c r="G19" i="7"/>
  <c r="G17" i="7"/>
  <c r="G15" i="7"/>
  <c r="G13" i="7"/>
  <c r="G11" i="7"/>
  <c r="G9" i="7"/>
  <c r="G7" i="7"/>
  <c r="G5" i="7"/>
  <c r="G3" i="7"/>
  <c r="F19" i="7"/>
  <c r="F17" i="7"/>
  <c r="F15" i="7"/>
  <c r="F13" i="7"/>
  <c r="F11" i="7"/>
  <c r="F9" i="7"/>
  <c r="F7" i="7"/>
  <c r="F5" i="7"/>
  <c r="I5" i="11" l="1"/>
  <c r="P9" i="11" l="1"/>
  <c r="I9" i="11"/>
  <c r="I10" i="11" s="1"/>
  <c r="D14" i="11"/>
  <c r="D15" i="11" s="1"/>
  <c r="K9" i="11"/>
  <c r="K10" i="11" s="1"/>
  <c r="E14" i="11"/>
  <c r="E15" i="11" s="1"/>
  <c r="C14" i="11"/>
  <c r="C15" i="11" s="1"/>
  <c r="J9" i="11"/>
  <c r="J10" i="11" s="1"/>
  <c r="K12" i="4"/>
  <c r="K11" i="4"/>
  <c r="K10" i="4"/>
  <c r="K9" i="4"/>
  <c r="K8" i="4"/>
  <c r="K7" i="4"/>
  <c r="K6" i="4"/>
  <c r="K5" i="4"/>
  <c r="K4" i="4"/>
  <c r="K3" i="4"/>
  <c r="J12" i="4"/>
  <c r="J11" i="4"/>
  <c r="J10" i="4"/>
  <c r="J9" i="4"/>
  <c r="J8" i="4"/>
  <c r="J7" i="4"/>
  <c r="J6" i="4"/>
  <c r="J5" i="4"/>
  <c r="J4" i="4"/>
  <c r="J3" i="4"/>
  <c r="K13" i="3" l="1"/>
  <c r="K12" i="3"/>
  <c r="K11" i="3"/>
  <c r="K10" i="3"/>
  <c r="K9" i="3"/>
  <c r="K8" i="3"/>
  <c r="K7" i="3"/>
  <c r="K6" i="3"/>
  <c r="K5" i="3"/>
  <c r="K4" i="3"/>
  <c r="J13" i="3" l="1"/>
  <c r="J12" i="3"/>
  <c r="J11" i="3"/>
  <c r="J10" i="3"/>
  <c r="J9" i="3"/>
  <c r="J8" i="3"/>
  <c r="J7" i="3"/>
  <c r="J6" i="3"/>
  <c r="J5" i="3"/>
  <c r="J4" i="3"/>
  <c r="D527" i="1"/>
  <c r="E527" i="1" s="1"/>
  <c r="C527" i="1"/>
  <c r="C526" i="1"/>
  <c r="D526" i="1" s="1"/>
  <c r="E526" i="1" s="1"/>
  <c r="C525" i="1"/>
  <c r="D525" i="1" s="1"/>
  <c r="E525" i="1" s="1"/>
  <c r="C524" i="1"/>
  <c r="D524" i="1" s="1"/>
  <c r="E524" i="1" s="1"/>
  <c r="C523" i="1"/>
  <c r="D523" i="1" s="1"/>
  <c r="E523" i="1" s="1"/>
  <c r="C522" i="1"/>
  <c r="D522" i="1" s="1"/>
  <c r="E522" i="1" s="1"/>
  <c r="C521" i="1"/>
  <c r="D521" i="1" s="1"/>
  <c r="E521" i="1" s="1"/>
  <c r="C520" i="1"/>
  <c r="D520" i="1" s="1"/>
  <c r="E520" i="1" s="1"/>
  <c r="C519" i="1"/>
  <c r="D519" i="1" s="1"/>
  <c r="E519" i="1" s="1"/>
  <c r="C518" i="1"/>
  <c r="D518" i="1" s="1"/>
  <c r="E518" i="1" s="1"/>
  <c r="C517" i="1"/>
  <c r="D517" i="1" s="1"/>
  <c r="E517" i="1" s="1"/>
  <c r="C516" i="1"/>
  <c r="D516" i="1" s="1"/>
  <c r="E516" i="1" s="1"/>
  <c r="D515" i="1"/>
  <c r="E515" i="1" s="1"/>
  <c r="C515" i="1"/>
  <c r="C514" i="1"/>
  <c r="D514" i="1" s="1"/>
  <c r="E514" i="1" s="1"/>
  <c r="C513" i="1"/>
  <c r="D513" i="1" s="1"/>
  <c r="E513" i="1" s="1"/>
  <c r="C512" i="1"/>
  <c r="D512" i="1" s="1"/>
  <c r="E512" i="1" s="1"/>
  <c r="C511" i="1"/>
  <c r="D511" i="1" s="1"/>
  <c r="E511" i="1" s="1"/>
  <c r="C510" i="1"/>
  <c r="D510" i="1" s="1"/>
  <c r="E510" i="1" s="1"/>
  <c r="C509" i="1"/>
  <c r="D509" i="1" s="1"/>
  <c r="E509" i="1" s="1"/>
  <c r="C508" i="1"/>
  <c r="D508" i="1" s="1"/>
  <c r="E508" i="1" s="1"/>
  <c r="C507" i="1"/>
  <c r="D507" i="1" s="1"/>
  <c r="E507" i="1" s="1"/>
  <c r="C506" i="1"/>
  <c r="D506" i="1" s="1"/>
  <c r="E506" i="1" s="1"/>
  <c r="C505" i="1"/>
  <c r="D505" i="1" s="1"/>
  <c r="E505" i="1" s="1"/>
  <c r="D504" i="1"/>
  <c r="E504" i="1" s="1"/>
  <c r="C504" i="1"/>
  <c r="C503" i="1"/>
  <c r="D503" i="1" s="1"/>
  <c r="E503" i="1" s="1"/>
  <c r="C502" i="1"/>
  <c r="D502" i="1" s="1"/>
  <c r="E502" i="1" s="1"/>
  <c r="C501" i="1"/>
  <c r="D501" i="1" s="1"/>
  <c r="E501" i="1" s="1"/>
  <c r="C500" i="1"/>
  <c r="D500" i="1" s="1"/>
  <c r="E500" i="1" s="1"/>
  <c r="D499" i="1"/>
  <c r="E499" i="1" s="1"/>
  <c r="C499" i="1"/>
  <c r="C498" i="1"/>
  <c r="D498" i="1" s="1"/>
  <c r="E498" i="1" s="1"/>
  <c r="C497" i="1"/>
  <c r="D497" i="1" s="1"/>
  <c r="E497" i="1" s="1"/>
  <c r="C496" i="1"/>
  <c r="D496" i="1" s="1"/>
  <c r="E496" i="1" s="1"/>
  <c r="C495" i="1"/>
  <c r="D495" i="1" s="1"/>
  <c r="E495" i="1" s="1"/>
  <c r="C494" i="1"/>
  <c r="D494" i="1" s="1"/>
  <c r="E494" i="1" s="1"/>
  <c r="C493" i="1"/>
  <c r="D493" i="1" s="1"/>
  <c r="E493" i="1" s="1"/>
  <c r="D492" i="1"/>
  <c r="E492" i="1" s="1"/>
  <c r="C492" i="1"/>
  <c r="D491" i="1"/>
  <c r="E491" i="1" s="1"/>
  <c r="C491" i="1"/>
  <c r="C490" i="1"/>
  <c r="D490" i="1" s="1"/>
  <c r="E490" i="1" s="1"/>
  <c r="C489" i="1"/>
  <c r="D489" i="1" s="1"/>
  <c r="E489" i="1" s="1"/>
  <c r="C488" i="1"/>
  <c r="D488" i="1" s="1"/>
  <c r="E488" i="1" s="1"/>
  <c r="C487" i="1"/>
  <c r="D487" i="1" s="1"/>
  <c r="E487" i="1" s="1"/>
  <c r="D486" i="1"/>
  <c r="E486" i="1" s="1"/>
  <c r="C486" i="1"/>
  <c r="C485" i="1"/>
  <c r="D485" i="1" s="1"/>
  <c r="E485" i="1" s="1"/>
  <c r="D484" i="1"/>
  <c r="E484" i="1" s="1"/>
  <c r="C484" i="1"/>
  <c r="C483" i="1"/>
  <c r="D483" i="1" s="1"/>
  <c r="E483" i="1" s="1"/>
  <c r="C482" i="1"/>
  <c r="D482" i="1" s="1"/>
  <c r="E482" i="1" s="1"/>
  <c r="C481" i="1"/>
  <c r="D481" i="1" s="1"/>
  <c r="E481" i="1" s="1"/>
  <c r="C480" i="1"/>
  <c r="D480" i="1" s="1"/>
  <c r="E480" i="1" s="1"/>
  <c r="C479" i="1"/>
  <c r="D479" i="1" s="1"/>
  <c r="E479" i="1" s="1"/>
  <c r="C478" i="1"/>
  <c r="D478" i="1" s="1"/>
  <c r="E478" i="1" s="1"/>
  <c r="C477" i="1"/>
  <c r="D477" i="1" s="1"/>
  <c r="E477" i="1" s="1"/>
  <c r="C476" i="1"/>
  <c r="D476" i="1" s="1"/>
  <c r="E476" i="1" s="1"/>
  <c r="C475" i="1"/>
  <c r="D475" i="1" s="1"/>
  <c r="E475" i="1" s="1"/>
  <c r="C474" i="1"/>
  <c r="D474" i="1" s="1"/>
  <c r="E474" i="1" s="1"/>
  <c r="C473" i="1"/>
  <c r="D473" i="1" s="1"/>
  <c r="E473" i="1" s="1"/>
  <c r="D472" i="1"/>
  <c r="E472" i="1" s="1"/>
  <c r="C472" i="1"/>
  <c r="D471" i="1"/>
  <c r="E471" i="1" s="1"/>
  <c r="C471" i="1"/>
  <c r="D470" i="1"/>
  <c r="E470" i="1" s="1"/>
  <c r="C470" i="1"/>
  <c r="C469" i="1"/>
  <c r="D469" i="1" s="1"/>
  <c r="E469" i="1" s="1"/>
  <c r="C468" i="1"/>
  <c r="D468" i="1" s="1"/>
  <c r="E468" i="1" s="1"/>
  <c r="C467" i="1"/>
  <c r="D467" i="1" s="1"/>
  <c r="E467" i="1" s="1"/>
  <c r="C466" i="1"/>
  <c r="D466" i="1" s="1"/>
  <c r="E466" i="1" s="1"/>
  <c r="C465" i="1"/>
  <c r="D465" i="1" s="1"/>
  <c r="E465" i="1" s="1"/>
  <c r="C464" i="1"/>
  <c r="D464" i="1" s="1"/>
  <c r="E464" i="1" s="1"/>
  <c r="E463" i="1"/>
  <c r="C463" i="1"/>
  <c r="D463" i="1" s="1"/>
  <c r="D462" i="1"/>
  <c r="E462" i="1" s="1"/>
  <c r="C462" i="1"/>
  <c r="C461" i="1"/>
  <c r="D461" i="1" s="1"/>
  <c r="E461" i="1" s="1"/>
  <c r="D460" i="1"/>
  <c r="E460" i="1" s="1"/>
  <c r="C460" i="1"/>
  <c r="C459" i="1"/>
  <c r="D459" i="1" s="1"/>
  <c r="E459" i="1" s="1"/>
  <c r="C458" i="1"/>
  <c r="D458" i="1" s="1"/>
  <c r="E458" i="1" s="1"/>
  <c r="C457" i="1"/>
  <c r="D457" i="1" s="1"/>
  <c r="E457" i="1" s="1"/>
  <c r="C456" i="1"/>
  <c r="D456" i="1" s="1"/>
  <c r="E456" i="1" s="1"/>
  <c r="C455" i="1"/>
  <c r="D455" i="1" s="1"/>
  <c r="E455" i="1" s="1"/>
  <c r="C454" i="1"/>
  <c r="D454" i="1" s="1"/>
  <c r="E454" i="1" s="1"/>
  <c r="C453" i="1"/>
  <c r="D453" i="1" s="1"/>
  <c r="E453" i="1" s="1"/>
  <c r="C452" i="1"/>
  <c r="D452" i="1" s="1"/>
  <c r="E452" i="1" s="1"/>
  <c r="C451" i="1"/>
  <c r="D451" i="1" s="1"/>
  <c r="E451" i="1" s="1"/>
  <c r="C450" i="1"/>
  <c r="D450" i="1" s="1"/>
  <c r="E450" i="1" s="1"/>
  <c r="C449" i="1"/>
  <c r="D449" i="1" s="1"/>
  <c r="E449" i="1" s="1"/>
  <c r="D448" i="1"/>
  <c r="E448" i="1" s="1"/>
  <c r="C448" i="1"/>
  <c r="D447" i="1"/>
  <c r="E447" i="1" s="1"/>
  <c r="C447" i="1"/>
  <c r="C446" i="1"/>
  <c r="D446" i="1" s="1"/>
  <c r="E446" i="1" s="1"/>
  <c r="C445" i="1"/>
  <c r="D445" i="1" s="1"/>
  <c r="E445" i="1" s="1"/>
  <c r="C444" i="1"/>
  <c r="D444" i="1" s="1"/>
  <c r="E444" i="1" s="1"/>
  <c r="C443" i="1"/>
  <c r="D443" i="1" s="1"/>
  <c r="E443" i="1" s="1"/>
  <c r="C442" i="1"/>
  <c r="D442" i="1" s="1"/>
  <c r="E442" i="1" s="1"/>
  <c r="C441" i="1"/>
  <c r="D441" i="1" s="1"/>
  <c r="E441" i="1" s="1"/>
  <c r="D440" i="1"/>
  <c r="E440" i="1" s="1"/>
  <c r="C440" i="1"/>
  <c r="E439" i="1"/>
  <c r="C439" i="1"/>
  <c r="D439" i="1" s="1"/>
  <c r="C438" i="1"/>
  <c r="D438" i="1" s="1"/>
  <c r="E438" i="1" s="1"/>
  <c r="C437" i="1"/>
  <c r="D437" i="1" s="1"/>
  <c r="E437" i="1" s="1"/>
  <c r="D436" i="1"/>
  <c r="E436" i="1" s="1"/>
  <c r="C436" i="1"/>
  <c r="C435" i="1"/>
  <c r="D435" i="1" s="1"/>
  <c r="E435" i="1" s="1"/>
  <c r="C434" i="1"/>
  <c r="D434" i="1" s="1"/>
  <c r="E434" i="1" s="1"/>
  <c r="C433" i="1"/>
  <c r="D433" i="1" s="1"/>
  <c r="E433" i="1" s="1"/>
  <c r="C432" i="1"/>
  <c r="D432" i="1" s="1"/>
  <c r="E432" i="1" s="1"/>
  <c r="C431" i="1"/>
  <c r="D431" i="1" s="1"/>
  <c r="E431" i="1" s="1"/>
  <c r="C430" i="1"/>
  <c r="D430" i="1" s="1"/>
  <c r="E430" i="1" s="1"/>
  <c r="C429" i="1"/>
  <c r="D429" i="1" s="1"/>
  <c r="E429" i="1" s="1"/>
  <c r="C428" i="1"/>
  <c r="D428" i="1" s="1"/>
  <c r="E428" i="1" s="1"/>
  <c r="C427" i="1"/>
  <c r="D427" i="1" s="1"/>
  <c r="E427" i="1" s="1"/>
  <c r="C426" i="1"/>
  <c r="D426" i="1" s="1"/>
  <c r="E426" i="1" s="1"/>
  <c r="C425" i="1"/>
  <c r="D425" i="1" s="1"/>
  <c r="E425" i="1" s="1"/>
  <c r="D424" i="1"/>
  <c r="E424" i="1" s="1"/>
  <c r="C424" i="1"/>
  <c r="C423" i="1"/>
  <c r="D423" i="1" s="1"/>
  <c r="E423" i="1" s="1"/>
  <c r="C422" i="1"/>
  <c r="D422" i="1" s="1"/>
  <c r="E422" i="1" s="1"/>
  <c r="C421" i="1"/>
  <c r="D421" i="1" s="1"/>
  <c r="E421" i="1" s="1"/>
  <c r="C420" i="1"/>
  <c r="D420" i="1" s="1"/>
  <c r="E420" i="1" s="1"/>
  <c r="C419" i="1"/>
  <c r="D419" i="1" s="1"/>
  <c r="E419" i="1" s="1"/>
  <c r="C418" i="1"/>
  <c r="D418" i="1" s="1"/>
  <c r="E418" i="1" s="1"/>
  <c r="C417" i="1"/>
  <c r="D417" i="1" s="1"/>
  <c r="E417" i="1" s="1"/>
  <c r="D416" i="1"/>
  <c r="E416" i="1" s="1"/>
  <c r="C416" i="1"/>
  <c r="C415" i="1"/>
  <c r="D415" i="1" s="1"/>
  <c r="E415" i="1" s="1"/>
  <c r="C414" i="1"/>
  <c r="D414" i="1" s="1"/>
  <c r="E414" i="1" s="1"/>
  <c r="C413" i="1"/>
  <c r="D413" i="1" s="1"/>
  <c r="E413" i="1" s="1"/>
  <c r="D412" i="1"/>
  <c r="E412" i="1" s="1"/>
  <c r="C412" i="1"/>
  <c r="C411" i="1"/>
  <c r="D411" i="1" s="1"/>
  <c r="E411" i="1" s="1"/>
  <c r="C410" i="1"/>
  <c r="D410" i="1" s="1"/>
  <c r="E410" i="1" s="1"/>
  <c r="C409" i="1"/>
  <c r="D409" i="1" s="1"/>
  <c r="E409" i="1" s="1"/>
  <c r="C408" i="1"/>
  <c r="D408" i="1" s="1"/>
  <c r="E408" i="1" s="1"/>
  <c r="C407" i="1"/>
  <c r="D407" i="1" s="1"/>
  <c r="E407" i="1" s="1"/>
  <c r="C406" i="1"/>
  <c r="D406" i="1" s="1"/>
  <c r="E406" i="1" s="1"/>
  <c r="C405" i="1"/>
  <c r="D405" i="1" s="1"/>
  <c r="E405" i="1" s="1"/>
  <c r="C404" i="1"/>
  <c r="D404" i="1" s="1"/>
  <c r="E404" i="1" s="1"/>
  <c r="C403" i="1"/>
  <c r="D403" i="1" s="1"/>
  <c r="E403" i="1" s="1"/>
  <c r="C402" i="1"/>
  <c r="D402" i="1" s="1"/>
  <c r="E402" i="1" s="1"/>
  <c r="C401" i="1"/>
  <c r="D401" i="1" s="1"/>
  <c r="E401" i="1" s="1"/>
  <c r="D400" i="1"/>
  <c r="E400" i="1" s="1"/>
  <c r="C400" i="1"/>
  <c r="C399" i="1"/>
  <c r="D399" i="1" s="1"/>
  <c r="E399" i="1" s="1"/>
  <c r="C398" i="1"/>
  <c r="D398" i="1" s="1"/>
  <c r="E398" i="1" s="1"/>
  <c r="C397" i="1"/>
  <c r="D397" i="1" s="1"/>
  <c r="E397" i="1" s="1"/>
  <c r="C396" i="1"/>
  <c r="D396" i="1" s="1"/>
  <c r="E396" i="1" s="1"/>
  <c r="E395" i="1"/>
  <c r="C395" i="1"/>
  <c r="D395" i="1" s="1"/>
  <c r="C394" i="1"/>
  <c r="D394" i="1" s="1"/>
  <c r="E394" i="1" s="1"/>
  <c r="C393" i="1"/>
  <c r="D393" i="1" s="1"/>
  <c r="E393" i="1" s="1"/>
  <c r="C392" i="1"/>
  <c r="D392" i="1" s="1"/>
  <c r="E392" i="1" s="1"/>
  <c r="D391" i="1"/>
  <c r="E391" i="1" s="1"/>
  <c r="C391" i="1"/>
  <c r="C390" i="1"/>
  <c r="D390" i="1" s="1"/>
  <c r="E390" i="1" s="1"/>
  <c r="C389" i="1"/>
  <c r="D389" i="1" s="1"/>
  <c r="E389" i="1" s="1"/>
  <c r="D388" i="1"/>
  <c r="E388" i="1" s="1"/>
  <c r="C388" i="1"/>
  <c r="C387" i="1"/>
  <c r="D387" i="1" s="1"/>
  <c r="E387" i="1" s="1"/>
  <c r="C386" i="1"/>
  <c r="D386" i="1" s="1"/>
  <c r="E386" i="1" s="1"/>
  <c r="C385" i="1"/>
  <c r="D385" i="1" s="1"/>
  <c r="E385" i="1" s="1"/>
  <c r="C384" i="1"/>
  <c r="D384" i="1" s="1"/>
  <c r="E384" i="1" s="1"/>
  <c r="C383" i="1"/>
  <c r="D383" i="1" s="1"/>
  <c r="E383" i="1" s="1"/>
  <c r="C382" i="1"/>
  <c r="D382" i="1" s="1"/>
  <c r="E382" i="1" s="1"/>
  <c r="C381" i="1"/>
  <c r="D381" i="1" s="1"/>
  <c r="E381" i="1" s="1"/>
  <c r="D380" i="1"/>
  <c r="E380" i="1" s="1"/>
  <c r="C380" i="1"/>
  <c r="D379" i="1"/>
  <c r="E379" i="1" s="1"/>
  <c r="C379" i="1"/>
  <c r="C378" i="1"/>
  <c r="D378" i="1" s="1"/>
  <c r="E378" i="1" s="1"/>
  <c r="C377" i="1"/>
  <c r="D377" i="1" s="1"/>
  <c r="E377" i="1" s="1"/>
  <c r="C376" i="1"/>
  <c r="D376" i="1" s="1"/>
  <c r="E376" i="1" s="1"/>
  <c r="D375" i="1"/>
  <c r="E375" i="1" s="1"/>
  <c r="C375" i="1"/>
  <c r="C374" i="1"/>
  <c r="D374" i="1" s="1"/>
  <c r="E374" i="1" s="1"/>
  <c r="C373" i="1"/>
  <c r="D373" i="1" s="1"/>
  <c r="E373" i="1" s="1"/>
  <c r="C372" i="1"/>
  <c r="D372" i="1" s="1"/>
  <c r="E372" i="1" s="1"/>
  <c r="D371" i="1"/>
  <c r="E371" i="1" s="1"/>
  <c r="C371" i="1"/>
  <c r="C370" i="1"/>
  <c r="D370" i="1" s="1"/>
  <c r="E370" i="1" s="1"/>
  <c r="C369" i="1"/>
  <c r="D369" i="1" s="1"/>
  <c r="E369" i="1" s="1"/>
  <c r="C368" i="1"/>
  <c r="D368" i="1" s="1"/>
  <c r="E368" i="1" s="1"/>
  <c r="D367" i="1"/>
  <c r="E367" i="1" s="1"/>
  <c r="C367" i="1"/>
  <c r="C366" i="1"/>
  <c r="D366" i="1" s="1"/>
  <c r="E366" i="1" s="1"/>
  <c r="C365" i="1"/>
  <c r="D365" i="1" s="1"/>
  <c r="E365" i="1" s="1"/>
  <c r="C364" i="1"/>
  <c r="D364" i="1" s="1"/>
  <c r="E364" i="1" s="1"/>
  <c r="E363" i="1"/>
  <c r="C363" i="1"/>
  <c r="D363" i="1" s="1"/>
  <c r="C362" i="1"/>
  <c r="D362" i="1" s="1"/>
  <c r="E362" i="1" s="1"/>
  <c r="C361" i="1"/>
  <c r="D361" i="1" s="1"/>
  <c r="E361" i="1" s="1"/>
  <c r="C360" i="1"/>
  <c r="D360" i="1" s="1"/>
  <c r="E360" i="1" s="1"/>
  <c r="C359" i="1"/>
  <c r="D359" i="1" s="1"/>
  <c r="E359" i="1" s="1"/>
  <c r="C358" i="1"/>
  <c r="D358" i="1" s="1"/>
  <c r="E358" i="1" s="1"/>
  <c r="C357" i="1"/>
  <c r="D357" i="1" s="1"/>
  <c r="D356" i="1"/>
  <c r="E356" i="1" s="1"/>
  <c r="C356" i="1"/>
  <c r="C355" i="1"/>
  <c r="D355" i="1" s="1"/>
  <c r="E355" i="1" s="1"/>
  <c r="C354" i="1"/>
  <c r="D354" i="1" s="1"/>
  <c r="E354" i="1" s="1"/>
  <c r="C353" i="1"/>
  <c r="D353" i="1" s="1"/>
  <c r="E353" i="1" s="1"/>
  <c r="C352" i="1"/>
  <c r="D352" i="1" s="1"/>
  <c r="E352" i="1" s="1"/>
  <c r="C351" i="1"/>
  <c r="D351" i="1" s="1"/>
  <c r="E351" i="1" s="1"/>
  <c r="D350" i="1"/>
  <c r="E350" i="1" s="1"/>
  <c r="C350" i="1"/>
  <c r="C349" i="1"/>
  <c r="D349" i="1" s="1"/>
  <c r="E349" i="1" s="1"/>
  <c r="C348" i="1"/>
  <c r="D348" i="1" s="1"/>
  <c r="E348" i="1" s="1"/>
  <c r="D347" i="1"/>
  <c r="E347" i="1" s="1"/>
  <c r="C347" i="1"/>
  <c r="C346" i="1"/>
  <c r="D346" i="1" s="1"/>
  <c r="E346" i="1" s="1"/>
  <c r="C345" i="1"/>
  <c r="D345" i="1" s="1"/>
  <c r="E345" i="1" s="1"/>
  <c r="C344" i="1"/>
  <c r="D344" i="1" s="1"/>
  <c r="E344" i="1" s="1"/>
  <c r="C343" i="1"/>
  <c r="D343" i="1" s="1"/>
  <c r="E343" i="1" s="1"/>
  <c r="D342" i="1"/>
  <c r="E342" i="1" s="1"/>
  <c r="C342" i="1"/>
  <c r="C341" i="1"/>
  <c r="D341" i="1" s="1"/>
  <c r="E341" i="1" s="1"/>
  <c r="C340" i="1"/>
  <c r="D340" i="1" s="1"/>
  <c r="E340" i="1" s="1"/>
  <c r="C339" i="1"/>
  <c r="D339" i="1" s="1"/>
  <c r="E339" i="1" s="1"/>
  <c r="D338" i="1"/>
  <c r="E338" i="1" s="1"/>
  <c r="C338" i="1"/>
  <c r="C337" i="1"/>
  <c r="D337" i="1" s="1"/>
  <c r="E337" i="1" s="1"/>
  <c r="C336" i="1"/>
  <c r="D336" i="1" s="1"/>
  <c r="E336" i="1" s="1"/>
  <c r="D335" i="1"/>
  <c r="E335" i="1" s="1"/>
  <c r="C335" i="1"/>
  <c r="C334" i="1"/>
  <c r="D334" i="1" s="1"/>
  <c r="E334" i="1" s="1"/>
  <c r="C333" i="1"/>
  <c r="D333" i="1" s="1"/>
  <c r="E333" i="1" s="1"/>
  <c r="C332" i="1"/>
  <c r="D332" i="1" s="1"/>
  <c r="E332" i="1" s="1"/>
  <c r="C331" i="1"/>
  <c r="D331" i="1" s="1"/>
  <c r="E331" i="1" s="1"/>
  <c r="D330" i="1"/>
  <c r="E330" i="1" s="1"/>
  <c r="C330" i="1"/>
  <c r="C329" i="1"/>
  <c r="D329" i="1" s="1"/>
  <c r="E329" i="1" s="1"/>
  <c r="C328" i="1"/>
  <c r="D328" i="1" s="1"/>
  <c r="E328" i="1" s="1"/>
  <c r="C327" i="1"/>
  <c r="D327" i="1" s="1"/>
  <c r="E327" i="1" s="1"/>
  <c r="D326" i="1"/>
  <c r="E326" i="1" s="1"/>
  <c r="C326" i="1"/>
  <c r="C325" i="1"/>
  <c r="D325" i="1" s="1"/>
  <c r="E325" i="1" s="1"/>
  <c r="C324" i="1"/>
  <c r="D324" i="1" s="1"/>
  <c r="E324" i="1" s="1"/>
  <c r="D323" i="1"/>
  <c r="E323" i="1" s="1"/>
  <c r="C323" i="1"/>
  <c r="C322" i="1"/>
  <c r="D322" i="1" s="1"/>
  <c r="E322" i="1" s="1"/>
  <c r="C321" i="1"/>
  <c r="D321" i="1" s="1"/>
  <c r="E321" i="1" s="1"/>
  <c r="C320" i="1"/>
  <c r="D320" i="1" s="1"/>
  <c r="E320" i="1" s="1"/>
  <c r="C319" i="1"/>
  <c r="D319" i="1" s="1"/>
  <c r="E319" i="1" s="1"/>
  <c r="D318" i="1"/>
  <c r="E318" i="1" s="1"/>
  <c r="C318" i="1"/>
  <c r="C317" i="1"/>
  <c r="D317" i="1" s="1"/>
  <c r="E317" i="1" s="1"/>
  <c r="C316" i="1"/>
  <c r="D316" i="1" s="1"/>
  <c r="E316" i="1" s="1"/>
  <c r="C315" i="1"/>
  <c r="D315" i="1" s="1"/>
  <c r="E315" i="1" s="1"/>
  <c r="D314" i="1"/>
  <c r="E314" i="1" s="1"/>
  <c r="C314" i="1"/>
  <c r="C313" i="1"/>
  <c r="D313" i="1" s="1"/>
  <c r="E313" i="1" s="1"/>
  <c r="C312" i="1"/>
  <c r="D312" i="1" s="1"/>
  <c r="E312" i="1" s="1"/>
  <c r="D311" i="1"/>
  <c r="E311" i="1" s="1"/>
  <c r="C311" i="1"/>
  <c r="C310" i="1"/>
  <c r="D310" i="1" s="1"/>
  <c r="E310" i="1" s="1"/>
  <c r="C309" i="1"/>
  <c r="D309" i="1" s="1"/>
  <c r="E309" i="1" s="1"/>
  <c r="D308" i="1"/>
  <c r="E308" i="1" s="1"/>
  <c r="C308" i="1"/>
  <c r="C307" i="1"/>
  <c r="D307" i="1" s="1"/>
  <c r="E307" i="1" s="1"/>
  <c r="D306" i="1"/>
  <c r="E306" i="1" s="1"/>
  <c r="C306" i="1"/>
  <c r="C305" i="1"/>
  <c r="D305" i="1" s="1"/>
  <c r="E305" i="1" s="1"/>
  <c r="C304" i="1"/>
  <c r="D304" i="1" s="1"/>
  <c r="E304" i="1" s="1"/>
  <c r="C303" i="1"/>
  <c r="D303" i="1" s="1"/>
  <c r="E303" i="1" s="1"/>
  <c r="C302" i="1"/>
  <c r="D302" i="1" s="1"/>
  <c r="E302" i="1" s="1"/>
  <c r="C301" i="1"/>
  <c r="D301" i="1" s="1"/>
  <c r="E301" i="1" s="1"/>
  <c r="C300" i="1"/>
  <c r="D300" i="1" s="1"/>
  <c r="E300" i="1" s="1"/>
  <c r="C299" i="1"/>
  <c r="D299" i="1" s="1"/>
  <c r="E299" i="1" s="1"/>
  <c r="C298" i="1"/>
  <c r="D298" i="1" s="1"/>
  <c r="E298" i="1" s="1"/>
  <c r="C297" i="1"/>
  <c r="D297" i="1" s="1"/>
  <c r="E297" i="1" s="1"/>
  <c r="C296" i="1"/>
  <c r="D296" i="1" s="1"/>
  <c r="E296" i="1" s="1"/>
  <c r="D295" i="1"/>
  <c r="E295" i="1" s="1"/>
  <c r="C295" i="1"/>
  <c r="C294" i="1"/>
  <c r="D294" i="1" s="1"/>
  <c r="E294" i="1" s="1"/>
  <c r="C293" i="1"/>
  <c r="D293" i="1" s="1"/>
  <c r="E293" i="1" s="1"/>
  <c r="D292" i="1"/>
  <c r="E292" i="1" s="1"/>
  <c r="C292" i="1"/>
  <c r="E291" i="1"/>
  <c r="C291" i="1"/>
  <c r="D291" i="1" s="1"/>
  <c r="C290" i="1"/>
  <c r="D290" i="1" s="1"/>
  <c r="E290" i="1" s="1"/>
  <c r="C289" i="1"/>
  <c r="D289" i="1" s="1"/>
  <c r="E289" i="1" s="1"/>
  <c r="C288" i="1"/>
  <c r="D288" i="1" s="1"/>
  <c r="E288" i="1" s="1"/>
  <c r="C287" i="1"/>
  <c r="D287" i="1" s="1"/>
  <c r="E287" i="1" s="1"/>
  <c r="C286" i="1"/>
  <c r="D286" i="1" s="1"/>
  <c r="E286" i="1" s="1"/>
  <c r="C285" i="1"/>
  <c r="D285" i="1" s="1"/>
  <c r="E285" i="1" s="1"/>
  <c r="D284" i="1"/>
  <c r="E284" i="1" s="1"/>
  <c r="C284" i="1"/>
  <c r="C283" i="1"/>
  <c r="D283" i="1" s="1"/>
  <c r="E283" i="1" s="1"/>
  <c r="C282" i="1"/>
  <c r="D282" i="1" s="1"/>
  <c r="E282" i="1" s="1"/>
  <c r="C281" i="1"/>
  <c r="D281" i="1" s="1"/>
  <c r="E281" i="1" s="1"/>
  <c r="C280" i="1"/>
  <c r="D280" i="1" s="1"/>
  <c r="E280" i="1" s="1"/>
  <c r="D279" i="1"/>
  <c r="E279" i="1" s="1"/>
  <c r="C279" i="1"/>
  <c r="C278" i="1"/>
  <c r="D278" i="1" s="1"/>
  <c r="E278" i="1" s="1"/>
  <c r="C277" i="1"/>
  <c r="D277" i="1" s="1"/>
  <c r="E277" i="1" s="1"/>
  <c r="C276" i="1"/>
  <c r="D276" i="1" s="1"/>
  <c r="E276" i="1" s="1"/>
  <c r="C275" i="1"/>
  <c r="D275" i="1" s="1"/>
  <c r="E275" i="1" s="1"/>
  <c r="C274" i="1"/>
  <c r="D274" i="1" s="1"/>
  <c r="E274" i="1" s="1"/>
  <c r="C273" i="1"/>
  <c r="D273" i="1" s="1"/>
  <c r="E273" i="1" s="1"/>
  <c r="C272" i="1"/>
  <c r="D272" i="1" s="1"/>
  <c r="E272" i="1" s="1"/>
  <c r="D271" i="1"/>
  <c r="E271" i="1" s="1"/>
  <c r="C271" i="1"/>
  <c r="C270" i="1"/>
  <c r="D270" i="1" s="1"/>
  <c r="E270" i="1" s="1"/>
  <c r="C269" i="1"/>
  <c r="D269" i="1" s="1"/>
  <c r="E269" i="1" s="1"/>
  <c r="C268" i="1"/>
  <c r="D268" i="1" s="1"/>
  <c r="E268" i="1" s="1"/>
  <c r="C267" i="1"/>
  <c r="D267" i="1" s="1"/>
  <c r="E267" i="1" s="1"/>
  <c r="C266" i="1"/>
  <c r="D266" i="1" s="1"/>
  <c r="E266" i="1" s="1"/>
  <c r="C265" i="1"/>
  <c r="D265" i="1" s="1"/>
  <c r="E265" i="1" s="1"/>
  <c r="C264" i="1"/>
  <c r="D264" i="1" s="1"/>
  <c r="E264" i="1" s="1"/>
  <c r="C263" i="1"/>
  <c r="D263" i="1" s="1"/>
  <c r="E263" i="1" s="1"/>
  <c r="C262" i="1"/>
  <c r="D262" i="1" s="1"/>
  <c r="E262" i="1" s="1"/>
  <c r="C261" i="1"/>
  <c r="D261" i="1" s="1"/>
  <c r="E261" i="1" s="1"/>
  <c r="D260" i="1"/>
  <c r="E260" i="1" s="1"/>
  <c r="C260" i="1"/>
  <c r="C259" i="1"/>
  <c r="D259" i="1" s="1"/>
  <c r="E259" i="1" s="1"/>
  <c r="C258" i="1"/>
  <c r="D258" i="1" s="1"/>
  <c r="E258" i="1" s="1"/>
  <c r="C257" i="1"/>
  <c r="D257" i="1" s="1"/>
  <c r="E257" i="1" s="1"/>
  <c r="C256" i="1"/>
  <c r="D256" i="1" s="1"/>
  <c r="E256" i="1" s="1"/>
  <c r="C255" i="1"/>
  <c r="D255" i="1" s="1"/>
  <c r="E255" i="1" s="1"/>
  <c r="C254" i="1"/>
  <c r="D254" i="1" s="1"/>
  <c r="E254" i="1" s="1"/>
  <c r="C253" i="1"/>
  <c r="D253" i="1" s="1"/>
  <c r="E253" i="1" s="1"/>
  <c r="C252" i="1"/>
  <c r="D252" i="1" s="1"/>
  <c r="E252" i="1" s="1"/>
  <c r="C251" i="1"/>
  <c r="D251" i="1" s="1"/>
  <c r="E251" i="1" s="1"/>
  <c r="C250" i="1"/>
  <c r="D250" i="1" s="1"/>
  <c r="E250" i="1" s="1"/>
  <c r="C249" i="1"/>
  <c r="D249" i="1" s="1"/>
  <c r="E249" i="1" s="1"/>
  <c r="D248" i="1"/>
  <c r="E248" i="1" s="1"/>
  <c r="C248" i="1"/>
  <c r="D247" i="1"/>
  <c r="E247" i="1" s="1"/>
  <c r="C247" i="1"/>
  <c r="C246" i="1"/>
  <c r="D246" i="1" s="1"/>
  <c r="E246" i="1" s="1"/>
  <c r="C245" i="1"/>
  <c r="D245" i="1" s="1"/>
  <c r="E245" i="1" s="1"/>
  <c r="D244" i="1"/>
  <c r="E244" i="1" s="1"/>
  <c r="C244" i="1"/>
  <c r="C243" i="1"/>
  <c r="D243" i="1" s="1"/>
  <c r="E243" i="1" s="1"/>
  <c r="C242" i="1"/>
  <c r="D242" i="1" s="1"/>
  <c r="E242" i="1" s="1"/>
  <c r="C241" i="1"/>
  <c r="D241" i="1" s="1"/>
  <c r="E241" i="1" s="1"/>
  <c r="C240" i="1"/>
  <c r="D240" i="1" s="1"/>
  <c r="E240" i="1" s="1"/>
  <c r="C239" i="1"/>
  <c r="D239" i="1" s="1"/>
  <c r="E239" i="1" s="1"/>
  <c r="C238" i="1"/>
  <c r="D238" i="1" s="1"/>
  <c r="E238" i="1" s="1"/>
  <c r="C237" i="1"/>
  <c r="D237" i="1" s="1"/>
  <c r="E237" i="1" s="1"/>
  <c r="D236" i="1"/>
  <c r="E236" i="1" s="1"/>
  <c r="C236" i="1"/>
  <c r="C235" i="1"/>
  <c r="D235" i="1" s="1"/>
  <c r="E235" i="1" s="1"/>
  <c r="C234" i="1"/>
  <c r="D234" i="1" s="1"/>
  <c r="E234" i="1" s="1"/>
  <c r="C233" i="1"/>
  <c r="D233" i="1" s="1"/>
  <c r="E233" i="1" s="1"/>
  <c r="C232" i="1"/>
  <c r="D232" i="1" s="1"/>
  <c r="E232" i="1" s="1"/>
  <c r="D231" i="1"/>
  <c r="E231" i="1" s="1"/>
  <c r="C231" i="1"/>
  <c r="C230" i="1"/>
  <c r="D230" i="1" s="1"/>
  <c r="E230" i="1" s="1"/>
  <c r="C229" i="1"/>
  <c r="D229" i="1" s="1"/>
  <c r="E229" i="1" s="1"/>
  <c r="C228" i="1"/>
  <c r="D228" i="1" s="1"/>
  <c r="E228" i="1" s="1"/>
  <c r="C227" i="1"/>
  <c r="D227" i="1" s="1"/>
  <c r="E227" i="1" s="1"/>
  <c r="C226" i="1"/>
  <c r="D226" i="1" s="1"/>
  <c r="E226" i="1" s="1"/>
  <c r="C225" i="1"/>
  <c r="D225" i="1" s="1"/>
  <c r="E225" i="1" s="1"/>
  <c r="D224" i="1"/>
  <c r="E224" i="1" s="1"/>
  <c r="C224" i="1"/>
  <c r="D223" i="1"/>
  <c r="E223" i="1" s="1"/>
  <c r="C223" i="1"/>
  <c r="C222" i="1"/>
  <c r="D222" i="1" s="1"/>
  <c r="E222" i="1" s="1"/>
  <c r="C221" i="1"/>
  <c r="D221" i="1" s="1"/>
  <c r="E221" i="1" s="1"/>
  <c r="C220" i="1"/>
  <c r="D220" i="1" s="1"/>
  <c r="E220" i="1" s="1"/>
  <c r="C219" i="1"/>
  <c r="D219" i="1" s="1"/>
  <c r="E219" i="1" s="1"/>
  <c r="C218" i="1"/>
  <c r="D218" i="1" s="1"/>
  <c r="E218" i="1" s="1"/>
  <c r="C217" i="1"/>
  <c r="D217" i="1" s="1"/>
  <c r="E217" i="1" s="1"/>
  <c r="C216" i="1"/>
  <c r="D216" i="1" s="1"/>
  <c r="E216" i="1" s="1"/>
  <c r="C215" i="1"/>
  <c r="D215" i="1" s="1"/>
  <c r="E215" i="1" s="1"/>
  <c r="C214" i="1"/>
  <c r="D214" i="1" s="1"/>
  <c r="E214" i="1" s="1"/>
  <c r="C213" i="1"/>
  <c r="D213" i="1" s="1"/>
  <c r="E213" i="1" s="1"/>
  <c r="D212" i="1"/>
  <c r="E212" i="1" s="1"/>
  <c r="C212" i="1"/>
  <c r="C211" i="1"/>
  <c r="D211" i="1" s="1"/>
  <c r="E211" i="1" s="1"/>
  <c r="C210" i="1"/>
  <c r="D210" i="1" s="1"/>
  <c r="E210" i="1" s="1"/>
  <c r="C209" i="1"/>
  <c r="D209" i="1" s="1"/>
  <c r="E209" i="1" s="1"/>
  <c r="C208" i="1"/>
  <c r="D208" i="1" s="1"/>
  <c r="E208" i="1" s="1"/>
  <c r="C207" i="1"/>
  <c r="D207" i="1" s="1"/>
  <c r="E207" i="1" s="1"/>
  <c r="C206" i="1"/>
  <c r="D206" i="1" s="1"/>
  <c r="E206" i="1" s="1"/>
  <c r="C205" i="1"/>
  <c r="D205" i="1" s="1"/>
  <c r="E205" i="1" s="1"/>
  <c r="C204" i="1"/>
  <c r="D204" i="1" s="1"/>
  <c r="E204" i="1" s="1"/>
  <c r="D203" i="1"/>
  <c r="E203" i="1" s="1"/>
  <c r="C203" i="1"/>
  <c r="C202" i="1"/>
  <c r="D202" i="1" s="1"/>
  <c r="E202" i="1" s="1"/>
  <c r="C201" i="1"/>
  <c r="D201" i="1" s="1"/>
  <c r="E201" i="1" s="1"/>
  <c r="C200" i="1"/>
  <c r="D200" i="1" s="1"/>
  <c r="E200" i="1" s="1"/>
  <c r="C199" i="1"/>
  <c r="D199" i="1" s="1"/>
  <c r="E199" i="1" s="1"/>
  <c r="C198" i="1"/>
  <c r="D198" i="1" s="1"/>
  <c r="E198" i="1" s="1"/>
  <c r="C197" i="1"/>
  <c r="D197" i="1" s="1"/>
  <c r="E197" i="1" s="1"/>
  <c r="D196" i="1"/>
  <c r="E196" i="1" s="1"/>
  <c r="C196" i="1"/>
  <c r="C195" i="1"/>
  <c r="D195" i="1" s="1"/>
  <c r="E195" i="1" s="1"/>
  <c r="C194" i="1"/>
  <c r="D194" i="1" s="1"/>
  <c r="E194" i="1" s="1"/>
  <c r="C193" i="1"/>
  <c r="D193" i="1" s="1"/>
  <c r="E193" i="1" s="1"/>
  <c r="C192" i="1"/>
  <c r="D192" i="1" s="1"/>
  <c r="E192" i="1" s="1"/>
  <c r="C191" i="1"/>
  <c r="D191" i="1" s="1"/>
  <c r="E191" i="1" s="1"/>
  <c r="C190" i="1"/>
  <c r="D190" i="1" s="1"/>
  <c r="E190" i="1" s="1"/>
  <c r="C189" i="1"/>
  <c r="D189" i="1" s="1"/>
  <c r="E189" i="1" s="1"/>
  <c r="C188" i="1"/>
  <c r="D188" i="1" s="1"/>
  <c r="E188" i="1" s="1"/>
  <c r="C187" i="1"/>
  <c r="D187" i="1" s="1"/>
  <c r="E187" i="1" s="1"/>
  <c r="C186" i="1"/>
  <c r="D186" i="1" s="1"/>
  <c r="E186" i="1" s="1"/>
  <c r="C185" i="1"/>
  <c r="D185" i="1" s="1"/>
  <c r="E185" i="1" s="1"/>
  <c r="C184" i="1"/>
  <c r="D184" i="1" s="1"/>
  <c r="E184" i="1" s="1"/>
  <c r="C183" i="1"/>
  <c r="D183" i="1" s="1"/>
  <c r="E183" i="1" s="1"/>
  <c r="C182" i="1"/>
  <c r="D182" i="1" s="1"/>
  <c r="E182" i="1" s="1"/>
  <c r="C181" i="1"/>
  <c r="D181" i="1" s="1"/>
  <c r="E181" i="1" s="1"/>
  <c r="C180" i="1"/>
  <c r="D180" i="1" s="1"/>
  <c r="E180" i="1" s="1"/>
  <c r="C179" i="1"/>
  <c r="D179" i="1" s="1"/>
  <c r="E179" i="1" s="1"/>
  <c r="C178" i="1"/>
  <c r="D178" i="1" s="1"/>
  <c r="E178" i="1" s="1"/>
  <c r="C177" i="1"/>
  <c r="D177" i="1" s="1"/>
  <c r="E177" i="1" s="1"/>
  <c r="C176" i="1"/>
  <c r="D176" i="1" s="1"/>
  <c r="E176" i="1" s="1"/>
  <c r="C175" i="1"/>
  <c r="D175" i="1" s="1"/>
  <c r="E175" i="1" s="1"/>
  <c r="C174" i="1"/>
  <c r="D174" i="1" s="1"/>
  <c r="E174" i="1" s="1"/>
  <c r="C173" i="1"/>
  <c r="D173" i="1" s="1"/>
  <c r="E173" i="1" s="1"/>
  <c r="C172" i="1"/>
  <c r="D172" i="1" s="1"/>
  <c r="E172" i="1" s="1"/>
  <c r="C171" i="1"/>
  <c r="D171" i="1" s="1"/>
  <c r="E171" i="1" s="1"/>
  <c r="C170" i="1"/>
  <c r="D170" i="1" s="1"/>
  <c r="E170" i="1" s="1"/>
  <c r="C169" i="1"/>
  <c r="D169" i="1" s="1"/>
  <c r="E169" i="1" s="1"/>
  <c r="C168" i="1"/>
  <c r="D168" i="1" s="1"/>
  <c r="E168" i="1" s="1"/>
  <c r="C167" i="1"/>
  <c r="D167" i="1" s="1"/>
  <c r="E167" i="1" s="1"/>
  <c r="C166" i="1"/>
  <c r="D166" i="1" s="1"/>
  <c r="E166" i="1" s="1"/>
  <c r="C165" i="1"/>
  <c r="D165" i="1" s="1"/>
  <c r="E165" i="1" s="1"/>
  <c r="C164" i="1"/>
  <c r="D164" i="1" s="1"/>
  <c r="E164" i="1" s="1"/>
  <c r="C163" i="1"/>
  <c r="D163" i="1" s="1"/>
  <c r="E163" i="1" s="1"/>
  <c r="C162" i="1"/>
  <c r="D162" i="1" s="1"/>
  <c r="E162" i="1" s="1"/>
  <c r="C161" i="1"/>
  <c r="D161" i="1" s="1"/>
  <c r="E161" i="1" s="1"/>
  <c r="C160" i="1"/>
  <c r="D160" i="1" s="1"/>
  <c r="E160" i="1" s="1"/>
  <c r="C159" i="1"/>
  <c r="D159" i="1" s="1"/>
  <c r="E159" i="1" s="1"/>
  <c r="C158" i="1"/>
  <c r="D158" i="1" s="1"/>
  <c r="E158" i="1" s="1"/>
  <c r="C157" i="1"/>
  <c r="D157" i="1" s="1"/>
  <c r="E157" i="1" s="1"/>
  <c r="C156" i="1"/>
  <c r="D156" i="1" s="1"/>
  <c r="E156" i="1" s="1"/>
  <c r="C155" i="1"/>
  <c r="D155" i="1" s="1"/>
  <c r="E155" i="1" s="1"/>
  <c r="C154" i="1"/>
  <c r="D154" i="1" s="1"/>
  <c r="E154" i="1" s="1"/>
  <c r="C153" i="1"/>
  <c r="D153" i="1" s="1"/>
  <c r="E153" i="1" s="1"/>
  <c r="C152" i="1"/>
  <c r="D152" i="1" s="1"/>
  <c r="E152" i="1" s="1"/>
  <c r="C151" i="1"/>
  <c r="D151" i="1" s="1"/>
  <c r="E151" i="1" s="1"/>
  <c r="C150" i="1"/>
  <c r="D150" i="1" s="1"/>
  <c r="E150" i="1" s="1"/>
  <c r="C149" i="1"/>
  <c r="D149" i="1" s="1"/>
  <c r="E149" i="1" s="1"/>
  <c r="C148" i="1"/>
  <c r="D148" i="1" s="1"/>
  <c r="E148" i="1" s="1"/>
  <c r="C147" i="1"/>
  <c r="D147" i="1" s="1"/>
  <c r="E147" i="1" s="1"/>
  <c r="C146" i="1"/>
  <c r="D146" i="1" s="1"/>
  <c r="E146" i="1" s="1"/>
  <c r="C145" i="1"/>
  <c r="D145" i="1" s="1"/>
  <c r="E145" i="1" s="1"/>
  <c r="C144" i="1"/>
  <c r="D144" i="1" s="1"/>
  <c r="E144" i="1" s="1"/>
  <c r="C143" i="1"/>
  <c r="D143" i="1" s="1"/>
  <c r="E143" i="1" s="1"/>
  <c r="C142" i="1"/>
  <c r="D142" i="1" s="1"/>
  <c r="E142" i="1" s="1"/>
  <c r="C141" i="1"/>
  <c r="D141" i="1" s="1"/>
  <c r="E141" i="1" s="1"/>
  <c r="C140" i="1"/>
  <c r="D140" i="1" s="1"/>
  <c r="E140" i="1" s="1"/>
  <c r="C139" i="1"/>
  <c r="D139" i="1" s="1"/>
  <c r="E139" i="1" s="1"/>
  <c r="C138" i="1"/>
  <c r="D138" i="1" s="1"/>
  <c r="E138" i="1" s="1"/>
  <c r="C137" i="1"/>
  <c r="D137" i="1" s="1"/>
  <c r="E137" i="1" s="1"/>
  <c r="C136" i="1"/>
  <c r="D136" i="1" s="1"/>
  <c r="E136" i="1" s="1"/>
  <c r="C135" i="1"/>
  <c r="D135" i="1" s="1"/>
  <c r="E135" i="1" s="1"/>
  <c r="C134" i="1"/>
  <c r="D134" i="1" s="1"/>
  <c r="E134" i="1" s="1"/>
  <c r="C133" i="1"/>
  <c r="D133" i="1" s="1"/>
  <c r="E133" i="1" s="1"/>
  <c r="C132" i="1"/>
  <c r="D132" i="1" s="1"/>
  <c r="E132" i="1" s="1"/>
  <c r="C131" i="1"/>
  <c r="D131" i="1" s="1"/>
  <c r="E131" i="1" s="1"/>
  <c r="C130" i="1"/>
  <c r="D130" i="1" s="1"/>
  <c r="E130" i="1" s="1"/>
  <c r="C129" i="1"/>
  <c r="D129" i="1" s="1"/>
  <c r="E129" i="1" s="1"/>
  <c r="C128" i="1"/>
  <c r="D128" i="1" s="1"/>
  <c r="E128" i="1" s="1"/>
  <c r="C127" i="1"/>
  <c r="D127" i="1" s="1"/>
  <c r="E127" i="1" s="1"/>
  <c r="C126" i="1"/>
  <c r="D126" i="1" s="1"/>
  <c r="E126" i="1" s="1"/>
  <c r="C125" i="1"/>
  <c r="D125" i="1" s="1"/>
  <c r="E125" i="1" s="1"/>
  <c r="C124" i="1"/>
  <c r="D124" i="1" s="1"/>
  <c r="E124" i="1" s="1"/>
  <c r="C123" i="1"/>
  <c r="D123" i="1" s="1"/>
  <c r="E123" i="1" s="1"/>
  <c r="C122" i="1"/>
  <c r="D122" i="1" s="1"/>
  <c r="E122" i="1" s="1"/>
  <c r="C121" i="1"/>
  <c r="D121" i="1" s="1"/>
  <c r="E121" i="1" s="1"/>
  <c r="C120" i="1"/>
  <c r="D120" i="1" s="1"/>
  <c r="E120" i="1" s="1"/>
  <c r="C119" i="1"/>
  <c r="D119" i="1" s="1"/>
  <c r="E119" i="1" s="1"/>
  <c r="C118" i="1"/>
  <c r="D118" i="1" s="1"/>
  <c r="E118" i="1" s="1"/>
  <c r="C117" i="1"/>
  <c r="D117" i="1" s="1"/>
  <c r="E117" i="1" s="1"/>
  <c r="C116" i="1"/>
  <c r="D116" i="1" s="1"/>
  <c r="E116" i="1" s="1"/>
  <c r="C115" i="1"/>
  <c r="D115" i="1" s="1"/>
  <c r="E115" i="1" s="1"/>
  <c r="C114" i="1"/>
  <c r="D114" i="1" s="1"/>
  <c r="E114" i="1" s="1"/>
  <c r="C113" i="1"/>
  <c r="D113" i="1" s="1"/>
  <c r="E113" i="1" s="1"/>
  <c r="C112" i="1"/>
  <c r="D112" i="1" s="1"/>
  <c r="E112" i="1" s="1"/>
  <c r="C111" i="1"/>
  <c r="D111" i="1" s="1"/>
  <c r="E111" i="1" s="1"/>
  <c r="C110" i="1"/>
  <c r="D110" i="1" s="1"/>
  <c r="E110" i="1" s="1"/>
  <c r="C109" i="1"/>
  <c r="D109" i="1" s="1"/>
  <c r="E109" i="1" s="1"/>
  <c r="C108" i="1"/>
  <c r="D108" i="1" s="1"/>
  <c r="E108" i="1" s="1"/>
  <c r="C107" i="1"/>
  <c r="D107" i="1" s="1"/>
  <c r="E107" i="1" s="1"/>
  <c r="C106" i="1"/>
  <c r="D106" i="1" s="1"/>
  <c r="E106" i="1" s="1"/>
  <c r="C105" i="1"/>
  <c r="D105" i="1" s="1"/>
  <c r="E105" i="1" s="1"/>
  <c r="C104" i="1"/>
  <c r="D104" i="1" s="1"/>
  <c r="E104" i="1" s="1"/>
  <c r="C103" i="1"/>
  <c r="D103" i="1" s="1"/>
  <c r="E103" i="1" s="1"/>
  <c r="C102" i="1"/>
  <c r="D102" i="1" s="1"/>
  <c r="E102" i="1" s="1"/>
  <c r="C101" i="1"/>
  <c r="D101" i="1" s="1"/>
  <c r="E101" i="1" s="1"/>
  <c r="C100" i="1"/>
  <c r="D100" i="1" s="1"/>
  <c r="E100" i="1" s="1"/>
  <c r="C99" i="1"/>
  <c r="D99" i="1" s="1"/>
  <c r="E99" i="1" s="1"/>
  <c r="C98" i="1"/>
  <c r="D98" i="1" s="1"/>
  <c r="E98" i="1" s="1"/>
  <c r="C97" i="1"/>
  <c r="D97" i="1" s="1"/>
  <c r="E97" i="1" s="1"/>
  <c r="C96" i="1"/>
  <c r="D96" i="1" s="1"/>
  <c r="E96" i="1" s="1"/>
  <c r="C95" i="1"/>
  <c r="D95" i="1" s="1"/>
  <c r="E95" i="1" s="1"/>
  <c r="C94" i="1"/>
  <c r="D94" i="1" s="1"/>
  <c r="E94" i="1" s="1"/>
  <c r="C93" i="1"/>
  <c r="D93" i="1" s="1"/>
  <c r="E93" i="1" s="1"/>
  <c r="C92" i="1"/>
  <c r="D92" i="1" s="1"/>
  <c r="E92" i="1" s="1"/>
  <c r="C91" i="1"/>
  <c r="D91" i="1" s="1"/>
  <c r="E91" i="1" s="1"/>
  <c r="C90" i="1"/>
  <c r="D90" i="1" s="1"/>
  <c r="E90" i="1" s="1"/>
  <c r="C89" i="1"/>
  <c r="D89" i="1" s="1"/>
  <c r="E89" i="1" s="1"/>
  <c r="C88" i="1"/>
  <c r="D88" i="1" s="1"/>
  <c r="E88" i="1" s="1"/>
  <c r="C87" i="1"/>
  <c r="D87" i="1" s="1"/>
  <c r="E87" i="1" s="1"/>
  <c r="C86" i="1"/>
  <c r="D86" i="1" s="1"/>
  <c r="E86" i="1" s="1"/>
  <c r="C85" i="1"/>
  <c r="D85" i="1" s="1"/>
  <c r="E85" i="1" s="1"/>
  <c r="C84" i="1"/>
  <c r="D84" i="1" s="1"/>
  <c r="E84" i="1" s="1"/>
  <c r="C83" i="1"/>
  <c r="D83" i="1" s="1"/>
  <c r="E83" i="1" s="1"/>
  <c r="C82" i="1"/>
  <c r="D82" i="1" s="1"/>
  <c r="E82" i="1" s="1"/>
  <c r="C81" i="1"/>
  <c r="D81" i="1" s="1"/>
  <c r="E81" i="1" s="1"/>
  <c r="C80" i="1"/>
  <c r="D80" i="1" s="1"/>
  <c r="E80" i="1" s="1"/>
  <c r="C79" i="1"/>
  <c r="D79" i="1" s="1"/>
  <c r="E79" i="1" s="1"/>
  <c r="C78" i="1"/>
  <c r="D78" i="1" s="1"/>
  <c r="E78" i="1" s="1"/>
  <c r="C77" i="1"/>
  <c r="D77" i="1" s="1"/>
  <c r="E77" i="1" s="1"/>
  <c r="C76" i="1"/>
  <c r="D76" i="1" s="1"/>
  <c r="E76" i="1" s="1"/>
  <c r="D75" i="1"/>
  <c r="E75" i="1" s="1"/>
  <c r="C75" i="1"/>
  <c r="C74" i="1"/>
  <c r="D74" i="1" s="1"/>
  <c r="E74" i="1" s="1"/>
  <c r="C73" i="1"/>
  <c r="D73" i="1" s="1"/>
  <c r="E73" i="1" s="1"/>
  <c r="C72" i="1"/>
  <c r="D72" i="1" s="1"/>
  <c r="E72" i="1" s="1"/>
  <c r="C71" i="1"/>
  <c r="D71" i="1" s="1"/>
  <c r="E71" i="1" s="1"/>
  <c r="C70" i="1"/>
  <c r="D70" i="1" s="1"/>
  <c r="E70" i="1" s="1"/>
  <c r="C69" i="1"/>
  <c r="D69" i="1" s="1"/>
  <c r="E69" i="1" s="1"/>
  <c r="C68" i="1"/>
  <c r="D68" i="1" s="1"/>
  <c r="E68" i="1" s="1"/>
  <c r="C67" i="1"/>
  <c r="D67" i="1" s="1"/>
  <c r="E67" i="1" s="1"/>
  <c r="C66" i="1"/>
  <c r="D66" i="1" s="1"/>
  <c r="E66" i="1" s="1"/>
  <c r="C65" i="1"/>
  <c r="D65" i="1" s="1"/>
  <c r="E65" i="1" s="1"/>
  <c r="C64" i="1"/>
  <c r="D64" i="1" s="1"/>
  <c r="E64" i="1" s="1"/>
  <c r="C63" i="1"/>
  <c r="D63" i="1" s="1"/>
  <c r="E63" i="1" s="1"/>
  <c r="C62" i="1"/>
  <c r="D62" i="1" s="1"/>
  <c r="E62" i="1" s="1"/>
  <c r="C61" i="1"/>
  <c r="D61" i="1" s="1"/>
  <c r="E61" i="1" s="1"/>
  <c r="C60" i="1"/>
  <c r="D60" i="1" s="1"/>
  <c r="E60" i="1" s="1"/>
  <c r="D59" i="1"/>
  <c r="E59" i="1" s="1"/>
  <c r="C59" i="1"/>
  <c r="C58" i="1"/>
  <c r="D58" i="1" s="1"/>
  <c r="E58" i="1" s="1"/>
  <c r="C57" i="1"/>
  <c r="D57" i="1" s="1"/>
  <c r="E57" i="1" s="1"/>
  <c r="C56" i="1"/>
  <c r="D56" i="1" s="1"/>
  <c r="E56" i="1" s="1"/>
  <c r="C55" i="1"/>
  <c r="D55" i="1" s="1"/>
  <c r="E55" i="1" s="1"/>
  <c r="C54" i="1"/>
  <c r="D54" i="1" s="1"/>
  <c r="E54" i="1" s="1"/>
  <c r="C53" i="1"/>
  <c r="D53" i="1" s="1"/>
  <c r="E53" i="1" s="1"/>
  <c r="C52" i="1"/>
  <c r="D52" i="1" s="1"/>
  <c r="E52" i="1" s="1"/>
  <c r="C51" i="1"/>
  <c r="D51" i="1" s="1"/>
  <c r="E51" i="1" s="1"/>
  <c r="C50" i="1"/>
  <c r="D50" i="1" s="1"/>
  <c r="E50" i="1" s="1"/>
  <c r="C49" i="1"/>
  <c r="D49" i="1" s="1"/>
  <c r="E49" i="1" s="1"/>
  <c r="C48" i="1"/>
  <c r="D48" i="1" s="1"/>
  <c r="E48" i="1" s="1"/>
  <c r="C47" i="1"/>
  <c r="D47" i="1" s="1"/>
  <c r="E47" i="1" s="1"/>
  <c r="C46" i="1"/>
  <c r="D46" i="1" s="1"/>
  <c r="E46" i="1" s="1"/>
  <c r="C45" i="1"/>
  <c r="D45" i="1" s="1"/>
  <c r="E45" i="1" s="1"/>
  <c r="C44" i="1"/>
  <c r="D44" i="1" s="1"/>
  <c r="E44" i="1" s="1"/>
  <c r="C43" i="1"/>
  <c r="D43" i="1" s="1"/>
  <c r="E43" i="1" s="1"/>
  <c r="C42" i="1"/>
  <c r="D42" i="1" s="1"/>
  <c r="E42" i="1" s="1"/>
  <c r="C41" i="1"/>
  <c r="D41" i="1" s="1"/>
  <c r="E41" i="1" s="1"/>
  <c r="C40" i="1"/>
  <c r="D40" i="1" s="1"/>
  <c r="E40" i="1" s="1"/>
  <c r="C39" i="1"/>
  <c r="D39" i="1" s="1"/>
  <c r="E39" i="1" s="1"/>
  <c r="C38" i="1"/>
  <c r="D38" i="1" s="1"/>
  <c r="E38" i="1" s="1"/>
  <c r="C37" i="1"/>
  <c r="D37" i="1" s="1"/>
  <c r="E37" i="1" s="1"/>
  <c r="C36" i="1"/>
  <c r="D36" i="1" s="1"/>
  <c r="E36" i="1" s="1"/>
  <c r="C35" i="1"/>
  <c r="D35" i="1" s="1"/>
  <c r="E35" i="1" s="1"/>
  <c r="C34" i="1"/>
  <c r="D34" i="1" s="1"/>
  <c r="E34" i="1" s="1"/>
  <c r="C33" i="1"/>
  <c r="D33" i="1" s="1"/>
  <c r="E33" i="1" s="1"/>
  <c r="C32" i="1"/>
  <c r="D32" i="1" s="1"/>
  <c r="E32" i="1" s="1"/>
  <c r="C31" i="1"/>
  <c r="D31" i="1" s="1"/>
  <c r="E31" i="1" s="1"/>
  <c r="C30" i="1"/>
  <c r="D30" i="1" s="1"/>
  <c r="E30" i="1" s="1"/>
  <c r="C29" i="1"/>
  <c r="D29" i="1" s="1"/>
  <c r="E29" i="1" s="1"/>
  <c r="C28" i="1"/>
  <c r="D28" i="1" s="1"/>
  <c r="E28" i="1" s="1"/>
  <c r="C27" i="1"/>
  <c r="D27" i="1" s="1"/>
  <c r="E27" i="1" s="1"/>
  <c r="C26" i="1"/>
  <c r="D26" i="1" s="1"/>
  <c r="E26" i="1" s="1"/>
  <c r="C25" i="1"/>
  <c r="D25" i="1" s="1"/>
  <c r="E25" i="1" s="1"/>
  <c r="C24" i="1"/>
  <c r="D24" i="1" s="1"/>
  <c r="E24" i="1" s="1"/>
  <c r="D23" i="1"/>
  <c r="E23" i="1" s="1"/>
  <c r="C23" i="1"/>
  <c r="C22" i="1"/>
  <c r="D22" i="1" s="1"/>
  <c r="E22" i="1" s="1"/>
  <c r="C21" i="1"/>
  <c r="D21" i="1" s="1"/>
  <c r="E21" i="1" s="1"/>
  <c r="C20" i="1"/>
  <c r="D20" i="1" s="1"/>
  <c r="E20" i="1" s="1"/>
  <c r="C19" i="1"/>
  <c r="D19" i="1" s="1"/>
  <c r="E19" i="1" s="1"/>
  <c r="C18" i="1"/>
  <c r="D18" i="1" s="1"/>
  <c r="E18" i="1" s="1"/>
  <c r="C17" i="1"/>
  <c r="D17" i="1" s="1"/>
  <c r="E17" i="1" s="1"/>
  <c r="C16" i="1"/>
  <c r="D16" i="1" s="1"/>
  <c r="E16" i="1" s="1"/>
  <c r="C15" i="1"/>
  <c r="D15" i="1" s="1"/>
  <c r="E15" i="1" s="1"/>
  <c r="D14" i="1"/>
  <c r="E14" i="1" s="1"/>
  <c r="C13" i="1"/>
  <c r="D13" i="1" s="1"/>
  <c r="E13" i="1" s="1"/>
  <c r="C12" i="1"/>
  <c r="D12" i="1" s="1"/>
  <c r="E12" i="1" s="1"/>
</calcChain>
</file>

<file path=xl/sharedStrings.xml><?xml version="1.0" encoding="utf-8"?>
<sst xmlns="http://schemas.openxmlformats.org/spreadsheetml/2006/main" count="2269" uniqueCount="175">
  <si>
    <t>DGS3MO</t>
  </si>
  <si>
    <t>lin</t>
  </si>
  <si>
    <t>Percent, Not Seasonally Adjusted</t>
  </si>
  <si>
    <t>m, avg</t>
  </si>
  <si>
    <t>Monthly</t>
  </si>
  <si>
    <t>Market Yield on U.S. Treasury Securities at 3-Month Constant Maturity, Quoted on an Investment Basis</t>
  </si>
  <si>
    <t>Board of Governors of the Federal Reserve System (US)</t>
  </si>
  <si>
    <t>3-Month Treasury Constant Maturity Rate</t>
  </si>
  <si>
    <t>FRED Data</t>
  </si>
  <si>
    <t xml:space="preserve">Simple method </t>
  </si>
  <si>
    <t>(1 + r_1mo)^6  = (1 + r_6mo)</t>
  </si>
  <si>
    <t>date</t>
  </si>
  <si>
    <t xml:space="preserve">Annualized Yield (%) </t>
  </si>
  <si>
    <t>r_a (decimal)</t>
  </si>
  <si>
    <t>r_6mo = r_a/2</t>
  </si>
  <si>
    <t>r_1mo = (1 + r_6mo)^(1/6) - 1</t>
  </si>
  <si>
    <t>Look for N/A, -88, -66, -99 (i.e. big #s) and delete those rows</t>
  </si>
  <si>
    <t>LAST DATE: 12/31/23</t>
  </si>
  <si>
    <t>Date</t>
  </si>
  <si>
    <t>Company #</t>
  </si>
  <si>
    <t xml:space="preserve">Company </t>
  </si>
  <si>
    <t>Company-RET</t>
  </si>
  <si>
    <t>SP500-RET</t>
  </si>
  <si>
    <t>CRSP Data for ED + SP500</t>
  </si>
  <si>
    <t>Common Date Range</t>
  </si>
  <si>
    <t>CRSP Data for ESS + SP500</t>
  </si>
  <si>
    <t>Scrubbed Data ESS &amp; ED &amp; SP500</t>
  </si>
  <si>
    <t>ESSEX PROPERTY TRUST INC</t>
  </si>
  <si>
    <t>CONSOLIDATED EDISON INC</t>
  </si>
  <si>
    <t>ED-RET</t>
  </si>
  <si>
    <t>ESS-RET</t>
  </si>
  <si>
    <t>ticker</t>
  </si>
  <si>
    <t>NYSE:ESS</t>
  </si>
  <si>
    <t>attribute</t>
  </si>
  <si>
    <t>close</t>
  </si>
  <si>
    <t>start_date</t>
  </si>
  <si>
    <t>interval</t>
  </si>
  <si>
    <t>STOCK INFO</t>
  </si>
  <si>
    <t>num_days or end_date</t>
  </si>
  <si>
    <t>Highlight 1st and last trading day of the month</t>
  </si>
  <si>
    <t>RESULT</t>
  </si>
  <si>
    <t>Close</t>
  </si>
  <si>
    <t>Highlight last trading day of the month</t>
  </si>
  <si>
    <t>FIRST &amp; LAST DAYS</t>
  </si>
  <si>
    <t>MONTHLY RETURNS (NO DIV)</t>
  </si>
  <si>
    <t>NYSE:ED</t>
  </si>
  <si>
    <t>INDEXSP:.INX</t>
  </si>
  <si>
    <t>SET = LAST DATE</t>
  </si>
  <si>
    <t>Source</t>
  </si>
  <si>
    <t>90-DAY US T-BILLS</t>
  </si>
  <si>
    <t>ESS, ED, SP500, US 90-DAY T-BILL DATA COMMON DATES</t>
  </si>
  <si>
    <t>yyyy-mm-dd</t>
  </si>
  <si>
    <t>SP500_ROR</t>
  </si>
  <si>
    <t>ESS_ROR</t>
  </si>
  <si>
    <t>ED_ROR</t>
  </si>
  <si>
    <t>CRSP + FRED</t>
  </si>
  <si>
    <t>From 1994-07-29 to 2024-10-1</t>
  </si>
  <si>
    <t>90-DAY US T-BILL FOR PORTFOLIO</t>
  </si>
  <si>
    <t>r_free (mo)</t>
  </si>
  <si>
    <t>Observations</t>
  </si>
  <si>
    <t>Min</t>
  </si>
  <si>
    <t>Arithmetic Mean</t>
  </si>
  <si>
    <t>Geometric Mean</t>
  </si>
  <si>
    <t>Max</t>
  </si>
  <si>
    <t>RISK PREMIUM</t>
  </si>
  <si>
    <t>AM - GM</t>
  </si>
  <si>
    <t>SHARPE RATIO</t>
  </si>
  <si>
    <t>Sample Variance</t>
  </si>
  <si>
    <t>Sample Std. Dev.</t>
  </si>
  <si>
    <t>GM - Var/2</t>
  </si>
  <si>
    <t>Sample Covariances</t>
  </si>
  <si>
    <t>Var-Cov</t>
  </si>
  <si>
    <t>Products of (1 + r)</t>
  </si>
  <si>
    <t>Summary Stats: July 1994 - September 2024</t>
  </si>
  <si>
    <t>#</t>
  </si>
  <si>
    <t>1 + ESS-RET</t>
  </si>
  <si>
    <t>1 + ED-RET</t>
  </si>
  <si>
    <t>1 + SP500-RET</t>
  </si>
  <si>
    <t>1 + 90-DAY US T-BILLS</t>
  </si>
  <si>
    <t>DATE</t>
  </si>
  <si>
    <t>RISK PREMIUM: r_AM - rf</t>
  </si>
  <si>
    <t>SHARPE RATIO: Risk Premiumm/Risk</t>
  </si>
  <si>
    <t>Oct 1 Portofolio</t>
  </si>
  <si>
    <t>RISK</t>
  </si>
  <si>
    <t>AM</t>
  </si>
  <si>
    <t>SP500</t>
  </si>
  <si>
    <t>T-BILLS</t>
  </si>
  <si>
    <t>ESS</t>
  </si>
  <si>
    <t>ED</t>
  </si>
  <si>
    <t>AM = Arithmetic Mean</t>
  </si>
  <si>
    <t xml:space="preserve">GM = Geometric Mean </t>
  </si>
  <si>
    <t>Var = Sample Variance</t>
  </si>
  <si>
    <t>Risk = Sample Std. Dev.</t>
  </si>
  <si>
    <t xml:space="preserve">STATS APPROACH: FUTURE MONTHLY RETURNS AND RISK </t>
  </si>
  <si>
    <t>r_AM --&gt; E[r]</t>
  </si>
  <si>
    <t xml:space="preserve">s --&gt; Future Risk = "Sigma" </t>
  </si>
  <si>
    <t>Risk Premium = E[r] - rf</t>
  </si>
  <si>
    <t>Sharpe Ratio = Risk Premium/Risk = (E[r] - r_f)/sigma</t>
  </si>
  <si>
    <t>First date of portofolio:</t>
  </si>
  <si>
    <t>r_free last day of prior month</t>
  </si>
  <si>
    <t>Oct 1 Portfolio</t>
  </si>
  <si>
    <t>Risk(SRA)</t>
  </si>
  <si>
    <t>E[SRA-RET]</t>
  </si>
  <si>
    <t>w1 (ESS)</t>
  </si>
  <si>
    <t>w2 (ED)</t>
  </si>
  <si>
    <t xml:space="preserve">Optimal SRA (Stats Approach) </t>
  </si>
  <si>
    <t>r1_AM --&gt; E[r_1]</t>
  </si>
  <si>
    <t>Optimal w1 =</t>
  </si>
  <si>
    <t>r2_AM --&gt; E[r_2]</t>
  </si>
  <si>
    <t>Optimal w2 =</t>
  </si>
  <si>
    <t>RP_1 = E[r_1] - r_f</t>
  </si>
  <si>
    <t>E[r_SRA]</t>
  </si>
  <si>
    <t>RP_2 = E[r_2] - r_f</t>
  </si>
  <si>
    <t xml:space="preserve">RP_SRA = </t>
  </si>
  <si>
    <t>(s1)^2  --&gt; (Sigma_1 )^2</t>
  </si>
  <si>
    <t xml:space="preserve">SRA-RISK = </t>
  </si>
  <si>
    <t>(s2)^2 -&gt; (Sigma_2 )^2</t>
  </si>
  <si>
    <t xml:space="preserve">Optimal SRA Sharpe Ratio = </t>
  </si>
  <si>
    <t>Cov12 --&gt; sigma_12</t>
  </si>
  <si>
    <t xml:space="preserve">r_f = </t>
  </si>
  <si>
    <t xml:space="preserve">E[r_SRA] = </t>
  </si>
  <si>
    <t xml:space="preserve">Var_SRA = </t>
  </si>
  <si>
    <t xml:space="preserve">Threshold "boxed c" (for beta = 1) = </t>
  </si>
  <si>
    <t>Choose your value of c =</t>
  </si>
  <si>
    <t>Optimal beta for your value of c = beta* =</t>
  </si>
  <si>
    <t>Portfolio by Stats Approach</t>
  </si>
  <si>
    <t>"Stats"</t>
  </si>
  <si>
    <t>OCTOBER MONTHLY RETURNS ON 90-DAY US T-BILLS</t>
  </si>
  <si>
    <t>Portfolio by Shrinkage Approach</t>
  </si>
  <si>
    <t xml:space="preserve">SHRINKAGE  APPROACH: FUTURE MONTHLY RETURNS AND RISK </t>
  </si>
  <si>
    <t>Aug 1 Portfolio</t>
  </si>
  <si>
    <t>(r_AM + r_SP500)/2--&gt; E[r]</t>
  </si>
  <si>
    <t xml:space="preserve">1.3(s_r + s_SP500)/2 --&gt; Future Risk = "Sigma" </t>
  </si>
  <si>
    <t>w1 (ESS))</t>
  </si>
  <si>
    <t xml:space="preserve">Optimal SRA (ShrinkageApproach) </t>
  </si>
  <si>
    <t>(r1_AM + r_SP500)/2 --&gt; E[r_1]</t>
  </si>
  <si>
    <t>(r2_AM + r_SP500)/2 --&gt; E[r_2]</t>
  </si>
  <si>
    <t>[1.3(s_1 + s_SP500)/2]^2--&gt; (Sigma_1 )^2</t>
  </si>
  <si>
    <t>[1.3(s_2 + s_SP500)/2]^2--&gt; (Sigma_2 )^2</t>
  </si>
  <si>
    <t xml:space="preserve">ESS = "1", ED = "2" </t>
  </si>
  <si>
    <t>Portfolio by Wiener  Approach</t>
  </si>
  <si>
    <t xml:space="preserve">WIENER APPROACH: FUTURE MONTHLY RETURNS AND RISK </t>
  </si>
  <si>
    <t>r_GM-&gt; E[r]</t>
  </si>
  <si>
    <t xml:space="preserve">Optimal SRA (Wiener Approach) </t>
  </si>
  <si>
    <t>r1_GM--&gt; E[r_1]</t>
  </si>
  <si>
    <t>r2_GM--&gt; E[r_2]</t>
  </si>
  <si>
    <t>(s1)^2--&gt; (Sigma_1 )^2</t>
  </si>
  <si>
    <t xml:space="preserve">ITO APPROACH: FUTURE MONTHLY RETURNS AND RISK </t>
  </si>
  <si>
    <t>r_GM - s^2/2 --&gt; E[r]</t>
  </si>
  <si>
    <t>This graph  illustrates the "curved" relationship between r_SRA and risk_SRA</t>
  </si>
  <si>
    <t xml:space="preserve">Optimal SRA (Ito Approach) </t>
  </si>
  <si>
    <t>r1_GM - (s1^2)/2 --&gt; E[r_1]</t>
  </si>
  <si>
    <t>r2_GM - (s2^2)/2 --&gt; E[r_2]</t>
  </si>
  <si>
    <t>Portfolio by Ito Approach</t>
  </si>
  <si>
    <t>STATS</t>
  </si>
  <si>
    <t>SHRINKAGE</t>
  </si>
  <si>
    <t>WIENER</t>
  </si>
  <si>
    <t>ITO</t>
  </si>
  <si>
    <t>SRA Optimal w1 =</t>
  </si>
  <si>
    <t>SRA Optimal w2 =</t>
  </si>
  <si>
    <t>E[r_SRA] =</t>
  </si>
  <si>
    <t xml:space="preserve"> ESS is SRA-Asset 1 and ED is SRA-Asset 2</t>
  </si>
  <si>
    <t>1981-09-01 to 2024-10-01</t>
  </si>
  <si>
    <t xml:space="preserve">FRED + Google-Fin </t>
  </si>
  <si>
    <t>FRED + Google-Fin</t>
  </si>
  <si>
    <t>University of Toronto (STG)</t>
  </si>
  <si>
    <t xml:space="preserve">Next Month Equity RoR and Risk estimated by: </t>
  </si>
  <si>
    <t>1. Stats Analog</t>
  </si>
  <si>
    <t>2. Shrinkage</t>
  </si>
  <si>
    <t>3. Wiener Stochastic Process for RoR ~ N(GM, s^2)</t>
  </si>
  <si>
    <t>4. Ito Stochastic Process for RoR ~ N(GM - (s^2)/2, s^2)</t>
  </si>
  <si>
    <t>Hanum Sukma Zahrani</t>
  </si>
  <si>
    <t>E-mail: hanum.zahrani@mail.utoronto.ca</t>
  </si>
  <si>
    <t>Student ID: 1010180340</t>
  </si>
  <si>
    <t>Project 1 to construct a portfolio of 90-day US T-Bills AND SRA Consisting of  2 Equities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</si>
</sst>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mm/dd/yyyy"/>
    <numFmt numFmtId="165" formatCode="0.000000"/>
    <numFmt numFmtId="166" formatCode="yyyy\-mm\-dd;@"/>
    <numFmt numFmtId="167" formatCode="0.000000000"/>
    <numFmt numFmtId="168" formatCode="0.0000000"/>
    <numFmt numFmtId="169" formatCode="yyyy\-mm\-dd"/>
    <numFmt numFmtId="170" formatCode="0.00000000"/>
    <numFmt numFmtId="171" formatCode="0.0000"/>
  </numFmts>
  <fonts count="37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FF0000"/>
      <name val="Roboto"/>
      <family val="2"/>
    </font>
    <font>
      <b/>
      <sz val="11"/>
      <color rgb="FFFF0000"/>
      <name val="Aptos Narrow"/>
      <family val="2"/>
      <scheme val="minor"/>
    </font>
    <font>
      <b/>
      <sz val="10"/>
      <color rgb="FF000000"/>
      <name val="Helvetica Neue"/>
      <family val="2"/>
    </font>
    <font>
      <sz val="10"/>
      <color theme="1"/>
      <name val="Arial"/>
      <family val="2"/>
    </font>
    <font>
      <b/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7030A0"/>
      <name val="Aptos Narrow"/>
      <family val="2"/>
      <scheme val="minor"/>
    </font>
    <font>
      <sz val="10"/>
      <color theme="1"/>
      <name val="Roboto"/>
    </font>
    <font>
      <sz val="10"/>
      <name val="Arial"/>
      <family val="2"/>
    </font>
    <font>
      <sz val="9"/>
      <color theme="1"/>
      <name val="Roboto"/>
      <family val="2"/>
    </font>
    <font>
      <sz val="10"/>
      <color theme="1"/>
      <name val="Roboto-Regular"/>
      <family val="2"/>
    </font>
    <font>
      <b/>
      <sz val="9"/>
      <color theme="1"/>
      <name val="Roboto"/>
    </font>
    <font>
      <sz val="9"/>
      <color rgb="FF006100"/>
      <name val="Roboto"/>
      <family val="2"/>
    </font>
    <font>
      <sz val="9"/>
      <color rgb="FF9C0006"/>
      <name val="Roboto"/>
      <family val="2"/>
    </font>
    <font>
      <sz val="9"/>
      <color rgb="FF9C6500"/>
      <name val="Roboto"/>
      <family val="2"/>
    </font>
    <font>
      <sz val="9"/>
      <color rgb="FF3F3F76"/>
      <name val="Roboto"/>
      <family val="2"/>
    </font>
    <font>
      <b/>
      <sz val="9"/>
      <color rgb="FFFA7D00"/>
      <name val="Roboto"/>
      <family val="2"/>
    </font>
    <font>
      <u/>
      <sz val="9"/>
      <color theme="10"/>
      <name val="Roboto"/>
      <family val="2"/>
    </font>
    <font>
      <b/>
      <i/>
      <sz val="9"/>
      <color theme="1"/>
      <name val="Roboto"/>
    </font>
    <font>
      <sz val="12"/>
      <name val="Times New Roman"/>
      <family val="1"/>
    </font>
    <font>
      <sz val="10"/>
      <color theme="0"/>
      <name val="Roboto-Regular"/>
      <family val="2"/>
    </font>
    <font>
      <i/>
      <sz val="9"/>
      <color theme="1"/>
      <name val="Roboto"/>
    </font>
    <font>
      <b/>
      <i/>
      <sz val="11"/>
      <color theme="1"/>
      <name val="Aptos Narrow"/>
      <family val="2"/>
      <scheme val="minor"/>
    </font>
    <font>
      <sz val="10"/>
      <color theme="5" tint="-0.499984740745262"/>
      <name val="Roboto-Regular"/>
      <family val="2"/>
    </font>
    <font>
      <i/>
      <sz val="9"/>
      <color rgb="FF7030A0"/>
      <name val="Roboto"/>
    </font>
    <font>
      <i/>
      <sz val="9"/>
      <color rgb="FFFF0000"/>
      <name val="Roboto"/>
    </font>
    <font>
      <sz val="72"/>
      <color theme="1"/>
      <name val="Courier New"/>
      <family val="1"/>
    </font>
    <font>
      <sz val="72"/>
      <color theme="1"/>
      <name val="Courier New"/>
      <family val="3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5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FE2F3"/>
        <bgColor indexed="64"/>
      </patternFill>
    </fill>
    <fill>
      <patternFill patternType="solid">
        <fgColor theme="4" tint="0.39997558519241921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7030A0"/>
        <bgColor indexed="64"/>
      </patternFill>
    </fill>
  </fills>
  <borders count="21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indexed="64"/>
      </right>
      <top/>
      <bottom style="thin">
        <color rgb="FF7F7F7F"/>
      </bottom>
      <diagonal/>
    </border>
  </borders>
  <cellStyleXfs count="27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4" borderId="1" applyNumberFormat="0" applyAlignment="0" applyProtection="0"/>
    <xf numFmtId="0" fontId="4" fillId="5" borderId="1" applyNumberFormat="0" applyAlignment="0" applyProtection="0"/>
    <xf numFmtId="0" fontId="5" fillId="6" borderId="0" applyNumberFormat="0" applyBorder="0" applyAlignment="0" applyProtection="0"/>
    <xf numFmtId="0" fontId="6" fillId="0" borderId="0" applyNumberFormat="0" applyFill="0" applyBorder="0" applyAlignment="0" applyProtection="0"/>
    <xf numFmtId="0" fontId="17" fillId="0" borderId="0"/>
    <xf numFmtId="0" fontId="18" fillId="0" borderId="0"/>
    <xf numFmtId="0" fontId="21" fillId="2" borderId="0" applyNumberFormat="0" applyBorder="0" applyAlignment="0" applyProtection="0"/>
    <xf numFmtId="0" fontId="22" fillId="3" borderId="0" applyNumberFormat="0" applyBorder="0" applyAlignment="0" applyProtection="0"/>
    <xf numFmtId="0" fontId="23" fillId="22" borderId="0" applyNumberFormat="0" applyBorder="0" applyAlignment="0" applyProtection="0"/>
    <xf numFmtId="0" fontId="24" fillId="4" borderId="1" applyNumberFormat="0" applyAlignment="0" applyProtection="0"/>
    <xf numFmtId="0" fontId="25" fillId="5" borderId="1" applyNumberFormat="0" applyAlignment="0" applyProtection="0"/>
    <xf numFmtId="0" fontId="18" fillId="27" borderId="0" applyNumberFormat="0" applyBorder="0" applyAlignment="0" applyProtection="0"/>
    <xf numFmtId="0" fontId="26" fillId="0" borderId="0" applyNumberFormat="0" applyFill="0" applyBorder="0" applyAlignment="0" applyProtection="0"/>
    <xf numFmtId="9" fontId="28" fillId="0" borderId="0" applyFont="0" applyFill="0" applyBorder="0" applyAlignment="0" applyProtection="0"/>
    <xf numFmtId="0" fontId="28" fillId="0" borderId="0"/>
    <xf numFmtId="0" fontId="18" fillId="23" borderId="13" applyNumberFormat="0" applyFont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29" fillId="6" borderId="0" applyNumberFormat="0" applyBorder="0" applyAlignment="0" applyProtection="0"/>
    <xf numFmtId="0" fontId="29" fillId="28" borderId="0" applyNumberFormat="0" applyBorder="0" applyAlignment="0" applyProtection="0"/>
    <xf numFmtId="0" fontId="19" fillId="30" borderId="0" applyNumberFormat="0" applyBorder="0" applyAlignment="0" applyProtection="0"/>
    <xf numFmtId="0" fontId="29" fillId="26" borderId="0" applyNumberFormat="0" applyBorder="0" applyAlignment="0" applyProtection="0"/>
    <xf numFmtId="0" fontId="19" fillId="31" borderId="0" applyNumberFormat="0" applyBorder="0" applyAlignment="0" applyProtection="0"/>
  </cellStyleXfs>
  <cellXfs count="223">
    <xf numFmtId="0" fontId="0" fillId="0" borderId="0" xfId="0"/>
    <xf numFmtId="164" fontId="7" fillId="0" borderId="0" xfId="0" applyNumberFormat="1" applyFont="1"/>
    <xf numFmtId="0" fontId="7" fillId="0" borderId="0" xfId="0" applyFont="1"/>
    <xf numFmtId="14" fontId="0" fillId="0" borderId="0" xfId="0" applyNumberFormat="1"/>
    <xf numFmtId="164" fontId="6" fillId="0" borderId="0" xfId="6" applyNumberFormat="1"/>
    <xf numFmtId="2" fontId="0" fillId="0" borderId="0" xfId="0" applyNumberFormat="1"/>
    <xf numFmtId="165" fontId="0" fillId="0" borderId="0" xfId="0" applyNumberFormat="1" applyAlignment="1">
      <alignment horizontal="center"/>
    </xf>
    <xf numFmtId="164" fontId="0" fillId="0" borderId="0" xfId="0" applyNumberFormat="1"/>
    <xf numFmtId="165" fontId="4" fillId="5" borderId="1" xfId="4" applyNumberFormat="1" applyAlignment="1">
      <alignment horizontal="center"/>
    </xf>
    <xf numFmtId="2" fontId="0" fillId="0" borderId="3" xfId="0" applyNumberFormat="1" applyBorder="1" applyAlignment="1">
      <alignment horizontal="center" vertical="center"/>
    </xf>
    <xf numFmtId="165" fontId="0" fillId="0" borderId="4" xfId="0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2" fontId="0" fillId="7" borderId="3" xfId="0" applyNumberFormat="1" applyFill="1" applyBorder="1" applyAlignment="1">
      <alignment horizontal="center" vertical="center"/>
    </xf>
    <xf numFmtId="0" fontId="0" fillId="7" borderId="0" xfId="0" applyFill="1"/>
    <xf numFmtId="165" fontId="0" fillId="0" borderId="0" xfId="0" applyNumberFormat="1"/>
    <xf numFmtId="164" fontId="3" fillId="9" borderId="2" xfId="3" applyNumberFormat="1" applyFill="1" applyBorder="1" applyAlignment="1">
      <alignment horizontal="center" vertical="center"/>
    </xf>
    <xf numFmtId="2" fontId="3" fillId="9" borderId="2" xfId="3" applyNumberFormat="1" applyFill="1" applyBorder="1" applyAlignment="1">
      <alignment horizontal="center" vertical="center"/>
    </xf>
    <xf numFmtId="165" fontId="8" fillId="5" borderId="1" xfId="4" applyNumberFormat="1" applyFont="1" applyAlignment="1">
      <alignment horizontal="center" vertical="center"/>
    </xf>
    <xf numFmtId="0" fontId="3" fillId="4" borderId="1" xfId="3" applyAlignment="1">
      <alignment horizontal="center" vertical="center"/>
    </xf>
    <xf numFmtId="0" fontId="3" fillId="4" borderId="2" xfId="3" applyBorder="1" applyAlignment="1">
      <alignment horizontal="center" vertical="center"/>
    </xf>
    <xf numFmtId="0" fontId="10" fillId="11" borderId="3" xfId="0" applyFont="1" applyFill="1" applyBorder="1" applyAlignment="1">
      <alignment wrapText="1"/>
    </xf>
    <xf numFmtId="0" fontId="12" fillId="11" borderId="3" xfId="0" applyFont="1" applyFill="1" applyBorder="1" applyAlignment="1">
      <alignment wrapText="1"/>
    </xf>
    <xf numFmtId="2" fontId="0" fillId="0" borderId="3" xfId="0" applyNumberFormat="1" applyBorder="1" applyAlignment="1">
      <alignment horizontal="center"/>
    </xf>
    <xf numFmtId="2" fontId="10" fillId="11" borderId="3" xfId="0" applyNumberFormat="1" applyFont="1" applyFill="1" applyBorder="1" applyAlignment="1">
      <alignment horizontal="right" wrapText="1"/>
    </xf>
    <xf numFmtId="2" fontId="10" fillId="0" borderId="3" xfId="0" applyNumberFormat="1" applyFont="1" applyBorder="1" applyAlignment="1">
      <alignment horizontal="right" wrapText="1"/>
    </xf>
    <xf numFmtId="2" fontId="10" fillId="13" borderId="3" xfId="0" applyNumberFormat="1" applyFont="1" applyFill="1" applyBorder="1" applyAlignment="1">
      <alignment horizontal="right" wrapText="1"/>
    </xf>
    <xf numFmtId="0" fontId="11" fillId="14" borderId="3" xfId="0" applyFont="1" applyFill="1" applyBorder="1" applyAlignment="1">
      <alignment horizontal="center"/>
    </xf>
    <xf numFmtId="166" fontId="3" fillId="4" borderId="1" xfId="3" applyNumberFormat="1" applyAlignment="1">
      <alignment horizontal="center" vertical="center"/>
    </xf>
    <xf numFmtId="166" fontId="0" fillId="0" borderId="0" xfId="0" applyNumberFormat="1"/>
    <xf numFmtId="166" fontId="3" fillId="4" borderId="2" xfId="3" applyNumberFormat="1" applyBorder="1" applyAlignment="1">
      <alignment horizontal="center" vertical="center"/>
    </xf>
    <xf numFmtId="166" fontId="10" fillId="13" borderId="3" xfId="0" applyNumberFormat="1" applyFont="1" applyFill="1" applyBorder="1" applyAlignment="1">
      <alignment horizontal="center" wrapText="1"/>
    </xf>
    <xf numFmtId="166" fontId="11" fillId="14" borderId="3" xfId="0" applyNumberFormat="1" applyFont="1" applyFill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10" fillId="11" borderId="3" xfId="0" applyNumberFormat="1" applyFont="1" applyFill="1" applyBorder="1" applyAlignment="1">
      <alignment horizontal="right" wrapText="1"/>
    </xf>
    <xf numFmtId="165" fontId="3" fillId="4" borderId="2" xfId="3" applyNumberFormat="1" applyBorder="1" applyAlignment="1">
      <alignment horizontal="center" vertical="center"/>
    </xf>
    <xf numFmtId="165" fontId="3" fillId="4" borderId="1" xfId="3" applyNumberFormat="1" applyAlignment="1">
      <alignment horizontal="center" vertical="center"/>
    </xf>
    <xf numFmtId="166" fontId="10" fillId="15" borderId="3" xfId="0" applyNumberFormat="1" applyFont="1" applyFill="1" applyBorder="1" applyAlignment="1">
      <alignment wrapText="1"/>
    </xf>
    <xf numFmtId="166" fontId="10" fillId="0" borderId="3" xfId="0" applyNumberFormat="1" applyFont="1" applyBorder="1" applyAlignment="1">
      <alignment horizontal="right" wrapText="1"/>
    </xf>
    <xf numFmtId="2" fontId="10" fillId="15" borderId="3" xfId="0" applyNumberFormat="1" applyFont="1" applyFill="1" applyBorder="1" applyAlignment="1">
      <alignment wrapText="1"/>
    </xf>
    <xf numFmtId="166" fontId="10" fillId="13" borderId="3" xfId="0" applyNumberFormat="1" applyFont="1" applyFill="1" applyBorder="1" applyAlignment="1">
      <alignment horizontal="right" wrapText="1"/>
    </xf>
    <xf numFmtId="166" fontId="10" fillId="7" borderId="0" xfId="0" applyNumberFormat="1" applyFont="1" applyFill="1" applyAlignment="1">
      <alignment horizontal="right" wrapText="1"/>
    </xf>
    <xf numFmtId="2" fontId="10" fillId="7" borderId="0" xfId="0" applyNumberFormat="1" applyFont="1" applyFill="1" applyAlignment="1">
      <alignment horizontal="right" wrapText="1"/>
    </xf>
    <xf numFmtId="2" fontId="10" fillId="13" borderId="3" xfId="0" applyNumberFormat="1" applyFont="1" applyFill="1" applyBorder="1" applyAlignment="1">
      <alignment horizontal="center" wrapText="1"/>
    </xf>
    <xf numFmtId="166" fontId="10" fillId="0" borderId="3" xfId="0" applyNumberFormat="1" applyFont="1" applyBorder="1" applyAlignment="1">
      <alignment horizontal="center" wrapText="1"/>
    </xf>
    <xf numFmtId="2" fontId="10" fillId="0" borderId="3" xfId="0" applyNumberFormat="1" applyFont="1" applyBorder="1" applyAlignment="1">
      <alignment horizontal="center" wrapText="1"/>
    </xf>
    <xf numFmtId="166" fontId="10" fillId="7" borderId="3" xfId="0" applyNumberFormat="1" applyFont="1" applyFill="1" applyBorder="1" applyAlignment="1">
      <alignment horizontal="center" wrapText="1"/>
    </xf>
    <xf numFmtId="2" fontId="10" fillId="7" borderId="3" xfId="0" applyNumberFormat="1" applyFont="1" applyFill="1" applyBorder="1" applyAlignment="1">
      <alignment horizontal="center" wrapText="1"/>
    </xf>
    <xf numFmtId="16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165" fontId="0" fillId="10" borderId="0" xfId="0" applyNumberFormat="1" applyFill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6" fontId="0" fillId="0" borderId="0" xfId="0" applyNumberFormat="1" applyAlignment="1">
      <alignment vertical="center"/>
    </xf>
    <xf numFmtId="0" fontId="12" fillId="11" borderId="3" xfId="0" applyFont="1" applyFill="1" applyBorder="1" applyAlignment="1">
      <alignment vertical="center" wrapText="1"/>
    </xf>
    <xf numFmtId="0" fontId="10" fillId="11" borderId="3" xfId="0" applyFont="1" applyFill="1" applyBorder="1" applyAlignment="1">
      <alignment vertical="center" wrapText="1"/>
    </xf>
    <xf numFmtId="166" fontId="10" fillId="14" borderId="3" xfId="0" applyNumberFormat="1" applyFont="1" applyFill="1" applyBorder="1" applyAlignment="1">
      <alignment horizontal="center" vertical="center" wrapText="1"/>
    </xf>
    <xf numFmtId="165" fontId="10" fillId="14" borderId="8" xfId="0" applyNumberFormat="1" applyFont="1" applyFill="1" applyBorder="1" applyAlignment="1">
      <alignment horizontal="center" vertical="center" wrapText="1"/>
    </xf>
    <xf numFmtId="166" fontId="14" fillId="14" borderId="3" xfId="0" applyNumberFormat="1" applyFont="1" applyFill="1" applyBorder="1" applyAlignment="1">
      <alignment horizontal="center" vertical="center"/>
    </xf>
    <xf numFmtId="165" fontId="14" fillId="14" borderId="3" xfId="0" applyNumberFormat="1" applyFont="1" applyFill="1" applyBorder="1" applyAlignment="1">
      <alignment horizontal="center" vertical="center"/>
    </xf>
    <xf numFmtId="166" fontId="11" fillId="14" borderId="3" xfId="0" applyNumberFormat="1" applyFont="1" applyFill="1" applyBorder="1" applyAlignment="1">
      <alignment horizontal="center" vertical="center"/>
    </xf>
    <xf numFmtId="0" fontId="11" fillId="14" borderId="3" xfId="0" applyFont="1" applyFill="1" applyBorder="1" applyAlignment="1">
      <alignment horizontal="center" vertical="center"/>
    </xf>
    <xf numFmtId="166" fontId="10" fillId="11" borderId="3" xfId="0" applyNumberFormat="1" applyFont="1" applyFill="1" applyBorder="1" applyAlignment="1">
      <alignment horizontal="right" vertical="center" wrapText="1"/>
    </xf>
    <xf numFmtId="166" fontId="10" fillId="13" borderId="6" xfId="0" applyNumberFormat="1" applyFont="1" applyFill="1" applyBorder="1" applyAlignment="1">
      <alignment horizontal="center" vertical="center" wrapText="1"/>
    </xf>
    <xf numFmtId="2" fontId="10" fillId="11" borderId="3" xfId="0" applyNumberFormat="1" applyFont="1" applyFill="1" applyBorder="1" applyAlignment="1">
      <alignment horizontal="center" vertical="center" wrapText="1"/>
    </xf>
    <xf numFmtId="166" fontId="10" fillId="13" borderId="3" xfId="0" applyNumberFormat="1" applyFont="1" applyFill="1" applyBorder="1" applyAlignment="1">
      <alignment horizontal="center" vertical="center" wrapText="1"/>
    </xf>
    <xf numFmtId="166" fontId="0" fillId="0" borderId="3" xfId="0" applyNumberFormat="1" applyBorder="1" applyAlignment="1">
      <alignment horizontal="center" vertical="center"/>
    </xf>
    <xf numFmtId="166" fontId="10" fillId="0" borderId="6" xfId="0" applyNumberFormat="1" applyFont="1" applyBorder="1" applyAlignment="1">
      <alignment horizontal="center" vertical="center" wrapText="1"/>
    </xf>
    <xf numFmtId="2" fontId="10" fillId="0" borderId="3" xfId="0" applyNumberFormat="1" applyFont="1" applyBorder="1" applyAlignment="1">
      <alignment horizontal="center" vertical="center" wrapText="1"/>
    </xf>
    <xf numFmtId="2" fontId="10" fillId="13" borderId="3" xfId="0" applyNumberFormat="1" applyFont="1" applyFill="1" applyBorder="1" applyAlignment="1">
      <alignment horizontal="center" vertical="center" wrapText="1"/>
    </xf>
    <xf numFmtId="166" fontId="10" fillId="13" borderId="8" xfId="0" applyNumberFormat="1" applyFont="1" applyFill="1" applyBorder="1" applyAlignment="1">
      <alignment horizontal="center" vertical="center" wrapText="1"/>
    </xf>
    <xf numFmtId="2" fontId="10" fillId="11" borderId="8" xfId="0" applyNumberFormat="1" applyFont="1" applyFill="1" applyBorder="1" applyAlignment="1">
      <alignment horizontal="center" vertical="center" wrapText="1"/>
    </xf>
    <xf numFmtId="166" fontId="10" fillId="7" borderId="9" xfId="0" applyNumberFormat="1" applyFont="1" applyFill="1" applyBorder="1" applyAlignment="1">
      <alignment horizontal="center" vertical="center" wrapText="1"/>
    </xf>
    <xf numFmtId="2" fontId="10" fillId="7" borderId="9" xfId="0" applyNumberFormat="1" applyFont="1" applyFill="1" applyBorder="1" applyAlignment="1">
      <alignment horizontal="center" vertical="center" wrapText="1"/>
    </xf>
    <xf numFmtId="164" fontId="3" fillId="8" borderId="1" xfId="3" applyNumberFormat="1" applyFill="1" applyAlignment="1">
      <alignment horizontal="center" vertical="center"/>
    </xf>
    <xf numFmtId="2" fontId="3" fillId="8" borderId="1" xfId="3" applyNumberFormat="1" applyFill="1" applyAlignment="1">
      <alignment horizontal="center" vertical="center"/>
    </xf>
    <xf numFmtId="165" fontId="4" fillId="5" borderId="1" xfId="4" applyNumberFormat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0" fillId="11" borderId="10" xfId="0" applyFont="1" applyFill="1" applyBorder="1" applyAlignment="1">
      <alignment wrapText="1"/>
    </xf>
    <xf numFmtId="2" fontId="10" fillId="11" borderId="3" xfId="0" applyNumberFormat="1" applyFont="1" applyFill="1" applyBorder="1" applyAlignment="1">
      <alignment horizontal="right" vertical="center" wrapText="1"/>
    </xf>
    <xf numFmtId="0" fontId="10" fillId="11" borderId="3" xfId="0" applyFont="1" applyFill="1" applyBorder="1" applyAlignment="1">
      <alignment horizontal="center" vertical="center" wrapText="1"/>
    </xf>
    <xf numFmtId="166" fontId="10" fillId="11" borderId="3" xfId="0" applyNumberFormat="1" applyFont="1" applyFill="1" applyBorder="1" applyAlignment="1">
      <alignment horizontal="center" vertical="center" wrapText="1"/>
    </xf>
    <xf numFmtId="0" fontId="10" fillId="11" borderId="10" xfId="0" applyFont="1" applyFill="1" applyBorder="1" applyAlignment="1">
      <alignment horizontal="center" vertical="center" wrapText="1"/>
    </xf>
    <xf numFmtId="166" fontId="10" fillId="15" borderId="3" xfId="0" applyNumberFormat="1" applyFont="1" applyFill="1" applyBorder="1" applyAlignment="1">
      <alignment horizontal="center" vertical="center" wrapText="1"/>
    </xf>
    <xf numFmtId="2" fontId="10" fillId="15" borderId="3" xfId="0" applyNumberFormat="1" applyFont="1" applyFill="1" applyBorder="1" applyAlignment="1">
      <alignment horizontal="center" vertical="center" wrapText="1"/>
    </xf>
    <xf numFmtId="166" fontId="10" fillId="0" borderId="3" xfId="0" applyNumberFormat="1" applyFont="1" applyBorder="1" applyAlignment="1">
      <alignment horizontal="center" vertical="center" wrapText="1"/>
    </xf>
    <xf numFmtId="0" fontId="10" fillId="11" borderId="0" xfId="0" applyFont="1" applyFill="1" applyAlignment="1">
      <alignment horizontal="center" vertical="center" wrapText="1"/>
    </xf>
    <xf numFmtId="0" fontId="15" fillId="0" borderId="0" xfId="0" applyFont="1"/>
    <xf numFmtId="0" fontId="15" fillId="0" borderId="0" xfId="0" applyFont="1" applyAlignment="1">
      <alignment horizontal="center"/>
    </xf>
    <xf numFmtId="0" fontId="0" fillId="18" borderId="3" xfId="0" applyFill="1" applyBorder="1" applyAlignment="1">
      <alignment horizontal="center"/>
    </xf>
    <xf numFmtId="0" fontId="0" fillId="0" borderId="0" xfId="0" applyAlignment="1">
      <alignment horizontal="center"/>
    </xf>
    <xf numFmtId="166" fontId="10" fillId="0" borderId="9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0" fillId="19" borderId="0" xfId="0" applyFill="1" applyAlignment="1">
      <alignment horizontal="center" vertical="center"/>
    </xf>
    <xf numFmtId="0" fontId="10" fillId="19" borderId="3" xfId="0" applyFont="1" applyFill="1" applyBorder="1" applyAlignment="1">
      <alignment horizontal="center" vertical="center" wrapText="1"/>
    </xf>
    <xf numFmtId="2" fontId="10" fillId="13" borderId="8" xfId="0" applyNumberFormat="1" applyFont="1" applyFill="1" applyBorder="1" applyAlignment="1">
      <alignment horizontal="center" vertical="center" wrapText="1"/>
    </xf>
    <xf numFmtId="2" fontId="10" fillId="0" borderId="9" xfId="0" applyNumberFormat="1" applyFont="1" applyBorder="1" applyAlignment="1">
      <alignment horizontal="center" vertical="center" wrapText="1"/>
    </xf>
    <xf numFmtId="2" fontId="10" fillId="0" borderId="9" xfId="0" applyNumberFormat="1" applyFont="1" applyBorder="1" applyAlignment="1">
      <alignment horizontal="right" wrapText="1"/>
    </xf>
    <xf numFmtId="0" fontId="16" fillId="0" borderId="3" xfId="0" applyFont="1" applyBorder="1" applyAlignment="1">
      <alignment horizontal="center"/>
    </xf>
    <xf numFmtId="167" fontId="0" fillId="0" borderId="3" xfId="0" applyNumberFormat="1" applyBorder="1" applyAlignment="1">
      <alignment horizontal="center" vertical="center"/>
    </xf>
    <xf numFmtId="166" fontId="0" fillId="7" borderId="3" xfId="0" applyNumberFormat="1" applyFill="1" applyBorder="1" applyAlignment="1">
      <alignment horizontal="center" vertical="center"/>
    </xf>
    <xf numFmtId="169" fontId="17" fillId="0" borderId="3" xfId="7" applyNumberFormat="1" applyBorder="1" applyAlignment="1">
      <alignment horizontal="center" vertical="center"/>
    </xf>
    <xf numFmtId="2" fontId="17" fillId="0" borderId="3" xfId="7" applyNumberFormat="1" applyBorder="1" applyAlignment="1">
      <alignment horizontal="center" vertical="center"/>
    </xf>
    <xf numFmtId="165" fontId="0" fillId="0" borderId="3" xfId="0" applyNumberFormat="1" applyBorder="1" applyAlignment="1">
      <alignment horizontal="center"/>
    </xf>
    <xf numFmtId="166" fontId="10" fillId="0" borderId="0" xfId="0" applyNumberFormat="1" applyFont="1" applyAlignment="1">
      <alignment horizontal="center" vertical="center" wrapText="1"/>
    </xf>
    <xf numFmtId="0" fontId="16" fillId="20" borderId="12" xfId="0" applyFont="1" applyFill="1" applyBorder="1" applyAlignment="1">
      <alignment horizontal="center"/>
    </xf>
    <xf numFmtId="0" fontId="16" fillId="0" borderId="9" xfId="0" applyFont="1" applyBorder="1" applyAlignment="1">
      <alignment horizontal="center"/>
    </xf>
    <xf numFmtId="165" fontId="0" fillId="0" borderId="8" xfId="0" applyNumberFormat="1" applyBorder="1" applyAlignment="1">
      <alignment horizontal="center" vertical="center"/>
    </xf>
    <xf numFmtId="166" fontId="10" fillId="20" borderId="3" xfId="0" applyNumberFormat="1" applyFont="1" applyFill="1" applyBorder="1" applyAlignment="1">
      <alignment horizontal="center" vertical="center" wrapText="1"/>
    </xf>
    <xf numFmtId="165" fontId="0" fillId="20" borderId="3" xfId="0" applyNumberFormat="1" applyFill="1" applyBorder="1" applyAlignment="1">
      <alignment horizontal="center" vertical="center"/>
    </xf>
    <xf numFmtId="0" fontId="0" fillId="18" borderId="0" xfId="0" applyFill="1" applyAlignment="1">
      <alignment horizontal="center"/>
    </xf>
    <xf numFmtId="0" fontId="0" fillId="18" borderId="16" xfId="0" applyFill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31" fillId="0" borderId="3" xfId="0" applyFont="1" applyBorder="1" applyAlignment="1">
      <alignment horizontal="right"/>
    </xf>
    <xf numFmtId="0" fontId="0" fillId="0" borderId="3" xfId="0" applyBorder="1" applyAlignment="1">
      <alignment horizontal="center"/>
    </xf>
    <xf numFmtId="1" fontId="0" fillId="0" borderId="3" xfId="0" applyNumberFormat="1" applyBorder="1" applyAlignment="1">
      <alignment horizontal="center"/>
    </xf>
    <xf numFmtId="168" fontId="0" fillId="0" borderId="3" xfId="0" applyNumberFormat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31" fillId="0" borderId="3" xfId="0" applyFont="1" applyBorder="1" applyAlignment="1">
      <alignment horizontal="center"/>
    </xf>
    <xf numFmtId="0" fontId="0" fillId="17" borderId="3" xfId="0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168" fontId="0" fillId="32" borderId="3" xfId="0" applyNumberFormat="1" applyFill="1" applyBorder="1" applyAlignment="1">
      <alignment horizontal="center"/>
    </xf>
    <xf numFmtId="0" fontId="0" fillId="21" borderId="3" xfId="0" applyFill="1" applyBorder="1" applyAlignment="1">
      <alignment horizontal="center" vertical="center"/>
    </xf>
    <xf numFmtId="166" fontId="10" fillId="0" borderId="8" xfId="0" applyNumberFormat="1" applyFont="1" applyBorder="1" applyAlignment="1">
      <alignment horizontal="center" vertical="center" wrapText="1"/>
    </xf>
    <xf numFmtId="0" fontId="11" fillId="0" borderId="0" xfId="0" applyFont="1"/>
    <xf numFmtId="0" fontId="18" fillId="21" borderId="3" xfId="21" applyFill="1" applyBorder="1" applyAlignment="1">
      <alignment horizontal="center" vertical="center"/>
    </xf>
    <xf numFmtId="0" fontId="0" fillId="0" borderId="3" xfId="0" applyBorder="1"/>
    <xf numFmtId="0" fontId="0" fillId="18" borderId="3" xfId="0" applyFill="1" applyBorder="1" applyAlignment="1">
      <alignment horizontal="center" vertical="center"/>
    </xf>
    <xf numFmtId="0" fontId="0" fillId="0" borderId="15" xfId="0" applyBorder="1" applyAlignment="1">
      <alignment horizontal="center"/>
    </xf>
    <xf numFmtId="168" fontId="0" fillId="0" borderId="0" xfId="0" applyNumberFormat="1" applyAlignment="1">
      <alignment horizontal="center"/>
    </xf>
    <xf numFmtId="14" fontId="27" fillId="0" borderId="3" xfId="0" applyNumberFormat="1" applyFont="1" applyBorder="1" applyAlignment="1">
      <alignment horizontal="right"/>
    </xf>
    <xf numFmtId="0" fontId="27" fillId="0" borderId="3" xfId="0" applyFont="1" applyBorder="1" applyAlignment="1">
      <alignment horizontal="right"/>
    </xf>
    <xf numFmtId="14" fontId="30" fillId="0" borderId="3" xfId="0" applyNumberFormat="1" applyFont="1" applyBorder="1" applyAlignment="1">
      <alignment horizontal="center"/>
    </xf>
    <xf numFmtId="168" fontId="0" fillId="0" borderId="3" xfId="0" applyNumberForma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0" fillId="13" borderId="3" xfId="0" applyFill="1" applyBorder="1" applyAlignment="1">
      <alignment horizontal="center"/>
    </xf>
    <xf numFmtId="14" fontId="22" fillId="7" borderId="3" xfId="10" applyNumberFormat="1" applyFill="1" applyBorder="1" applyAlignment="1">
      <alignment horizontal="center"/>
    </xf>
    <xf numFmtId="168" fontId="24" fillId="4" borderId="3" xfId="12" applyNumberFormat="1" applyBorder="1" applyAlignment="1">
      <alignment horizontal="center" vertical="center"/>
    </xf>
    <xf numFmtId="170" fontId="0" fillId="0" borderId="3" xfId="0" applyNumberFormat="1" applyBorder="1" applyAlignment="1">
      <alignment horizontal="center"/>
    </xf>
    <xf numFmtId="0" fontId="30" fillId="0" borderId="3" xfId="0" applyFont="1" applyBorder="1" applyAlignment="1">
      <alignment horizontal="center"/>
    </xf>
    <xf numFmtId="166" fontId="11" fillId="17" borderId="3" xfId="0" applyNumberFormat="1" applyFont="1" applyFill="1" applyBorder="1" applyAlignment="1">
      <alignment horizontal="center"/>
    </xf>
    <xf numFmtId="2" fontId="18" fillId="24" borderId="3" xfId="19" applyNumberFormat="1" applyBorder="1" applyAlignment="1">
      <alignment horizontal="center"/>
    </xf>
    <xf numFmtId="0" fontId="25" fillId="5" borderId="3" xfId="13" applyBorder="1" applyAlignment="1">
      <alignment horizontal="center"/>
    </xf>
    <xf numFmtId="0" fontId="0" fillId="0" borderId="17" xfId="0" applyBorder="1" applyAlignment="1">
      <alignment horizontal="right"/>
    </xf>
    <xf numFmtId="170" fontId="0" fillId="0" borderId="17" xfId="0" applyNumberFormat="1" applyBorder="1" applyAlignment="1">
      <alignment horizontal="center"/>
    </xf>
    <xf numFmtId="165" fontId="0" fillId="0" borderId="17" xfId="0" applyNumberFormat="1" applyBorder="1" applyAlignment="1">
      <alignment horizontal="center"/>
    </xf>
    <xf numFmtId="0" fontId="0" fillId="0" borderId="3" xfId="0" applyBorder="1" applyAlignment="1">
      <alignment horizontal="right"/>
    </xf>
    <xf numFmtId="165" fontId="0" fillId="0" borderId="3" xfId="0" applyNumberFormat="1" applyBorder="1" applyAlignment="1">
      <alignment horizontal="right"/>
    </xf>
    <xf numFmtId="165" fontId="0" fillId="0" borderId="0" xfId="0" applyNumberFormat="1" applyAlignment="1">
      <alignment horizontal="right"/>
    </xf>
    <xf numFmtId="165" fontId="21" fillId="2" borderId="3" xfId="9" applyNumberFormat="1" applyBorder="1" applyAlignment="1">
      <alignment horizontal="center" vertical="center"/>
    </xf>
    <xf numFmtId="0" fontId="23" fillId="22" borderId="3" xfId="11" applyBorder="1" applyAlignment="1">
      <alignment horizontal="center"/>
    </xf>
    <xf numFmtId="0" fontId="24" fillId="4" borderId="3" xfId="12" applyBorder="1" applyAlignment="1">
      <alignment horizontal="center"/>
    </xf>
    <xf numFmtId="0" fontId="24" fillId="4" borderId="1" xfId="12" applyAlignment="1">
      <alignment horizontal="center"/>
    </xf>
    <xf numFmtId="165" fontId="24" fillId="4" borderId="1" xfId="12" applyNumberFormat="1" applyAlignment="1">
      <alignment horizontal="center"/>
    </xf>
    <xf numFmtId="0" fontId="29" fillId="0" borderId="0" xfId="25" applyFill="1" applyAlignment="1">
      <alignment vertical="center"/>
    </xf>
    <xf numFmtId="0" fontId="25" fillId="5" borderId="18" xfId="13" applyBorder="1" applyAlignment="1">
      <alignment horizontal="center"/>
    </xf>
    <xf numFmtId="0" fontId="25" fillId="5" borderId="19" xfId="13" applyBorder="1" applyAlignment="1">
      <alignment horizontal="center"/>
    </xf>
    <xf numFmtId="0" fontId="25" fillId="5" borderId="20" xfId="13" applyBorder="1" applyAlignment="1">
      <alignment horizontal="center"/>
    </xf>
    <xf numFmtId="0" fontId="19" fillId="31" borderId="3" xfId="26" applyBorder="1" applyAlignment="1">
      <alignment horizontal="center"/>
    </xf>
    <xf numFmtId="171" fontId="0" fillId="0" borderId="3" xfId="0" applyNumberFormat="1" applyBorder="1" applyAlignment="1">
      <alignment horizontal="center"/>
    </xf>
    <xf numFmtId="165" fontId="0" fillId="10" borderId="3" xfId="0" applyNumberFormat="1" applyFill="1" applyBorder="1" applyAlignment="1">
      <alignment horizontal="center" vertical="center"/>
    </xf>
    <xf numFmtId="165" fontId="0" fillId="0" borderId="3" xfId="0" applyNumberFormat="1" applyBorder="1"/>
    <xf numFmtId="166" fontId="3" fillId="4" borderId="3" xfId="3" applyNumberFormat="1" applyBorder="1" applyAlignment="1">
      <alignment horizontal="center" vertical="center"/>
    </xf>
    <xf numFmtId="165" fontId="3" fillId="4" borderId="3" xfId="3" applyNumberFormat="1" applyBorder="1" applyAlignment="1">
      <alignment horizontal="center" vertical="center"/>
    </xf>
    <xf numFmtId="0" fontId="5" fillId="6" borderId="3" xfId="5" applyBorder="1" applyAlignment="1">
      <alignment horizontal="center"/>
    </xf>
    <xf numFmtId="0" fontId="1" fillId="10" borderId="3" xfId="1" applyFill="1" applyBorder="1" applyAlignment="1">
      <alignment horizontal="center"/>
    </xf>
    <xf numFmtId="0" fontId="9" fillId="0" borderId="3" xfId="0" applyFont="1" applyBorder="1" applyAlignment="1">
      <alignment horizontal="center" vertical="center"/>
    </xf>
    <xf numFmtId="0" fontId="5" fillId="6" borderId="0" xfId="5" applyAlignment="1">
      <alignment horizontal="center"/>
    </xf>
    <xf numFmtId="0" fontId="2" fillId="10" borderId="5" xfId="2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3" fillId="12" borderId="5" xfId="0" applyFont="1" applyFill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/>
    </xf>
    <xf numFmtId="0" fontId="14" fillId="0" borderId="4" xfId="0" applyFont="1" applyBorder="1" applyAlignment="1">
      <alignment horizontal="center"/>
    </xf>
    <xf numFmtId="0" fontId="11" fillId="9" borderId="3" xfId="0" applyFont="1" applyFill="1" applyBorder="1" applyAlignment="1">
      <alignment horizontal="center"/>
    </xf>
    <xf numFmtId="0" fontId="13" fillId="12" borderId="5" xfId="0" applyFont="1" applyFill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1" fillId="14" borderId="5" xfId="0" applyFont="1" applyFill="1" applyBorder="1" applyAlignment="1">
      <alignment horizontal="center" vertical="center"/>
    </xf>
    <xf numFmtId="0" fontId="0" fillId="14" borderId="5" xfId="0" applyFill="1" applyBorder="1" applyAlignment="1">
      <alignment horizontal="center" vertical="center"/>
    </xf>
    <xf numFmtId="0" fontId="11" fillId="14" borderId="0" xfId="0" applyFont="1" applyFill="1" applyAlignment="1">
      <alignment horizontal="center" vertical="center"/>
    </xf>
    <xf numFmtId="0" fontId="0" fillId="14" borderId="0" xfId="0" applyFill="1" applyAlignment="1">
      <alignment horizontal="center" vertical="center"/>
    </xf>
    <xf numFmtId="166" fontId="11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1" xfId="0" applyBorder="1" applyAlignment="1">
      <alignment horizontal="center"/>
    </xf>
    <xf numFmtId="0" fontId="0" fillId="16" borderId="0" xfId="0" applyFill="1" applyAlignment="1">
      <alignment horizontal="center"/>
    </xf>
    <xf numFmtId="0" fontId="5" fillId="14" borderId="6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20" fillId="0" borderId="6" xfId="0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7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0" fillId="14" borderId="3" xfId="0" applyFill="1" applyBorder="1" applyAlignment="1">
      <alignment horizontal="center"/>
    </xf>
    <xf numFmtId="0" fontId="32" fillId="33" borderId="0" xfId="25" applyFont="1" applyFill="1" applyAlignment="1">
      <alignment horizontal="center"/>
    </xf>
    <xf numFmtId="0" fontId="29" fillId="26" borderId="0" xfId="25" applyAlignment="1">
      <alignment horizontal="center"/>
    </xf>
    <xf numFmtId="165" fontId="0" fillId="0" borderId="17" xfId="0" applyNumberFormat="1" applyBorder="1" applyAlignment="1">
      <alignment horizontal="right"/>
    </xf>
    <xf numFmtId="165" fontId="0" fillId="0" borderId="3" xfId="0" applyNumberFormat="1" applyBorder="1" applyAlignment="1">
      <alignment horizontal="right"/>
    </xf>
    <xf numFmtId="165" fontId="0" fillId="0" borderId="6" xfId="0" applyNumberFormat="1" applyBorder="1" applyAlignment="1">
      <alignment horizontal="right"/>
    </xf>
    <xf numFmtId="165" fontId="0" fillId="0" borderId="4" xfId="0" applyNumberFormat="1" applyBorder="1" applyAlignment="1">
      <alignment horizontal="right"/>
    </xf>
    <xf numFmtId="0" fontId="29" fillId="34" borderId="0" xfId="25" applyFill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29" fillId="35" borderId="0" xfId="25" applyFill="1" applyAlignment="1">
      <alignment horizontal="center"/>
    </xf>
    <xf numFmtId="0" fontId="0" fillId="14" borderId="6" xfId="0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29" fillId="19" borderId="0" xfId="25" applyFill="1" applyAlignment="1">
      <alignment horizontal="center" vertical="center"/>
    </xf>
    <xf numFmtId="0" fontId="0" fillId="20" borderId="0" xfId="0" applyFill="1" applyAlignment="1">
      <alignment horizontal="center"/>
    </xf>
    <xf numFmtId="0" fontId="29" fillId="36" borderId="0" xfId="25" applyFill="1" applyAlignment="1">
      <alignment horizontal="center"/>
    </xf>
    <xf numFmtId="0" fontId="33" fillId="0" borderId="6" xfId="0" applyFont="1" applyBorder="1" applyAlignment="1">
      <alignment horizontal="center"/>
    </xf>
    <xf numFmtId="0" fontId="33" fillId="0" borderId="7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34" fillId="0" borderId="3" xfId="0" applyFont="1" applyBorder="1" applyAlignment="1">
      <alignment horizontal="center"/>
    </xf>
    <xf numFmtId="0" fontId="35" fillId="0" borderId="0" xfId="0" applyFont="1"/>
    <xf numFmtId="0" fontId="36" fillId="0" borderId="0" xfId="0" applyFont="1"/>
  </cellXfs>
  <cellStyles count="27">
    <cellStyle name="20% - Accent3 2" xfId="19" xr:uid="{F0087B84-8CF3-4AED-AA5D-730A7FCBF4E9}"/>
    <cellStyle name="20% - Accent4 2" xfId="20" xr:uid="{2A312B73-8CF1-4BD5-808A-A08D2B64F03E}"/>
    <cellStyle name="20% - Accent5 2" xfId="14" xr:uid="{7D08E4B7-E429-4B2D-B5C5-B266857D766A}"/>
    <cellStyle name="20% - Accent6 2" xfId="21" xr:uid="{12C34EE6-2FDC-4A6A-A2FF-39E22A105A6A}"/>
    <cellStyle name="40% - Accent6 2" xfId="24" xr:uid="{1305F368-26BE-48B9-88DD-F80420594997}"/>
    <cellStyle name="60% - Accent6 2" xfId="26" xr:uid="{CF9928C4-8665-4375-91E9-C7BA18B4542E}"/>
    <cellStyle name="Accent2" xfId="5" builtinId="33"/>
    <cellStyle name="Accent2 2" xfId="22" xr:uid="{C1E1F84D-3313-47DE-8590-793BFCAB8924}"/>
    <cellStyle name="Accent5 2" xfId="25" xr:uid="{5C4FE1A6-65EE-4A50-9489-50FF562C8D0F}"/>
    <cellStyle name="Accent6 2" xfId="23" xr:uid="{02CBBFD8-1ED6-48EF-8E44-97D578728508}"/>
    <cellStyle name="Bad" xfId="2" builtinId="27"/>
    <cellStyle name="Bad 2" xfId="10" xr:uid="{95640C13-F394-423F-A895-FC0ED07901D6}"/>
    <cellStyle name="Calculation" xfId="4" builtinId="22"/>
    <cellStyle name="Calculation 2" xfId="13" xr:uid="{6F569FF1-31C5-4E39-8E85-3C0D6913959D}"/>
    <cellStyle name="Good" xfId="1" builtinId="26"/>
    <cellStyle name="Good 2" xfId="9" xr:uid="{737A2BDE-8FDA-4623-98D6-41A94DB507A6}"/>
    <cellStyle name="Hyperlink" xfId="6" builtinId="8"/>
    <cellStyle name="Hyperlink 2" xfId="15" xr:uid="{4393E132-46B1-4D0E-8F72-3EF121F12741}"/>
    <cellStyle name="Input" xfId="3" builtinId="20"/>
    <cellStyle name="Input 2" xfId="12" xr:uid="{4F66A268-8ADF-47DE-9065-6C17F9CA8A94}"/>
    <cellStyle name="Neutral 2" xfId="11" xr:uid="{DF31ECEC-B1EE-44CF-9405-314858A07225}"/>
    <cellStyle name="Normal" xfId="0" builtinId="0"/>
    <cellStyle name="Normal 2" xfId="7" xr:uid="{FF1E1403-77A7-481B-8321-ACB873A864E4}"/>
    <cellStyle name="Normal 2 2" xfId="17" xr:uid="{43DDAC19-E4F3-44C2-A453-25F2776B7ADB}"/>
    <cellStyle name="Normal 3" xfId="8" xr:uid="{AE501319-6BD6-45DB-AD7F-5349046C2BB1}"/>
    <cellStyle name="Note 2" xfId="18" xr:uid="{DD218454-6E33-4B89-9971-3E8782CC8D37}"/>
    <cellStyle name="Percent 2" xfId="16" xr:uid="{1859ABBE-8BE5-479E-B262-45A025F0969C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 Returns vs. 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C035D058-9CFE-4A8F-B6AE-27ED85E3D7B5}" type="CELLRANGE">
                      <a:rPr lang="en-US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59B7-4180-86FC-36C105C288E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5C2B84F-36EB-4585-8881-8509D1EBDFE9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59B7-4180-86FC-36C105C288E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BDB1D00-C8C9-4C2B-B523-D808E687879B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59B7-4180-86FC-36C105C288E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2932265-C35F-4751-AF68-D38FA6914DEF}" type="CELLRANGE">
                      <a:rPr lang="en-CA"/>
                      <a:pPr/>
                      <a:t>[CELLRANGE]</a:t>
                    </a:fld>
                    <a:endParaRPr lang="en-CA"/>
                  </a:p>
                </c:rich>
              </c:tx>
              <c:dLblPos val="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59B7-4180-86FC-36C105C288E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lt1">
                          <a:lumMod val="50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'Summary-Stats'!$O$6:$O$9</c:f>
              <c:numCache>
                <c:formatCode>0.000000</c:formatCode>
                <c:ptCount val="4"/>
                <c:pt idx="0">
                  <c:v>6.1360905795871466E-2</c:v>
                </c:pt>
                <c:pt idx="1">
                  <c:v>5.0081438050912169E-2</c:v>
                </c:pt>
                <c:pt idx="2">
                  <c:v>4.3772103993290817E-2</c:v>
                </c:pt>
                <c:pt idx="3">
                  <c:v>0</c:v>
                </c:pt>
              </c:numCache>
            </c:numRef>
          </c:xVal>
          <c:yVal>
            <c:numRef>
              <c:f>'Summary-Stats'!$P$6:$P$9</c:f>
              <c:numCache>
                <c:formatCode>0.000000</c:formatCode>
                <c:ptCount val="4"/>
                <c:pt idx="0">
                  <c:v>1.3091421487603309E-2</c:v>
                </c:pt>
                <c:pt idx="1">
                  <c:v>8.8689366391184465E-3</c:v>
                </c:pt>
                <c:pt idx="2">
                  <c:v>8.3072176308539875E-3</c:v>
                </c:pt>
                <c:pt idx="3">
                  <c:v>3.8937182261378211E-3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'Summary-Stats'!$N$6:$N$9</c15:f>
                <c15:dlblRangeCache>
                  <c:ptCount val="4"/>
                  <c:pt idx="0">
                    <c:v>ESS</c:v>
                  </c:pt>
                  <c:pt idx="1">
                    <c:v>ED</c:v>
                  </c:pt>
                  <c:pt idx="2">
                    <c:v>SP500</c:v>
                  </c:pt>
                  <c:pt idx="3">
                    <c:v>T-BILLS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9B7-4180-86FC-36C105C288E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1228117999"/>
        <c:axId val="1228122319"/>
      </c:scatterChart>
      <c:valAx>
        <c:axId val="12281179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22319"/>
        <c:crosses val="autoZero"/>
        <c:crossBetween val="midCat"/>
      </c:valAx>
      <c:valAx>
        <c:axId val="1228122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81179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accent1">
          <a:alpha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ESS &amp; ED: E[SRA-RET] vs. SRA-RISK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dLbls>
            <c:delete val="1"/>
          </c:dLbls>
          <c:xVal>
            <c:numRef>
              <c:f>'STATS-PORTFOLIO'!$C$25:$C$39</c:f>
              <c:numCache>
                <c:formatCode>0.000000</c:formatCode>
                <c:ptCount val="15"/>
                <c:pt idx="0">
                  <c:v>5.8282605861451425E-2</c:v>
                </c:pt>
                <c:pt idx="1">
                  <c:v>5.3898066301762831E-2</c:v>
                </c:pt>
                <c:pt idx="2">
                  <c:v>5.0081438050912169E-2</c:v>
                </c:pt>
                <c:pt idx="3">
                  <c:v>4.6971361535894263E-2</c:v>
                </c:pt>
                <c:pt idx="4">
                  <c:v>4.4715507969095299E-2</c:v>
                </c:pt>
                <c:pt idx="5">
                  <c:v>4.3447140095096759E-2</c:v>
                </c:pt>
                <c:pt idx="6">
                  <c:v>4.3253217141178135E-2</c:v>
                </c:pt>
                <c:pt idx="7">
                  <c:v>4.414790011757129E-2</c:v>
                </c:pt>
                <c:pt idx="8">
                  <c:v>4.6067807171932963E-2</c:v>
                </c:pt>
                <c:pt idx="9">
                  <c:v>4.8892311374897669E-2</c:v>
                </c:pt>
                <c:pt idx="10">
                  <c:v>5.2475545224796853E-2</c:v>
                </c:pt>
                <c:pt idx="11">
                  <c:v>5.6673777559023315E-2</c:v>
                </c:pt>
                <c:pt idx="12">
                  <c:v>6.1360905795871459E-2</c:v>
                </c:pt>
                <c:pt idx="13">
                  <c:v>6.6433530227439905E-2</c:v>
                </c:pt>
                <c:pt idx="14">
                  <c:v>7.181000346734942E-2</c:v>
                </c:pt>
              </c:numCache>
            </c:numRef>
          </c:xVal>
          <c:yVal>
            <c:numRef>
              <c:f>'STATS-PORTFOLIO'!$D$25:$D$39</c:f>
              <c:numCache>
                <c:formatCode>0.000000</c:formatCode>
                <c:ptCount val="15"/>
                <c:pt idx="0">
                  <c:v>8.0244396694214744E-3</c:v>
                </c:pt>
                <c:pt idx="1">
                  <c:v>8.4466881542699605E-3</c:v>
                </c:pt>
                <c:pt idx="2">
                  <c:v>8.8689366391184465E-3</c:v>
                </c:pt>
                <c:pt idx="3">
                  <c:v>9.2911851239669344E-3</c:v>
                </c:pt>
                <c:pt idx="4">
                  <c:v>9.7134336088154187E-3</c:v>
                </c:pt>
                <c:pt idx="5">
                  <c:v>1.0135682093663907E-2</c:v>
                </c:pt>
                <c:pt idx="6">
                  <c:v>1.0557930578512391E-2</c:v>
                </c:pt>
                <c:pt idx="7">
                  <c:v>1.0980179063360879E-2</c:v>
                </c:pt>
                <c:pt idx="8">
                  <c:v>1.1402427548209363E-2</c:v>
                </c:pt>
                <c:pt idx="9">
                  <c:v>1.1824676033057851E-2</c:v>
                </c:pt>
                <c:pt idx="10">
                  <c:v>1.2246924517906335E-2</c:v>
                </c:pt>
                <c:pt idx="11">
                  <c:v>1.2669173002754823E-2</c:v>
                </c:pt>
                <c:pt idx="12">
                  <c:v>1.3091421487603307E-2</c:v>
                </c:pt>
                <c:pt idx="13">
                  <c:v>1.3513669972451795E-2</c:v>
                </c:pt>
                <c:pt idx="14">
                  <c:v>1.3935918457300281E-2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BA-4485-BC8C-7ECB5C33B0E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1918150640"/>
        <c:axId val="1143607392"/>
      </c:scatterChart>
      <c:valAx>
        <c:axId val="19181506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SRA-RISK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3607392"/>
        <c:crosses val="autoZero"/>
        <c:crossBetween val="midCat"/>
      </c:valAx>
      <c:valAx>
        <c:axId val="114360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E[SRA-RET]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81506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ESS</a:t>
            </a:r>
            <a:r>
              <a:rPr lang="en-CA" baseline="0"/>
              <a:t> &amp; ED SRA: E[SRA-RET] vs. SRA-RISK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'SHRINKAGE-PORTFOLIO'!$D$28:$D$42</c:f>
              <c:numCache>
                <c:formatCode>0.000000</c:formatCode>
                <c:ptCount val="15"/>
                <c:pt idx="0">
                  <c:v>7.1974979284559593E-2</c:v>
                </c:pt>
                <c:pt idx="1">
                  <c:v>6.6198984695796909E-2</c:v>
                </c:pt>
                <c:pt idx="2">
                  <c:v>6.1004802328731941E-2</c:v>
                </c:pt>
                <c:pt idx="3">
                  <c:v>5.6552971984261777E-2</c:v>
                </c:pt>
                <c:pt idx="4">
                  <c:v>5.3030781382226236E-2</c:v>
                </c:pt>
                <c:pt idx="5">
                  <c:v>5.0632611116137205E-2</c:v>
                </c:pt>
                <c:pt idx="6">
                  <c:v>4.9522027861732654E-2</c:v>
                </c:pt>
                <c:pt idx="7">
                  <c:v>4.9785274723659047E-2</c:v>
                </c:pt>
                <c:pt idx="8">
                  <c:v>5.1401248192567438E-2</c:v>
                </c:pt>
                <c:pt idx="9">
                  <c:v>5.4249197716365959E-2</c:v>
                </c:pt>
                <c:pt idx="10">
                  <c:v>5.8148387687506423E-2</c:v>
                </c:pt>
                <c:pt idx="11">
                  <c:v>6.2903632082062372E-2</c:v>
                </c:pt>
                <c:pt idx="12">
                  <c:v>6.8336456362955489E-2</c:v>
                </c:pt>
                <c:pt idx="13">
                  <c:v>7.4298371503341218E-2</c:v>
                </c:pt>
                <c:pt idx="14">
                  <c:v>8.0672158447153433E-2</c:v>
                </c:pt>
              </c:numCache>
            </c:numRef>
          </c:xVal>
          <c:yVal>
            <c:numRef>
              <c:f>'SHRINKAGE-PORTFOLIO'!$E$28:$E$42</c:f>
              <c:numCache>
                <c:formatCode>0.000000</c:formatCode>
                <c:ptCount val="15"/>
                <c:pt idx="0">
                  <c:v>8.1658286501377301E-3</c:v>
                </c:pt>
                <c:pt idx="1">
                  <c:v>8.376952892561974E-3</c:v>
                </c:pt>
                <c:pt idx="2">
                  <c:v>8.5880771349862162E-3</c:v>
                </c:pt>
                <c:pt idx="3">
                  <c:v>8.7992013774104601E-3</c:v>
                </c:pt>
                <c:pt idx="4">
                  <c:v>9.010325619834704E-3</c:v>
                </c:pt>
                <c:pt idx="5">
                  <c:v>9.2214498622589462E-3</c:v>
                </c:pt>
                <c:pt idx="6">
                  <c:v>9.4325741046831883E-3</c:v>
                </c:pt>
                <c:pt idx="7">
                  <c:v>9.6436983471074322E-3</c:v>
                </c:pt>
                <c:pt idx="8">
                  <c:v>9.8548225895316761E-3</c:v>
                </c:pt>
                <c:pt idx="9">
                  <c:v>1.0065946831955918E-2</c:v>
                </c:pt>
                <c:pt idx="10">
                  <c:v>1.0277071074380162E-2</c:v>
                </c:pt>
                <c:pt idx="11">
                  <c:v>1.0488195316804404E-2</c:v>
                </c:pt>
                <c:pt idx="12">
                  <c:v>1.0699319559228647E-2</c:v>
                </c:pt>
                <c:pt idx="13">
                  <c:v>1.091044380165289E-2</c:v>
                </c:pt>
                <c:pt idx="14">
                  <c:v>1.1121568044077134E-2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22-4793-805B-54E65B3577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05924864"/>
        <c:axId val="805920064"/>
      </c:scatterChart>
      <c:valAx>
        <c:axId val="80592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SRA-RISK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20064"/>
        <c:crosses val="autoZero"/>
        <c:crossBetween val="midCat"/>
      </c:valAx>
      <c:valAx>
        <c:axId val="80592006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E[SRA-RET]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059248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 ESS</a:t>
            </a:r>
            <a:r>
              <a:rPr lang="en-CA" baseline="0"/>
              <a:t> &amp; ED SRA: E[SRA-ERT] vs. SRA-RISK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'WIENER-PORTFOLIO'!$D$39:$D$53</c:f>
              <c:numCache>
                <c:formatCode>0.000000</c:formatCode>
                <c:ptCount val="15"/>
                <c:pt idx="0">
                  <c:v>5.8282605861451425E-2</c:v>
                </c:pt>
                <c:pt idx="1">
                  <c:v>5.3898066301762831E-2</c:v>
                </c:pt>
                <c:pt idx="2">
                  <c:v>5.0081438050912169E-2</c:v>
                </c:pt>
                <c:pt idx="3">
                  <c:v>4.6971361535894263E-2</c:v>
                </c:pt>
                <c:pt idx="4">
                  <c:v>4.4715507969095299E-2</c:v>
                </c:pt>
                <c:pt idx="5">
                  <c:v>4.3447140095096759E-2</c:v>
                </c:pt>
                <c:pt idx="6">
                  <c:v>4.3253217141178135E-2</c:v>
                </c:pt>
                <c:pt idx="7">
                  <c:v>4.414790011757129E-2</c:v>
                </c:pt>
                <c:pt idx="8">
                  <c:v>4.6067807171932963E-2</c:v>
                </c:pt>
                <c:pt idx="9">
                  <c:v>4.8892311374897669E-2</c:v>
                </c:pt>
                <c:pt idx="10">
                  <c:v>5.2475545224796853E-2</c:v>
                </c:pt>
                <c:pt idx="11">
                  <c:v>5.6673777559023315E-2</c:v>
                </c:pt>
                <c:pt idx="12">
                  <c:v>6.1360905795871459E-2</c:v>
                </c:pt>
                <c:pt idx="13">
                  <c:v>6.6433530227439905E-2</c:v>
                </c:pt>
                <c:pt idx="14">
                  <c:v>7.181000346734942E-2</c:v>
                </c:pt>
              </c:numCache>
            </c:numRef>
          </c:xVal>
          <c:yVal>
            <c:numRef>
              <c:f>'WIENER-PORTFOLIO'!$E$39:$E$53</c:f>
              <c:numCache>
                <c:formatCode>0.000000</c:formatCode>
                <c:ptCount val="15"/>
                <c:pt idx="0">
                  <c:v>6.9087710418987754E-3</c:v>
                </c:pt>
                <c:pt idx="1">
                  <c:v>7.2677222164330597E-3</c:v>
                </c:pt>
                <c:pt idx="2">
                  <c:v>7.6266733909673423E-3</c:v>
                </c:pt>
                <c:pt idx="3">
                  <c:v>7.9856245655016249E-3</c:v>
                </c:pt>
                <c:pt idx="4">
                  <c:v>8.3445757400359092E-3</c:v>
                </c:pt>
                <c:pt idx="5">
                  <c:v>8.7035269145701918E-3</c:v>
                </c:pt>
                <c:pt idx="6">
                  <c:v>9.0624780891044761E-3</c:v>
                </c:pt>
                <c:pt idx="7">
                  <c:v>9.4214292636387587E-3</c:v>
                </c:pt>
                <c:pt idx="8">
                  <c:v>9.7803804381730412E-3</c:v>
                </c:pt>
                <c:pt idx="9">
                  <c:v>1.0139331612707326E-2</c:v>
                </c:pt>
                <c:pt idx="10">
                  <c:v>1.049828278724161E-2</c:v>
                </c:pt>
                <c:pt idx="11">
                  <c:v>1.0857233961775891E-2</c:v>
                </c:pt>
                <c:pt idx="12">
                  <c:v>1.1216185136310173E-2</c:v>
                </c:pt>
                <c:pt idx="13">
                  <c:v>1.1575136310844458E-2</c:v>
                </c:pt>
                <c:pt idx="14">
                  <c:v>1.1934087485378742E-2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957-4F3B-B293-D8BEAD8074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0994687"/>
        <c:axId val="920995167"/>
      </c:scatterChart>
      <c:valAx>
        <c:axId val="9209946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SRA-RISK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95167"/>
        <c:crosses val="autoZero"/>
        <c:crossBetween val="midCat"/>
      </c:valAx>
      <c:valAx>
        <c:axId val="920995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 E[SRA-RET]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09946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xVal>
            <c:numRef>
              <c:f>'ITO-PORTFOLIO'!$D$39:$D$53</c:f>
              <c:numCache>
                <c:formatCode>0.000000</c:formatCode>
                <c:ptCount val="15"/>
                <c:pt idx="0">
                  <c:v>5.8282605861451425E-2</c:v>
                </c:pt>
                <c:pt idx="1">
                  <c:v>5.3898066301762831E-2</c:v>
                </c:pt>
                <c:pt idx="2">
                  <c:v>5.0081438050912169E-2</c:v>
                </c:pt>
                <c:pt idx="3">
                  <c:v>4.6971361535894263E-2</c:v>
                </c:pt>
                <c:pt idx="4">
                  <c:v>4.4715507969095299E-2</c:v>
                </c:pt>
                <c:pt idx="5">
                  <c:v>4.3447140095096759E-2</c:v>
                </c:pt>
                <c:pt idx="6">
                  <c:v>4.3253217141178135E-2</c:v>
                </c:pt>
                <c:pt idx="7">
                  <c:v>4.414790011757129E-2</c:v>
                </c:pt>
                <c:pt idx="8">
                  <c:v>4.6067807171932963E-2</c:v>
                </c:pt>
                <c:pt idx="9">
                  <c:v>4.8892311374897669E-2</c:v>
                </c:pt>
                <c:pt idx="10">
                  <c:v>5.2475545224796853E-2</c:v>
                </c:pt>
                <c:pt idx="11">
                  <c:v>5.6673777559023315E-2</c:v>
                </c:pt>
                <c:pt idx="12">
                  <c:v>6.1360905795871459E-2</c:v>
                </c:pt>
                <c:pt idx="13">
                  <c:v>6.6433530227439905E-2</c:v>
                </c:pt>
                <c:pt idx="14">
                  <c:v>7.181000346734942E-2</c:v>
                </c:pt>
              </c:numCache>
            </c:numRef>
          </c:xVal>
          <c:yVal>
            <c:numRef>
              <c:f>'ITO-PORTFOLIO'!$E$39:$E$53</c:f>
              <c:numCache>
                <c:formatCode>0.000000</c:formatCode>
                <c:ptCount val="15"/>
                <c:pt idx="0">
                  <c:v>5.7803968555593449E-3</c:v>
                </c:pt>
                <c:pt idx="1">
                  <c:v>6.0764975139515056E-3</c:v>
                </c:pt>
                <c:pt idx="2">
                  <c:v>6.3725981723436655E-3</c:v>
                </c:pt>
                <c:pt idx="3">
                  <c:v>6.6686988307358263E-3</c:v>
                </c:pt>
                <c:pt idx="4">
                  <c:v>6.9647994891279862E-3</c:v>
                </c:pt>
                <c:pt idx="5">
                  <c:v>7.2609001475201461E-3</c:v>
                </c:pt>
                <c:pt idx="6">
                  <c:v>7.5570008059123069E-3</c:v>
                </c:pt>
                <c:pt idx="7">
                  <c:v>7.8531014643044676E-3</c:v>
                </c:pt>
                <c:pt idx="8">
                  <c:v>8.1492021226966267E-3</c:v>
                </c:pt>
                <c:pt idx="9">
                  <c:v>8.4453027810887874E-3</c:v>
                </c:pt>
                <c:pt idx="10">
                  <c:v>8.7414034394809464E-3</c:v>
                </c:pt>
                <c:pt idx="11">
                  <c:v>9.0375040978731072E-3</c:v>
                </c:pt>
                <c:pt idx="12">
                  <c:v>9.3336047562652662E-3</c:v>
                </c:pt>
                <c:pt idx="13">
                  <c:v>9.629705414657427E-3</c:v>
                </c:pt>
                <c:pt idx="14">
                  <c:v>9.9258060730495878E-3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70-4DC6-BA69-487CC230A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190095"/>
        <c:axId val="136189615"/>
      </c:scatterChart>
      <c:valAx>
        <c:axId val="136190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 SRA-RISK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89615"/>
        <c:crosses val="autoZero"/>
        <c:crossBetween val="midCat"/>
      </c:valAx>
      <c:valAx>
        <c:axId val="136189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CA"/>
                  <a:t>E[SRA-RET]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19009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453</xdr:row>
      <xdr:rowOff>0</xdr:rowOff>
    </xdr:from>
    <xdr:to>
      <xdr:col>7</xdr:col>
      <xdr:colOff>381000</xdr:colOff>
      <xdr:row>453</xdr:row>
      <xdr:rowOff>0</xdr:rowOff>
    </xdr:to>
    <xdr:pic>
      <xdr:nvPicPr>
        <xdr:cNvPr id="46" name="Picture 1">
          <a:extLst>
            <a:ext uri="{FF2B5EF4-FFF2-40B4-BE49-F238E27FC236}">
              <a16:creationId xmlns:a16="http://schemas.microsoft.com/office/drawing/2014/main" id="{3376F8C7-58F9-47BC-A61F-3992674924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69037200"/>
          <a:ext cx="3810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453</xdr:row>
      <xdr:rowOff>0</xdr:rowOff>
    </xdr:from>
    <xdr:to>
      <xdr:col>8</xdr:col>
      <xdr:colOff>152400</xdr:colOff>
      <xdr:row>453</xdr:row>
      <xdr:rowOff>0</xdr:rowOff>
    </xdr:to>
    <xdr:pic>
      <xdr:nvPicPr>
        <xdr:cNvPr id="47" name="Picture 2">
          <a:extLst>
            <a:ext uri="{FF2B5EF4-FFF2-40B4-BE49-F238E27FC236}">
              <a16:creationId xmlns:a16="http://schemas.microsoft.com/office/drawing/2014/main" id="{91044C0E-25B1-4D77-A216-BBC34C09A6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69037200"/>
          <a:ext cx="13081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7</xdr:col>
      <xdr:colOff>0</xdr:colOff>
      <xdr:row>454</xdr:row>
      <xdr:rowOff>0</xdr:rowOff>
    </xdr:from>
    <xdr:to>
      <xdr:col>8</xdr:col>
      <xdr:colOff>76200</xdr:colOff>
      <xdr:row>454</xdr:row>
      <xdr:rowOff>0</xdr:rowOff>
    </xdr:to>
    <xdr:pic>
      <xdr:nvPicPr>
        <xdr:cNvPr id="48" name="Picture 3">
          <a:extLst>
            <a:ext uri="{FF2B5EF4-FFF2-40B4-BE49-F238E27FC236}">
              <a16:creationId xmlns:a16="http://schemas.microsoft.com/office/drawing/2014/main" id="{0BF3DD87-3D8D-4CC8-B21D-C277B06A39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99400" y="69189600"/>
          <a:ext cx="1231900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205154</xdr:colOff>
      <xdr:row>10</xdr:row>
      <xdr:rowOff>93784</xdr:rowOff>
    </xdr:from>
    <xdr:to>
      <xdr:col>18</xdr:col>
      <xdr:colOff>295519</xdr:colOff>
      <xdr:row>25</xdr:row>
      <xdr:rowOff>89388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D57E9B-9239-9333-D433-A06253816B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313765</xdr:colOff>
      <xdr:row>23</xdr:row>
      <xdr:rowOff>47811</xdr:rowOff>
    </xdr:from>
    <xdr:to>
      <xdr:col>11</xdr:col>
      <xdr:colOff>597647</xdr:colOff>
      <xdr:row>37</xdr:row>
      <xdr:rowOff>176305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129D7F-13F5-3782-2270-D4419565BA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200025</xdr:colOff>
      <xdr:row>27</xdr:row>
      <xdr:rowOff>12700</xdr:rowOff>
    </xdr:from>
    <xdr:to>
      <xdr:col>12</xdr:col>
      <xdr:colOff>504825</xdr:colOff>
      <xdr:row>41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7E05BF-8C1B-D03E-3071-EE3814DC39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279199</xdr:colOff>
      <xdr:row>37</xdr:row>
      <xdr:rowOff>180622</xdr:rowOff>
    </xdr:from>
    <xdr:to>
      <xdr:col>13</xdr:col>
      <xdr:colOff>13104</xdr:colOff>
      <xdr:row>53</xdr:row>
      <xdr:rowOff>20965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BA8E88-FA59-07B7-49FE-E3C55467DB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215900</xdr:colOff>
      <xdr:row>38</xdr:row>
      <xdr:rowOff>107950</xdr:rowOff>
    </xdr:from>
    <xdr:to>
      <xdr:col>12</xdr:col>
      <xdr:colOff>520700</xdr:colOff>
      <xdr:row>52</xdr:row>
      <xdr:rowOff>184150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591140E-881C-7D5F-3FD7-19F75D9CC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anum\Downloads\ECO204_W7_Tutorial_Korn_EditedAjazProject1Demo2.xlsm" TargetMode="External"/><Relationship Id="rId1" Type="http://schemas.openxmlformats.org/officeDocument/2006/relationships/externalLinkPath" Target="file:///C:\Users\Hanum\Downloads\ECO204_W7_Tutorial_Korn_EditedAjazProject1Demo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"/>
      <sheetName val="1-FRED_DATA"/>
      <sheetName val="2-CRSP_DELL"/>
      <sheetName val="2-CRSP_NVDA"/>
      <sheetName val="2_CRSP_S&amp;P500"/>
      <sheetName val="3-GFIN_RAW"/>
      <sheetName val="3-GFIN_FILTERED"/>
      <sheetName val="4-MERGED-DATA"/>
      <sheetName val="MASTER-DATA-REF"/>
      <sheetName val="MASTER-DATA"/>
      <sheetName val="Summary-Stats"/>
      <sheetName val="STATS-PORTFOLIO"/>
      <sheetName val="SHRINKAGE-PORTFOLIO"/>
      <sheetName val="WIENER-PORTFOLIO"/>
      <sheetName val="ITO-PORTFOLIO"/>
      <sheetName val="PORTFOLIO-SUMMARY"/>
      <sheetName val="AJAZ_MASTER-DATA-CONSTRUCTION&gt;&gt;"/>
      <sheetName val="FRED 90-Day T-Bill Data"/>
      <sheetName val="CRSP-DATA"/>
      <sheetName val="Google-Finance-DELL"/>
      <sheetName val="Google-Finance-NVDA"/>
      <sheetName val="Raw Google"/>
      <sheetName val="SP500-MULTPL.COM"/>
      <sheetName val="MASTER-DATA-AJAZ"/>
      <sheetName val="For Explaining Calculation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1">
          <cell r="G61">
            <v>0.13963866896642033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fred.stlouisfed.org/series/DGS3MO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EC661-6A53-49CE-8FDC-FC0C2BEBED86}">
  <dimension ref="L6:M25"/>
  <sheetViews>
    <sheetView showGridLines="0" tabSelected="1" topLeftCell="A2" zoomScale="32" workbookViewId="0">
      <selection activeCell="L7" sqref="L7"/>
    </sheetView>
  </sheetViews>
  <sheetFormatPr defaultColWidth="10.1796875" defaultRowHeight="14.5"/>
  <cols>
    <col min="13" max="13" width="12.36328125" bestFit="1" customWidth="1"/>
  </cols>
  <sheetData>
    <row r="6" spans="12:13" ht="92">
      <c r="L6" s="221" t="s">
        <v>171</v>
      </c>
    </row>
    <row r="7" spans="12:13" ht="92">
      <c r="L7" s="222" t="s">
        <v>172</v>
      </c>
    </row>
    <row r="8" spans="12:13" ht="92">
      <c r="L8" s="221" t="s">
        <v>165</v>
      </c>
    </row>
    <row r="10" spans="12:13" ht="92">
      <c r="L10" s="222" t="s">
        <v>173</v>
      </c>
      <c r="M10" s="221"/>
    </row>
    <row r="12" spans="12:13" ht="92">
      <c r="L12" s="221" t="s">
        <v>174</v>
      </c>
    </row>
    <row r="14" spans="12:13" ht="92">
      <c r="L14" s="221" t="s">
        <v>166</v>
      </c>
    </row>
    <row r="15" spans="12:13" ht="92">
      <c r="M15" s="221" t="s">
        <v>167</v>
      </c>
    </row>
    <row r="17" spans="12:13" ht="92">
      <c r="M17" s="221" t="s">
        <v>168</v>
      </c>
    </row>
    <row r="19" spans="12:13" ht="92">
      <c r="M19" s="221" t="s">
        <v>169</v>
      </c>
    </row>
    <row r="21" spans="12:13" ht="92">
      <c r="M21" s="221" t="s">
        <v>170</v>
      </c>
    </row>
    <row r="23" spans="12:13" ht="92">
      <c r="L23" s="221"/>
    </row>
    <row r="25" spans="12:13" ht="92">
      <c r="L25" s="2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739BB9-F027-49F9-847C-89FE0F8AC245}">
  <dimension ref="A1:I810"/>
  <sheetViews>
    <sheetView topLeftCell="A224" zoomScale="58" workbookViewId="0">
      <selection activeCell="G5" sqref="G5"/>
    </sheetView>
  </sheetViews>
  <sheetFormatPr defaultRowHeight="14.5"/>
  <cols>
    <col min="1" max="1" width="27.90625" customWidth="1"/>
    <col min="2" max="2" width="27.81640625" bestFit="1" customWidth="1"/>
    <col min="3" max="3" width="16.453125" bestFit="1" customWidth="1"/>
    <col min="4" max="4" width="18.90625" bestFit="1" customWidth="1"/>
    <col min="5" max="5" width="32.81640625" bestFit="1" customWidth="1"/>
  </cols>
  <sheetData>
    <row r="1" spans="1:5">
      <c r="A1" s="1" t="s">
        <v>0</v>
      </c>
    </row>
    <row r="2" spans="1:5">
      <c r="A2" t="s">
        <v>1</v>
      </c>
      <c r="B2" t="s">
        <v>2</v>
      </c>
    </row>
    <row r="3" spans="1:5">
      <c r="A3" s="2" t="s">
        <v>3</v>
      </c>
      <c r="B3" t="s">
        <v>4</v>
      </c>
    </row>
    <row r="4" spans="1:5">
      <c r="A4" s="3">
        <v>29830</v>
      </c>
      <c r="B4" t="s">
        <v>162</v>
      </c>
    </row>
    <row r="5" spans="1:5">
      <c r="A5" t="s">
        <v>5</v>
      </c>
    </row>
    <row r="6" spans="1:5">
      <c r="A6" t="s">
        <v>6</v>
      </c>
    </row>
    <row r="7" spans="1:5">
      <c r="A7" s="4" t="s">
        <v>7</v>
      </c>
      <c r="B7" s="5"/>
      <c r="C7" s="6"/>
      <c r="D7" s="6"/>
      <c r="E7" s="6"/>
    </row>
    <row r="8" spans="1:5">
      <c r="A8" s="7"/>
      <c r="B8" s="5"/>
      <c r="C8" s="6"/>
      <c r="D8" s="6"/>
      <c r="E8" s="6"/>
    </row>
    <row r="9" spans="1:5">
      <c r="A9" s="7"/>
      <c r="B9" s="5"/>
      <c r="C9" s="8"/>
      <c r="D9" s="8"/>
      <c r="E9" s="8"/>
    </row>
    <row r="10" spans="1:5">
      <c r="A10" s="73" t="s">
        <v>8</v>
      </c>
      <c r="B10" s="74" t="s">
        <v>8</v>
      </c>
      <c r="C10" s="75"/>
      <c r="D10" s="17" t="s">
        <v>9</v>
      </c>
      <c r="E10" s="17" t="s">
        <v>10</v>
      </c>
    </row>
    <row r="11" spans="1:5">
      <c r="A11" s="15" t="s">
        <v>11</v>
      </c>
      <c r="B11" s="16" t="s">
        <v>12</v>
      </c>
      <c r="C11" s="17" t="s">
        <v>13</v>
      </c>
      <c r="D11" s="17" t="s">
        <v>14</v>
      </c>
      <c r="E11" s="17" t="s">
        <v>15</v>
      </c>
    </row>
    <row r="12" spans="1:5">
      <c r="A12" s="65">
        <v>29830</v>
      </c>
      <c r="B12" s="9">
        <v>15.61</v>
      </c>
      <c r="C12" s="10">
        <f>B12/100</f>
        <v>0.15609999999999999</v>
      </c>
      <c r="D12" s="11">
        <f>C12/2</f>
        <v>7.8049999999999994E-2</v>
      </c>
      <c r="E12" s="11">
        <f>(1+D12)^(1/6) - 1</f>
        <v>1.2604416680282338E-2</v>
      </c>
    </row>
    <row r="13" spans="1:5">
      <c r="A13" s="65">
        <v>29860</v>
      </c>
      <c r="B13" s="9">
        <v>14.23</v>
      </c>
      <c r="C13" s="10">
        <f t="shared" ref="C13:C76" si="0">B13/100</f>
        <v>0.14230000000000001</v>
      </c>
      <c r="D13" s="11">
        <f t="shared" ref="D13:D76" si="1">C13/2</f>
        <v>7.1150000000000005E-2</v>
      </c>
      <c r="E13" s="11">
        <f t="shared" ref="E13:E76" si="2">(1+D13)^(1/6) - 1</f>
        <v>1.1521338142445936E-2</v>
      </c>
    </row>
    <row r="14" spans="1:5">
      <c r="A14" s="65">
        <v>29891</v>
      </c>
      <c r="B14" s="9">
        <v>11.35</v>
      </c>
      <c r="C14" s="10">
        <f>B14/100</f>
        <v>0.11349999999999999</v>
      </c>
      <c r="D14" s="11">
        <f t="shared" si="1"/>
        <v>5.6749999999999995E-2</v>
      </c>
      <c r="E14" s="11">
        <f t="shared" si="2"/>
        <v>9.2421406575862175E-3</v>
      </c>
    </row>
    <row r="15" spans="1:5">
      <c r="A15" s="65">
        <v>29921</v>
      </c>
      <c r="B15" s="9">
        <v>11.32</v>
      </c>
      <c r="C15" s="10">
        <f t="shared" si="0"/>
        <v>0.11320000000000001</v>
      </c>
      <c r="D15" s="11">
        <f t="shared" si="1"/>
        <v>5.6600000000000004E-2</v>
      </c>
      <c r="E15" s="11">
        <f t="shared" si="2"/>
        <v>9.2182631596904319E-3</v>
      </c>
    </row>
    <row r="16" spans="1:5">
      <c r="A16" s="65">
        <v>29952</v>
      </c>
      <c r="B16" s="9">
        <v>12.92</v>
      </c>
      <c r="C16" s="10">
        <f t="shared" si="0"/>
        <v>0.12920000000000001</v>
      </c>
      <c r="D16" s="11">
        <f t="shared" si="1"/>
        <v>6.4600000000000005E-2</v>
      </c>
      <c r="E16" s="11">
        <f t="shared" si="2"/>
        <v>1.0487805795319716E-2</v>
      </c>
    </row>
    <row r="17" spans="1:5">
      <c r="A17" s="65">
        <v>29983</v>
      </c>
      <c r="B17" s="9">
        <v>14.28</v>
      </c>
      <c r="C17" s="10">
        <f t="shared" si="0"/>
        <v>0.14279999999999998</v>
      </c>
      <c r="D17" s="11">
        <f t="shared" si="1"/>
        <v>7.1399999999999991E-2</v>
      </c>
      <c r="E17" s="11">
        <f t="shared" si="2"/>
        <v>1.1560681487769564E-2</v>
      </c>
    </row>
    <row r="18" spans="1:5">
      <c r="A18" s="65">
        <v>30011</v>
      </c>
      <c r="B18" s="9">
        <v>13.31</v>
      </c>
      <c r="C18" s="10">
        <f t="shared" si="0"/>
        <v>0.1331</v>
      </c>
      <c r="D18" s="11">
        <f t="shared" si="1"/>
        <v>6.6549999999999998E-2</v>
      </c>
      <c r="E18" s="11">
        <f t="shared" si="2"/>
        <v>1.0796051311494637E-2</v>
      </c>
    </row>
    <row r="19" spans="1:5">
      <c r="A19" s="65">
        <v>30042</v>
      </c>
      <c r="B19" s="9">
        <v>13.34</v>
      </c>
      <c r="C19" s="10">
        <f t="shared" si="0"/>
        <v>0.13339999999999999</v>
      </c>
      <c r="D19" s="11">
        <f t="shared" si="1"/>
        <v>6.6699999999999995E-2</v>
      </c>
      <c r="E19" s="11">
        <f t="shared" si="2"/>
        <v>1.081974304708111E-2</v>
      </c>
    </row>
    <row r="20" spans="1:5">
      <c r="A20" s="65">
        <v>30072</v>
      </c>
      <c r="B20" s="9">
        <v>12.71</v>
      </c>
      <c r="C20" s="10">
        <f t="shared" si="0"/>
        <v>0.12710000000000002</v>
      </c>
      <c r="D20" s="11">
        <f t="shared" si="1"/>
        <v>6.3550000000000009E-2</v>
      </c>
      <c r="E20" s="11">
        <f t="shared" si="2"/>
        <v>1.0321632508849543E-2</v>
      </c>
    </row>
    <row r="21" spans="1:5">
      <c r="A21" s="65">
        <v>30103</v>
      </c>
      <c r="B21" s="9">
        <v>13.08</v>
      </c>
      <c r="C21" s="10">
        <f t="shared" si="0"/>
        <v>0.1308</v>
      </c>
      <c r="D21" s="11">
        <f t="shared" si="1"/>
        <v>6.54E-2</v>
      </c>
      <c r="E21" s="11">
        <f t="shared" si="2"/>
        <v>1.0614322366246709E-2</v>
      </c>
    </row>
    <row r="22" spans="1:5">
      <c r="A22" s="65">
        <v>30133</v>
      </c>
      <c r="B22" s="9">
        <v>11.86</v>
      </c>
      <c r="C22" s="10">
        <f t="shared" si="0"/>
        <v>0.1186</v>
      </c>
      <c r="D22" s="11">
        <f t="shared" si="1"/>
        <v>5.9299999999999999E-2</v>
      </c>
      <c r="E22" s="11">
        <f t="shared" si="2"/>
        <v>9.6476266125009591E-3</v>
      </c>
    </row>
    <row r="23" spans="1:5">
      <c r="A23" s="65">
        <v>30164</v>
      </c>
      <c r="B23" s="9">
        <v>9</v>
      </c>
      <c r="C23" s="10">
        <f t="shared" si="0"/>
        <v>0.09</v>
      </c>
      <c r="D23" s="11">
        <f t="shared" si="1"/>
        <v>4.4999999999999998E-2</v>
      </c>
      <c r="E23" s="11">
        <f t="shared" si="2"/>
        <v>7.3631230250030821E-3</v>
      </c>
    </row>
    <row r="24" spans="1:5">
      <c r="A24" s="65">
        <v>30195</v>
      </c>
      <c r="B24" s="9">
        <v>8.19</v>
      </c>
      <c r="C24" s="10">
        <f t="shared" si="0"/>
        <v>8.1900000000000001E-2</v>
      </c>
      <c r="D24" s="11">
        <f t="shared" si="1"/>
        <v>4.095E-2</v>
      </c>
      <c r="E24" s="11">
        <f t="shared" si="2"/>
        <v>6.7113806769913964E-3</v>
      </c>
    </row>
    <row r="25" spans="1:5">
      <c r="A25" s="65">
        <v>30225</v>
      </c>
      <c r="B25" s="9">
        <v>7.97</v>
      </c>
      <c r="C25" s="10">
        <f t="shared" si="0"/>
        <v>7.9699999999999993E-2</v>
      </c>
      <c r="D25" s="11">
        <f t="shared" si="1"/>
        <v>3.9849999999999997E-2</v>
      </c>
      <c r="E25" s="11">
        <f t="shared" si="2"/>
        <v>6.5339993718345202E-3</v>
      </c>
    </row>
    <row r="26" spans="1:5">
      <c r="A26" s="65">
        <v>30256</v>
      </c>
      <c r="B26" s="9">
        <v>8.35</v>
      </c>
      <c r="C26" s="10">
        <f t="shared" si="0"/>
        <v>8.3499999999999991E-2</v>
      </c>
      <c r="D26" s="11">
        <f t="shared" si="1"/>
        <v>4.1749999999999995E-2</v>
      </c>
      <c r="E26" s="11">
        <f t="shared" si="2"/>
        <v>6.840287177471982E-3</v>
      </c>
    </row>
    <row r="27" spans="1:5">
      <c r="A27" s="65">
        <v>30286</v>
      </c>
      <c r="B27" s="9">
        <v>8.1999999999999993</v>
      </c>
      <c r="C27" s="10">
        <f t="shared" si="0"/>
        <v>8.199999999999999E-2</v>
      </c>
      <c r="D27" s="11">
        <f t="shared" si="1"/>
        <v>4.0999999999999995E-2</v>
      </c>
      <c r="E27" s="11">
        <f t="shared" si="2"/>
        <v>6.7194397515000226E-3</v>
      </c>
    </row>
    <row r="28" spans="1:5">
      <c r="A28" s="65">
        <v>30317</v>
      </c>
      <c r="B28" s="9">
        <v>8.1199999999999992</v>
      </c>
      <c r="C28" s="10">
        <f t="shared" si="0"/>
        <v>8.1199999999999994E-2</v>
      </c>
      <c r="D28" s="11">
        <f t="shared" si="1"/>
        <v>4.0599999999999997E-2</v>
      </c>
      <c r="E28" s="11">
        <f t="shared" si="2"/>
        <v>6.6549581212806963E-3</v>
      </c>
    </row>
    <row r="29" spans="1:5">
      <c r="A29" s="65">
        <v>30348</v>
      </c>
      <c r="B29" s="9">
        <v>8.39</v>
      </c>
      <c r="C29" s="10">
        <f t="shared" si="0"/>
        <v>8.3900000000000002E-2</v>
      </c>
      <c r="D29" s="11">
        <f t="shared" si="1"/>
        <v>4.1950000000000001E-2</v>
      </c>
      <c r="E29" s="11">
        <f t="shared" si="2"/>
        <v>6.8725009125603087E-3</v>
      </c>
    </row>
    <row r="30" spans="1:5">
      <c r="A30" s="65">
        <v>30376</v>
      </c>
      <c r="B30" s="9">
        <v>8.66</v>
      </c>
      <c r="C30" s="10">
        <f t="shared" si="0"/>
        <v>8.6599999999999996E-2</v>
      </c>
      <c r="D30" s="11">
        <f t="shared" si="1"/>
        <v>4.3299999999999998E-2</v>
      </c>
      <c r="E30" s="11">
        <f t="shared" si="2"/>
        <v>7.089808948176568E-3</v>
      </c>
    </row>
    <row r="31" spans="1:5">
      <c r="A31" s="65">
        <v>30407</v>
      </c>
      <c r="B31" s="9">
        <v>8.51</v>
      </c>
      <c r="C31" s="10">
        <f t="shared" si="0"/>
        <v>8.5099999999999995E-2</v>
      </c>
      <c r="D31" s="11">
        <f t="shared" si="1"/>
        <v>4.2549999999999998E-2</v>
      </c>
      <c r="E31" s="11">
        <f t="shared" si="2"/>
        <v>6.9691112107705955E-3</v>
      </c>
    </row>
    <row r="32" spans="1:5">
      <c r="A32" s="65">
        <v>30437</v>
      </c>
      <c r="B32" s="9">
        <v>8.5</v>
      </c>
      <c r="C32" s="10">
        <f t="shared" si="0"/>
        <v>8.5000000000000006E-2</v>
      </c>
      <c r="D32" s="11">
        <f t="shared" si="1"/>
        <v>4.2500000000000003E-2</v>
      </c>
      <c r="E32" s="11">
        <f t="shared" si="2"/>
        <v>6.9610621225244529E-3</v>
      </c>
    </row>
    <row r="33" spans="1:5">
      <c r="A33" s="65">
        <v>30468</v>
      </c>
      <c r="B33" s="9">
        <v>9.14</v>
      </c>
      <c r="C33" s="10">
        <f t="shared" si="0"/>
        <v>9.1400000000000009E-2</v>
      </c>
      <c r="D33" s="11">
        <f t="shared" si="1"/>
        <v>4.5700000000000005E-2</v>
      </c>
      <c r="E33" s="11">
        <f t="shared" si="2"/>
        <v>7.4755564306294708E-3</v>
      </c>
    </row>
    <row r="34" spans="1:5">
      <c r="A34" s="65">
        <v>30498</v>
      </c>
      <c r="B34" s="9">
        <v>9.4499999999999993</v>
      </c>
      <c r="C34" s="10">
        <f t="shared" si="0"/>
        <v>9.4499999999999987E-2</v>
      </c>
      <c r="D34" s="11">
        <f t="shared" si="1"/>
        <v>4.7249999999999993E-2</v>
      </c>
      <c r="E34" s="11">
        <f t="shared" si="2"/>
        <v>7.7242930879743987E-3</v>
      </c>
    </row>
    <row r="35" spans="1:5">
      <c r="A35" s="65">
        <v>30529</v>
      </c>
      <c r="B35" s="9">
        <v>9.74</v>
      </c>
      <c r="C35" s="10">
        <f t="shared" si="0"/>
        <v>9.74E-2</v>
      </c>
      <c r="D35" s="11">
        <f t="shared" si="1"/>
        <v>4.87E-2</v>
      </c>
      <c r="E35" s="11">
        <f t="shared" si="2"/>
        <v>7.9567046356434634E-3</v>
      </c>
    </row>
    <row r="36" spans="1:5">
      <c r="A36" s="65">
        <v>30560</v>
      </c>
      <c r="B36" s="9">
        <v>9.36</v>
      </c>
      <c r="C36" s="10">
        <f t="shared" si="0"/>
        <v>9.3599999999999989E-2</v>
      </c>
      <c r="D36" s="11">
        <f t="shared" si="1"/>
        <v>4.6799999999999994E-2</v>
      </c>
      <c r="E36" s="11">
        <f t="shared" si="2"/>
        <v>7.6521108418212691E-3</v>
      </c>
    </row>
    <row r="37" spans="1:5">
      <c r="A37" s="65">
        <v>30590</v>
      </c>
      <c r="B37" s="9">
        <v>8.99</v>
      </c>
      <c r="C37" s="10">
        <f t="shared" si="0"/>
        <v>8.9900000000000008E-2</v>
      </c>
      <c r="D37" s="11">
        <f t="shared" si="1"/>
        <v>4.4950000000000004E-2</v>
      </c>
      <c r="E37" s="11">
        <f t="shared" si="2"/>
        <v>7.3550896660987686E-3</v>
      </c>
    </row>
    <row r="38" spans="1:5">
      <c r="A38" s="65">
        <v>30621</v>
      </c>
      <c r="B38" s="9">
        <v>9.11</v>
      </c>
      <c r="C38" s="10">
        <f t="shared" si="0"/>
        <v>9.11E-2</v>
      </c>
      <c r="D38" s="11">
        <f t="shared" si="1"/>
        <v>4.555E-2</v>
      </c>
      <c r="E38" s="11">
        <f t="shared" si="2"/>
        <v>7.4514688391333905E-3</v>
      </c>
    </row>
    <row r="39" spans="1:5">
      <c r="A39" s="65">
        <v>30651</v>
      </c>
      <c r="B39" s="9">
        <v>9.36</v>
      </c>
      <c r="C39" s="10">
        <f t="shared" si="0"/>
        <v>9.3599999999999989E-2</v>
      </c>
      <c r="D39" s="11">
        <f t="shared" si="1"/>
        <v>4.6799999999999994E-2</v>
      </c>
      <c r="E39" s="11">
        <f t="shared" si="2"/>
        <v>7.6521108418212691E-3</v>
      </c>
    </row>
    <row r="40" spans="1:5">
      <c r="A40" s="65">
        <v>30682</v>
      </c>
      <c r="B40" s="9">
        <v>9.26</v>
      </c>
      <c r="C40" s="10">
        <f t="shared" si="0"/>
        <v>9.2600000000000002E-2</v>
      </c>
      <c r="D40" s="11">
        <f t="shared" si="1"/>
        <v>4.6300000000000001E-2</v>
      </c>
      <c r="E40" s="11">
        <f t="shared" si="2"/>
        <v>7.571878012281319E-3</v>
      </c>
    </row>
    <row r="41" spans="1:5">
      <c r="A41" s="65">
        <v>30713</v>
      </c>
      <c r="B41" s="9">
        <v>9.4600000000000009</v>
      </c>
      <c r="C41" s="10">
        <f t="shared" si="0"/>
        <v>9.4600000000000004E-2</v>
      </c>
      <c r="D41" s="11">
        <f t="shared" si="1"/>
        <v>4.7300000000000002E-2</v>
      </c>
      <c r="E41" s="11">
        <f t="shared" si="2"/>
        <v>7.7323117419620946E-3</v>
      </c>
    </row>
    <row r="42" spans="1:5">
      <c r="A42" s="65">
        <v>30742</v>
      </c>
      <c r="B42" s="9">
        <v>9.89</v>
      </c>
      <c r="C42" s="10">
        <f t="shared" si="0"/>
        <v>9.8900000000000002E-2</v>
      </c>
      <c r="D42" s="11">
        <f t="shared" si="1"/>
        <v>4.9450000000000001E-2</v>
      </c>
      <c r="E42" s="11">
        <f t="shared" si="2"/>
        <v>8.07681244493752E-3</v>
      </c>
    </row>
    <row r="43" spans="1:5">
      <c r="A43" s="65">
        <v>30773</v>
      </c>
      <c r="B43" s="9">
        <v>10.07</v>
      </c>
      <c r="C43" s="10">
        <f t="shared" si="0"/>
        <v>0.1007</v>
      </c>
      <c r="D43" s="11">
        <f t="shared" si="1"/>
        <v>5.0349999999999999E-2</v>
      </c>
      <c r="E43" s="11">
        <f t="shared" si="2"/>
        <v>8.2208474325495828E-3</v>
      </c>
    </row>
    <row r="44" spans="1:5">
      <c r="A44" s="65">
        <v>30803</v>
      </c>
      <c r="B44" s="9">
        <v>10.220000000000001</v>
      </c>
      <c r="C44" s="10">
        <f t="shared" si="0"/>
        <v>0.10220000000000001</v>
      </c>
      <c r="D44" s="11">
        <f t="shared" si="1"/>
        <v>5.1100000000000007E-2</v>
      </c>
      <c r="E44" s="11">
        <f t="shared" si="2"/>
        <v>8.3407980457403941E-3</v>
      </c>
    </row>
    <row r="45" spans="1:5">
      <c r="A45" s="65">
        <v>30834</v>
      </c>
      <c r="B45" s="9">
        <v>10.26</v>
      </c>
      <c r="C45" s="10">
        <f t="shared" si="0"/>
        <v>0.1026</v>
      </c>
      <c r="D45" s="11">
        <f t="shared" si="1"/>
        <v>5.1299999999999998E-2</v>
      </c>
      <c r="E45" s="11">
        <f t="shared" si="2"/>
        <v>8.3727728297458004E-3</v>
      </c>
    </row>
    <row r="46" spans="1:5">
      <c r="A46" s="65">
        <v>30864</v>
      </c>
      <c r="B46" s="9">
        <v>10.53</v>
      </c>
      <c r="C46" s="10">
        <f t="shared" si="0"/>
        <v>0.10529999999999999</v>
      </c>
      <c r="D46" s="11">
        <f t="shared" si="1"/>
        <v>5.2649999999999995E-2</v>
      </c>
      <c r="E46" s="11">
        <f t="shared" si="2"/>
        <v>8.5884701325418256E-3</v>
      </c>
    </row>
    <row r="47" spans="1:5">
      <c r="A47" s="65">
        <v>30895</v>
      </c>
      <c r="B47" s="9">
        <v>10.9</v>
      </c>
      <c r="C47" s="10">
        <f t="shared" si="0"/>
        <v>0.109</v>
      </c>
      <c r="D47" s="11">
        <f t="shared" si="1"/>
        <v>5.45E-2</v>
      </c>
      <c r="E47" s="11">
        <f t="shared" si="2"/>
        <v>8.8836812322397041E-3</v>
      </c>
    </row>
    <row r="48" spans="1:5">
      <c r="A48" s="65">
        <v>30926</v>
      </c>
      <c r="B48" s="9">
        <v>10.8</v>
      </c>
      <c r="C48" s="10">
        <f t="shared" si="0"/>
        <v>0.10800000000000001</v>
      </c>
      <c r="D48" s="11">
        <f t="shared" si="1"/>
        <v>5.4000000000000006E-2</v>
      </c>
      <c r="E48" s="11">
        <f t="shared" si="2"/>
        <v>8.8039370359296321E-3</v>
      </c>
    </row>
    <row r="49" spans="1:5">
      <c r="A49" s="65">
        <v>30956</v>
      </c>
      <c r="B49" s="9">
        <v>10.119999999999999</v>
      </c>
      <c r="C49" s="10">
        <f t="shared" si="0"/>
        <v>0.1012</v>
      </c>
      <c r="D49" s="11">
        <f t="shared" si="1"/>
        <v>5.0599999999999999E-2</v>
      </c>
      <c r="E49" s="11">
        <f t="shared" si="2"/>
        <v>8.2608388986240566E-3</v>
      </c>
    </row>
    <row r="50" spans="1:5">
      <c r="A50" s="65">
        <v>30987</v>
      </c>
      <c r="B50" s="9">
        <v>8.92</v>
      </c>
      <c r="C50" s="10">
        <f t="shared" si="0"/>
        <v>8.9200000000000002E-2</v>
      </c>
      <c r="D50" s="11">
        <f t="shared" si="1"/>
        <v>4.4600000000000001E-2</v>
      </c>
      <c r="E50" s="11">
        <f t="shared" si="2"/>
        <v>7.2988471829238399E-3</v>
      </c>
    </row>
    <row r="51" spans="1:5">
      <c r="A51" s="65">
        <v>31017</v>
      </c>
      <c r="B51" s="9">
        <v>8.34</v>
      </c>
      <c r="C51" s="10">
        <f t="shared" si="0"/>
        <v>8.3400000000000002E-2</v>
      </c>
      <c r="D51" s="11">
        <f t="shared" si="1"/>
        <v>4.1700000000000001E-2</v>
      </c>
      <c r="E51" s="11">
        <f t="shared" si="2"/>
        <v>6.832232938427385E-3</v>
      </c>
    </row>
    <row r="52" spans="1:5">
      <c r="A52" s="65">
        <v>31048</v>
      </c>
      <c r="B52" s="9">
        <v>8.02</v>
      </c>
      <c r="C52" s="10">
        <f t="shared" si="0"/>
        <v>8.0199999999999994E-2</v>
      </c>
      <c r="D52" s="11">
        <f t="shared" si="1"/>
        <v>4.0099999999999997E-2</v>
      </c>
      <c r="E52" s="11">
        <f t="shared" si="2"/>
        <v>6.5743270306690693E-3</v>
      </c>
    </row>
    <row r="53" spans="1:5">
      <c r="A53" s="65">
        <v>31079</v>
      </c>
      <c r="B53" s="9">
        <v>8.56</v>
      </c>
      <c r="C53" s="10">
        <f t="shared" si="0"/>
        <v>8.5600000000000009E-2</v>
      </c>
      <c r="D53" s="11">
        <f t="shared" si="1"/>
        <v>4.2800000000000005E-2</v>
      </c>
      <c r="E53" s="11">
        <f t="shared" si="2"/>
        <v>7.0093518273022237E-3</v>
      </c>
    </row>
    <row r="54" spans="1:5">
      <c r="A54" s="65">
        <v>31107</v>
      </c>
      <c r="B54" s="9">
        <v>8.83</v>
      </c>
      <c r="C54" s="10">
        <f t="shared" si="0"/>
        <v>8.8300000000000003E-2</v>
      </c>
      <c r="D54" s="11">
        <f t="shared" si="1"/>
        <v>4.4150000000000002E-2</v>
      </c>
      <c r="E54" s="11">
        <f t="shared" si="2"/>
        <v>7.2265123394830155E-3</v>
      </c>
    </row>
    <row r="55" spans="1:5">
      <c r="A55" s="65">
        <v>31138</v>
      </c>
      <c r="B55" s="9">
        <v>8.2200000000000006</v>
      </c>
      <c r="C55" s="10">
        <f t="shared" si="0"/>
        <v>8.2200000000000009E-2</v>
      </c>
      <c r="D55" s="11">
        <f t="shared" si="1"/>
        <v>4.1100000000000005E-2</v>
      </c>
      <c r="E55" s="11">
        <f t="shared" si="2"/>
        <v>6.7355569328568787E-3</v>
      </c>
    </row>
    <row r="56" spans="1:5">
      <c r="A56" s="65">
        <v>31168</v>
      </c>
      <c r="B56" s="9">
        <v>7.73</v>
      </c>
      <c r="C56" s="10">
        <f t="shared" si="0"/>
        <v>7.7300000000000008E-2</v>
      </c>
      <c r="D56" s="11">
        <f t="shared" si="1"/>
        <v>3.8650000000000004E-2</v>
      </c>
      <c r="E56" s="11">
        <f t="shared" si="2"/>
        <v>6.3403140669637814E-3</v>
      </c>
    </row>
    <row r="57" spans="1:5">
      <c r="A57" s="65">
        <v>31199</v>
      </c>
      <c r="B57" s="9">
        <v>7.18</v>
      </c>
      <c r="C57" s="10">
        <f t="shared" si="0"/>
        <v>7.1800000000000003E-2</v>
      </c>
      <c r="D57" s="11">
        <f t="shared" si="1"/>
        <v>3.5900000000000001E-2</v>
      </c>
      <c r="E57" s="11">
        <f t="shared" si="2"/>
        <v>5.8957475890335509E-3</v>
      </c>
    </row>
    <row r="58" spans="1:5">
      <c r="A58" s="65">
        <v>31229</v>
      </c>
      <c r="B58" s="9">
        <v>7.32</v>
      </c>
      <c r="C58" s="10">
        <f t="shared" si="0"/>
        <v>7.3200000000000001E-2</v>
      </c>
      <c r="D58" s="11">
        <f t="shared" si="1"/>
        <v>3.6600000000000001E-2</v>
      </c>
      <c r="E58" s="11">
        <f t="shared" si="2"/>
        <v>6.0090031883590633E-3</v>
      </c>
    </row>
    <row r="59" spans="1:5">
      <c r="A59" s="65">
        <v>31260</v>
      </c>
      <c r="B59" s="9">
        <v>7.37</v>
      </c>
      <c r="C59" s="10">
        <f t="shared" si="0"/>
        <v>7.3700000000000002E-2</v>
      </c>
      <c r="D59" s="11">
        <f t="shared" si="1"/>
        <v>3.6850000000000001E-2</v>
      </c>
      <c r="E59" s="11">
        <f t="shared" si="2"/>
        <v>6.0494361714074074E-3</v>
      </c>
    </row>
    <row r="60" spans="1:5">
      <c r="A60" s="65">
        <v>31291</v>
      </c>
      <c r="B60" s="9">
        <v>7.33</v>
      </c>
      <c r="C60" s="10">
        <f t="shared" si="0"/>
        <v>7.3300000000000004E-2</v>
      </c>
      <c r="D60" s="11">
        <f t="shared" si="1"/>
        <v>3.6650000000000002E-2</v>
      </c>
      <c r="E60" s="11">
        <f t="shared" si="2"/>
        <v>6.017090435008754E-3</v>
      </c>
    </row>
    <row r="61" spans="1:5">
      <c r="A61" s="65">
        <v>31321</v>
      </c>
      <c r="B61" s="9">
        <v>7.4</v>
      </c>
      <c r="C61" s="10">
        <f t="shared" si="0"/>
        <v>7.400000000000001E-2</v>
      </c>
      <c r="D61" s="11">
        <f t="shared" si="1"/>
        <v>3.7000000000000005E-2</v>
      </c>
      <c r="E61" s="11">
        <f t="shared" si="2"/>
        <v>6.0736920618000845E-3</v>
      </c>
    </row>
    <row r="62" spans="1:5">
      <c r="A62" s="65">
        <v>31352</v>
      </c>
      <c r="B62" s="9">
        <v>7.48</v>
      </c>
      <c r="C62" s="10">
        <f t="shared" si="0"/>
        <v>7.4800000000000005E-2</v>
      </c>
      <c r="D62" s="11">
        <f t="shared" si="1"/>
        <v>3.7400000000000003E-2</v>
      </c>
      <c r="E62" s="11">
        <f t="shared" si="2"/>
        <v>6.1383601449873648E-3</v>
      </c>
    </row>
    <row r="63" spans="1:5">
      <c r="A63" s="65">
        <v>31382</v>
      </c>
      <c r="B63" s="9">
        <v>7.33</v>
      </c>
      <c r="C63" s="10">
        <f t="shared" si="0"/>
        <v>7.3300000000000004E-2</v>
      </c>
      <c r="D63" s="11">
        <f t="shared" si="1"/>
        <v>3.6650000000000002E-2</v>
      </c>
      <c r="E63" s="11">
        <f t="shared" si="2"/>
        <v>6.017090435008754E-3</v>
      </c>
    </row>
    <row r="64" spans="1:5">
      <c r="A64" s="65">
        <v>31413</v>
      </c>
      <c r="B64" s="9">
        <v>7.3</v>
      </c>
      <c r="C64" s="10">
        <f t="shared" si="0"/>
        <v>7.2999999999999995E-2</v>
      </c>
      <c r="D64" s="11">
        <f t="shared" si="1"/>
        <v>3.6499999999999998E-2</v>
      </c>
      <c r="E64" s="11">
        <f t="shared" si="2"/>
        <v>5.9928277197980329E-3</v>
      </c>
    </row>
    <row r="65" spans="1:5">
      <c r="A65" s="65">
        <v>31444</v>
      </c>
      <c r="B65" s="9">
        <v>7.29</v>
      </c>
      <c r="C65" s="10">
        <f t="shared" si="0"/>
        <v>7.2900000000000006E-2</v>
      </c>
      <c r="D65" s="11">
        <f t="shared" si="1"/>
        <v>3.6450000000000003E-2</v>
      </c>
      <c r="E65" s="11">
        <f t="shared" si="2"/>
        <v>5.9847394978294055E-3</v>
      </c>
    </row>
    <row r="66" spans="1:5">
      <c r="A66" s="65">
        <v>31472</v>
      </c>
      <c r="B66" s="9">
        <v>6.76</v>
      </c>
      <c r="C66" s="10">
        <f t="shared" si="0"/>
        <v>6.7599999999999993E-2</v>
      </c>
      <c r="D66" s="11">
        <f t="shared" si="1"/>
        <v>3.3799999999999997E-2</v>
      </c>
      <c r="E66" s="11">
        <f t="shared" si="2"/>
        <v>5.5555977094692288E-3</v>
      </c>
    </row>
    <row r="67" spans="1:5">
      <c r="A67" s="65">
        <v>31503</v>
      </c>
      <c r="B67" s="9">
        <v>6.24</v>
      </c>
      <c r="C67" s="10">
        <f t="shared" si="0"/>
        <v>6.2400000000000004E-2</v>
      </c>
      <c r="D67" s="11">
        <f t="shared" si="1"/>
        <v>3.1200000000000002E-2</v>
      </c>
      <c r="E67" s="11">
        <f t="shared" si="2"/>
        <v>5.1336610864956E-3</v>
      </c>
    </row>
    <row r="68" spans="1:5">
      <c r="A68" s="65">
        <v>31533</v>
      </c>
      <c r="B68" s="9">
        <v>6.33</v>
      </c>
      <c r="C68" s="10">
        <f t="shared" si="0"/>
        <v>6.3299999999999995E-2</v>
      </c>
      <c r="D68" s="11">
        <f t="shared" si="1"/>
        <v>3.1649999999999998E-2</v>
      </c>
      <c r="E68" s="11">
        <f t="shared" si="2"/>
        <v>5.2067519720686573E-3</v>
      </c>
    </row>
    <row r="69" spans="1:5">
      <c r="A69" s="65">
        <v>31564</v>
      </c>
      <c r="B69" s="9">
        <v>6.4</v>
      </c>
      <c r="C69" s="10">
        <f t="shared" si="0"/>
        <v>6.4000000000000001E-2</v>
      </c>
      <c r="D69" s="11">
        <f t="shared" si="1"/>
        <v>3.2000000000000001E-2</v>
      </c>
      <c r="E69" s="11">
        <f t="shared" si="2"/>
        <v>5.2635820727378047E-3</v>
      </c>
    </row>
    <row r="70" spans="1:5">
      <c r="A70" s="65">
        <v>31594</v>
      </c>
      <c r="B70" s="9">
        <v>6</v>
      </c>
      <c r="C70" s="10">
        <f t="shared" si="0"/>
        <v>0.06</v>
      </c>
      <c r="D70" s="11">
        <f t="shared" si="1"/>
        <v>0.03</v>
      </c>
      <c r="E70" s="11">
        <f t="shared" si="2"/>
        <v>4.938622031196882E-3</v>
      </c>
    </row>
    <row r="71" spans="1:5">
      <c r="A71" s="65">
        <v>31625</v>
      </c>
      <c r="B71" s="9">
        <v>5.69</v>
      </c>
      <c r="C71" s="10">
        <f t="shared" si="0"/>
        <v>5.6900000000000006E-2</v>
      </c>
      <c r="D71" s="11">
        <f t="shared" si="1"/>
        <v>2.8450000000000003E-2</v>
      </c>
      <c r="E71" s="11">
        <f t="shared" si="2"/>
        <v>4.6864161334323473E-3</v>
      </c>
    </row>
    <row r="72" spans="1:5">
      <c r="A72" s="65">
        <v>31656</v>
      </c>
      <c r="B72" s="9">
        <v>5.35</v>
      </c>
      <c r="C72" s="10">
        <f t="shared" si="0"/>
        <v>5.3499999999999999E-2</v>
      </c>
      <c r="D72" s="11">
        <f t="shared" si="1"/>
        <v>2.6749999999999999E-2</v>
      </c>
      <c r="E72" s="11">
        <f t="shared" si="2"/>
        <v>4.4094387337794139E-3</v>
      </c>
    </row>
    <row r="73" spans="1:5">
      <c r="A73" s="65">
        <v>31686</v>
      </c>
      <c r="B73" s="9">
        <v>5.32</v>
      </c>
      <c r="C73" s="10">
        <f t="shared" si="0"/>
        <v>5.3200000000000004E-2</v>
      </c>
      <c r="D73" s="11">
        <f t="shared" si="1"/>
        <v>2.6600000000000002E-2</v>
      </c>
      <c r="E73" s="11">
        <f t="shared" si="2"/>
        <v>4.3849812079870265E-3</v>
      </c>
    </row>
    <row r="74" spans="1:5">
      <c r="A74" s="65">
        <v>31717</v>
      </c>
      <c r="B74" s="9">
        <v>5.5</v>
      </c>
      <c r="C74" s="10">
        <f t="shared" si="0"/>
        <v>5.5E-2</v>
      </c>
      <c r="D74" s="11">
        <f t="shared" si="1"/>
        <v>2.75E-2</v>
      </c>
      <c r="E74" s="11">
        <f t="shared" si="2"/>
        <v>4.5316817182770031E-3</v>
      </c>
    </row>
    <row r="75" spans="1:5">
      <c r="A75" s="65">
        <v>31747</v>
      </c>
      <c r="B75" s="9">
        <v>5.68</v>
      </c>
      <c r="C75" s="10">
        <f t="shared" si="0"/>
        <v>5.6799999999999996E-2</v>
      </c>
      <c r="D75" s="11">
        <f t="shared" si="1"/>
        <v>2.8399999999999998E-2</v>
      </c>
      <c r="E75" s="11">
        <f t="shared" si="2"/>
        <v>4.6782751869538508E-3</v>
      </c>
    </row>
    <row r="76" spans="1:5">
      <c r="A76" s="65">
        <v>31778</v>
      </c>
      <c r="B76" s="9">
        <v>5.58</v>
      </c>
      <c r="C76" s="10">
        <f t="shared" si="0"/>
        <v>5.5800000000000002E-2</v>
      </c>
      <c r="D76" s="11">
        <f t="shared" si="1"/>
        <v>2.7900000000000001E-2</v>
      </c>
      <c r="E76" s="11">
        <f t="shared" si="2"/>
        <v>4.5968475758213501E-3</v>
      </c>
    </row>
    <row r="77" spans="1:5">
      <c r="A77" s="65">
        <v>31809</v>
      </c>
      <c r="B77" s="9">
        <v>5.75</v>
      </c>
      <c r="C77" s="10">
        <f t="shared" ref="C77:C140" si="3">B77/100</f>
        <v>5.7500000000000002E-2</v>
      </c>
      <c r="D77" s="11">
        <f t="shared" ref="D77:D140" si="4">C77/2</f>
        <v>2.8750000000000001E-2</v>
      </c>
      <c r="E77" s="11">
        <f t="shared" ref="E77:E140" si="5">(1+D77)^(1/6) - 1</f>
        <v>4.735254887196394E-3</v>
      </c>
    </row>
    <row r="78" spans="1:5">
      <c r="A78" s="65">
        <v>31837</v>
      </c>
      <c r="B78" s="9">
        <v>5.77</v>
      </c>
      <c r="C78" s="10">
        <f t="shared" si="3"/>
        <v>5.7699999999999994E-2</v>
      </c>
      <c r="D78" s="11">
        <f t="shared" si="4"/>
        <v>2.8849999999999997E-2</v>
      </c>
      <c r="E78" s="11">
        <f t="shared" si="5"/>
        <v>4.7515318343538393E-3</v>
      </c>
    </row>
    <row r="79" spans="1:5">
      <c r="A79" s="65">
        <v>31868</v>
      </c>
      <c r="B79" s="9">
        <v>5.82</v>
      </c>
      <c r="C79" s="10">
        <f t="shared" si="3"/>
        <v>5.8200000000000002E-2</v>
      </c>
      <c r="D79" s="11">
        <f t="shared" si="4"/>
        <v>2.9100000000000001E-2</v>
      </c>
      <c r="E79" s="11">
        <f t="shared" si="5"/>
        <v>4.7922184350948083E-3</v>
      </c>
    </row>
    <row r="80" spans="1:5">
      <c r="A80" s="65">
        <v>31898</v>
      </c>
      <c r="B80" s="9">
        <v>5.85</v>
      </c>
      <c r="C80" s="10">
        <f t="shared" si="3"/>
        <v>5.8499999999999996E-2</v>
      </c>
      <c r="D80" s="11">
        <f t="shared" si="4"/>
        <v>2.9249999999999998E-2</v>
      </c>
      <c r="E80" s="11">
        <f t="shared" si="5"/>
        <v>4.8166264420947957E-3</v>
      </c>
    </row>
    <row r="81" spans="1:5">
      <c r="A81" s="65">
        <v>31929</v>
      </c>
      <c r="B81" s="9">
        <v>5.85</v>
      </c>
      <c r="C81" s="10">
        <f t="shared" si="3"/>
        <v>5.8499999999999996E-2</v>
      </c>
      <c r="D81" s="11">
        <f t="shared" si="4"/>
        <v>2.9249999999999998E-2</v>
      </c>
      <c r="E81" s="11">
        <f t="shared" si="5"/>
        <v>4.8166264420947957E-3</v>
      </c>
    </row>
    <row r="82" spans="1:5">
      <c r="A82" s="65">
        <v>31959</v>
      </c>
      <c r="B82" s="9">
        <v>5.88</v>
      </c>
      <c r="C82" s="10">
        <f t="shared" si="3"/>
        <v>5.8799999999999998E-2</v>
      </c>
      <c r="D82" s="11">
        <f t="shared" si="4"/>
        <v>2.9399999999999999E-2</v>
      </c>
      <c r="E82" s="11">
        <f t="shared" si="5"/>
        <v>4.8410314849796077E-3</v>
      </c>
    </row>
    <row r="83" spans="1:5">
      <c r="A83" s="65">
        <v>31990</v>
      </c>
      <c r="B83" s="9">
        <v>6.23</v>
      </c>
      <c r="C83" s="10">
        <f t="shared" si="3"/>
        <v>6.2300000000000001E-2</v>
      </c>
      <c r="D83" s="11">
        <f t="shared" si="4"/>
        <v>3.1150000000000001E-2</v>
      </c>
      <c r="E83" s="11">
        <f t="shared" si="5"/>
        <v>5.1255382363499802E-3</v>
      </c>
    </row>
    <row r="84" spans="1:5">
      <c r="A84" s="65">
        <v>32021</v>
      </c>
      <c r="B84" s="9">
        <v>6.62</v>
      </c>
      <c r="C84" s="10">
        <f t="shared" si="3"/>
        <v>6.6199999999999995E-2</v>
      </c>
      <c r="D84" s="11">
        <f t="shared" si="4"/>
        <v>3.3099999999999997E-2</v>
      </c>
      <c r="E84" s="11">
        <f t="shared" si="5"/>
        <v>5.4420864582200856E-3</v>
      </c>
    </row>
    <row r="85" spans="1:5">
      <c r="A85" s="65">
        <v>32051</v>
      </c>
      <c r="B85" s="9">
        <v>6.35</v>
      </c>
      <c r="C85" s="10">
        <f t="shared" si="3"/>
        <v>6.3500000000000001E-2</v>
      </c>
      <c r="D85" s="11">
        <f t="shared" si="4"/>
        <v>3.175E-2</v>
      </c>
      <c r="E85" s="11">
        <f t="shared" si="5"/>
        <v>5.2229907829657307E-3</v>
      </c>
    </row>
    <row r="86" spans="1:5">
      <c r="A86" s="65">
        <v>32082</v>
      </c>
      <c r="B86" s="9">
        <v>5.89</v>
      </c>
      <c r="C86" s="10">
        <f t="shared" si="3"/>
        <v>5.8899999999999994E-2</v>
      </c>
      <c r="D86" s="11">
        <f t="shared" si="4"/>
        <v>2.9449999999999997E-2</v>
      </c>
      <c r="E86" s="11">
        <f t="shared" si="5"/>
        <v>4.8491658407190386E-3</v>
      </c>
    </row>
    <row r="87" spans="1:5">
      <c r="A87" s="65">
        <v>32112</v>
      </c>
      <c r="B87" s="9">
        <v>5.96</v>
      </c>
      <c r="C87" s="10">
        <f t="shared" si="3"/>
        <v>5.96E-2</v>
      </c>
      <c r="D87" s="11">
        <f t="shared" si="4"/>
        <v>2.98E-2</v>
      </c>
      <c r="E87" s="11">
        <f t="shared" si="5"/>
        <v>4.9060971141292598E-3</v>
      </c>
    </row>
    <row r="88" spans="1:5">
      <c r="A88" s="65">
        <v>32143</v>
      </c>
      <c r="B88" s="9">
        <v>6</v>
      </c>
      <c r="C88" s="10">
        <f t="shared" si="3"/>
        <v>0.06</v>
      </c>
      <c r="D88" s="11">
        <f t="shared" si="4"/>
        <v>0.03</v>
      </c>
      <c r="E88" s="11">
        <f t="shared" si="5"/>
        <v>4.938622031196882E-3</v>
      </c>
    </row>
    <row r="89" spans="1:5">
      <c r="A89" s="65">
        <v>32174</v>
      </c>
      <c r="B89" s="9">
        <v>5.84</v>
      </c>
      <c r="C89" s="10">
        <f t="shared" si="3"/>
        <v>5.8400000000000001E-2</v>
      </c>
      <c r="D89" s="11">
        <f t="shared" si="4"/>
        <v>2.92E-2</v>
      </c>
      <c r="E89" s="11">
        <f t="shared" si="5"/>
        <v>4.8084907691468004E-3</v>
      </c>
    </row>
    <row r="90" spans="1:5">
      <c r="A90" s="65">
        <v>32203</v>
      </c>
      <c r="B90" s="9">
        <v>5.87</v>
      </c>
      <c r="C90" s="10">
        <f t="shared" si="3"/>
        <v>5.8700000000000002E-2</v>
      </c>
      <c r="D90" s="11">
        <f t="shared" si="4"/>
        <v>2.9350000000000001E-2</v>
      </c>
      <c r="E90" s="11">
        <f t="shared" si="5"/>
        <v>4.8328967999817785E-3</v>
      </c>
    </row>
    <row r="91" spans="1:5">
      <c r="A91" s="65">
        <v>32234</v>
      </c>
      <c r="B91" s="9">
        <v>6.08</v>
      </c>
      <c r="C91" s="10">
        <f t="shared" si="3"/>
        <v>6.08E-2</v>
      </c>
      <c r="D91" s="11">
        <f t="shared" si="4"/>
        <v>3.04E-2</v>
      </c>
      <c r="E91" s="11">
        <f t="shared" si="5"/>
        <v>5.0036560796880014E-3</v>
      </c>
    </row>
    <row r="92" spans="1:5">
      <c r="A92" s="65">
        <v>32264</v>
      </c>
      <c r="B92" s="9">
        <v>6.45</v>
      </c>
      <c r="C92" s="10">
        <f t="shared" si="3"/>
        <v>6.4500000000000002E-2</v>
      </c>
      <c r="D92" s="11">
        <f t="shared" si="4"/>
        <v>3.2250000000000001E-2</v>
      </c>
      <c r="E92" s="11">
        <f t="shared" si="5"/>
        <v>5.3041651690359792E-3</v>
      </c>
    </row>
    <row r="93" spans="1:5">
      <c r="A93" s="65">
        <v>32295</v>
      </c>
      <c r="B93" s="9">
        <v>6.66</v>
      </c>
      <c r="C93" s="10">
        <f t="shared" si="3"/>
        <v>6.6600000000000006E-2</v>
      </c>
      <c r="D93" s="11">
        <f t="shared" si="4"/>
        <v>3.3300000000000003E-2</v>
      </c>
      <c r="E93" s="11">
        <f t="shared" si="5"/>
        <v>5.4745247827996391E-3</v>
      </c>
    </row>
    <row r="94" spans="1:5">
      <c r="A94" s="65">
        <v>32325</v>
      </c>
      <c r="B94" s="9">
        <v>6.95</v>
      </c>
      <c r="C94" s="10">
        <f t="shared" si="3"/>
        <v>6.9500000000000006E-2</v>
      </c>
      <c r="D94" s="11">
        <f t="shared" si="4"/>
        <v>3.4750000000000003E-2</v>
      </c>
      <c r="E94" s="11">
        <f t="shared" si="5"/>
        <v>5.709546289988765E-3</v>
      </c>
    </row>
    <row r="95" spans="1:5">
      <c r="A95" s="65">
        <v>32356</v>
      </c>
      <c r="B95" s="9">
        <v>7.3</v>
      </c>
      <c r="C95" s="10">
        <f t="shared" si="3"/>
        <v>7.2999999999999995E-2</v>
      </c>
      <c r="D95" s="11">
        <f t="shared" si="4"/>
        <v>3.6499999999999998E-2</v>
      </c>
      <c r="E95" s="11">
        <f t="shared" si="5"/>
        <v>5.9928277197980329E-3</v>
      </c>
    </row>
    <row r="96" spans="1:5">
      <c r="A96" s="65">
        <v>32387</v>
      </c>
      <c r="B96" s="9">
        <v>7.48</v>
      </c>
      <c r="C96" s="10">
        <f t="shared" si="3"/>
        <v>7.4800000000000005E-2</v>
      </c>
      <c r="D96" s="11">
        <f t="shared" si="4"/>
        <v>3.7400000000000003E-2</v>
      </c>
      <c r="E96" s="11">
        <f t="shared" si="5"/>
        <v>6.1383601449873648E-3</v>
      </c>
    </row>
    <row r="97" spans="1:5">
      <c r="A97" s="65">
        <v>32417</v>
      </c>
      <c r="B97" s="9">
        <v>7.6</v>
      </c>
      <c r="C97" s="10">
        <f t="shared" si="3"/>
        <v>7.5999999999999998E-2</v>
      </c>
      <c r="D97" s="11">
        <f t="shared" si="4"/>
        <v>3.7999999999999999E-2</v>
      </c>
      <c r="E97" s="11">
        <f t="shared" si="5"/>
        <v>6.2353233201810632E-3</v>
      </c>
    </row>
    <row r="98" spans="1:5">
      <c r="A98" s="65">
        <v>32448</v>
      </c>
      <c r="B98" s="9">
        <v>8.0299999999999994</v>
      </c>
      <c r="C98" s="10">
        <f t="shared" si="3"/>
        <v>8.0299999999999996E-2</v>
      </c>
      <c r="D98" s="11">
        <f t="shared" si="4"/>
        <v>4.0149999999999998E-2</v>
      </c>
      <c r="E98" s="11">
        <f t="shared" si="5"/>
        <v>6.5823915930975918E-3</v>
      </c>
    </row>
    <row r="99" spans="1:5">
      <c r="A99" s="65">
        <v>32478</v>
      </c>
      <c r="B99" s="9">
        <v>8.35</v>
      </c>
      <c r="C99" s="10">
        <f t="shared" si="3"/>
        <v>8.3499999999999991E-2</v>
      </c>
      <c r="D99" s="11">
        <f t="shared" si="4"/>
        <v>4.1749999999999995E-2</v>
      </c>
      <c r="E99" s="11">
        <f t="shared" si="5"/>
        <v>6.840287177471982E-3</v>
      </c>
    </row>
    <row r="100" spans="1:5">
      <c r="A100" s="65">
        <v>32509</v>
      </c>
      <c r="B100" s="9">
        <v>8.56</v>
      </c>
      <c r="C100" s="10">
        <f t="shared" si="3"/>
        <v>8.5600000000000009E-2</v>
      </c>
      <c r="D100" s="11">
        <f t="shared" si="4"/>
        <v>4.2800000000000005E-2</v>
      </c>
      <c r="E100" s="11">
        <f t="shared" si="5"/>
        <v>7.0093518273022237E-3</v>
      </c>
    </row>
    <row r="101" spans="1:5">
      <c r="A101" s="65">
        <v>32540</v>
      </c>
      <c r="B101" s="9">
        <v>8.84</v>
      </c>
      <c r="C101" s="10">
        <f t="shared" si="3"/>
        <v>8.8399999999999992E-2</v>
      </c>
      <c r="D101" s="11">
        <f t="shared" si="4"/>
        <v>4.4199999999999996E-2</v>
      </c>
      <c r="E101" s="11">
        <f t="shared" si="5"/>
        <v>7.2345508270592607E-3</v>
      </c>
    </row>
    <row r="102" spans="1:5">
      <c r="A102" s="65">
        <v>32568</v>
      </c>
      <c r="B102" s="9">
        <v>9.14</v>
      </c>
      <c r="C102" s="10">
        <f t="shared" si="3"/>
        <v>9.1400000000000009E-2</v>
      </c>
      <c r="D102" s="11">
        <f t="shared" si="4"/>
        <v>4.5700000000000005E-2</v>
      </c>
      <c r="E102" s="11">
        <f t="shared" si="5"/>
        <v>7.4755564306294708E-3</v>
      </c>
    </row>
    <row r="103" spans="1:5">
      <c r="A103" s="65">
        <v>32599</v>
      </c>
      <c r="B103" s="9">
        <v>8.9600000000000009</v>
      </c>
      <c r="C103" s="10">
        <f t="shared" si="3"/>
        <v>8.9600000000000013E-2</v>
      </c>
      <c r="D103" s="11">
        <f t="shared" si="4"/>
        <v>4.4800000000000006E-2</v>
      </c>
      <c r="E103" s="11">
        <f t="shared" si="5"/>
        <v>7.3309876672866814E-3</v>
      </c>
    </row>
    <row r="104" spans="1:5">
      <c r="A104" s="65">
        <v>32629</v>
      </c>
      <c r="B104" s="9">
        <v>8.74</v>
      </c>
      <c r="C104" s="10">
        <f t="shared" si="3"/>
        <v>8.7400000000000005E-2</v>
      </c>
      <c r="D104" s="11">
        <f t="shared" si="4"/>
        <v>4.3700000000000003E-2</v>
      </c>
      <c r="E104" s="11">
        <f t="shared" si="5"/>
        <v>7.1541515127651056E-3</v>
      </c>
    </row>
    <row r="105" spans="1:5">
      <c r="A105" s="65">
        <v>32660</v>
      </c>
      <c r="B105" s="9">
        <v>8.43</v>
      </c>
      <c r="C105" s="10">
        <f t="shared" si="3"/>
        <v>8.43E-2</v>
      </c>
      <c r="D105" s="11">
        <f t="shared" si="4"/>
        <v>4.215E-2</v>
      </c>
      <c r="E105" s="11">
        <f t="shared" si="5"/>
        <v>6.9047094952645605E-3</v>
      </c>
    </row>
    <row r="106" spans="1:5">
      <c r="A106" s="65">
        <v>32690</v>
      </c>
      <c r="B106" s="9">
        <v>8.15</v>
      </c>
      <c r="C106" s="10">
        <f t="shared" si="3"/>
        <v>8.1500000000000003E-2</v>
      </c>
      <c r="D106" s="11">
        <f t="shared" si="4"/>
        <v>4.0750000000000001E-2</v>
      </c>
      <c r="E106" s="11">
        <f t="shared" si="5"/>
        <v>6.6791411527586941E-3</v>
      </c>
    </row>
    <row r="107" spans="1:5">
      <c r="A107" s="65">
        <v>32721</v>
      </c>
      <c r="B107" s="9">
        <v>8.17</v>
      </c>
      <c r="C107" s="10">
        <f t="shared" si="3"/>
        <v>8.1699999999999995E-2</v>
      </c>
      <c r="D107" s="11">
        <f t="shared" si="4"/>
        <v>4.0849999999999997E-2</v>
      </c>
      <c r="E107" s="11">
        <f t="shared" si="5"/>
        <v>6.6952615601714172E-3</v>
      </c>
    </row>
    <row r="108" spans="1:5">
      <c r="A108" s="65">
        <v>32752</v>
      </c>
      <c r="B108" s="9">
        <v>8.01</v>
      </c>
      <c r="C108" s="10">
        <f t="shared" si="3"/>
        <v>8.0100000000000005E-2</v>
      </c>
      <c r="D108" s="11">
        <f t="shared" si="4"/>
        <v>4.0050000000000002E-2</v>
      </c>
      <c r="E108" s="11">
        <f t="shared" si="5"/>
        <v>6.5662621451658687E-3</v>
      </c>
    </row>
    <row r="109" spans="1:5">
      <c r="A109" s="65">
        <v>32782</v>
      </c>
      <c r="B109" s="9">
        <v>7.9</v>
      </c>
      <c r="C109" s="10">
        <f t="shared" si="3"/>
        <v>7.9000000000000001E-2</v>
      </c>
      <c r="D109" s="11">
        <f t="shared" si="4"/>
        <v>3.95E-2</v>
      </c>
      <c r="E109" s="11">
        <f t="shared" si="5"/>
        <v>6.4775270735424328E-3</v>
      </c>
    </row>
    <row r="110" spans="1:5">
      <c r="A110" s="65">
        <v>32813</v>
      </c>
      <c r="B110" s="9">
        <v>7.94</v>
      </c>
      <c r="C110" s="10">
        <f t="shared" si="3"/>
        <v>7.9399999999999998E-2</v>
      </c>
      <c r="D110" s="11">
        <f t="shared" si="4"/>
        <v>3.9699999999999999E-2</v>
      </c>
      <c r="E110" s="11">
        <f t="shared" si="5"/>
        <v>6.5097988981543953E-3</v>
      </c>
    </row>
    <row r="111" spans="1:5">
      <c r="A111" s="65">
        <v>32843</v>
      </c>
      <c r="B111" s="9">
        <v>7.88</v>
      </c>
      <c r="C111" s="10">
        <f t="shared" si="3"/>
        <v>7.8799999999999995E-2</v>
      </c>
      <c r="D111" s="11">
        <f t="shared" si="4"/>
        <v>3.9399999999999998E-2</v>
      </c>
      <c r="E111" s="11">
        <f t="shared" si="5"/>
        <v>6.4613892208493784E-3</v>
      </c>
    </row>
    <row r="112" spans="1:5">
      <c r="A112" s="65">
        <v>32874</v>
      </c>
      <c r="B112" s="9">
        <v>7.9</v>
      </c>
      <c r="C112" s="10">
        <f t="shared" si="3"/>
        <v>7.9000000000000001E-2</v>
      </c>
      <c r="D112" s="11">
        <f t="shared" si="4"/>
        <v>3.95E-2</v>
      </c>
      <c r="E112" s="11">
        <f t="shared" si="5"/>
        <v>6.4775270735424328E-3</v>
      </c>
    </row>
    <row r="113" spans="1:5">
      <c r="A113" s="65">
        <v>32905</v>
      </c>
      <c r="B113" s="9">
        <v>8</v>
      </c>
      <c r="C113" s="10">
        <f t="shared" si="3"/>
        <v>0.08</v>
      </c>
      <c r="D113" s="11">
        <f t="shared" si="4"/>
        <v>0.04</v>
      </c>
      <c r="E113" s="11">
        <f t="shared" si="5"/>
        <v>6.5581969365593462E-3</v>
      </c>
    </row>
    <row r="114" spans="1:5">
      <c r="A114" s="65">
        <v>32933</v>
      </c>
      <c r="B114" s="9">
        <v>8.17</v>
      </c>
      <c r="C114" s="10">
        <f t="shared" si="3"/>
        <v>8.1699999999999995E-2</v>
      </c>
      <c r="D114" s="11">
        <f t="shared" si="4"/>
        <v>4.0849999999999997E-2</v>
      </c>
      <c r="E114" s="11">
        <f t="shared" si="5"/>
        <v>6.6952615601714172E-3</v>
      </c>
    </row>
    <row r="115" spans="1:5">
      <c r="A115" s="65">
        <v>32964</v>
      </c>
      <c r="B115" s="9">
        <v>8.0399999999999991</v>
      </c>
      <c r="C115" s="10">
        <f t="shared" si="3"/>
        <v>8.0399999999999985E-2</v>
      </c>
      <c r="D115" s="11">
        <f t="shared" si="4"/>
        <v>4.0199999999999993E-2</v>
      </c>
      <c r="E115" s="11">
        <f t="shared" si="5"/>
        <v>6.5904558324796358E-3</v>
      </c>
    </row>
    <row r="116" spans="1:5">
      <c r="A116" s="65">
        <v>32994</v>
      </c>
      <c r="B116" s="9">
        <v>8.01</v>
      </c>
      <c r="C116" s="10">
        <f t="shared" si="3"/>
        <v>8.0100000000000005E-2</v>
      </c>
      <c r="D116" s="11">
        <f t="shared" si="4"/>
        <v>4.0050000000000002E-2</v>
      </c>
      <c r="E116" s="11">
        <f t="shared" si="5"/>
        <v>6.5662621451658687E-3</v>
      </c>
    </row>
    <row r="117" spans="1:5">
      <c r="A117" s="65">
        <v>33025</v>
      </c>
      <c r="B117" s="9">
        <v>7.99</v>
      </c>
      <c r="C117" s="10">
        <f t="shared" si="3"/>
        <v>7.9899999999999999E-2</v>
      </c>
      <c r="D117" s="11">
        <f t="shared" si="4"/>
        <v>3.9949999999999999E-2</v>
      </c>
      <c r="E117" s="11">
        <f t="shared" si="5"/>
        <v>6.5501314048208581E-3</v>
      </c>
    </row>
    <row r="118" spans="1:5">
      <c r="A118" s="65">
        <v>33055</v>
      </c>
      <c r="B118" s="9">
        <v>7.87</v>
      </c>
      <c r="C118" s="10">
        <f t="shared" si="3"/>
        <v>7.8700000000000006E-2</v>
      </c>
      <c r="D118" s="11">
        <f t="shared" si="4"/>
        <v>3.9350000000000003E-2</v>
      </c>
      <c r="E118" s="11">
        <f t="shared" si="5"/>
        <v>6.4533198093064126E-3</v>
      </c>
    </row>
    <row r="119" spans="1:5">
      <c r="A119" s="65">
        <v>33086</v>
      </c>
      <c r="B119" s="9">
        <v>7.69</v>
      </c>
      <c r="C119" s="10">
        <f t="shared" si="3"/>
        <v>7.690000000000001E-2</v>
      </c>
      <c r="D119" s="11">
        <f t="shared" si="4"/>
        <v>3.8450000000000005E-2</v>
      </c>
      <c r="E119" s="11">
        <f t="shared" si="5"/>
        <v>6.3080150549570391E-3</v>
      </c>
    </row>
    <row r="120" spans="1:5">
      <c r="A120" s="65">
        <v>33117</v>
      </c>
      <c r="B120" s="9">
        <v>7.6</v>
      </c>
      <c r="C120" s="10">
        <f t="shared" si="3"/>
        <v>7.5999999999999998E-2</v>
      </c>
      <c r="D120" s="11">
        <f t="shared" si="4"/>
        <v>3.7999999999999999E-2</v>
      </c>
      <c r="E120" s="11">
        <f t="shared" si="5"/>
        <v>6.2353233201810632E-3</v>
      </c>
    </row>
    <row r="121" spans="1:5">
      <c r="A121" s="65">
        <v>33147</v>
      </c>
      <c r="B121" s="9">
        <v>7.4</v>
      </c>
      <c r="C121" s="10">
        <f t="shared" si="3"/>
        <v>7.400000000000001E-2</v>
      </c>
      <c r="D121" s="11">
        <f t="shared" si="4"/>
        <v>3.7000000000000005E-2</v>
      </c>
      <c r="E121" s="11">
        <f t="shared" si="5"/>
        <v>6.0736920618000845E-3</v>
      </c>
    </row>
    <row r="122" spans="1:5">
      <c r="A122" s="65">
        <v>33178</v>
      </c>
      <c r="B122" s="9">
        <v>7.29</v>
      </c>
      <c r="C122" s="10">
        <f t="shared" si="3"/>
        <v>7.2900000000000006E-2</v>
      </c>
      <c r="D122" s="11">
        <f t="shared" si="4"/>
        <v>3.6450000000000003E-2</v>
      </c>
      <c r="E122" s="11">
        <f t="shared" si="5"/>
        <v>5.9847394978294055E-3</v>
      </c>
    </row>
    <row r="123" spans="1:5">
      <c r="A123" s="65">
        <v>33208</v>
      </c>
      <c r="B123" s="9">
        <v>6.95</v>
      </c>
      <c r="C123" s="10">
        <f t="shared" si="3"/>
        <v>6.9500000000000006E-2</v>
      </c>
      <c r="D123" s="11">
        <f t="shared" si="4"/>
        <v>3.4750000000000003E-2</v>
      </c>
      <c r="E123" s="11">
        <f t="shared" si="5"/>
        <v>5.709546289988765E-3</v>
      </c>
    </row>
    <row r="124" spans="1:5">
      <c r="A124" s="65">
        <v>33239</v>
      </c>
      <c r="B124" s="9">
        <v>6.41</v>
      </c>
      <c r="C124" s="10">
        <f t="shared" si="3"/>
        <v>6.4100000000000004E-2</v>
      </c>
      <c r="D124" s="11">
        <f t="shared" si="4"/>
        <v>3.2050000000000002E-2</v>
      </c>
      <c r="E124" s="11">
        <f t="shared" si="5"/>
        <v>5.271699347358938E-3</v>
      </c>
    </row>
    <row r="125" spans="1:5">
      <c r="A125" s="65">
        <v>33270</v>
      </c>
      <c r="B125" s="9">
        <v>6.12</v>
      </c>
      <c r="C125" s="10">
        <f t="shared" si="3"/>
        <v>6.1200000000000004E-2</v>
      </c>
      <c r="D125" s="11">
        <f t="shared" si="4"/>
        <v>3.0600000000000002E-2</v>
      </c>
      <c r="E125" s="11">
        <f t="shared" si="5"/>
        <v>5.0361652148558367E-3</v>
      </c>
    </row>
    <row r="126" spans="1:5">
      <c r="A126" s="65">
        <v>33298</v>
      </c>
      <c r="B126" s="9">
        <v>6.09</v>
      </c>
      <c r="C126" s="10">
        <f t="shared" si="3"/>
        <v>6.0899999999999996E-2</v>
      </c>
      <c r="D126" s="11">
        <f t="shared" si="4"/>
        <v>3.0449999999999998E-2</v>
      </c>
      <c r="E126" s="11">
        <f t="shared" si="5"/>
        <v>5.0117838564156525E-3</v>
      </c>
    </row>
    <row r="127" spans="1:5">
      <c r="A127" s="65">
        <v>33329</v>
      </c>
      <c r="B127" s="9">
        <v>5.83</v>
      </c>
      <c r="C127" s="10">
        <f t="shared" si="3"/>
        <v>5.8299999999999998E-2</v>
      </c>
      <c r="D127" s="11">
        <f t="shared" si="4"/>
        <v>2.9149999999999999E-2</v>
      </c>
      <c r="E127" s="11">
        <f t="shared" si="5"/>
        <v>4.8003547668231672E-3</v>
      </c>
    </row>
    <row r="128" spans="1:5">
      <c r="A128" s="65">
        <v>33359</v>
      </c>
      <c r="B128" s="9">
        <v>5.63</v>
      </c>
      <c r="C128" s="10">
        <f t="shared" si="3"/>
        <v>5.6299999999999996E-2</v>
      </c>
      <c r="D128" s="11">
        <f t="shared" si="4"/>
        <v>2.8149999999999998E-2</v>
      </c>
      <c r="E128" s="11">
        <f t="shared" si="5"/>
        <v>4.6375655062929066E-3</v>
      </c>
    </row>
    <row r="129" spans="1:5">
      <c r="A129" s="65">
        <v>33390</v>
      </c>
      <c r="B129" s="9">
        <v>5.75</v>
      </c>
      <c r="C129" s="10">
        <f t="shared" si="3"/>
        <v>5.7500000000000002E-2</v>
      </c>
      <c r="D129" s="11">
        <f t="shared" si="4"/>
        <v>2.8750000000000001E-2</v>
      </c>
      <c r="E129" s="11">
        <f t="shared" si="5"/>
        <v>4.735254887196394E-3</v>
      </c>
    </row>
    <row r="130" spans="1:5">
      <c r="A130" s="65">
        <v>33420</v>
      </c>
      <c r="B130" s="9">
        <v>5.75</v>
      </c>
      <c r="C130" s="10">
        <f t="shared" si="3"/>
        <v>5.7500000000000002E-2</v>
      </c>
      <c r="D130" s="11">
        <f t="shared" si="4"/>
        <v>2.8750000000000001E-2</v>
      </c>
      <c r="E130" s="11">
        <f t="shared" si="5"/>
        <v>4.735254887196394E-3</v>
      </c>
    </row>
    <row r="131" spans="1:5">
      <c r="A131" s="65">
        <v>33451</v>
      </c>
      <c r="B131" s="9">
        <v>5.5</v>
      </c>
      <c r="C131" s="10">
        <f t="shared" si="3"/>
        <v>5.5E-2</v>
      </c>
      <c r="D131" s="11">
        <f t="shared" si="4"/>
        <v>2.75E-2</v>
      </c>
      <c r="E131" s="11">
        <f t="shared" si="5"/>
        <v>4.5316817182770031E-3</v>
      </c>
    </row>
    <row r="132" spans="1:5">
      <c r="A132" s="65">
        <v>33482</v>
      </c>
      <c r="B132" s="9">
        <v>5.37</v>
      </c>
      <c r="C132" s="10">
        <f t="shared" si="3"/>
        <v>5.3699999999999998E-2</v>
      </c>
      <c r="D132" s="11">
        <f t="shared" si="4"/>
        <v>2.6849999999999999E-2</v>
      </c>
      <c r="E132" s="11">
        <f t="shared" si="5"/>
        <v>4.4257420968358829E-3</v>
      </c>
    </row>
    <row r="133" spans="1:5">
      <c r="A133" s="65">
        <v>33512</v>
      </c>
      <c r="B133" s="9">
        <v>5.14</v>
      </c>
      <c r="C133" s="10">
        <f t="shared" si="3"/>
        <v>5.1399999999999994E-2</v>
      </c>
      <c r="D133" s="11">
        <f t="shared" si="4"/>
        <v>2.5699999999999997E-2</v>
      </c>
      <c r="E133" s="11">
        <f t="shared" si="5"/>
        <v>4.2381734839793683E-3</v>
      </c>
    </row>
    <row r="134" spans="1:5">
      <c r="A134" s="65">
        <v>33543</v>
      </c>
      <c r="B134" s="9">
        <v>4.6900000000000004</v>
      </c>
      <c r="C134" s="10">
        <f t="shared" si="3"/>
        <v>4.6900000000000004E-2</v>
      </c>
      <c r="D134" s="11">
        <f t="shared" si="4"/>
        <v>2.3450000000000002E-2</v>
      </c>
      <c r="E134" s="11">
        <f t="shared" si="5"/>
        <v>3.8706839806363913E-3</v>
      </c>
    </row>
    <row r="135" spans="1:5">
      <c r="A135" s="65">
        <v>33573</v>
      </c>
      <c r="B135" s="9">
        <v>4.18</v>
      </c>
      <c r="C135" s="10">
        <f t="shared" si="3"/>
        <v>4.1799999999999997E-2</v>
      </c>
      <c r="D135" s="11">
        <f t="shared" si="4"/>
        <v>2.0899999999999998E-2</v>
      </c>
      <c r="E135" s="11">
        <f t="shared" si="5"/>
        <v>3.4533810932602105E-3</v>
      </c>
    </row>
    <row r="136" spans="1:5">
      <c r="A136" s="65">
        <v>33604</v>
      </c>
      <c r="B136" s="9">
        <v>3.91</v>
      </c>
      <c r="C136" s="10">
        <f t="shared" si="3"/>
        <v>3.9100000000000003E-2</v>
      </c>
      <c r="D136" s="11">
        <f t="shared" si="4"/>
        <v>1.9550000000000001E-2</v>
      </c>
      <c r="E136" s="11">
        <f t="shared" si="5"/>
        <v>3.2321042679244183E-3</v>
      </c>
    </row>
    <row r="137" spans="1:5">
      <c r="A137" s="65">
        <v>33635</v>
      </c>
      <c r="B137" s="9">
        <v>3.95</v>
      </c>
      <c r="C137" s="10">
        <f t="shared" si="3"/>
        <v>3.95E-2</v>
      </c>
      <c r="D137" s="11">
        <f t="shared" si="4"/>
        <v>1.975E-2</v>
      </c>
      <c r="E137" s="11">
        <f t="shared" si="5"/>
        <v>3.2649014207373206E-3</v>
      </c>
    </row>
    <row r="138" spans="1:5">
      <c r="A138" s="65">
        <v>33664</v>
      </c>
      <c r="B138" s="9">
        <v>4.1399999999999997</v>
      </c>
      <c r="C138" s="10">
        <f t="shared" si="3"/>
        <v>4.1399999999999999E-2</v>
      </c>
      <c r="D138" s="11">
        <f t="shared" si="4"/>
        <v>2.07E-2</v>
      </c>
      <c r="E138" s="11">
        <f t="shared" si="5"/>
        <v>3.4206147335087422E-3</v>
      </c>
    </row>
    <row r="139" spans="1:5">
      <c r="A139" s="65">
        <v>33695</v>
      </c>
      <c r="B139" s="9">
        <v>3.84</v>
      </c>
      <c r="C139" s="10">
        <f t="shared" si="3"/>
        <v>3.8399999999999997E-2</v>
      </c>
      <c r="D139" s="11">
        <f t="shared" si="4"/>
        <v>1.9199999999999998E-2</v>
      </c>
      <c r="E139" s="11">
        <f t="shared" si="5"/>
        <v>3.1746963474730272E-3</v>
      </c>
    </row>
    <row r="140" spans="1:5">
      <c r="A140" s="65">
        <v>33725</v>
      </c>
      <c r="B140" s="9">
        <v>3.72</v>
      </c>
      <c r="C140" s="10">
        <f t="shared" si="3"/>
        <v>3.7200000000000004E-2</v>
      </c>
      <c r="D140" s="11">
        <f t="shared" si="4"/>
        <v>1.8600000000000002E-2</v>
      </c>
      <c r="E140" s="11">
        <f t="shared" si="5"/>
        <v>3.0762445368315294E-3</v>
      </c>
    </row>
    <row r="141" spans="1:5">
      <c r="A141" s="65">
        <v>33756</v>
      </c>
      <c r="B141" s="9">
        <v>3.75</v>
      </c>
      <c r="C141" s="10">
        <f t="shared" ref="C141:C204" si="6">B141/100</f>
        <v>3.7499999999999999E-2</v>
      </c>
      <c r="D141" s="11">
        <f t="shared" ref="D141:D204" si="7">C141/2</f>
        <v>1.8749999999999999E-2</v>
      </c>
      <c r="E141" s="11">
        <f t="shared" ref="E141:E204" si="8">(1+D141)^(1/6) - 1</f>
        <v>3.1008620192238823E-3</v>
      </c>
    </row>
    <row r="142" spans="1:5">
      <c r="A142" s="65">
        <v>33786</v>
      </c>
      <c r="B142" s="9">
        <v>3.28</v>
      </c>
      <c r="C142" s="10">
        <f t="shared" si="6"/>
        <v>3.2799999999999996E-2</v>
      </c>
      <c r="D142" s="11">
        <f t="shared" si="7"/>
        <v>1.6399999999999998E-2</v>
      </c>
      <c r="E142" s="11">
        <f t="shared" si="8"/>
        <v>2.7148406008232762E-3</v>
      </c>
    </row>
    <row r="143" spans="1:5">
      <c r="A143" s="65">
        <v>33817</v>
      </c>
      <c r="B143" s="9">
        <v>3.2</v>
      </c>
      <c r="C143" s="10">
        <f t="shared" si="6"/>
        <v>3.2000000000000001E-2</v>
      </c>
      <c r="D143" s="11">
        <f t="shared" si="7"/>
        <v>1.6E-2</v>
      </c>
      <c r="E143" s="11">
        <f t="shared" si="8"/>
        <v>2.6490607698665958E-3</v>
      </c>
    </row>
    <row r="144" spans="1:5">
      <c r="A144" s="65">
        <v>33848</v>
      </c>
      <c r="B144" s="9">
        <v>2.97</v>
      </c>
      <c r="C144" s="10">
        <f t="shared" si="6"/>
        <v>2.9700000000000001E-2</v>
      </c>
      <c r="D144" s="11">
        <f t="shared" si="7"/>
        <v>1.485E-2</v>
      </c>
      <c r="E144" s="11">
        <f t="shared" si="8"/>
        <v>2.4598234672190689E-3</v>
      </c>
    </row>
    <row r="145" spans="1:5">
      <c r="A145" s="65">
        <v>33878</v>
      </c>
      <c r="B145" s="9">
        <v>2.93</v>
      </c>
      <c r="C145" s="10">
        <f t="shared" si="6"/>
        <v>2.9300000000000003E-2</v>
      </c>
      <c r="D145" s="11">
        <f t="shared" si="7"/>
        <v>1.4650000000000002E-2</v>
      </c>
      <c r="E145" s="11">
        <f t="shared" si="8"/>
        <v>2.4268943923375641E-3</v>
      </c>
    </row>
    <row r="146" spans="1:5">
      <c r="A146" s="65">
        <v>33909</v>
      </c>
      <c r="B146" s="9">
        <v>3.21</v>
      </c>
      <c r="C146" s="10">
        <f t="shared" si="6"/>
        <v>3.2099999999999997E-2</v>
      </c>
      <c r="D146" s="11">
        <f t="shared" si="7"/>
        <v>1.6049999999999998E-2</v>
      </c>
      <c r="E146" s="11">
        <f t="shared" si="8"/>
        <v>2.6572844288383912E-3</v>
      </c>
    </row>
    <row r="147" spans="1:5">
      <c r="A147" s="65">
        <v>33939</v>
      </c>
      <c r="B147" s="9">
        <v>3.29</v>
      </c>
      <c r="C147" s="10">
        <f t="shared" si="6"/>
        <v>3.2899999999999999E-2</v>
      </c>
      <c r="D147" s="11">
        <f t="shared" si="7"/>
        <v>1.6449999999999999E-2</v>
      </c>
      <c r="E147" s="11">
        <f t="shared" si="8"/>
        <v>2.7230615627837906E-3</v>
      </c>
    </row>
    <row r="148" spans="1:5">
      <c r="A148" s="65">
        <v>33970</v>
      </c>
      <c r="B148" s="9">
        <v>3.07</v>
      </c>
      <c r="C148" s="10">
        <f t="shared" si="6"/>
        <v>3.0699999999999998E-2</v>
      </c>
      <c r="D148" s="11">
        <f t="shared" si="7"/>
        <v>1.5349999999999999E-2</v>
      </c>
      <c r="E148" s="11">
        <f t="shared" si="8"/>
        <v>2.5421225011967863E-3</v>
      </c>
    </row>
    <row r="149" spans="1:5">
      <c r="A149" s="65">
        <v>34001</v>
      </c>
      <c r="B149" s="9">
        <v>2.99</v>
      </c>
      <c r="C149" s="10">
        <f t="shared" si="6"/>
        <v>2.9900000000000003E-2</v>
      </c>
      <c r="D149" s="11">
        <f t="shared" si="7"/>
        <v>1.4950000000000001E-2</v>
      </c>
      <c r="E149" s="11">
        <f t="shared" si="8"/>
        <v>2.4762859767522016E-3</v>
      </c>
    </row>
    <row r="150" spans="1:5">
      <c r="A150" s="65">
        <v>34029</v>
      </c>
      <c r="B150" s="9">
        <v>3.01</v>
      </c>
      <c r="C150" s="10">
        <f t="shared" si="6"/>
        <v>3.0099999999999998E-2</v>
      </c>
      <c r="D150" s="11">
        <f t="shared" si="7"/>
        <v>1.5049999999999999E-2</v>
      </c>
      <c r="E150" s="11">
        <f t="shared" si="8"/>
        <v>2.4927471346725127E-3</v>
      </c>
    </row>
    <row r="151" spans="1:5">
      <c r="A151" s="65">
        <v>34060</v>
      </c>
      <c r="B151" s="9">
        <v>2.93</v>
      </c>
      <c r="C151" s="10">
        <f t="shared" si="6"/>
        <v>2.9300000000000003E-2</v>
      </c>
      <c r="D151" s="11">
        <f t="shared" si="7"/>
        <v>1.4650000000000002E-2</v>
      </c>
      <c r="E151" s="11">
        <f t="shared" si="8"/>
        <v>2.4268943923375641E-3</v>
      </c>
    </row>
    <row r="152" spans="1:5">
      <c r="A152" s="65">
        <v>34090</v>
      </c>
      <c r="B152" s="9">
        <v>3.03</v>
      </c>
      <c r="C152" s="10">
        <f t="shared" si="6"/>
        <v>3.0299999999999997E-2</v>
      </c>
      <c r="D152" s="11">
        <f t="shared" si="7"/>
        <v>1.5149999999999999E-2</v>
      </c>
      <c r="E152" s="11">
        <f t="shared" si="8"/>
        <v>2.5092069412240292E-3</v>
      </c>
    </row>
    <row r="153" spans="1:5">
      <c r="A153" s="65">
        <v>34121</v>
      </c>
      <c r="B153" s="9">
        <v>3.14</v>
      </c>
      <c r="C153" s="10">
        <f t="shared" si="6"/>
        <v>3.1400000000000004E-2</v>
      </c>
      <c r="D153" s="11">
        <f t="shared" si="7"/>
        <v>1.5700000000000002E-2</v>
      </c>
      <c r="E153" s="11">
        <f t="shared" si="8"/>
        <v>2.5997117324429997E-3</v>
      </c>
    </row>
    <row r="154" spans="1:5">
      <c r="A154" s="65">
        <v>34151</v>
      </c>
      <c r="B154" s="9">
        <v>3.11</v>
      </c>
      <c r="C154" s="10">
        <f t="shared" si="6"/>
        <v>3.1099999999999999E-2</v>
      </c>
      <c r="D154" s="11">
        <f t="shared" si="7"/>
        <v>1.555E-2</v>
      </c>
      <c r="E154" s="11">
        <f t="shared" si="8"/>
        <v>2.575032658622245E-3</v>
      </c>
    </row>
    <row r="155" spans="1:5">
      <c r="A155" s="65">
        <v>34182</v>
      </c>
      <c r="B155" s="9">
        <v>3.09</v>
      </c>
      <c r="C155" s="10">
        <f t="shared" si="6"/>
        <v>3.0899999999999997E-2</v>
      </c>
      <c r="D155" s="11">
        <f t="shared" si="7"/>
        <v>1.5449999999999998E-2</v>
      </c>
      <c r="E155" s="11">
        <f t="shared" si="8"/>
        <v>2.5585782551060809E-3</v>
      </c>
    </row>
    <row r="156" spans="1:5">
      <c r="A156" s="65">
        <v>34213</v>
      </c>
      <c r="B156" s="9">
        <v>3.01</v>
      </c>
      <c r="C156" s="10">
        <f t="shared" si="6"/>
        <v>3.0099999999999998E-2</v>
      </c>
      <c r="D156" s="11">
        <f t="shared" si="7"/>
        <v>1.5049999999999999E-2</v>
      </c>
      <c r="E156" s="11">
        <f t="shared" si="8"/>
        <v>2.4927471346725127E-3</v>
      </c>
    </row>
    <row r="157" spans="1:5">
      <c r="A157" s="65">
        <v>34243</v>
      </c>
      <c r="B157" s="9">
        <v>3.09</v>
      </c>
      <c r="C157" s="10">
        <f t="shared" si="6"/>
        <v>3.0899999999999997E-2</v>
      </c>
      <c r="D157" s="11">
        <f t="shared" si="7"/>
        <v>1.5449999999999998E-2</v>
      </c>
      <c r="E157" s="11">
        <f t="shared" si="8"/>
        <v>2.5585782551060809E-3</v>
      </c>
    </row>
    <row r="158" spans="1:5">
      <c r="A158" s="65">
        <v>34274</v>
      </c>
      <c r="B158" s="9">
        <v>3.18</v>
      </c>
      <c r="C158" s="10">
        <f t="shared" si="6"/>
        <v>3.1800000000000002E-2</v>
      </c>
      <c r="D158" s="11">
        <f t="shared" si="7"/>
        <v>1.5900000000000001E-2</v>
      </c>
      <c r="E158" s="11">
        <f t="shared" si="8"/>
        <v>2.6326124401032658E-3</v>
      </c>
    </row>
    <row r="159" spans="1:5">
      <c r="A159" s="65">
        <v>34304</v>
      </c>
      <c r="B159" s="9">
        <v>3.13</v>
      </c>
      <c r="C159" s="10">
        <f t="shared" si="6"/>
        <v>3.1300000000000001E-2</v>
      </c>
      <c r="D159" s="11">
        <f t="shared" si="7"/>
        <v>1.5650000000000001E-2</v>
      </c>
      <c r="E159" s="11">
        <f t="shared" si="8"/>
        <v>2.5914857119893053E-3</v>
      </c>
    </row>
    <row r="160" spans="1:5">
      <c r="A160" s="65">
        <v>34335</v>
      </c>
      <c r="B160" s="9">
        <v>3.04</v>
      </c>
      <c r="C160" s="10">
        <f t="shared" si="6"/>
        <v>3.04E-2</v>
      </c>
      <c r="D160" s="11">
        <f t="shared" si="7"/>
        <v>1.52E-2</v>
      </c>
      <c r="E160" s="11">
        <f t="shared" si="8"/>
        <v>2.5174363378128728E-3</v>
      </c>
    </row>
    <row r="161" spans="1:5">
      <c r="A161" s="65">
        <v>34366</v>
      </c>
      <c r="B161" s="9">
        <v>3.33</v>
      </c>
      <c r="C161" s="10">
        <f t="shared" si="6"/>
        <v>3.3300000000000003E-2</v>
      </c>
      <c r="D161" s="11">
        <f t="shared" si="7"/>
        <v>1.6650000000000002E-2</v>
      </c>
      <c r="E161" s="11">
        <f t="shared" si="8"/>
        <v>2.7559420410336877E-3</v>
      </c>
    </row>
    <row r="162" spans="1:5">
      <c r="A162" s="65">
        <v>34394</v>
      </c>
      <c r="B162" s="9">
        <v>3.59</v>
      </c>
      <c r="C162" s="10">
        <f t="shared" si="6"/>
        <v>3.5900000000000001E-2</v>
      </c>
      <c r="D162" s="11">
        <f t="shared" si="7"/>
        <v>1.7950000000000001E-2</v>
      </c>
      <c r="E162" s="11">
        <f t="shared" si="8"/>
        <v>2.9695338579054376E-3</v>
      </c>
    </row>
    <row r="163" spans="1:5">
      <c r="A163" s="65">
        <v>34425</v>
      </c>
      <c r="B163" s="9">
        <v>3.78</v>
      </c>
      <c r="C163" s="10">
        <f t="shared" si="6"/>
        <v>3.78E-2</v>
      </c>
      <c r="D163" s="11">
        <f t="shared" si="7"/>
        <v>1.89E-2</v>
      </c>
      <c r="E163" s="11">
        <f t="shared" si="8"/>
        <v>3.12547648125161E-3</v>
      </c>
    </row>
    <row r="164" spans="1:5">
      <c r="A164" s="65">
        <v>34455</v>
      </c>
      <c r="B164" s="9">
        <v>4.2699999999999996</v>
      </c>
      <c r="C164" s="10">
        <f t="shared" si="6"/>
        <v>4.2699999999999995E-2</v>
      </c>
      <c r="D164" s="11">
        <f t="shared" si="7"/>
        <v>2.1349999999999997E-2</v>
      </c>
      <c r="E164" s="11">
        <f t="shared" si="8"/>
        <v>3.5270858489899748E-3</v>
      </c>
    </row>
    <row r="165" spans="1:5">
      <c r="A165" s="65">
        <v>34486</v>
      </c>
      <c r="B165" s="9">
        <v>4.25</v>
      </c>
      <c r="C165" s="10">
        <f t="shared" si="6"/>
        <v>4.2500000000000003E-2</v>
      </c>
      <c r="D165" s="11">
        <f t="shared" si="7"/>
        <v>2.1250000000000002E-2</v>
      </c>
      <c r="E165" s="11">
        <f t="shared" si="8"/>
        <v>3.5107093533737199E-3</v>
      </c>
    </row>
    <row r="166" spans="1:5">
      <c r="A166" s="65">
        <v>34516</v>
      </c>
      <c r="B166" s="9">
        <v>4.46</v>
      </c>
      <c r="C166" s="10">
        <f t="shared" si="6"/>
        <v>4.4600000000000001E-2</v>
      </c>
      <c r="D166" s="11">
        <f t="shared" si="7"/>
        <v>2.23E-2</v>
      </c>
      <c r="E166" s="11">
        <f t="shared" si="8"/>
        <v>3.6825959519304341E-3</v>
      </c>
    </row>
    <row r="167" spans="1:5">
      <c r="A167" s="65">
        <v>34547</v>
      </c>
      <c r="B167" s="9">
        <v>4.6100000000000003</v>
      </c>
      <c r="C167" s="10">
        <f t="shared" si="6"/>
        <v>4.6100000000000002E-2</v>
      </c>
      <c r="D167" s="11">
        <f t="shared" si="7"/>
        <v>2.3050000000000001E-2</v>
      </c>
      <c r="E167" s="11">
        <f t="shared" si="8"/>
        <v>3.8052820426650591E-3</v>
      </c>
    </row>
    <row r="168" spans="1:5">
      <c r="A168" s="65">
        <v>34578</v>
      </c>
      <c r="B168" s="9">
        <v>4.75</v>
      </c>
      <c r="C168" s="10">
        <f t="shared" si="6"/>
        <v>4.7500000000000001E-2</v>
      </c>
      <c r="D168" s="11">
        <f t="shared" si="7"/>
        <v>2.375E-2</v>
      </c>
      <c r="E168" s="11">
        <f t="shared" si="8"/>
        <v>3.9197214566868421E-3</v>
      </c>
    </row>
    <row r="169" spans="1:5">
      <c r="A169" s="65">
        <v>34608</v>
      </c>
      <c r="B169" s="9">
        <v>5.0999999999999996</v>
      </c>
      <c r="C169" s="10">
        <f t="shared" si="6"/>
        <v>5.0999999999999997E-2</v>
      </c>
      <c r="D169" s="11">
        <f t="shared" si="7"/>
        <v>2.5499999999999998E-2</v>
      </c>
      <c r="E169" s="11">
        <f t="shared" si="8"/>
        <v>4.2055349680758525E-3</v>
      </c>
    </row>
    <row r="170" spans="1:5">
      <c r="A170" s="65">
        <v>34639</v>
      </c>
      <c r="B170" s="9">
        <v>5.45</v>
      </c>
      <c r="C170" s="10">
        <f t="shared" si="6"/>
        <v>5.45E-2</v>
      </c>
      <c r="D170" s="11">
        <f t="shared" si="7"/>
        <v>2.725E-2</v>
      </c>
      <c r="E170" s="11">
        <f t="shared" si="8"/>
        <v>4.4909423210737209E-3</v>
      </c>
    </row>
    <row r="171" spans="1:5">
      <c r="A171" s="65">
        <v>34669</v>
      </c>
      <c r="B171" s="9">
        <v>5.76</v>
      </c>
      <c r="C171" s="10">
        <f t="shared" si="6"/>
        <v>5.7599999999999998E-2</v>
      </c>
      <c r="D171" s="11">
        <f t="shared" si="7"/>
        <v>2.8799999999999999E-2</v>
      </c>
      <c r="E171" s="11">
        <f t="shared" si="8"/>
        <v>4.7433935255802862E-3</v>
      </c>
    </row>
    <row r="172" spans="1:5">
      <c r="A172" s="65">
        <v>34700</v>
      </c>
      <c r="B172" s="9">
        <v>5.9</v>
      </c>
      <c r="C172" s="10">
        <f t="shared" si="6"/>
        <v>5.9000000000000004E-2</v>
      </c>
      <c r="D172" s="11">
        <f t="shared" si="7"/>
        <v>2.9500000000000002E-2</v>
      </c>
      <c r="E172" s="11">
        <f t="shared" si="8"/>
        <v>4.8572998672296031E-3</v>
      </c>
    </row>
    <row r="173" spans="1:5">
      <c r="A173" s="65">
        <v>34731</v>
      </c>
      <c r="B173" s="9">
        <v>5.94</v>
      </c>
      <c r="C173" s="10">
        <f t="shared" si="6"/>
        <v>5.9400000000000001E-2</v>
      </c>
      <c r="D173" s="11">
        <f t="shared" si="7"/>
        <v>2.9700000000000001E-2</v>
      </c>
      <c r="E173" s="11">
        <f t="shared" si="8"/>
        <v>4.889832681570061E-3</v>
      </c>
    </row>
    <row r="174" spans="1:5">
      <c r="A174" s="65">
        <v>34759</v>
      </c>
      <c r="B174" s="9">
        <v>5.91</v>
      </c>
      <c r="C174" s="10">
        <f t="shared" si="6"/>
        <v>5.91E-2</v>
      </c>
      <c r="D174" s="11">
        <f t="shared" si="7"/>
        <v>2.955E-2</v>
      </c>
      <c r="E174" s="11">
        <f t="shared" si="8"/>
        <v>4.8654335645408331E-3</v>
      </c>
    </row>
    <row r="175" spans="1:5">
      <c r="A175" s="65">
        <v>34790</v>
      </c>
      <c r="B175" s="9">
        <v>5.84</v>
      </c>
      <c r="C175" s="10">
        <f t="shared" si="6"/>
        <v>5.8400000000000001E-2</v>
      </c>
      <c r="D175" s="11">
        <f t="shared" si="7"/>
        <v>2.92E-2</v>
      </c>
      <c r="E175" s="11">
        <f t="shared" si="8"/>
        <v>4.8084907691468004E-3</v>
      </c>
    </row>
    <row r="176" spans="1:5">
      <c r="A176" s="65">
        <v>34820</v>
      </c>
      <c r="B176" s="9">
        <v>5.85</v>
      </c>
      <c r="C176" s="10">
        <f t="shared" si="6"/>
        <v>5.8499999999999996E-2</v>
      </c>
      <c r="D176" s="11">
        <f t="shared" si="7"/>
        <v>2.9249999999999998E-2</v>
      </c>
      <c r="E176" s="11">
        <f t="shared" si="8"/>
        <v>4.8166264420947957E-3</v>
      </c>
    </row>
    <row r="177" spans="1:5">
      <c r="A177" s="65">
        <v>34851</v>
      </c>
      <c r="B177" s="9">
        <v>5.64</v>
      </c>
      <c r="C177" s="10">
        <f t="shared" si="6"/>
        <v>5.6399999999999999E-2</v>
      </c>
      <c r="D177" s="11">
        <f t="shared" si="7"/>
        <v>2.8199999999999999E-2</v>
      </c>
      <c r="E177" s="11">
        <f t="shared" si="8"/>
        <v>4.6457081022923674E-3</v>
      </c>
    </row>
    <row r="178" spans="1:5">
      <c r="A178" s="65">
        <v>34881</v>
      </c>
      <c r="B178" s="9">
        <v>5.59</v>
      </c>
      <c r="C178" s="10">
        <f t="shared" si="6"/>
        <v>5.5899999999999998E-2</v>
      </c>
      <c r="D178" s="11">
        <f t="shared" si="7"/>
        <v>2.7949999999999999E-2</v>
      </c>
      <c r="E178" s="11">
        <f t="shared" si="8"/>
        <v>4.6049918220771868E-3</v>
      </c>
    </row>
    <row r="179" spans="1:5">
      <c r="A179" s="65">
        <v>34912</v>
      </c>
      <c r="B179" s="9">
        <v>5.57</v>
      </c>
      <c r="C179" s="10">
        <f t="shared" si="6"/>
        <v>5.57E-2</v>
      </c>
      <c r="D179" s="11">
        <f t="shared" si="7"/>
        <v>2.785E-2</v>
      </c>
      <c r="E179" s="11">
        <f t="shared" si="8"/>
        <v>4.588702999426042E-3</v>
      </c>
    </row>
    <row r="180" spans="1:5">
      <c r="A180" s="65">
        <v>34943</v>
      </c>
      <c r="B180" s="9">
        <v>5.43</v>
      </c>
      <c r="C180" s="10">
        <f t="shared" si="6"/>
        <v>5.4299999999999994E-2</v>
      </c>
      <c r="D180" s="11">
        <f t="shared" si="7"/>
        <v>2.7149999999999997E-2</v>
      </c>
      <c r="E180" s="11">
        <f t="shared" si="8"/>
        <v>4.4746442487402227E-3</v>
      </c>
    </row>
    <row r="181" spans="1:5">
      <c r="A181" s="65">
        <v>34973</v>
      </c>
      <c r="B181" s="9">
        <v>5.44</v>
      </c>
      <c r="C181" s="10">
        <f t="shared" si="6"/>
        <v>5.4400000000000004E-2</v>
      </c>
      <c r="D181" s="11">
        <f t="shared" si="7"/>
        <v>2.7200000000000002E-2</v>
      </c>
      <c r="E181" s="11">
        <f t="shared" si="8"/>
        <v>4.482793450183209E-3</v>
      </c>
    </row>
    <row r="182" spans="1:5">
      <c r="A182" s="65">
        <v>35004</v>
      </c>
      <c r="B182" s="9">
        <v>5.52</v>
      </c>
      <c r="C182" s="10">
        <f t="shared" si="6"/>
        <v>5.5199999999999999E-2</v>
      </c>
      <c r="D182" s="11">
        <f t="shared" si="7"/>
        <v>2.76E-2</v>
      </c>
      <c r="E182" s="11">
        <f t="shared" si="8"/>
        <v>4.5479751643251465E-3</v>
      </c>
    </row>
    <row r="183" spans="1:5">
      <c r="A183" s="65">
        <v>35034</v>
      </c>
      <c r="B183" s="9">
        <v>5.29</v>
      </c>
      <c r="C183" s="10">
        <f t="shared" si="6"/>
        <v>5.2900000000000003E-2</v>
      </c>
      <c r="D183" s="11">
        <f t="shared" si="7"/>
        <v>2.6450000000000001E-2</v>
      </c>
      <c r="E183" s="11">
        <f t="shared" si="8"/>
        <v>4.3605207040371408E-3</v>
      </c>
    </row>
    <row r="184" spans="1:5">
      <c r="A184" s="65">
        <v>35065</v>
      </c>
      <c r="B184" s="9">
        <v>5.15</v>
      </c>
      <c r="C184" s="10">
        <f t="shared" si="6"/>
        <v>5.1500000000000004E-2</v>
      </c>
      <c r="D184" s="11">
        <f t="shared" si="7"/>
        <v>2.5750000000000002E-2</v>
      </c>
      <c r="E184" s="11">
        <f t="shared" si="8"/>
        <v>4.246332284283838E-3</v>
      </c>
    </row>
    <row r="185" spans="1:5">
      <c r="A185" s="65">
        <v>35096</v>
      </c>
      <c r="B185" s="9">
        <v>4.96</v>
      </c>
      <c r="C185" s="10">
        <f t="shared" si="6"/>
        <v>4.9599999999999998E-2</v>
      </c>
      <c r="D185" s="11">
        <f t="shared" si="7"/>
        <v>2.4799999999999999E-2</v>
      </c>
      <c r="E185" s="11">
        <f t="shared" si="8"/>
        <v>4.0912583737200414E-3</v>
      </c>
    </row>
    <row r="186" spans="1:5">
      <c r="A186" s="65">
        <v>35125</v>
      </c>
      <c r="B186" s="9">
        <v>5.0999999999999996</v>
      </c>
      <c r="C186" s="10">
        <f t="shared" si="6"/>
        <v>5.0999999999999997E-2</v>
      </c>
      <c r="D186" s="11">
        <f t="shared" si="7"/>
        <v>2.5499999999999998E-2</v>
      </c>
      <c r="E186" s="11">
        <f t="shared" si="8"/>
        <v>4.2055349680758525E-3</v>
      </c>
    </row>
    <row r="187" spans="1:5">
      <c r="A187" s="65">
        <v>35156</v>
      </c>
      <c r="B187" s="9">
        <v>5.09</v>
      </c>
      <c r="C187" s="10">
        <f t="shared" si="6"/>
        <v>5.0900000000000001E-2</v>
      </c>
      <c r="D187" s="11">
        <f t="shared" si="7"/>
        <v>2.545E-2</v>
      </c>
      <c r="E187" s="11">
        <f t="shared" si="8"/>
        <v>4.1973745102803495E-3</v>
      </c>
    </row>
    <row r="188" spans="1:5">
      <c r="A188" s="65">
        <v>35186</v>
      </c>
      <c r="B188" s="9">
        <v>5.15</v>
      </c>
      <c r="C188" s="10">
        <f t="shared" si="6"/>
        <v>5.1500000000000004E-2</v>
      </c>
      <c r="D188" s="11">
        <f t="shared" si="7"/>
        <v>2.5750000000000002E-2</v>
      </c>
      <c r="E188" s="11">
        <f t="shared" si="8"/>
        <v>4.246332284283838E-3</v>
      </c>
    </row>
    <row r="189" spans="1:5">
      <c r="A189" s="65">
        <v>35217</v>
      </c>
      <c r="B189" s="9">
        <v>5.23</v>
      </c>
      <c r="C189" s="10">
        <f t="shared" si="6"/>
        <v>5.2300000000000006E-2</v>
      </c>
      <c r="D189" s="11">
        <f t="shared" si="7"/>
        <v>2.6150000000000003E-2</v>
      </c>
      <c r="E189" s="11">
        <f t="shared" si="8"/>
        <v>4.3115907584712065E-3</v>
      </c>
    </row>
    <row r="190" spans="1:5">
      <c r="A190" s="65">
        <v>35247</v>
      </c>
      <c r="B190" s="9">
        <v>5.3</v>
      </c>
      <c r="C190" s="10">
        <f t="shared" si="6"/>
        <v>5.2999999999999999E-2</v>
      </c>
      <c r="D190" s="11">
        <f t="shared" si="7"/>
        <v>2.6499999999999999E-2</v>
      </c>
      <c r="E190" s="11">
        <f t="shared" si="8"/>
        <v>4.3686745363094026E-3</v>
      </c>
    </row>
    <row r="191" spans="1:5">
      <c r="A191" s="65">
        <v>35278</v>
      </c>
      <c r="B191" s="9">
        <v>5.19</v>
      </c>
      <c r="C191" s="10">
        <f t="shared" si="6"/>
        <v>5.1900000000000002E-2</v>
      </c>
      <c r="D191" s="11">
        <f t="shared" si="7"/>
        <v>2.5950000000000001E-2</v>
      </c>
      <c r="E191" s="11">
        <f t="shared" si="8"/>
        <v>4.2789641717047022E-3</v>
      </c>
    </row>
    <row r="192" spans="1:5">
      <c r="A192" s="65">
        <v>35309</v>
      </c>
      <c r="B192" s="9">
        <v>5.24</v>
      </c>
      <c r="C192" s="10">
        <f t="shared" si="6"/>
        <v>5.2400000000000002E-2</v>
      </c>
      <c r="D192" s="11">
        <f t="shared" si="7"/>
        <v>2.6200000000000001E-2</v>
      </c>
      <c r="E192" s="11">
        <f t="shared" si="8"/>
        <v>4.3197465771576127E-3</v>
      </c>
    </row>
    <row r="193" spans="1:5">
      <c r="A193" s="65">
        <v>35339</v>
      </c>
      <c r="B193" s="9">
        <v>5.12</v>
      </c>
      <c r="C193" s="10">
        <f t="shared" si="6"/>
        <v>5.1200000000000002E-2</v>
      </c>
      <c r="D193" s="11">
        <f t="shared" si="7"/>
        <v>2.5600000000000001E-2</v>
      </c>
      <c r="E193" s="11">
        <f t="shared" si="8"/>
        <v>4.2218548890238239E-3</v>
      </c>
    </row>
    <row r="194" spans="1:5">
      <c r="A194" s="65">
        <v>35370</v>
      </c>
      <c r="B194" s="9">
        <v>5.17</v>
      </c>
      <c r="C194" s="10">
        <f t="shared" si="6"/>
        <v>5.1699999999999996E-2</v>
      </c>
      <c r="D194" s="11">
        <f t="shared" si="7"/>
        <v>2.5849999999999998E-2</v>
      </c>
      <c r="E194" s="11">
        <f t="shared" si="8"/>
        <v>4.2626488906942761E-3</v>
      </c>
    </row>
    <row r="195" spans="1:5">
      <c r="A195" s="65">
        <v>35400</v>
      </c>
      <c r="B195" s="9">
        <v>5.04</v>
      </c>
      <c r="C195" s="10">
        <f t="shared" si="6"/>
        <v>5.04E-2</v>
      </c>
      <c r="D195" s="11">
        <f t="shared" si="7"/>
        <v>2.52E-2</v>
      </c>
      <c r="E195" s="11">
        <f t="shared" si="8"/>
        <v>4.1565672469039416E-3</v>
      </c>
    </row>
    <row r="196" spans="1:5">
      <c r="A196" s="65">
        <v>35431</v>
      </c>
      <c r="B196" s="9">
        <v>5.17</v>
      </c>
      <c r="C196" s="10">
        <f t="shared" si="6"/>
        <v>5.1699999999999996E-2</v>
      </c>
      <c r="D196" s="11">
        <f t="shared" si="7"/>
        <v>2.5849999999999998E-2</v>
      </c>
      <c r="E196" s="11">
        <f t="shared" si="8"/>
        <v>4.2626488906942761E-3</v>
      </c>
    </row>
    <row r="197" spans="1:5">
      <c r="A197" s="65">
        <v>35462</v>
      </c>
      <c r="B197" s="9">
        <v>5.14</v>
      </c>
      <c r="C197" s="10">
        <f t="shared" si="6"/>
        <v>5.1399999999999994E-2</v>
      </c>
      <c r="D197" s="11">
        <f t="shared" si="7"/>
        <v>2.5699999999999997E-2</v>
      </c>
      <c r="E197" s="11">
        <f t="shared" si="8"/>
        <v>4.2381734839793683E-3</v>
      </c>
    </row>
    <row r="198" spans="1:5">
      <c r="A198" s="65">
        <v>35490</v>
      </c>
      <c r="B198" s="9">
        <v>5.28</v>
      </c>
      <c r="C198" s="10">
        <f t="shared" si="6"/>
        <v>5.28E-2</v>
      </c>
      <c r="D198" s="11">
        <f t="shared" si="7"/>
        <v>2.64E-2</v>
      </c>
      <c r="E198" s="11">
        <f t="shared" si="8"/>
        <v>4.3523665407696477E-3</v>
      </c>
    </row>
    <row r="199" spans="1:5">
      <c r="A199" s="65">
        <v>35521</v>
      </c>
      <c r="B199" s="9">
        <v>5.3</v>
      </c>
      <c r="C199" s="10">
        <f t="shared" si="6"/>
        <v>5.2999999999999999E-2</v>
      </c>
      <c r="D199" s="11">
        <f t="shared" si="7"/>
        <v>2.6499999999999999E-2</v>
      </c>
      <c r="E199" s="11">
        <f t="shared" si="8"/>
        <v>4.3686745363094026E-3</v>
      </c>
    </row>
    <row r="200" spans="1:5">
      <c r="A200" s="65">
        <v>35551</v>
      </c>
      <c r="B200" s="9">
        <v>5.2</v>
      </c>
      <c r="C200" s="10">
        <f t="shared" si="6"/>
        <v>5.2000000000000005E-2</v>
      </c>
      <c r="D200" s="11">
        <f t="shared" si="7"/>
        <v>2.6000000000000002E-2</v>
      </c>
      <c r="E200" s="11">
        <f t="shared" si="8"/>
        <v>4.2871213152586574E-3</v>
      </c>
    </row>
    <row r="201" spans="1:5">
      <c r="A201" s="65">
        <v>35582</v>
      </c>
      <c r="B201" s="9">
        <v>5.07</v>
      </c>
      <c r="C201" s="10">
        <f t="shared" si="6"/>
        <v>5.0700000000000002E-2</v>
      </c>
      <c r="D201" s="11">
        <f t="shared" si="7"/>
        <v>2.5350000000000001E-2</v>
      </c>
      <c r="E201" s="11">
        <f t="shared" si="8"/>
        <v>4.1810525998986492E-3</v>
      </c>
    </row>
    <row r="202" spans="1:5">
      <c r="A202" s="65">
        <v>35612</v>
      </c>
      <c r="B202" s="9">
        <v>5.19</v>
      </c>
      <c r="C202" s="10">
        <f t="shared" si="6"/>
        <v>5.1900000000000002E-2</v>
      </c>
      <c r="D202" s="11">
        <f t="shared" si="7"/>
        <v>2.5950000000000001E-2</v>
      </c>
      <c r="E202" s="11">
        <f t="shared" si="8"/>
        <v>4.2789641717047022E-3</v>
      </c>
    </row>
    <row r="203" spans="1:5">
      <c r="A203" s="65">
        <v>35643</v>
      </c>
      <c r="B203" s="9">
        <v>5.28</v>
      </c>
      <c r="C203" s="10">
        <f t="shared" si="6"/>
        <v>5.28E-2</v>
      </c>
      <c r="D203" s="11">
        <f t="shared" si="7"/>
        <v>2.64E-2</v>
      </c>
      <c r="E203" s="11">
        <f t="shared" si="8"/>
        <v>4.3523665407696477E-3</v>
      </c>
    </row>
    <row r="204" spans="1:5">
      <c r="A204" s="65">
        <v>35674</v>
      </c>
      <c r="B204" s="9">
        <v>5.08</v>
      </c>
      <c r="C204" s="10">
        <f t="shared" si="6"/>
        <v>5.0799999999999998E-2</v>
      </c>
      <c r="D204" s="11">
        <f t="shared" si="7"/>
        <v>2.5399999999999999E-2</v>
      </c>
      <c r="E204" s="11">
        <f t="shared" si="8"/>
        <v>4.1892137208978664E-3</v>
      </c>
    </row>
    <row r="205" spans="1:5">
      <c r="A205" s="65">
        <v>35704</v>
      </c>
      <c r="B205" s="9">
        <v>5.1100000000000003</v>
      </c>
      <c r="C205" s="10">
        <f t="shared" ref="C205:C268" si="9">B205/100</f>
        <v>5.1100000000000007E-2</v>
      </c>
      <c r="D205" s="11">
        <f t="shared" ref="D205:D268" si="10">C205/2</f>
        <v>2.5550000000000003E-2</v>
      </c>
      <c r="E205" s="11">
        <f t="shared" ref="E205:E268" si="11">(1+D205)^(1/6) - 1</f>
        <v>4.2136950943136853E-3</v>
      </c>
    </row>
    <row r="206" spans="1:5">
      <c r="A206" s="65">
        <v>35735</v>
      </c>
      <c r="B206" s="9">
        <v>5.28</v>
      </c>
      <c r="C206" s="10">
        <f t="shared" si="9"/>
        <v>5.28E-2</v>
      </c>
      <c r="D206" s="11">
        <f t="shared" si="10"/>
        <v>2.64E-2</v>
      </c>
      <c r="E206" s="11">
        <f t="shared" si="11"/>
        <v>4.3523665407696477E-3</v>
      </c>
    </row>
    <row r="207" spans="1:5">
      <c r="A207" s="65">
        <v>35765</v>
      </c>
      <c r="B207" s="9">
        <v>5.3</v>
      </c>
      <c r="C207" s="10">
        <f t="shared" si="9"/>
        <v>5.2999999999999999E-2</v>
      </c>
      <c r="D207" s="11">
        <f t="shared" si="10"/>
        <v>2.6499999999999999E-2</v>
      </c>
      <c r="E207" s="11">
        <f t="shared" si="11"/>
        <v>4.3686745363094026E-3</v>
      </c>
    </row>
    <row r="208" spans="1:5">
      <c r="A208" s="65">
        <v>35796</v>
      </c>
      <c r="B208" s="9">
        <v>5.18</v>
      </c>
      <c r="C208" s="10">
        <f t="shared" si="9"/>
        <v>5.1799999999999999E-2</v>
      </c>
      <c r="D208" s="11">
        <f t="shared" si="10"/>
        <v>2.5899999999999999E-2</v>
      </c>
      <c r="E208" s="11">
        <f t="shared" si="11"/>
        <v>4.2708066968597524E-3</v>
      </c>
    </row>
    <row r="209" spans="1:5">
      <c r="A209" s="65">
        <v>35827</v>
      </c>
      <c r="B209" s="9">
        <v>5.23</v>
      </c>
      <c r="C209" s="10">
        <f t="shared" si="9"/>
        <v>5.2300000000000006E-2</v>
      </c>
      <c r="D209" s="11">
        <f t="shared" si="10"/>
        <v>2.6150000000000003E-2</v>
      </c>
      <c r="E209" s="11">
        <f t="shared" si="11"/>
        <v>4.3115907584712065E-3</v>
      </c>
    </row>
    <row r="210" spans="1:5">
      <c r="A210" s="65">
        <v>35855</v>
      </c>
      <c r="B210" s="9">
        <v>5.16</v>
      </c>
      <c r="C210" s="10">
        <f t="shared" si="9"/>
        <v>5.16E-2</v>
      </c>
      <c r="D210" s="11">
        <f t="shared" si="10"/>
        <v>2.58E-2</v>
      </c>
      <c r="E210" s="11">
        <f t="shared" si="11"/>
        <v>4.2544907531789633E-3</v>
      </c>
    </row>
    <row r="211" spans="1:5">
      <c r="A211" s="65">
        <v>35886</v>
      </c>
      <c r="B211" s="9">
        <v>5.08</v>
      </c>
      <c r="C211" s="10">
        <f t="shared" si="9"/>
        <v>5.0799999999999998E-2</v>
      </c>
      <c r="D211" s="11">
        <f t="shared" si="10"/>
        <v>2.5399999999999999E-2</v>
      </c>
      <c r="E211" s="11">
        <f t="shared" si="11"/>
        <v>4.1892137208978664E-3</v>
      </c>
    </row>
    <row r="212" spans="1:5">
      <c r="A212" s="65">
        <v>35916</v>
      </c>
      <c r="B212" s="9">
        <v>5.14</v>
      </c>
      <c r="C212" s="10">
        <f t="shared" si="9"/>
        <v>5.1399999999999994E-2</v>
      </c>
      <c r="D212" s="11">
        <f t="shared" si="10"/>
        <v>2.5699999999999997E-2</v>
      </c>
      <c r="E212" s="11">
        <f t="shared" si="11"/>
        <v>4.2381734839793683E-3</v>
      </c>
    </row>
    <row r="213" spans="1:5">
      <c r="A213" s="65">
        <v>35947</v>
      </c>
      <c r="B213" s="9">
        <v>5.12</v>
      </c>
      <c r="C213" s="10">
        <f t="shared" si="9"/>
        <v>5.1200000000000002E-2</v>
      </c>
      <c r="D213" s="11">
        <f t="shared" si="10"/>
        <v>2.5600000000000001E-2</v>
      </c>
      <c r="E213" s="11">
        <f t="shared" si="11"/>
        <v>4.2218548890238239E-3</v>
      </c>
    </row>
    <row r="214" spans="1:5">
      <c r="A214" s="65">
        <v>35977</v>
      </c>
      <c r="B214" s="9">
        <v>5.09</v>
      </c>
      <c r="C214" s="10">
        <f t="shared" si="9"/>
        <v>5.0900000000000001E-2</v>
      </c>
      <c r="D214" s="11">
        <f t="shared" si="10"/>
        <v>2.545E-2</v>
      </c>
      <c r="E214" s="11">
        <f t="shared" si="11"/>
        <v>4.1973745102803495E-3</v>
      </c>
    </row>
    <row r="215" spans="1:5">
      <c r="A215" s="65">
        <v>36008</v>
      </c>
      <c r="B215" s="9">
        <v>5.04</v>
      </c>
      <c r="C215" s="10">
        <f t="shared" si="9"/>
        <v>5.04E-2</v>
      </c>
      <c r="D215" s="11">
        <f t="shared" si="10"/>
        <v>2.52E-2</v>
      </c>
      <c r="E215" s="11">
        <f t="shared" si="11"/>
        <v>4.1565672469039416E-3</v>
      </c>
    </row>
    <row r="216" spans="1:5">
      <c r="A216" s="65">
        <v>36039</v>
      </c>
      <c r="B216" s="9">
        <v>4.74</v>
      </c>
      <c r="C216" s="10">
        <f t="shared" si="9"/>
        <v>4.7400000000000005E-2</v>
      </c>
      <c r="D216" s="11">
        <f t="shared" si="10"/>
        <v>2.3700000000000002E-2</v>
      </c>
      <c r="E216" s="11">
        <f t="shared" si="11"/>
        <v>3.9115493756787245E-3</v>
      </c>
    </row>
    <row r="217" spans="1:5">
      <c r="A217" s="65">
        <v>36069</v>
      </c>
      <c r="B217" s="9">
        <v>4.07</v>
      </c>
      <c r="C217" s="10">
        <f t="shared" si="9"/>
        <v>4.07E-2</v>
      </c>
      <c r="D217" s="11">
        <f t="shared" si="10"/>
        <v>2.035E-2</v>
      </c>
      <c r="E217" s="11">
        <f t="shared" si="11"/>
        <v>3.3632607275555504E-3</v>
      </c>
    </row>
    <row r="218" spans="1:5">
      <c r="A218" s="65">
        <v>36100</v>
      </c>
      <c r="B218" s="9">
        <v>4.53</v>
      </c>
      <c r="C218" s="10">
        <f t="shared" si="9"/>
        <v>4.53E-2</v>
      </c>
      <c r="D218" s="11">
        <f t="shared" si="10"/>
        <v>2.265E-2</v>
      </c>
      <c r="E218" s="11">
        <f t="shared" si="11"/>
        <v>3.7398587917578663E-3</v>
      </c>
    </row>
    <row r="219" spans="1:5">
      <c r="A219" s="65">
        <v>36130</v>
      </c>
      <c r="B219" s="9">
        <v>4.5</v>
      </c>
      <c r="C219" s="10">
        <f t="shared" si="9"/>
        <v>4.4999999999999998E-2</v>
      </c>
      <c r="D219" s="11">
        <f t="shared" si="10"/>
        <v>2.2499999999999999E-2</v>
      </c>
      <c r="E219" s="11">
        <f t="shared" si="11"/>
        <v>3.7153195748071965E-3</v>
      </c>
    </row>
    <row r="220" spans="1:5">
      <c r="A220" s="65">
        <v>36161</v>
      </c>
      <c r="B220" s="9">
        <v>4.45</v>
      </c>
      <c r="C220" s="10">
        <f t="shared" si="9"/>
        <v>4.4500000000000005E-2</v>
      </c>
      <c r="D220" s="11">
        <f t="shared" si="10"/>
        <v>2.2250000000000002E-2</v>
      </c>
      <c r="E220" s="11">
        <f t="shared" si="11"/>
        <v>3.6744142126294843E-3</v>
      </c>
    </row>
    <row r="221" spans="1:5">
      <c r="A221" s="65">
        <v>36192</v>
      </c>
      <c r="B221" s="9">
        <v>4.5599999999999996</v>
      </c>
      <c r="C221" s="10">
        <f t="shared" si="9"/>
        <v>4.5599999999999995E-2</v>
      </c>
      <c r="D221" s="11">
        <f t="shared" si="10"/>
        <v>2.2799999999999997E-2</v>
      </c>
      <c r="E221" s="11">
        <f t="shared" si="11"/>
        <v>3.7643950094277123E-3</v>
      </c>
    </row>
    <row r="222" spans="1:5">
      <c r="A222" s="65">
        <v>36220</v>
      </c>
      <c r="B222" s="9">
        <v>4.57</v>
      </c>
      <c r="C222" s="10">
        <f t="shared" si="9"/>
        <v>4.5700000000000005E-2</v>
      </c>
      <c r="D222" s="11">
        <f t="shared" si="10"/>
        <v>2.2850000000000002E-2</v>
      </c>
      <c r="E222" s="11">
        <f t="shared" si="11"/>
        <v>3.7725730822832926E-3</v>
      </c>
    </row>
    <row r="223" spans="1:5">
      <c r="A223" s="65">
        <v>36251</v>
      </c>
      <c r="B223" s="9">
        <v>4.41</v>
      </c>
      <c r="C223" s="10">
        <f t="shared" si="9"/>
        <v>4.41E-2</v>
      </c>
      <c r="D223" s="11">
        <f t="shared" si="10"/>
        <v>2.205E-2</v>
      </c>
      <c r="E223" s="11">
        <f t="shared" si="11"/>
        <v>3.6416839202007001E-3</v>
      </c>
    </row>
    <row r="224" spans="1:5">
      <c r="A224" s="65">
        <v>36281</v>
      </c>
      <c r="B224" s="9">
        <v>4.63</v>
      </c>
      <c r="C224" s="10">
        <f t="shared" si="9"/>
        <v>4.6300000000000001E-2</v>
      </c>
      <c r="D224" s="11">
        <f t="shared" si="10"/>
        <v>2.315E-2</v>
      </c>
      <c r="E224" s="11">
        <f t="shared" si="11"/>
        <v>3.8216345246488981E-3</v>
      </c>
    </row>
    <row r="225" spans="1:5">
      <c r="A225" s="65">
        <v>36312</v>
      </c>
      <c r="B225" s="9">
        <v>4.72</v>
      </c>
      <c r="C225" s="10">
        <f t="shared" si="9"/>
        <v>4.7199999999999999E-2</v>
      </c>
      <c r="D225" s="11">
        <f t="shared" si="10"/>
        <v>2.3599999999999999E-2</v>
      </c>
      <c r="E225" s="11">
        <f t="shared" si="11"/>
        <v>3.8952042157516242E-3</v>
      </c>
    </row>
    <row r="226" spans="1:5">
      <c r="A226" s="65">
        <v>36342</v>
      </c>
      <c r="B226" s="9">
        <v>4.6900000000000004</v>
      </c>
      <c r="C226" s="10">
        <f t="shared" si="9"/>
        <v>4.6900000000000004E-2</v>
      </c>
      <c r="D226" s="11">
        <f t="shared" si="10"/>
        <v>2.3450000000000002E-2</v>
      </c>
      <c r="E226" s="11">
        <f t="shared" si="11"/>
        <v>3.8706839806363913E-3</v>
      </c>
    </row>
    <row r="227" spans="1:5">
      <c r="A227" s="65">
        <v>36373</v>
      </c>
      <c r="B227" s="9">
        <v>4.87</v>
      </c>
      <c r="C227" s="10">
        <f t="shared" si="9"/>
        <v>4.87E-2</v>
      </c>
      <c r="D227" s="11">
        <f t="shared" si="10"/>
        <v>2.435E-2</v>
      </c>
      <c r="E227" s="11">
        <f t="shared" si="11"/>
        <v>4.0177604947122525E-3</v>
      </c>
    </row>
    <row r="228" spans="1:5">
      <c r="A228" s="65">
        <v>36404</v>
      </c>
      <c r="B228" s="9">
        <v>4.82</v>
      </c>
      <c r="C228" s="10">
        <f t="shared" si="9"/>
        <v>4.82E-2</v>
      </c>
      <c r="D228" s="11">
        <f t="shared" si="10"/>
        <v>2.41E-2</v>
      </c>
      <c r="E228" s="11">
        <f t="shared" si="11"/>
        <v>3.9769167126881833E-3</v>
      </c>
    </row>
    <row r="229" spans="1:5">
      <c r="A229" s="65">
        <v>36434</v>
      </c>
      <c r="B229" s="9">
        <v>5.0199999999999996</v>
      </c>
      <c r="C229" s="10">
        <f t="shared" si="9"/>
        <v>5.0199999999999995E-2</v>
      </c>
      <c r="D229" s="11">
        <f t="shared" si="10"/>
        <v>2.5099999999999997E-2</v>
      </c>
      <c r="E229" s="11">
        <f t="shared" si="11"/>
        <v>4.1402420196134937E-3</v>
      </c>
    </row>
    <row r="230" spans="1:5">
      <c r="A230" s="65">
        <v>36465</v>
      </c>
      <c r="B230" s="9">
        <v>5.23</v>
      </c>
      <c r="C230" s="10">
        <f t="shared" si="9"/>
        <v>5.2300000000000006E-2</v>
      </c>
      <c r="D230" s="11">
        <f t="shared" si="10"/>
        <v>2.6150000000000003E-2</v>
      </c>
      <c r="E230" s="11">
        <f t="shared" si="11"/>
        <v>4.3115907584712065E-3</v>
      </c>
    </row>
    <row r="231" spans="1:5">
      <c r="A231" s="65">
        <v>36495</v>
      </c>
      <c r="B231" s="9">
        <v>5.36</v>
      </c>
      <c r="C231" s="10">
        <f t="shared" si="9"/>
        <v>5.3600000000000002E-2</v>
      </c>
      <c r="D231" s="11">
        <f t="shared" si="10"/>
        <v>2.6800000000000001E-2</v>
      </c>
      <c r="E231" s="11">
        <f t="shared" si="11"/>
        <v>4.4175905807017912E-3</v>
      </c>
    </row>
    <row r="232" spans="1:5">
      <c r="A232" s="65">
        <v>36526</v>
      </c>
      <c r="B232" s="9">
        <v>5.5</v>
      </c>
      <c r="C232" s="10">
        <f t="shared" si="9"/>
        <v>5.5E-2</v>
      </c>
      <c r="D232" s="11">
        <f t="shared" si="10"/>
        <v>2.75E-2</v>
      </c>
      <c r="E232" s="11">
        <f t="shared" si="11"/>
        <v>4.5316817182770031E-3</v>
      </c>
    </row>
    <row r="233" spans="1:5">
      <c r="A233" s="65">
        <v>36557</v>
      </c>
      <c r="B233" s="9">
        <v>5.73</v>
      </c>
      <c r="C233" s="10">
        <f t="shared" si="9"/>
        <v>5.7300000000000004E-2</v>
      </c>
      <c r="D233" s="11">
        <f t="shared" si="10"/>
        <v>2.8650000000000002E-2</v>
      </c>
      <c r="E233" s="11">
        <f t="shared" si="11"/>
        <v>4.718976621480353E-3</v>
      </c>
    </row>
    <row r="234" spans="1:5">
      <c r="A234" s="65">
        <v>36586</v>
      </c>
      <c r="B234" s="9">
        <v>5.86</v>
      </c>
      <c r="C234" s="10">
        <f t="shared" si="9"/>
        <v>5.8600000000000006E-2</v>
      </c>
      <c r="D234" s="11">
        <f t="shared" si="10"/>
        <v>2.9300000000000003E-2</v>
      </c>
      <c r="E234" s="11">
        <f t="shared" si="11"/>
        <v>4.8247617856966851E-3</v>
      </c>
    </row>
    <row r="235" spans="1:5">
      <c r="A235" s="65">
        <v>36617</v>
      </c>
      <c r="B235" s="9">
        <v>5.82</v>
      </c>
      <c r="C235" s="10">
        <f t="shared" si="9"/>
        <v>5.8200000000000002E-2</v>
      </c>
      <c r="D235" s="11">
        <f t="shared" si="10"/>
        <v>2.9100000000000001E-2</v>
      </c>
      <c r="E235" s="11">
        <f t="shared" si="11"/>
        <v>4.7922184350948083E-3</v>
      </c>
    </row>
    <row r="236" spans="1:5">
      <c r="A236" s="65">
        <v>36647</v>
      </c>
      <c r="B236" s="9">
        <v>5.99</v>
      </c>
      <c r="C236" s="10">
        <f t="shared" si="9"/>
        <v>5.9900000000000002E-2</v>
      </c>
      <c r="D236" s="11">
        <f t="shared" si="10"/>
        <v>2.9950000000000001E-2</v>
      </c>
      <c r="E236" s="11">
        <f t="shared" si="11"/>
        <v>4.9304912953631597E-3</v>
      </c>
    </row>
    <row r="237" spans="1:5">
      <c r="A237" s="65">
        <v>36678</v>
      </c>
      <c r="B237" s="9">
        <v>5.86</v>
      </c>
      <c r="C237" s="10">
        <f t="shared" si="9"/>
        <v>5.8600000000000006E-2</v>
      </c>
      <c r="D237" s="11">
        <f t="shared" si="10"/>
        <v>2.9300000000000003E-2</v>
      </c>
      <c r="E237" s="11">
        <f t="shared" si="11"/>
        <v>4.8247617856966851E-3</v>
      </c>
    </row>
    <row r="238" spans="1:5">
      <c r="A238" s="65">
        <v>36708</v>
      </c>
      <c r="B238" s="9">
        <v>6.14</v>
      </c>
      <c r="C238" s="10">
        <f t="shared" si="9"/>
        <v>6.1399999999999996E-2</v>
      </c>
      <c r="D238" s="11">
        <f t="shared" si="10"/>
        <v>3.0699999999999998E-2</v>
      </c>
      <c r="E238" s="11">
        <f t="shared" si="11"/>
        <v>5.0524178109889739E-3</v>
      </c>
    </row>
    <row r="239" spans="1:5">
      <c r="A239" s="65">
        <v>36739</v>
      </c>
      <c r="B239" s="9">
        <v>6.28</v>
      </c>
      <c r="C239" s="10">
        <f t="shared" si="9"/>
        <v>6.2800000000000009E-2</v>
      </c>
      <c r="D239" s="11">
        <f t="shared" si="10"/>
        <v>3.1400000000000004E-2</v>
      </c>
      <c r="E239" s="11">
        <f t="shared" si="11"/>
        <v>5.1661492053167724E-3</v>
      </c>
    </row>
    <row r="240" spans="1:5">
      <c r="A240" s="65">
        <v>36770</v>
      </c>
      <c r="B240" s="9">
        <v>6.18</v>
      </c>
      <c r="C240" s="10">
        <f t="shared" si="9"/>
        <v>6.1799999999999994E-2</v>
      </c>
      <c r="D240" s="11">
        <f t="shared" si="10"/>
        <v>3.0899999999999997E-2</v>
      </c>
      <c r="E240" s="11">
        <f t="shared" si="11"/>
        <v>5.0849190615225304E-3</v>
      </c>
    </row>
    <row r="241" spans="1:5">
      <c r="A241" s="65">
        <v>36800</v>
      </c>
      <c r="B241" s="9">
        <v>6.29</v>
      </c>
      <c r="C241" s="10">
        <f t="shared" si="9"/>
        <v>6.2899999999999998E-2</v>
      </c>
      <c r="D241" s="11">
        <f t="shared" si="10"/>
        <v>3.1449999999999999E-2</v>
      </c>
      <c r="E241" s="11">
        <f t="shared" si="11"/>
        <v>5.174270414727733E-3</v>
      </c>
    </row>
    <row r="242" spans="1:5">
      <c r="A242" s="65">
        <v>36831</v>
      </c>
      <c r="B242" s="9">
        <v>6.36</v>
      </c>
      <c r="C242" s="10">
        <f t="shared" si="9"/>
        <v>6.3600000000000004E-2</v>
      </c>
      <c r="D242" s="11">
        <f t="shared" si="10"/>
        <v>3.1800000000000002E-2</v>
      </c>
      <c r="E242" s="11">
        <f t="shared" si="11"/>
        <v>5.2311096965727E-3</v>
      </c>
    </row>
    <row r="243" spans="1:5">
      <c r="A243" s="65">
        <v>36861</v>
      </c>
      <c r="B243" s="9">
        <v>5.94</v>
      </c>
      <c r="C243" s="10">
        <f t="shared" si="9"/>
        <v>5.9400000000000001E-2</v>
      </c>
      <c r="D243" s="11">
        <f t="shared" si="10"/>
        <v>2.9700000000000001E-2</v>
      </c>
      <c r="E243" s="11">
        <f t="shared" si="11"/>
        <v>4.889832681570061E-3</v>
      </c>
    </row>
    <row r="244" spans="1:5">
      <c r="A244" s="65">
        <v>36892</v>
      </c>
      <c r="B244" s="9">
        <v>5.29</v>
      </c>
      <c r="C244" s="10">
        <f t="shared" si="9"/>
        <v>5.2900000000000003E-2</v>
      </c>
      <c r="D244" s="11">
        <f t="shared" si="10"/>
        <v>2.6450000000000001E-2</v>
      </c>
      <c r="E244" s="11">
        <f t="shared" si="11"/>
        <v>4.3605207040371408E-3</v>
      </c>
    </row>
    <row r="245" spans="1:5">
      <c r="A245" s="65">
        <v>36923</v>
      </c>
      <c r="B245" s="9">
        <v>5.01</v>
      </c>
      <c r="C245" s="10">
        <f t="shared" si="9"/>
        <v>5.0099999999999999E-2</v>
      </c>
      <c r="D245" s="11">
        <f t="shared" si="10"/>
        <v>2.5049999999999999E-2</v>
      </c>
      <c r="E245" s="11">
        <f t="shared" si="11"/>
        <v>4.132078908291037E-3</v>
      </c>
    </row>
    <row r="246" spans="1:5">
      <c r="A246" s="65">
        <v>36951</v>
      </c>
      <c r="B246" s="9">
        <v>4.54</v>
      </c>
      <c r="C246" s="10">
        <f t="shared" si="9"/>
        <v>4.5400000000000003E-2</v>
      </c>
      <c r="D246" s="11">
        <f t="shared" si="10"/>
        <v>2.2700000000000001E-2</v>
      </c>
      <c r="E246" s="11">
        <f t="shared" si="11"/>
        <v>3.7480378641947532E-3</v>
      </c>
    </row>
    <row r="247" spans="1:5">
      <c r="A247" s="65">
        <v>36982</v>
      </c>
      <c r="B247" s="9">
        <v>3.97</v>
      </c>
      <c r="C247" s="10">
        <f t="shared" si="9"/>
        <v>3.9699999999999999E-2</v>
      </c>
      <c r="D247" s="11">
        <f t="shared" si="10"/>
        <v>1.985E-2</v>
      </c>
      <c r="E247" s="11">
        <f t="shared" si="11"/>
        <v>3.2812979870655568E-3</v>
      </c>
    </row>
    <row r="248" spans="1:5">
      <c r="A248" s="65">
        <v>37012</v>
      </c>
      <c r="B248" s="9">
        <v>3.7</v>
      </c>
      <c r="C248" s="10">
        <f t="shared" si="9"/>
        <v>3.7000000000000005E-2</v>
      </c>
      <c r="D248" s="11">
        <f t="shared" si="10"/>
        <v>1.8500000000000003E-2</v>
      </c>
      <c r="E248" s="11">
        <f t="shared" si="11"/>
        <v>3.0598312035203801E-3</v>
      </c>
    </row>
    <row r="249" spans="1:5">
      <c r="A249" s="65">
        <v>37043</v>
      </c>
      <c r="B249" s="9">
        <v>3.57</v>
      </c>
      <c r="C249" s="10">
        <f t="shared" si="9"/>
        <v>3.5699999999999996E-2</v>
      </c>
      <c r="D249" s="11">
        <f t="shared" si="10"/>
        <v>1.7849999999999998E-2</v>
      </c>
      <c r="E249" s="11">
        <f t="shared" si="11"/>
        <v>2.953111790845675E-3</v>
      </c>
    </row>
    <row r="250" spans="1:5">
      <c r="A250" s="65">
        <v>37073</v>
      </c>
      <c r="B250" s="9">
        <v>3.59</v>
      </c>
      <c r="C250" s="10">
        <f t="shared" si="9"/>
        <v>3.5900000000000001E-2</v>
      </c>
      <c r="D250" s="11">
        <f t="shared" si="10"/>
        <v>1.7950000000000001E-2</v>
      </c>
      <c r="E250" s="11">
        <f t="shared" si="11"/>
        <v>2.9695338579054376E-3</v>
      </c>
    </row>
    <row r="251" spans="1:5">
      <c r="A251" s="65">
        <v>37104</v>
      </c>
      <c r="B251" s="9">
        <v>3.44</v>
      </c>
      <c r="C251" s="10">
        <f t="shared" si="9"/>
        <v>3.44E-2</v>
      </c>
      <c r="D251" s="11">
        <f t="shared" si="10"/>
        <v>1.72E-2</v>
      </c>
      <c r="E251" s="11">
        <f t="shared" si="11"/>
        <v>2.8463355704506643E-3</v>
      </c>
    </row>
    <row r="252" spans="1:5">
      <c r="A252" s="65">
        <v>37135</v>
      </c>
      <c r="B252" s="9">
        <v>2.69</v>
      </c>
      <c r="C252" s="10">
        <f t="shared" si="9"/>
        <v>2.69E-2</v>
      </c>
      <c r="D252" s="11">
        <f t="shared" si="10"/>
        <v>1.345E-2</v>
      </c>
      <c r="E252" s="11">
        <f t="shared" si="11"/>
        <v>2.2292062775393084E-3</v>
      </c>
    </row>
    <row r="253" spans="1:5">
      <c r="A253" s="65">
        <v>37165</v>
      </c>
      <c r="B253" s="9">
        <v>2.2000000000000002</v>
      </c>
      <c r="C253" s="10">
        <f t="shared" si="9"/>
        <v>2.2000000000000002E-2</v>
      </c>
      <c r="D253" s="11">
        <f t="shared" si="10"/>
        <v>1.1000000000000001E-2</v>
      </c>
      <c r="E253" s="11">
        <f t="shared" si="11"/>
        <v>1.8249866044590668E-3</v>
      </c>
    </row>
    <row r="254" spans="1:5">
      <c r="A254" s="65">
        <v>37196</v>
      </c>
      <c r="B254" s="9">
        <v>1.91</v>
      </c>
      <c r="C254" s="10">
        <f t="shared" si="9"/>
        <v>1.9099999999999999E-2</v>
      </c>
      <c r="D254" s="11">
        <f t="shared" si="10"/>
        <v>9.5499999999999995E-3</v>
      </c>
      <c r="E254" s="11">
        <f t="shared" si="11"/>
        <v>1.5853698745496025E-3</v>
      </c>
    </row>
    <row r="255" spans="1:5">
      <c r="A255" s="65">
        <v>37226</v>
      </c>
      <c r="B255" s="9">
        <v>1.72</v>
      </c>
      <c r="C255" s="10">
        <f t="shared" si="9"/>
        <v>1.72E-2</v>
      </c>
      <c r="D255" s="11">
        <f t="shared" si="10"/>
        <v>8.6E-3</v>
      </c>
      <c r="E255" s="11">
        <f t="shared" si="11"/>
        <v>1.4282240519831735E-3</v>
      </c>
    </row>
    <row r="256" spans="1:5">
      <c r="A256" s="65">
        <v>37257</v>
      </c>
      <c r="B256" s="9">
        <v>1.68</v>
      </c>
      <c r="C256" s="10">
        <f t="shared" si="9"/>
        <v>1.6799999999999999E-2</v>
      </c>
      <c r="D256" s="11">
        <f t="shared" si="10"/>
        <v>8.3999999999999995E-3</v>
      </c>
      <c r="E256" s="11">
        <f t="shared" si="11"/>
        <v>1.3951250046282393E-3</v>
      </c>
    </row>
    <row r="257" spans="1:5">
      <c r="A257" s="65">
        <v>37288</v>
      </c>
      <c r="B257" s="9">
        <v>1.76</v>
      </c>
      <c r="C257" s="10">
        <f t="shared" si="9"/>
        <v>1.7600000000000001E-2</v>
      </c>
      <c r="D257" s="11">
        <f t="shared" si="10"/>
        <v>8.8000000000000005E-3</v>
      </c>
      <c r="E257" s="11">
        <f t="shared" si="11"/>
        <v>1.4613176303193143E-3</v>
      </c>
    </row>
    <row r="258" spans="1:5">
      <c r="A258" s="65">
        <v>37316</v>
      </c>
      <c r="B258" s="9">
        <v>1.83</v>
      </c>
      <c r="C258" s="10">
        <f t="shared" si="9"/>
        <v>1.83E-2</v>
      </c>
      <c r="D258" s="11">
        <f t="shared" si="10"/>
        <v>9.1500000000000001E-3</v>
      </c>
      <c r="E258" s="11">
        <f t="shared" si="11"/>
        <v>1.5192182385594943E-3</v>
      </c>
    </row>
    <row r="259" spans="1:5">
      <c r="A259" s="65">
        <v>37347</v>
      </c>
      <c r="B259" s="9">
        <v>1.75</v>
      </c>
      <c r="C259" s="10">
        <f t="shared" si="9"/>
        <v>1.7500000000000002E-2</v>
      </c>
      <c r="D259" s="11">
        <f t="shared" si="10"/>
        <v>8.7500000000000008E-3</v>
      </c>
      <c r="E259" s="11">
        <f t="shared" si="11"/>
        <v>1.4530447483469544E-3</v>
      </c>
    </row>
    <row r="260" spans="1:5">
      <c r="A260" s="65">
        <v>37377</v>
      </c>
      <c r="B260" s="9">
        <v>1.76</v>
      </c>
      <c r="C260" s="10">
        <f t="shared" si="9"/>
        <v>1.7600000000000001E-2</v>
      </c>
      <c r="D260" s="11">
        <f t="shared" si="10"/>
        <v>8.8000000000000005E-3</v>
      </c>
      <c r="E260" s="11">
        <f t="shared" si="11"/>
        <v>1.4613176303193143E-3</v>
      </c>
    </row>
    <row r="261" spans="1:5">
      <c r="A261" s="65">
        <v>37408</v>
      </c>
      <c r="B261" s="9">
        <v>1.73</v>
      </c>
      <c r="C261" s="10">
        <f t="shared" si="9"/>
        <v>1.7299999999999999E-2</v>
      </c>
      <c r="D261" s="11">
        <f t="shared" si="10"/>
        <v>8.6499999999999997E-3</v>
      </c>
      <c r="E261" s="11">
        <f t="shared" si="11"/>
        <v>1.4364979592100813E-3</v>
      </c>
    </row>
    <row r="262" spans="1:5">
      <c r="A262" s="65">
        <v>37438</v>
      </c>
      <c r="B262" s="9">
        <v>1.71</v>
      </c>
      <c r="C262" s="10">
        <f t="shared" si="9"/>
        <v>1.7100000000000001E-2</v>
      </c>
      <c r="D262" s="11">
        <f t="shared" si="10"/>
        <v>8.5500000000000003E-3</v>
      </c>
      <c r="E262" s="11">
        <f t="shared" si="11"/>
        <v>1.4199498029425772E-3</v>
      </c>
    </row>
    <row r="263" spans="1:5">
      <c r="A263" s="65">
        <v>37469</v>
      </c>
      <c r="B263" s="9">
        <v>1.65</v>
      </c>
      <c r="C263" s="10">
        <f t="shared" si="9"/>
        <v>1.6500000000000001E-2</v>
      </c>
      <c r="D263" s="11">
        <f t="shared" si="10"/>
        <v>8.2500000000000004E-3</v>
      </c>
      <c r="E263" s="11">
        <f t="shared" si="11"/>
        <v>1.3702971288724886E-3</v>
      </c>
    </row>
    <row r="264" spans="1:5">
      <c r="A264" s="65">
        <v>37500</v>
      </c>
      <c r="B264" s="9">
        <v>1.66</v>
      </c>
      <c r="C264" s="10">
        <f t="shared" si="9"/>
        <v>1.66E-2</v>
      </c>
      <c r="D264" s="11">
        <f t="shared" si="10"/>
        <v>8.3000000000000001E-3</v>
      </c>
      <c r="E264" s="11">
        <f t="shared" si="11"/>
        <v>1.3785734294475827E-3</v>
      </c>
    </row>
    <row r="265" spans="1:5">
      <c r="A265" s="65">
        <v>37530</v>
      </c>
      <c r="B265" s="9">
        <v>1.61</v>
      </c>
      <c r="C265" s="10">
        <f t="shared" si="9"/>
        <v>1.61E-2</v>
      </c>
      <c r="D265" s="11">
        <f t="shared" si="10"/>
        <v>8.0499999999999999E-3</v>
      </c>
      <c r="E265" s="11">
        <f t="shared" si="11"/>
        <v>1.3371885059489941E-3</v>
      </c>
    </row>
    <row r="266" spans="1:5">
      <c r="A266" s="65">
        <v>37561</v>
      </c>
      <c r="B266" s="9">
        <v>1.25</v>
      </c>
      <c r="C266" s="10">
        <f t="shared" si="9"/>
        <v>1.2500000000000001E-2</v>
      </c>
      <c r="D266" s="11">
        <f t="shared" si="10"/>
        <v>6.2500000000000003E-3</v>
      </c>
      <c r="E266" s="11">
        <f t="shared" si="11"/>
        <v>1.0389643083117406E-3</v>
      </c>
    </row>
    <row r="267" spans="1:5">
      <c r="A267" s="65">
        <v>37591</v>
      </c>
      <c r="B267" s="9">
        <v>1.21</v>
      </c>
      <c r="C267" s="10">
        <f t="shared" si="9"/>
        <v>1.21E-2</v>
      </c>
      <c r="D267" s="11">
        <f t="shared" si="10"/>
        <v>6.0499999999999998E-3</v>
      </c>
      <c r="E267" s="11">
        <f t="shared" si="11"/>
        <v>1.0058008507165539E-3</v>
      </c>
    </row>
    <row r="268" spans="1:5">
      <c r="A268" s="65">
        <v>37622</v>
      </c>
      <c r="B268" s="9">
        <v>1.19</v>
      </c>
      <c r="C268" s="10">
        <f t="shared" si="9"/>
        <v>1.1899999999999999E-2</v>
      </c>
      <c r="D268" s="11">
        <f t="shared" si="10"/>
        <v>5.9499999999999996E-3</v>
      </c>
      <c r="E268" s="11">
        <f t="shared" si="11"/>
        <v>9.8921706162169443E-4</v>
      </c>
    </row>
    <row r="269" spans="1:5">
      <c r="A269" s="65">
        <v>37653</v>
      </c>
      <c r="B269" s="9">
        <v>1.19</v>
      </c>
      <c r="C269" s="10">
        <f t="shared" ref="C269:C332" si="12">B269/100</f>
        <v>1.1899999999999999E-2</v>
      </c>
      <c r="D269" s="11">
        <f t="shared" ref="D269:D332" si="13">C269/2</f>
        <v>5.9499999999999996E-3</v>
      </c>
      <c r="E269" s="11">
        <f t="shared" ref="E269:E332" si="14">(1+D269)^(1/6) - 1</f>
        <v>9.8921706162169443E-4</v>
      </c>
    </row>
    <row r="270" spans="1:5">
      <c r="A270" s="65">
        <v>37681</v>
      </c>
      <c r="B270" s="9">
        <v>1.1499999999999999</v>
      </c>
      <c r="C270" s="10">
        <f t="shared" si="12"/>
        <v>1.15E-2</v>
      </c>
      <c r="D270" s="11">
        <f t="shared" si="13"/>
        <v>5.7499999999999999E-3</v>
      </c>
      <c r="E270" s="11">
        <f t="shared" si="14"/>
        <v>9.5604536158644393E-4</v>
      </c>
    </row>
    <row r="271" spans="1:5">
      <c r="A271" s="65">
        <v>37712</v>
      </c>
      <c r="B271" s="9">
        <v>1.1499999999999999</v>
      </c>
      <c r="C271" s="10">
        <f t="shared" si="12"/>
        <v>1.15E-2</v>
      </c>
      <c r="D271" s="11">
        <f t="shared" si="13"/>
        <v>5.7499999999999999E-3</v>
      </c>
      <c r="E271" s="11">
        <f t="shared" si="14"/>
        <v>9.5604536158644393E-4</v>
      </c>
    </row>
    <row r="272" spans="1:5">
      <c r="A272" s="65">
        <v>37742</v>
      </c>
      <c r="B272" s="9">
        <v>1.0900000000000001</v>
      </c>
      <c r="C272" s="10">
        <f t="shared" si="12"/>
        <v>1.09E-2</v>
      </c>
      <c r="D272" s="11">
        <f t="shared" si="13"/>
        <v>5.45E-3</v>
      </c>
      <c r="E272" s="11">
        <f t="shared" si="14"/>
        <v>9.0627750316119027E-4</v>
      </c>
    </row>
    <row r="273" spans="1:5">
      <c r="A273" s="65">
        <v>37773</v>
      </c>
      <c r="B273" s="9">
        <v>0.94</v>
      </c>
      <c r="C273" s="10">
        <f t="shared" si="12"/>
        <v>9.3999999999999986E-3</v>
      </c>
      <c r="D273" s="11">
        <f t="shared" si="13"/>
        <v>4.6999999999999993E-3</v>
      </c>
      <c r="E273" s="11">
        <f t="shared" si="14"/>
        <v>7.8180369700842078E-4</v>
      </c>
    </row>
    <row r="274" spans="1:5">
      <c r="A274" s="65">
        <v>37803</v>
      </c>
      <c r="B274" s="9">
        <v>0.92</v>
      </c>
      <c r="C274" s="10">
        <f t="shared" si="12"/>
        <v>9.1999999999999998E-3</v>
      </c>
      <c r="D274" s="11">
        <f t="shared" si="13"/>
        <v>4.5999999999999999E-3</v>
      </c>
      <c r="E274" s="11">
        <f t="shared" si="14"/>
        <v>7.6520133958157821E-4</v>
      </c>
    </row>
    <row r="275" spans="1:5">
      <c r="A275" s="65">
        <v>37834</v>
      </c>
      <c r="B275" s="9">
        <v>0.97</v>
      </c>
      <c r="C275" s="10">
        <f t="shared" si="12"/>
        <v>9.7000000000000003E-3</v>
      </c>
      <c r="D275" s="11">
        <f t="shared" si="13"/>
        <v>4.8500000000000001E-3</v>
      </c>
      <c r="E275" s="11">
        <f t="shared" si="14"/>
        <v>8.0670465135090907E-4</v>
      </c>
    </row>
    <row r="276" spans="1:5">
      <c r="A276" s="65">
        <v>37865</v>
      </c>
      <c r="B276" s="9">
        <v>0.96</v>
      </c>
      <c r="C276" s="10">
        <f t="shared" si="12"/>
        <v>9.5999999999999992E-3</v>
      </c>
      <c r="D276" s="11">
        <f t="shared" si="13"/>
        <v>4.7999999999999996E-3</v>
      </c>
      <c r="E276" s="11">
        <f t="shared" si="14"/>
        <v>7.984046774345277E-4</v>
      </c>
    </row>
    <row r="277" spans="1:5">
      <c r="A277" s="65">
        <v>37895</v>
      </c>
      <c r="B277" s="9">
        <v>0.94</v>
      </c>
      <c r="C277" s="10">
        <f t="shared" si="12"/>
        <v>9.3999999999999986E-3</v>
      </c>
      <c r="D277" s="11">
        <f t="shared" si="13"/>
        <v>4.6999999999999993E-3</v>
      </c>
      <c r="E277" s="11">
        <f t="shared" si="14"/>
        <v>7.8180369700842078E-4</v>
      </c>
    </row>
    <row r="278" spans="1:5">
      <c r="A278" s="65">
        <v>37926</v>
      </c>
      <c r="B278" s="9">
        <v>0.95</v>
      </c>
      <c r="C278" s="10">
        <f t="shared" si="12"/>
        <v>9.4999999999999998E-3</v>
      </c>
      <c r="D278" s="11">
        <f t="shared" si="13"/>
        <v>4.7499999999999999E-3</v>
      </c>
      <c r="E278" s="11">
        <f t="shared" si="14"/>
        <v>7.9010435933080103E-4</v>
      </c>
    </row>
    <row r="279" spans="1:5">
      <c r="A279" s="65">
        <v>37956</v>
      </c>
      <c r="B279" s="9">
        <v>0.91</v>
      </c>
      <c r="C279" s="10">
        <f t="shared" si="12"/>
        <v>9.1000000000000004E-3</v>
      </c>
      <c r="D279" s="11">
        <f t="shared" si="13"/>
        <v>4.5500000000000002E-3</v>
      </c>
      <c r="E279" s="11">
        <f t="shared" si="14"/>
        <v>7.5689964441472135E-4</v>
      </c>
    </row>
    <row r="280" spans="1:5">
      <c r="A280" s="65">
        <v>37987</v>
      </c>
      <c r="B280" s="9">
        <v>0.9</v>
      </c>
      <c r="C280" s="10">
        <f t="shared" si="12"/>
        <v>9.0000000000000011E-3</v>
      </c>
      <c r="D280" s="11">
        <f t="shared" si="13"/>
        <v>4.5000000000000005E-3</v>
      </c>
      <c r="E280" s="11">
        <f t="shared" si="14"/>
        <v>7.4859760490331162E-4</v>
      </c>
    </row>
    <row r="281" spans="1:5">
      <c r="A281" s="65">
        <v>38018</v>
      </c>
      <c r="B281" s="9">
        <v>0.94</v>
      </c>
      <c r="C281" s="10">
        <f t="shared" si="12"/>
        <v>9.3999999999999986E-3</v>
      </c>
      <c r="D281" s="11">
        <f t="shared" si="13"/>
        <v>4.6999999999999993E-3</v>
      </c>
      <c r="E281" s="11">
        <f t="shared" si="14"/>
        <v>7.8180369700842078E-4</v>
      </c>
    </row>
    <row r="282" spans="1:5">
      <c r="A282" s="65">
        <v>38047</v>
      </c>
      <c r="B282" s="9">
        <v>0.95</v>
      </c>
      <c r="C282" s="10">
        <f t="shared" si="12"/>
        <v>9.4999999999999998E-3</v>
      </c>
      <c r="D282" s="11">
        <f t="shared" si="13"/>
        <v>4.7499999999999999E-3</v>
      </c>
      <c r="E282" s="11">
        <f t="shared" si="14"/>
        <v>7.9010435933080103E-4</v>
      </c>
    </row>
    <row r="283" spans="1:5">
      <c r="A283" s="65">
        <v>38078</v>
      </c>
      <c r="B283" s="9">
        <v>0.96</v>
      </c>
      <c r="C283" s="10">
        <f t="shared" si="12"/>
        <v>9.5999999999999992E-3</v>
      </c>
      <c r="D283" s="11">
        <f t="shared" si="13"/>
        <v>4.7999999999999996E-3</v>
      </c>
      <c r="E283" s="11">
        <f t="shared" si="14"/>
        <v>7.984046774345277E-4</v>
      </c>
    </row>
    <row r="284" spans="1:5">
      <c r="A284" s="65">
        <v>38108</v>
      </c>
      <c r="B284" s="9">
        <v>1.04</v>
      </c>
      <c r="C284" s="10">
        <f t="shared" si="12"/>
        <v>1.04E-2</v>
      </c>
      <c r="D284" s="11">
        <f t="shared" si="13"/>
        <v>5.1999999999999998E-3</v>
      </c>
      <c r="E284" s="11">
        <f t="shared" si="14"/>
        <v>8.6479483415757841E-4</v>
      </c>
    </row>
    <row r="285" spans="1:5">
      <c r="A285" s="65">
        <v>38139</v>
      </c>
      <c r="B285" s="9">
        <v>1.29</v>
      </c>
      <c r="C285" s="10">
        <f t="shared" si="12"/>
        <v>1.29E-2</v>
      </c>
      <c r="D285" s="11">
        <f t="shared" si="13"/>
        <v>6.45E-3</v>
      </c>
      <c r="E285" s="11">
        <f t="shared" si="14"/>
        <v>1.0721222734495495E-3</v>
      </c>
    </row>
    <row r="286" spans="1:5">
      <c r="A286" s="65">
        <v>38169</v>
      </c>
      <c r="B286" s="9">
        <v>1.36</v>
      </c>
      <c r="C286" s="10">
        <f t="shared" si="12"/>
        <v>1.3600000000000001E-2</v>
      </c>
      <c r="D286" s="11">
        <f t="shared" si="13"/>
        <v>6.8000000000000005E-3</v>
      </c>
      <c r="E286" s="11">
        <f t="shared" si="14"/>
        <v>1.1301355022326209E-3</v>
      </c>
    </row>
    <row r="287" spans="1:5">
      <c r="A287" s="65">
        <v>38200</v>
      </c>
      <c r="B287" s="9">
        <v>1.5</v>
      </c>
      <c r="C287" s="10">
        <f t="shared" si="12"/>
        <v>1.4999999999999999E-2</v>
      </c>
      <c r="D287" s="11">
        <f t="shared" si="13"/>
        <v>7.4999999999999997E-3</v>
      </c>
      <c r="E287" s="11">
        <f t="shared" si="14"/>
        <v>1.2461115590762795E-3</v>
      </c>
    </row>
    <row r="288" spans="1:5">
      <c r="A288" s="65">
        <v>38231</v>
      </c>
      <c r="B288" s="9">
        <v>1.68</v>
      </c>
      <c r="C288" s="10">
        <f t="shared" si="12"/>
        <v>1.6799999999999999E-2</v>
      </c>
      <c r="D288" s="11">
        <f t="shared" si="13"/>
        <v>8.3999999999999995E-3</v>
      </c>
      <c r="E288" s="11">
        <f t="shared" si="14"/>
        <v>1.3951250046282393E-3</v>
      </c>
    </row>
    <row r="289" spans="1:5">
      <c r="A289" s="65">
        <v>38261</v>
      </c>
      <c r="B289" s="9">
        <v>1.79</v>
      </c>
      <c r="C289" s="10">
        <f t="shared" si="12"/>
        <v>1.7899999999999999E-2</v>
      </c>
      <c r="D289" s="11">
        <f t="shared" si="13"/>
        <v>8.9499999999999996E-3</v>
      </c>
      <c r="E289" s="11">
        <f t="shared" si="14"/>
        <v>1.4861342262237898E-3</v>
      </c>
    </row>
    <row r="290" spans="1:5">
      <c r="A290" s="65">
        <v>38292</v>
      </c>
      <c r="B290" s="9">
        <v>2.11</v>
      </c>
      <c r="C290" s="10">
        <f t="shared" si="12"/>
        <v>2.1099999999999997E-2</v>
      </c>
      <c r="D290" s="11">
        <f t="shared" si="13"/>
        <v>1.0549999999999999E-2</v>
      </c>
      <c r="E290" s="11">
        <f t="shared" si="14"/>
        <v>1.7506534564204479E-3</v>
      </c>
    </row>
    <row r="291" spans="1:5">
      <c r="A291" s="65">
        <v>38322</v>
      </c>
      <c r="B291" s="9">
        <v>2.2200000000000002</v>
      </c>
      <c r="C291" s="10">
        <f t="shared" si="12"/>
        <v>2.2200000000000001E-2</v>
      </c>
      <c r="D291" s="11">
        <f t="shared" si="13"/>
        <v>1.11E-2</v>
      </c>
      <c r="E291" s="11">
        <f t="shared" si="14"/>
        <v>1.8415013374062372E-3</v>
      </c>
    </row>
    <row r="292" spans="1:5">
      <c r="A292" s="65">
        <v>38353</v>
      </c>
      <c r="B292" s="9">
        <v>2.37</v>
      </c>
      <c r="C292" s="10">
        <f t="shared" si="12"/>
        <v>2.3700000000000002E-2</v>
      </c>
      <c r="D292" s="11">
        <f t="shared" si="13"/>
        <v>1.1850000000000001E-2</v>
      </c>
      <c r="E292" s="11">
        <f t="shared" si="14"/>
        <v>1.9653184676531321E-3</v>
      </c>
    </row>
    <row r="293" spans="1:5">
      <c r="A293" s="65">
        <v>38384</v>
      </c>
      <c r="B293" s="9">
        <v>2.58</v>
      </c>
      <c r="C293" s="10">
        <f t="shared" si="12"/>
        <v>2.58E-2</v>
      </c>
      <c r="D293" s="11">
        <f t="shared" si="13"/>
        <v>1.29E-2</v>
      </c>
      <c r="E293" s="11">
        <f t="shared" si="14"/>
        <v>2.1385340274766573E-3</v>
      </c>
    </row>
    <row r="294" spans="1:5">
      <c r="A294" s="65">
        <v>38412</v>
      </c>
      <c r="B294" s="9">
        <v>2.8</v>
      </c>
      <c r="C294" s="10">
        <f t="shared" si="12"/>
        <v>2.7999999999999997E-2</v>
      </c>
      <c r="D294" s="11">
        <f t="shared" si="13"/>
        <v>1.3999999999999999E-2</v>
      </c>
      <c r="E294" s="11">
        <f t="shared" si="14"/>
        <v>2.3198375302941887E-3</v>
      </c>
    </row>
    <row r="295" spans="1:5">
      <c r="A295" s="65">
        <v>38443</v>
      </c>
      <c r="B295" s="9">
        <v>2.84</v>
      </c>
      <c r="C295" s="10">
        <f t="shared" si="12"/>
        <v>2.8399999999999998E-2</v>
      </c>
      <c r="D295" s="11">
        <f t="shared" si="13"/>
        <v>1.4199999999999999E-2</v>
      </c>
      <c r="E295" s="11">
        <f t="shared" si="14"/>
        <v>2.3527841928199233E-3</v>
      </c>
    </row>
    <row r="296" spans="1:5">
      <c r="A296" s="65">
        <v>38473</v>
      </c>
      <c r="B296" s="9">
        <v>2.9</v>
      </c>
      <c r="C296" s="10">
        <f t="shared" si="12"/>
        <v>2.8999999999999998E-2</v>
      </c>
      <c r="D296" s="11">
        <f t="shared" si="13"/>
        <v>1.4499999999999999E-2</v>
      </c>
      <c r="E296" s="11">
        <f t="shared" si="14"/>
        <v>2.4021940363758709E-3</v>
      </c>
    </row>
    <row r="297" spans="1:5">
      <c r="A297" s="65">
        <v>38504</v>
      </c>
      <c r="B297" s="9">
        <v>3.04</v>
      </c>
      <c r="C297" s="10">
        <f t="shared" si="12"/>
        <v>3.04E-2</v>
      </c>
      <c r="D297" s="11">
        <f t="shared" si="13"/>
        <v>1.52E-2</v>
      </c>
      <c r="E297" s="11">
        <f t="shared" si="14"/>
        <v>2.5174363378128728E-3</v>
      </c>
    </row>
    <row r="298" spans="1:5">
      <c r="A298" s="65">
        <v>38534</v>
      </c>
      <c r="B298" s="9">
        <v>3.29</v>
      </c>
      <c r="C298" s="10">
        <f t="shared" si="12"/>
        <v>3.2899999999999999E-2</v>
      </c>
      <c r="D298" s="11">
        <f t="shared" si="13"/>
        <v>1.6449999999999999E-2</v>
      </c>
      <c r="E298" s="11">
        <f t="shared" si="14"/>
        <v>2.7230615627837906E-3</v>
      </c>
    </row>
    <row r="299" spans="1:5">
      <c r="A299" s="65">
        <v>38565</v>
      </c>
      <c r="B299" s="9">
        <v>3.52</v>
      </c>
      <c r="C299" s="10">
        <f t="shared" si="12"/>
        <v>3.5200000000000002E-2</v>
      </c>
      <c r="D299" s="11">
        <f t="shared" si="13"/>
        <v>1.7600000000000001E-2</v>
      </c>
      <c r="E299" s="11">
        <f t="shared" si="14"/>
        <v>2.9120507402111695E-3</v>
      </c>
    </row>
    <row r="300" spans="1:5">
      <c r="A300" s="65">
        <v>38596</v>
      </c>
      <c r="B300" s="9">
        <v>3.49</v>
      </c>
      <c r="C300" s="10">
        <f t="shared" si="12"/>
        <v>3.49E-2</v>
      </c>
      <c r="D300" s="11">
        <f t="shared" si="13"/>
        <v>1.745E-2</v>
      </c>
      <c r="E300" s="11">
        <f t="shared" si="14"/>
        <v>2.8874100745721609E-3</v>
      </c>
    </row>
    <row r="301" spans="1:5">
      <c r="A301" s="65">
        <v>38626</v>
      </c>
      <c r="B301" s="9">
        <v>3.79</v>
      </c>
      <c r="C301" s="10">
        <f t="shared" si="12"/>
        <v>3.7900000000000003E-2</v>
      </c>
      <c r="D301" s="11">
        <f t="shared" si="13"/>
        <v>1.8950000000000002E-2</v>
      </c>
      <c r="E301" s="11">
        <f t="shared" si="14"/>
        <v>3.1336806308761567E-3</v>
      </c>
    </row>
    <row r="302" spans="1:5">
      <c r="A302" s="65">
        <v>38657</v>
      </c>
      <c r="B302" s="9">
        <v>3.97</v>
      </c>
      <c r="C302" s="10">
        <f t="shared" si="12"/>
        <v>3.9699999999999999E-2</v>
      </c>
      <c r="D302" s="11">
        <f t="shared" si="13"/>
        <v>1.985E-2</v>
      </c>
      <c r="E302" s="11">
        <f t="shared" si="14"/>
        <v>3.2812979870655568E-3</v>
      </c>
    </row>
    <row r="303" spans="1:5">
      <c r="A303" s="65">
        <v>38687</v>
      </c>
      <c r="B303" s="9">
        <v>3.97</v>
      </c>
      <c r="C303" s="10">
        <f t="shared" si="12"/>
        <v>3.9699999999999999E-2</v>
      </c>
      <c r="D303" s="11">
        <f t="shared" si="13"/>
        <v>1.985E-2</v>
      </c>
      <c r="E303" s="11">
        <f t="shared" si="14"/>
        <v>3.2812979870655568E-3</v>
      </c>
    </row>
    <row r="304" spans="1:5">
      <c r="A304" s="65">
        <v>38718</v>
      </c>
      <c r="B304" s="9">
        <v>4.34</v>
      </c>
      <c r="C304" s="10">
        <f t="shared" si="12"/>
        <v>4.3400000000000001E-2</v>
      </c>
      <c r="D304" s="11">
        <f t="shared" si="13"/>
        <v>2.1700000000000001E-2</v>
      </c>
      <c r="E304" s="11">
        <f t="shared" si="14"/>
        <v>3.5843930632286636E-3</v>
      </c>
    </row>
    <row r="305" spans="1:5">
      <c r="A305" s="65">
        <v>38749</v>
      </c>
      <c r="B305" s="9">
        <v>4.54</v>
      </c>
      <c r="C305" s="10">
        <f t="shared" si="12"/>
        <v>4.5400000000000003E-2</v>
      </c>
      <c r="D305" s="11">
        <f t="shared" si="13"/>
        <v>2.2700000000000001E-2</v>
      </c>
      <c r="E305" s="11">
        <f t="shared" si="14"/>
        <v>3.7480378641947532E-3</v>
      </c>
    </row>
    <row r="306" spans="1:5">
      <c r="A306" s="65">
        <v>38777</v>
      </c>
      <c r="B306" s="9">
        <v>4.63</v>
      </c>
      <c r="C306" s="10">
        <f t="shared" si="12"/>
        <v>4.6300000000000001E-2</v>
      </c>
      <c r="D306" s="11">
        <f t="shared" si="13"/>
        <v>2.315E-2</v>
      </c>
      <c r="E306" s="11">
        <f t="shared" si="14"/>
        <v>3.8216345246488981E-3</v>
      </c>
    </row>
    <row r="307" spans="1:5">
      <c r="A307" s="65">
        <v>38808</v>
      </c>
      <c r="B307" s="9">
        <v>4.72</v>
      </c>
      <c r="C307" s="10">
        <f t="shared" si="12"/>
        <v>4.7199999999999999E-2</v>
      </c>
      <c r="D307" s="11">
        <f t="shared" si="13"/>
        <v>2.3599999999999999E-2</v>
      </c>
      <c r="E307" s="11">
        <f t="shared" si="14"/>
        <v>3.8952042157516242E-3</v>
      </c>
    </row>
    <row r="308" spans="1:5">
      <c r="A308" s="65">
        <v>38838</v>
      </c>
      <c r="B308" s="9">
        <v>4.84</v>
      </c>
      <c r="C308" s="10">
        <f t="shared" si="12"/>
        <v>4.8399999999999999E-2</v>
      </c>
      <c r="D308" s="11">
        <f t="shared" si="13"/>
        <v>2.4199999999999999E-2</v>
      </c>
      <c r="E308" s="11">
        <f t="shared" si="14"/>
        <v>3.9932552224561935E-3</v>
      </c>
    </row>
    <row r="309" spans="1:5">
      <c r="A309" s="65">
        <v>38869</v>
      </c>
      <c r="B309" s="9">
        <v>4.92</v>
      </c>
      <c r="C309" s="10">
        <f t="shared" si="12"/>
        <v>4.9200000000000001E-2</v>
      </c>
      <c r="D309" s="11">
        <f t="shared" si="13"/>
        <v>2.46E-2</v>
      </c>
      <c r="E309" s="11">
        <f t="shared" si="14"/>
        <v>4.0585959707315489E-3</v>
      </c>
    </row>
    <row r="310" spans="1:5">
      <c r="A310" s="65">
        <v>38899</v>
      </c>
      <c r="B310" s="9">
        <v>5.08</v>
      </c>
      <c r="C310" s="10">
        <f t="shared" si="12"/>
        <v>5.0799999999999998E-2</v>
      </c>
      <c r="D310" s="11">
        <f t="shared" si="13"/>
        <v>2.5399999999999999E-2</v>
      </c>
      <c r="E310" s="11">
        <f t="shared" si="14"/>
        <v>4.1892137208978664E-3</v>
      </c>
    </row>
    <row r="311" spans="1:5">
      <c r="A311" s="65">
        <v>38930</v>
      </c>
      <c r="B311" s="9">
        <v>5.09</v>
      </c>
      <c r="C311" s="10">
        <f t="shared" si="12"/>
        <v>5.0900000000000001E-2</v>
      </c>
      <c r="D311" s="11">
        <f t="shared" si="13"/>
        <v>2.545E-2</v>
      </c>
      <c r="E311" s="11">
        <f t="shared" si="14"/>
        <v>4.1973745102803495E-3</v>
      </c>
    </row>
    <row r="312" spans="1:5">
      <c r="A312" s="65">
        <v>38961</v>
      </c>
      <c r="B312" s="9">
        <v>4.93</v>
      </c>
      <c r="C312" s="10">
        <f t="shared" si="12"/>
        <v>4.9299999999999997E-2</v>
      </c>
      <c r="D312" s="11">
        <f t="shared" si="13"/>
        <v>2.4649999999999998E-2</v>
      </c>
      <c r="E312" s="11">
        <f t="shared" si="14"/>
        <v>4.0667620695418183E-3</v>
      </c>
    </row>
    <row r="313" spans="1:5">
      <c r="A313" s="65">
        <v>38991</v>
      </c>
      <c r="B313" s="9">
        <v>5.05</v>
      </c>
      <c r="C313" s="10">
        <f t="shared" si="12"/>
        <v>5.0499999999999996E-2</v>
      </c>
      <c r="D313" s="11">
        <f t="shared" si="13"/>
        <v>2.5249999999999998E-2</v>
      </c>
      <c r="E313" s="11">
        <f t="shared" si="14"/>
        <v>4.1647293629312188E-3</v>
      </c>
    </row>
    <row r="314" spans="1:5">
      <c r="A314" s="65">
        <v>39022</v>
      </c>
      <c r="B314" s="9">
        <v>5.07</v>
      </c>
      <c r="C314" s="10">
        <f t="shared" si="12"/>
        <v>5.0700000000000002E-2</v>
      </c>
      <c r="D314" s="11">
        <f t="shared" si="13"/>
        <v>2.5350000000000001E-2</v>
      </c>
      <c r="E314" s="11">
        <f t="shared" si="14"/>
        <v>4.1810525998986492E-3</v>
      </c>
    </row>
    <row r="315" spans="1:5">
      <c r="A315" s="65">
        <v>39052</v>
      </c>
      <c r="B315" s="9">
        <v>4.97</v>
      </c>
      <c r="C315" s="10">
        <f t="shared" si="12"/>
        <v>4.9699999999999994E-2</v>
      </c>
      <c r="D315" s="11">
        <f t="shared" si="13"/>
        <v>2.4849999999999997E-2</v>
      </c>
      <c r="E315" s="11">
        <f t="shared" si="14"/>
        <v>4.0994231444611007E-3</v>
      </c>
    </row>
    <row r="316" spans="1:5">
      <c r="A316" s="65">
        <v>39083</v>
      </c>
      <c r="B316" s="9">
        <v>5.1100000000000003</v>
      </c>
      <c r="C316" s="10">
        <f t="shared" si="12"/>
        <v>5.1100000000000007E-2</v>
      </c>
      <c r="D316" s="11">
        <f t="shared" si="13"/>
        <v>2.5550000000000003E-2</v>
      </c>
      <c r="E316" s="11">
        <f t="shared" si="14"/>
        <v>4.2136950943136853E-3</v>
      </c>
    </row>
    <row r="317" spans="1:5">
      <c r="A317" s="65">
        <v>39114</v>
      </c>
      <c r="B317" s="9">
        <v>5.16</v>
      </c>
      <c r="C317" s="10">
        <f t="shared" si="12"/>
        <v>5.16E-2</v>
      </c>
      <c r="D317" s="11">
        <f t="shared" si="13"/>
        <v>2.58E-2</v>
      </c>
      <c r="E317" s="11">
        <f t="shared" si="14"/>
        <v>4.2544907531789633E-3</v>
      </c>
    </row>
    <row r="318" spans="1:5">
      <c r="A318" s="65">
        <v>39142</v>
      </c>
      <c r="B318" s="9">
        <v>5.08</v>
      </c>
      <c r="C318" s="10">
        <f t="shared" si="12"/>
        <v>5.0799999999999998E-2</v>
      </c>
      <c r="D318" s="11">
        <f t="shared" si="13"/>
        <v>2.5399999999999999E-2</v>
      </c>
      <c r="E318" s="11">
        <f t="shared" si="14"/>
        <v>4.1892137208978664E-3</v>
      </c>
    </row>
    <row r="319" spans="1:5">
      <c r="A319" s="65">
        <v>39173</v>
      </c>
      <c r="B319" s="9">
        <v>5.01</v>
      </c>
      <c r="C319" s="10">
        <f t="shared" si="12"/>
        <v>5.0099999999999999E-2</v>
      </c>
      <c r="D319" s="11">
        <f t="shared" si="13"/>
        <v>2.5049999999999999E-2</v>
      </c>
      <c r="E319" s="11">
        <f t="shared" si="14"/>
        <v>4.132078908291037E-3</v>
      </c>
    </row>
    <row r="320" spans="1:5">
      <c r="A320" s="65">
        <v>39203</v>
      </c>
      <c r="B320" s="9">
        <v>4.87</v>
      </c>
      <c r="C320" s="10">
        <f t="shared" si="12"/>
        <v>4.87E-2</v>
      </c>
      <c r="D320" s="11">
        <f t="shared" si="13"/>
        <v>2.435E-2</v>
      </c>
      <c r="E320" s="11">
        <f t="shared" si="14"/>
        <v>4.0177604947122525E-3</v>
      </c>
    </row>
    <row r="321" spans="1:5">
      <c r="A321" s="65">
        <v>39234</v>
      </c>
      <c r="B321" s="9">
        <v>4.74</v>
      </c>
      <c r="C321" s="10">
        <f t="shared" si="12"/>
        <v>4.7400000000000005E-2</v>
      </c>
      <c r="D321" s="11">
        <f t="shared" si="13"/>
        <v>2.3700000000000002E-2</v>
      </c>
      <c r="E321" s="11">
        <f t="shared" si="14"/>
        <v>3.9115493756787245E-3</v>
      </c>
    </row>
    <row r="322" spans="1:5">
      <c r="A322" s="65">
        <v>39264</v>
      </c>
      <c r="B322" s="9">
        <v>4.96</v>
      </c>
      <c r="C322" s="10">
        <f t="shared" si="12"/>
        <v>4.9599999999999998E-2</v>
      </c>
      <c r="D322" s="11">
        <f t="shared" si="13"/>
        <v>2.4799999999999999E-2</v>
      </c>
      <c r="E322" s="11">
        <f t="shared" si="14"/>
        <v>4.0912583737200414E-3</v>
      </c>
    </row>
    <row r="323" spans="1:5">
      <c r="A323" s="65">
        <v>39295</v>
      </c>
      <c r="B323" s="9">
        <v>4.32</v>
      </c>
      <c r="C323" s="10">
        <f t="shared" si="12"/>
        <v>4.3200000000000002E-2</v>
      </c>
      <c r="D323" s="11">
        <f t="shared" si="13"/>
        <v>2.1600000000000001E-2</v>
      </c>
      <c r="E323" s="11">
        <f t="shared" si="14"/>
        <v>3.5680212430042602E-3</v>
      </c>
    </row>
    <row r="324" spans="1:5">
      <c r="A324" s="65">
        <v>39326</v>
      </c>
      <c r="B324" s="9">
        <v>3.99</v>
      </c>
      <c r="C324" s="10">
        <f t="shared" si="12"/>
        <v>3.9900000000000005E-2</v>
      </c>
      <c r="D324" s="11">
        <f t="shared" si="13"/>
        <v>1.9950000000000002E-2</v>
      </c>
      <c r="E324" s="11">
        <f t="shared" si="14"/>
        <v>3.2976932136625781E-3</v>
      </c>
    </row>
    <row r="325" spans="1:5">
      <c r="A325" s="65">
        <v>39356</v>
      </c>
      <c r="B325" s="9">
        <v>4</v>
      </c>
      <c r="C325" s="10">
        <f t="shared" si="12"/>
        <v>0.04</v>
      </c>
      <c r="D325" s="11">
        <f t="shared" si="13"/>
        <v>0.02</v>
      </c>
      <c r="E325" s="11">
        <f t="shared" si="14"/>
        <v>3.3058903246372395E-3</v>
      </c>
    </row>
    <row r="326" spans="1:5">
      <c r="A326" s="65">
        <v>39387</v>
      </c>
      <c r="B326" s="9">
        <v>3.35</v>
      </c>
      <c r="C326" s="10">
        <f t="shared" si="12"/>
        <v>3.3500000000000002E-2</v>
      </c>
      <c r="D326" s="11">
        <f t="shared" si="13"/>
        <v>1.6750000000000001E-2</v>
      </c>
      <c r="E326" s="11">
        <f t="shared" si="14"/>
        <v>2.7723802588286439E-3</v>
      </c>
    </row>
    <row r="327" spans="1:5">
      <c r="A327" s="65">
        <v>39417</v>
      </c>
      <c r="B327" s="9">
        <v>3.07</v>
      </c>
      <c r="C327" s="10">
        <f t="shared" si="12"/>
        <v>3.0699999999999998E-2</v>
      </c>
      <c r="D327" s="11">
        <f t="shared" si="13"/>
        <v>1.5349999999999999E-2</v>
      </c>
      <c r="E327" s="11">
        <f t="shared" si="14"/>
        <v>2.5421225011967863E-3</v>
      </c>
    </row>
    <row r="328" spans="1:5">
      <c r="A328" s="65">
        <v>39448</v>
      </c>
      <c r="B328" s="9">
        <v>2.82</v>
      </c>
      <c r="C328" s="10">
        <f t="shared" si="12"/>
        <v>2.8199999999999999E-2</v>
      </c>
      <c r="D328" s="11">
        <f t="shared" si="13"/>
        <v>1.41E-2</v>
      </c>
      <c r="E328" s="11">
        <f t="shared" si="14"/>
        <v>2.3363115384023025E-3</v>
      </c>
    </row>
    <row r="329" spans="1:5">
      <c r="A329" s="65">
        <v>39479</v>
      </c>
      <c r="B329" s="9">
        <v>2.17</v>
      </c>
      <c r="C329" s="10">
        <f t="shared" si="12"/>
        <v>2.1700000000000001E-2</v>
      </c>
      <c r="D329" s="11">
        <f t="shared" si="13"/>
        <v>1.085E-2</v>
      </c>
      <c r="E329" s="11">
        <f t="shared" si="14"/>
        <v>1.8002119525051263E-3</v>
      </c>
    </row>
    <row r="330" spans="1:5">
      <c r="A330" s="65">
        <v>39508</v>
      </c>
      <c r="B330" s="9">
        <v>1.28</v>
      </c>
      <c r="C330" s="10">
        <f t="shared" si="12"/>
        <v>1.2800000000000001E-2</v>
      </c>
      <c r="D330" s="11">
        <f t="shared" si="13"/>
        <v>6.4000000000000003E-3</v>
      </c>
      <c r="E330" s="11">
        <f t="shared" si="14"/>
        <v>1.0638332969736819E-3</v>
      </c>
    </row>
    <row r="331" spans="1:5">
      <c r="A331" s="65">
        <v>39539</v>
      </c>
      <c r="B331" s="9">
        <v>1.31</v>
      </c>
      <c r="C331" s="10">
        <f t="shared" si="12"/>
        <v>1.3100000000000001E-2</v>
      </c>
      <c r="D331" s="11">
        <f t="shared" si="13"/>
        <v>6.5500000000000003E-3</v>
      </c>
      <c r="E331" s="11">
        <f t="shared" si="14"/>
        <v>1.0886991969722981E-3</v>
      </c>
    </row>
    <row r="332" spans="1:5">
      <c r="A332" s="65">
        <v>39569</v>
      </c>
      <c r="B332" s="9">
        <v>1.76</v>
      </c>
      <c r="C332" s="10">
        <f t="shared" si="12"/>
        <v>1.7600000000000001E-2</v>
      </c>
      <c r="D332" s="11">
        <f t="shared" si="13"/>
        <v>8.8000000000000005E-3</v>
      </c>
      <c r="E332" s="11">
        <f t="shared" si="14"/>
        <v>1.4613176303193143E-3</v>
      </c>
    </row>
    <row r="333" spans="1:5">
      <c r="A333" s="65">
        <v>39600</v>
      </c>
      <c r="B333" s="9">
        <v>1.89</v>
      </c>
      <c r="C333" s="10">
        <f t="shared" ref="C333:C396" si="15">B333/100</f>
        <v>1.89E-2</v>
      </c>
      <c r="D333" s="11">
        <f t="shared" ref="D333:D396" si="16">C333/2</f>
        <v>9.4500000000000001E-3</v>
      </c>
      <c r="E333" s="11">
        <f t="shared" ref="E333:E396" si="17">(1+D333)^(1/6) - 1</f>
        <v>1.5688340135169287E-3</v>
      </c>
    </row>
    <row r="334" spans="1:5">
      <c r="A334" s="65">
        <v>39630</v>
      </c>
      <c r="B334" s="9">
        <v>1.66</v>
      </c>
      <c r="C334" s="10">
        <f t="shared" si="15"/>
        <v>1.66E-2</v>
      </c>
      <c r="D334" s="11">
        <f t="shared" si="16"/>
        <v>8.3000000000000001E-3</v>
      </c>
      <c r="E334" s="11">
        <f t="shared" si="17"/>
        <v>1.3785734294475827E-3</v>
      </c>
    </row>
    <row r="335" spans="1:5">
      <c r="A335" s="65">
        <v>39661</v>
      </c>
      <c r="B335" s="9">
        <v>1.75</v>
      </c>
      <c r="C335" s="10">
        <f t="shared" si="15"/>
        <v>1.7500000000000002E-2</v>
      </c>
      <c r="D335" s="11">
        <f t="shared" si="16"/>
        <v>8.7500000000000008E-3</v>
      </c>
      <c r="E335" s="11">
        <f t="shared" si="17"/>
        <v>1.4530447483469544E-3</v>
      </c>
    </row>
    <row r="336" spans="1:5">
      <c r="A336" s="65">
        <v>39692</v>
      </c>
      <c r="B336" s="9">
        <v>1.1499999999999999</v>
      </c>
      <c r="C336" s="10">
        <f t="shared" si="15"/>
        <v>1.15E-2</v>
      </c>
      <c r="D336" s="11">
        <f t="shared" si="16"/>
        <v>5.7499999999999999E-3</v>
      </c>
      <c r="E336" s="11">
        <f t="shared" si="17"/>
        <v>9.5604536158644393E-4</v>
      </c>
    </row>
    <row r="337" spans="1:5">
      <c r="A337" s="65">
        <v>39722</v>
      </c>
      <c r="B337" s="9">
        <v>0.69</v>
      </c>
      <c r="C337" s="10">
        <f t="shared" si="15"/>
        <v>6.8999999999999999E-3</v>
      </c>
      <c r="D337" s="11">
        <f t="shared" si="16"/>
        <v>3.4499999999999999E-3</v>
      </c>
      <c r="E337" s="11">
        <f t="shared" si="17"/>
        <v>5.7417517592184275E-4</v>
      </c>
    </row>
    <row r="338" spans="1:5">
      <c r="A338" s="65">
        <v>39753</v>
      </c>
      <c r="B338" s="9">
        <v>0.19</v>
      </c>
      <c r="C338" s="10">
        <f t="shared" si="15"/>
        <v>1.9E-3</v>
      </c>
      <c r="D338" s="11">
        <f t="shared" si="16"/>
        <v>9.5E-4</v>
      </c>
      <c r="E338" s="11">
        <f t="shared" si="17"/>
        <v>1.5827069608320699E-4</v>
      </c>
    </row>
    <row r="339" spans="1:5">
      <c r="A339" s="65">
        <v>39783</v>
      </c>
      <c r="B339" s="9">
        <v>0.03</v>
      </c>
      <c r="C339" s="10">
        <f t="shared" si="15"/>
        <v>2.9999999999999997E-4</v>
      </c>
      <c r="D339" s="11">
        <f t="shared" si="16"/>
        <v>1.4999999999999999E-4</v>
      </c>
      <c r="E339" s="11">
        <f t="shared" si="17"/>
        <v>2.4998437643253268E-5</v>
      </c>
    </row>
    <row r="340" spans="1:5">
      <c r="A340" s="65">
        <v>39814</v>
      </c>
      <c r="B340" s="9">
        <v>0.13</v>
      </c>
      <c r="C340" s="10">
        <f t="shared" si="15"/>
        <v>1.2999999999999999E-3</v>
      </c>
      <c r="D340" s="11">
        <f t="shared" si="16"/>
        <v>6.4999999999999997E-4</v>
      </c>
      <c r="E340" s="11">
        <f t="shared" si="17"/>
        <v>1.0830400470474011E-4</v>
      </c>
    </row>
    <row r="341" spans="1:5">
      <c r="A341" s="65">
        <v>39845</v>
      </c>
      <c r="B341" s="9">
        <v>0.3</v>
      </c>
      <c r="C341" s="10">
        <f t="shared" si="15"/>
        <v>3.0000000000000001E-3</v>
      </c>
      <c r="D341" s="11">
        <f t="shared" si="16"/>
        <v>1.5E-3</v>
      </c>
      <c r="E341" s="11">
        <f t="shared" si="17"/>
        <v>2.4984389307713961E-4</v>
      </c>
    </row>
    <row r="342" spans="1:5">
      <c r="A342" s="65">
        <v>39873</v>
      </c>
      <c r="B342" s="9">
        <v>0.22</v>
      </c>
      <c r="C342" s="10">
        <f t="shared" si="15"/>
        <v>2.2000000000000001E-3</v>
      </c>
      <c r="D342" s="11">
        <f t="shared" si="16"/>
        <v>1.1000000000000001E-3</v>
      </c>
      <c r="E342" s="11">
        <f t="shared" si="17"/>
        <v>1.8324936199687336E-4</v>
      </c>
    </row>
    <row r="343" spans="1:5">
      <c r="A343" s="65">
        <v>39904</v>
      </c>
      <c r="B343" s="9">
        <v>0.16</v>
      </c>
      <c r="C343" s="10">
        <f t="shared" si="15"/>
        <v>1.6000000000000001E-3</v>
      </c>
      <c r="D343" s="11">
        <f t="shared" si="16"/>
        <v>8.0000000000000004E-4</v>
      </c>
      <c r="E343" s="11">
        <f t="shared" si="17"/>
        <v>1.3328891060493397E-4</v>
      </c>
    </row>
    <row r="344" spans="1:5">
      <c r="A344" s="65">
        <v>39934</v>
      </c>
      <c r="B344" s="9">
        <v>0.18</v>
      </c>
      <c r="C344" s="10">
        <f t="shared" si="15"/>
        <v>1.8E-3</v>
      </c>
      <c r="D344" s="11">
        <f t="shared" si="16"/>
        <v>8.9999999999999998E-4</v>
      </c>
      <c r="E344" s="11">
        <f t="shared" si="17"/>
        <v>1.4994378091781613E-4</v>
      </c>
    </row>
    <row r="345" spans="1:5">
      <c r="A345" s="65">
        <v>39965</v>
      </c>
      <c r="B345" s="9">
        <v>0.18</v>
      </c>
      <c r="C345" s="10">
        <f t="shared" si="15"/>
        <v>1.8E-3</v>
      </c>
      <c r="D345" s="11">
        <f t="shared" si="16"/>
        <v>8.9999999999999998E-4</v>
      </c>
      <c r="E345" s="11">
        <f t="shared" si="17"/>
        <v>1.4994378091781613E-4</v>
      </c>
    </row>
    <row r="346" spans="1:5">
      <c r="A346" s="65">
        <v>39995</v>
      </c>
      <c r="B346" s="9">
        <v>0.18</v>
      </c>
      <c r="C346" s="10">
        <f t="shared" si="15"/>
        <v>1.8E-3</v>
      </c>
      <c r="D346" s="11">
        <f t="shared" si="16"/>
        <v>8.9999999999999998E-4</v>
      </c>
      <c r="E346" s="11">
        <f t="shared" si="17"/>
        <v>1.4994378091781613E-4</v>
      </c>
    </row>
    <row r="347" spans="1:5">
      <c r="A347" s="65">
        <v>40026</v>
      </c>
      <c r="B347" s="9">
        <v>0.17</v>
      </c>
      <c r="C347" s="10">
        <f t="shared" si="15"/>
        <v>1.7000000000000001E-3</v>
      </c>
      <c r="D347" s="11">
        <f t="shared" si="16"/>
        <v>8.5000000000000006E-4</v>
      </c>
      <c r="E347" s="11">
        <f t="shared" si="17"/>
        <v>1.4161651910238326E-4</v>
      </c>
    </row>
    <row r="348" spans="1:5">
      <c r="A348" s="65">
        <v>40057</v>
      </c>
      <c r="B348" s="9">
        <v>0.12</v>
      </c>
      <c r="C348" s="10">
        <f t="shared" si="15"/>
        <v>1.1999999999999999E-3</v>
      </c>
      <c r="D348" s="11">
        <f t="shared" si="16"/>
        <v>5.9999999999999995E-4</v>
      </c>
      <c r="E348" s="11">
        <f t="shared" si="17"/>
        <v>9.9975009162811546E-5</v>
      </c>
    </row>
    <row r="349" spans="1:5">
      <c r="A349" s="65">
        <v>40087</v>
      </c>
      <c r="B349" s="9">
        <v>7.0000000000000007E-2</v>
      </c>
      <c r="C349" s="10">
        <f t="shared" si="15"/>
        <v>7.000000000000001E-4</v>
      </c>
      <c r="D349" s="11">
        <f t="shared" si="16"/>
        <v>3.5000000000000005E-4</v>
      </c>
      <c r="E349" s="11">
        <f t="shared" si="17"/>
        <v>5.8324828208000667E-5</v>
      </c>
    </row>
    <row r="350" spans="1:5">
      <c r="A350" s="65">
        <v>40118</v>
      </c>
      <c r="B350" s="9">
        <v>0.05</v>
      </c>
      <c r="C350" s="10">
        <f t="shared" si="15"/>
        <v>5.0000000000000001E-4</v>
      </c>
      <c r="D350" s="11">
        <f t="shared" si="16"/>
        <v>2.5000000000000001E-4</v>
      </c>
      <c r="E350" s="11">
        <f t="shared" si="17"/>
        <v>4.166232705182793E-5</v>
      </c>
    </row>
    <row r="351" spans="1:5">
      <c r="A351" s="65">
        <v>40148</v>
      </c>
      <c r="B351" s="9">
        <v>0.05</v>
      </c>
      <c r="C351" s="10">
        <f t="shared" si="15"/>
        <v>5.0000000000000001E-4</v>
      </c>
      <c r="D351" s="11">
        <f t="shared" si="16"/>
        <v>2.5000000000000001E-4</v>
      </c>
      <c r="E351" s="11">
        <f t="shared" si="17"/>
        <v>4.166232705182793E-5</v>
      </c>
    </row>
    <row r="352" spans="1:5">
      <c r="A352" s="65">
        <v>40179</v>
      </c>
      <c r="B352" s="9">
        <v>0.06</v>
      </c>
      <c r="C352" s="10">
        <f t="shared" si="15"/>
        <v>5.9999999999999995E-4</v>
      </c>
      <c r="D352" s="11">
        <f t="shared" si="16"/>
        <v>2.9999999999999997E-4</v>
      </c>
      <c r="E352" s="11">
        <f t="shared" si="17"/>
        <v>4.9993751145560594E-5</v>
      </c>
    </row>
    <row r="353" spans="1:5">
      <c r="A353" s="65">
        <v>40210</v>
      </c>
      <c r="B353" s="9">
        <v>0.11</v>
      </c>
      <c r="C353" s="10">
        <f t="shared" si="15"/>
        <v>1.1000000000000001E-3</v>
      </c>
      <c r="D353" s="11">
        <f t="shared" si="16"/>
        <v>5.5000000000000003E-4</v>
      </c>
      <c r="E353" s="11">
        <f t="shared" si="17"/>
        <v>9.1645666780104662E-5</v>
      </c>
    </row>
    <row r="354" spans="1:5">
      <c r="A354" s="65">
        <v>40238</v>
      </c>
      <c r="B354" s="9">
        <v>0.15</v>
      </c>
      <c r="C354" s="10">
        <f t="shared" si="15"/>
        <v>1.5E-3</v>
      </c>
      <c r="D354" s="11">
        <f t="shared" si="16"/>
        <v>7.5000000000000002E-4</v>
      </c>
      <c r="E354" s="11">
        <f t="shared" si="17"/>
        <v>1.2496095539415997E-4</v>
      </c>
    </row>
    <row r="355" spans="1:5">
      <c r="A355" s="65">
        <v>40269</v>
      </c>
      <c r="B355" s="9">
        <v>0.16</v>
      </c>
      <c r="C355" s="10">
        <f t="shared" si="15"/>
        <v>1.6000000000000001E-3</v>
      </c>
      <c r="D355" s="11">
        <f t="shared" si="16"/>
        <v>8.0000000000000004E-4</v>
      </c>
      <c r="E355" s="11">
        <f t="shared" si="17"/>
        <v>1.3328891060493397E-4</v>
      </c>
    </row>
    <row r="356" spans="1:5">
      <c r="A356" s="65">
        <v>40299</v>
      </c>
      <c r="B356" s="9">
        <v>0.16</v>
      </c>
      <c r="C356" s="10">
        <f t="shared" si="15"/>
        <v>1.6000000000000001E-3</v>
      </c>
      <c r="D356" s="11">
        <f t="shared" si="16"/>
        <v>8.0000000000000004E-4</v>
      </c>
      <c r="E356" s="11">
        <f t="shared" si="17"/>
        <v>1.3328891060493397E-4</v>
      </c>
    </row>
    <row r="357" spans="1:5">
      <c r="A357" s="65">
        <v>40330</v>
      </c>
      <c r="B357" s="9">
        <v>0.12</v>
      </c>
      <c r="C357" s="10">
        <f t="shared" si="15"/>
        <v>1.1999999999999999E-3</v>
      </c>
      <c r="D357" s="11">
        <f t="shared" si="16"/>
        <v>5.9999999999999995E-4</v>
      </c>
      <c r="E357" s="11">
        <f>(1+D357)^(1/6) - 1</f>
        <v>9.9975009162811546E-5</v>
      </c>
    </row>
    <row r="358" spans="1:5">
      <c r="A358" s="65">
        <v>40360</v>
      </c>
      <c r="B358" s="9">
        <v>0.16</v>
      </c>
      <c r="C358" s="10">
        <f t="shared" si="15"/>
        <v>1.6000000000000001E-3</v>
      </c>
      <c r="D358" s="11">
        <f t="shared" si="16"/>
        <v>8.0000000000000004E-4</v>
      </c>
      <c r="E358" s="11">
        <f t="shared" si="17"/>
        <v>1.3328891060493397E-4</v>
      </c>
    </row>
    <row r="359" spans="1:5">
      <c r="A359" s="65">
        <v>40391</v>
      </c>
      <c r="B359" s="9">
        <v>0.16</v>
      </c>
      <c r="C359" s="10">
        <f t="shared" si="15"/>
        <v>1.6000000000000001E-3</v>
      </c>
      <c r="D359" s="11">
        <f t="shared" si="16"/>
        <v>8.0000000000000004E-4</v>
      </c>
      <c r="E359" s="11">
        <f t="shared" si="17"/>
        <v>1.3328891060493397E-4</v>
      </c>
    </row>
    <row r="360" spans="1:5">
      <c r="A360" s="65">
        <v>40422</v>
      </c>
      <c r="B360" s="9">
        <v>0.15</v>
      </c>
      <c r="C360" s="10">
        <f t="shared" si="15"/>
        <v>1.5E-3</v>
      </c>
      <c r="D360" s="11">
        <f t="shared" si="16"/>
        <v>7.5000000000000002E-4</v>
      </c>
      <c r="E360" s="11">
        <f t="shared" si="17"/>
        <v>1.2496095539415997E-4</v>
      </c>
    </row>
    <row r="361" spans="1:5">
      <c r="A361" s="65">
        <v>40452</v>
      </c>
      <c r="B361" s="9">
        <v>0.13</v>
      </c>
      <c r="C361" s="10">
        <f t="shared" si="15"/>
        <v>1.2999999999999999E-3</v>
      </c>
      <c r="D361" s="11">
        <f t="shared" si="16"/>
        <v>6.4999999999999997E-4</v>
      </c>
      <c r="E361" s="11">
        <f t="shared" si="17"/>
        <v>1.0830400470474011E-4</v>
      </c>
    </row>
    <row r="362" spans="1:5">
      <c r="A362" s="65">
        <v>40483</v>
      </c>
      <c r="B362" s="9">
        <v>0.14000000000000001</v>
      </c>
      <c r="C362" s="10">
        <f t="shared" si="15"/>
        <v>1.4000000000000002E-3</v>
      </c>
      <c r="D362" s="11">
        <f t="shared" si="16"/>
        <v>7.000000000000001E-4</v>
      </c>
      <c r="E362" s="11">
        <f t="shared" si="17"/>
        <v>1.1663265343808682E-4</v>
      </c>
    </row>
    <row r="363" spans="1:5">
      <c r="A363" s="65">
        <v>40513</v>
      </c>
      <c r="B363" s="9">
        <v>0.14000000000000001</v>
      </c>
      <c r="C363" s="10">
        <f t="shared" si="15"/>
        <v>1.4000000000000002E-3</v>
      </c>
      <c r="D363" s="11">
        <f t="shared" si="16"/>
        <v>7.000000000000001E-4</v>
      </c>
      <c r="E363" s="11">
        <f t="shared" si="17"/>
        <v>1.1663265343808682E-4</v>
      </c>
    </row>
    <row r="364" spans="1:5">
      <c r="A364" s="65">
        <v>40544</v>
      </c>
      <c r="B364" s="9">
        <v>0.15</v>
      </c>
      <c r="C364" s="10">
        <f t="shared" si="15"/>
        <v>1.5E-3</v>
      </c>
      <c r="D364" s="11">
        <f t="shared" si="16"/>
        <v>7.5000000000000002E-4</v>
      </c>
      <c r="E364" s="11">
        <f t="shared" si="17"/>
        <v>1.2496095539415997E-4</v>
      </c>
    </row>
    <row r="365" spans="1:5">
      <c r="A365" s="65">
        <v>40575</v>
      </c>
      <c r="B365" s="9">
        <v>0.13</v>
      </c>
      <c r="C365" s="10">
        <f t="shared" si="15"/>
        <v>1.2999999999999999E-3</v>
      </c>
      <c r="D365" s="11">
        <f t="shared" si="16"/>
        <v>6.4999999999999997E-4</v>
      </c>
      <c r="E365" s="11">
        <f t="shared" si="17"/>
        <v>1.0830400470474011E-4</v>
      </c>
    </row>
    <row r="366" spans="1:5">
      <c r="A366" s="65">
        <v>40603</v>
      </c>
      <c r="B366" s="9">
        <v>0.1</v>
      </c>
      <c r="C366" s="10">
        <f t="shared" si="15"/>
        <v>1E-3</v>
      </c>
      <c r="D366" s="11">
        <f t="shared" si="16"/>
        <v>5.0000000000000001E-4</v>
      </c>
      <c r="E366" s="11">
        <f t="shared" si="17"/>
        <v>8.3315977525089124E-5</v>
      </c>
    </row>
    <row r="367" spans="1:5">
      <c r="A367" s="65">
        <v>40634</v>
      </c>
      <c r="B367" s="9">
        <v>0.06</v>
      </c>
      <c r="C367" s="10">
        <f t="shared" si="15"/>
        <v>5.9999999999999995E-4</v>
      </c>
      <c r="D367" s="11">
        <f t="shared" si="16"/>
        <v>2.9999999999999997E-4</v>
      </c>
      <c r="E367" s="11">
        <f t="shared" si="17"/>
        <v>4.9993751145560594E-5</v>
      </c>
    </row>
    <row r="368" spans="1:5">
      <c r="A368" s="65">
        <v>40664</v>
      </c>
      <c r="B368" s="9">
        <v>0.04</v>
      </c>
      <c r="C368" s="10">
        <f t="shared" si="15"/>
        <v>4.0000000000000002E-4</v>
      </c>
      <c r="D368" s="11">
        <f t="shared" si="16"/>
        <v>2.0000000000000001E-4</v>
      </c>
      <c r="E368" s="11">
        <f t="shared" si="17"/>
        <v>3.3330555895050296E-5</v>
      </c>
    </row>
    <row r="369" spans="1:5">
      <c r="A369" s="65">
        <v>40695</v>
      </c>
      <c r="B369" s="9">
        <v>0.04</v>
      </c>
      <c r="C369" s="10">
        <f t="shared" si="15"/>
        <v>4.0000000000000002E-4</v>
      </c>
      <c r="D369" s="11">
        <f t="shared" si="16"/>
        <v>2.0000000000000001E-4</v>
      </c>
      <c r="E369" s="11">
        <f t="shared" si="17"/>
        <v>3.3330555895050296E-5</v>
      </c>
    </row>
    <row r="370" spans="1:5">
      <c r="A370" s="65">
        <v>40725</v>
      </c>
      <c r="B370" s="9">
        <v>0.04</v>
      </c>
      <c r="C370" s="10">
        <f t="shared" si="15"/>
        <v>4.0000000000000002E-4</v>
      </c>
      <c r="D370" s="11">
        <f t="shared" si="16"/>
        <v>2.0000000000000001E-4</v>
      </c>
      <c r="E370" s="11">
        <f t="shared" si="17"/>
        <v>3.3330555895050296E-5</v>
      </c>
    </row>
    <row r="371" spans="1:5">
      <c r="A371" s="65">
        <v>40756</v>
      </c>
      <c r="B371" s="9">
        <v>0.02</v>
      </c>
      <c r="C371" s="10">
        <f t="shared" si="15"/>
        <v>2.0000000000000001E-4</v>
      </c>
      <c r="D371" s="11">
        <f t="shared" si="16"/>
        <v>1E-4</v>
      </c>
      <c r="E371" s="11">
        <f t="shared" si="17"/>
        <v>1.666597226468447E-5</v>
      </c>
    </row>
    <row r="372" spans="1:5">
      <c r="A372" s="65">
        <v>40787</v>
      </c>
      <c r="B372" s="9">
        <v>0.01</v>
      </c>
      <c r="C372" s="10">
        <f t="shared" si="15"/>
        <v>1E-4</v>
      </c>
      <c r="D372" s="11">
        <f t="shared" si="16"/>
        <v>5.0000000000000002E-5</v>
      </c>
      <c r="E372" s="11">
        <f t="shared" si="17"/>
        <v>8.3331597275915215E-6</v>
      </c>
    </row>
    <row r="373" spans="1:5">
      <c r="A373" s="65">
        <v>40817</v>
      </c>
      <c r="B373" s="9">
        <v>0.02</v>
      </c>
      <c r="C373" s="10">
        <f t="shared" si="15"/>
        <v>2.0000000000000001E-4</v>
      </c>
      <c r="D373" s="11">
        <f t="shared" si="16"/>
        <v>1E-4</v>
      </c>
      <c r="E373" s="11">
        <f t="shared" si="17"/>
        <v>1.666597226468447E-5</v>
      </c>
    </row>
    <row r="374" spans="1:5">
      <c r="A374" s="65">
        <v>40848</v>
      </c>
      <c r="B374" s="9">
        <v>0.01</v>
      </c>
      <c r="C374" s="10">
        <f t="shared" si="15"/>
        <v>1E-4</v>
      </c>
      <c r="D374" s="11">
        <f t="shared" si="16"/>
        <v>5.0000000000000002E-5</v>
      </c>
      <c r="E374" s="11">
        <f t="shared" si="17"/>
        <v>8.3331597275915215E-6</v>
      </c>
    </row>
    <row r="375" spans="1:5">
      <c r="A375" s="65">
        <v>40878</v>
      </c>
      <c r="B375" s="9">
        <v>0.01</v>
      </c>
      <c r="C375" s="10">
        <f t="shared" si="15"/>
        <v>1E-4</v>
      </c>
      <c r="D375" s="11">
        <f t="shared" si="16"/>
        <v>5.0000000000000002E-5</v>
      </c>
      <c r="E375" s="11">
        <f t="shared" si="17"/>
        <v>8.3331597275915215E-6</v>
      </c>
    </row>
    <row r="376" spans="1:5">
      <c r="A376" s="65">
        <v>40909</v>
      </c>
      <c r="B376" s="9">
        <v>0.03</v>
      </c>
      <c r="C376" s="10">
        <f t="shared" si="15"/>
        <v>2.9999999999999997E-4</v>
      </c>
      <c r="D376" s="11">
        <f t="shared" si="16"/>
        <v>1.4999999999999999E-4</v>
      </c>
      <c r="E376" s="11">
        <f t="shared" si="17"/>
        <v>2.4998437643253268E-5</v>
      </c>
    </row>
    <row r="377" spans="1:5">
      <c r="A377" s="65">
        <v>40940</v>
      </c>
      <c r="B377" s="9">
        <v>0.09</v>
      </c>
      <c r="C377" s="10">
        <f t="shared" si="15"/>
        <v>8.9999999999999998E-4</v>
      </c>
      <c r="D377" s="11">
        <f t="shared" si="16"/>
        <v>4.4999999999999999E-4</v>
      </c>
      <c r="E377" s="11">
        <f t="shared" si="17"/>
        <v>7.4985941366012554E-5</v>
      </c>
    </row>
    <row r="378" spans="1:5">
      <c r="A378" s="65">
        <v>40969</v>
      </c>
      <c r="B378" s="9">
        <v>0.08</v>
      </c>
      <c r="C378" s="10">
        <f t="shared" si="15"/>
        <v>8.0000000000000004E-4</v>
      </c>
      <c r="D378" s="11">
        <f t="shared" si="16"/>
        <v>4.0000000000000002E-4</v>
      </c>
      <c r="E378" s="11">
        <f t="shared" si="17"/>
        <v>6.6655558270900528E-5</v>
      </c>
    </row>
    <row r="379" spans="1:5">
      <c r="A379" s="65">
        <v>41000</v>
      </c>
      <c r="B379" s="9">
        <v>0.08</v>
      </c>
      <c r="C379" s="10">
        <f t="shared" si="15"/>
        <v>8.0000000000000004E-4</v>
      </c>
      <c r="D379" s="11">
        <f t="shared" si="16"/>
        <v>4.0000000000000002E-4</v>
      </c>
      <c r="E379" s="11">
        <f t="shared" si="17"/>
        <v>6.6655558270900528E-5</v>
      </c>
    </row>
    <row r="380" spans="1:5">
      <c r="A380" s="65">
        <v>41030</v>
      </c>
      <c r="B380" s="9">
        <v>0.09</v>
      </c>
      <c r="C380" s="10">
        <f t="shared" si="15"/>
        <v>8.9999999999999998E-4</v>
      </c>
      <c r="D380" s="11">
        <f t="shared" si="16"/>
        <v>4.4999999999999999E-4</v>
      </c>
      <c r="E380" s="11">
        <f t="shared" si="17"/>
        <v>7.4985941366012554E-5</v>
      </c>
    </row>
    <row r="381" spans="1:5">
      <c r="A381" s="65">
        <v>41061</v>
      </c>
      <c r="B381" s="9">
        <v>0.09</v>
      </c>
      <c r="C381" s="10">
        <f t="shared" si="15"/>
        <v>8.9999999999999998E-4</v>
      </c>
      <c r="D381" s="11">
        <f t="shared" si="16"/>
        <v>4.4999999999999999E-4</v>
      </c>
      <c r="E381" s="11">
        <f t="shared" si="17"/>
        <v>7.4985941366012554E-5</v>
      </c>
    </row>
    <row r="382" spans="1:5">
      <c r="A382" s="65">
        <v>41091</v>
      </c>
      <c r="B382" s="9">
        <v>0.1</v>
      </c>
      <c r="C382" s="10">
        <f t="shared" si="15"/>
        <v>1E-3</v>
      </c>
      <c r="D382" s="11">
        <f t="shared" si="16"/>
        <v>5.0000000000000001E-4</v>
      </c>
      <c r="E382" s="11">
        <f t="shared" si="17"/>
        <v>8.3315977525089124E-5</v>
      </c>
    </row>
    <row r="383" spans="1:5">
      <c r="A383" s="65">
        <v>41122</v>
      </c>
      <c r="B383" s="9">
        <v>0.1</v>
      </c>
      <c r="C383" s="10">
        <f t="shared" si="15"/>
        <v>1E-3</v>
      </c>
      <c r="D383" s="11">
        <f t="shared" si="16"/>
        <v>5.0000000000000001E-4</v>
      </c>
      <c r="E383" s="11">
        <f t="shared" si="17"/>
        <v>8.3315977525089124E-5</v>
      </c>
    </row>
    <row r="384" spans="1:5">
      <c r="A384" s="65">
        <v>41153</v>
      </c>
      <c r="B384" s="9">
        <v>0.11</v>
      </c>
      <c r="C384" s="10">
        <f t="shared" si="15"/>
        <v>1.1000000000000001E-3</v>
      </c>
      <c r="D384" s="11">
        <f t="shared" si="16"/>
        <v>5.5000000000000003E-4</v>
      </c>
      <c r="E384" s="11">
        <f t="shared" si="17"/>
        <v>9.1645666780104662E-5</v>
      </c>
    </row>
    <row r="385" spans="1:5">
      <c r="A385" s="65">
        <v>41183</v>
      </c>
      <c r="B385" s="9">
        <v>0.1</v>
      </c>
      <c r="C385" s="10">
        <f t="shared" si="15"/>
        <v>1E-3</v>
      </c>
      <c r="D385" s="11">
        <f t="shared" si="16"/>
        <v>5.0000000000000001E-4</v>
      </c>
      <c r="E385" s="11">
        <f t="shared" si="17"/>
        <v>8.3315977525089124E-5</v>
      </c>
    </row>
    <row r="386" spans="1:5">
      <c r="A386" s="65">
        <v>41214</v>
      </c>
      <c r="B386" s="9">
        <v>0.09</v>
      </c>
      <c r="C386" s="10">
        <f t="shared" si="15"/>
        <v>8.9999999999999998E-4</v>
      </c>
      <c r="D386" s="11">
        <f t="shared" si="16"/>
        <v>4.4999999999999999E-4</v>
      </c>
      <c r="E386" s="11">
        <f t="shared" si="17"/>
        <v>7.4985941366012554E-5</v>
      </c>
    </row>
    <row r="387" spans="1:5">
      <c r="A387" s="65">
        <v>41244</v>
      </c>
      <c r="B387" s="9">
        <v>7.0000000000000007E-2</v>
      </c>
      <c r="C387" s="10">
        <f t="shared" si="15"/>
        <v>7.000000000000001E-4</v>
      </c>
      <c r="D387" s="11">
        <f t="shared" si="16"/>
        <v>3.5000000000000005E-4</v>
      </c>
      <c r="E387" s="11">
        <f t="shared" si="17"/>
        <v>5.8324828208000667E-5</v>
      </c>
    </row>
    <row r="388" spans="1:5">
      <c r="A388" s="65">
        <v>41275</v>
      </c>
      <c r="B388" s="9">
        <v>7.0000000000000007E-2</v>
      </c>
      <c r="C388" s="10">
        <f t="shared" si="15"/>
        <v>7.000000000000001E-4</v>
      </c>
      <c r="D388" s="11">
        <f t="shared" si="16"/>
        <v>3.5000000000000005E-4</v>
      </c>
      <c r="E388" s="11">
        <f t="shared" si="17"/>
        <v>5.8324828208000667E-5</v>
      </c>
    </row>
    <row r="389" spans="1:5">
      <c r="A389" s="65">
        <v>41306</v>
      </c>
      <c r="B389" s="9">
        <v>0.1</v>
      </c>
      <c r="C389" s="10">
        <f t="shared" si="15"/>
        <v>1E-3</v>
      </c>
      <c r="D389" s="11">
        <f t="shared" si="16"/>
        <v>5.0000000000000001E-4</v>
      </c>
      <c r="E389" s="11">
        <f t="shared" si="17"/>
        <v>8.3315977525089124E-5</v>
      </c>
    </row>
    <row r="390" spans="1:5">
      <c r="A390" s="65">
        <v>41334</v>
      </c>
      <c r="B390" s="9">
        <v>0.09</v>
      </c>
      <c r="C390" s="10">
        <f t="shared" si="15"/>
        <v>8.9999999999999998E-4</v>
      </c>
      <c r="D390" s="11">
        <f t="shared" si="16"/>
        <v>4.4999999999999999E-4</v>
      </c>
      <c r="E390" s="11">
        <f t="shared" si="17"/>
        <v>7.4985941366012554E-5</v>
      </c>
    </row>
    <row r="391" spans="1:5">
      <c r="A391" s="65">
        <v>41365</v>
      </c>
      <c r="B391" s="9">
        <v>0.06</v>
      </c>
      <c r="C391" s="10">
        <f t="shared" si="15"/>
        <v>5.9999999999999995E-4</v>
      </c>
      <c r="D391" s="11">
        <f t="shared" si="16"/>
        <v>2.9999999999999997E-4</v>
      </c>
      <c r="E391" s="11">
        <f t="shared" si="17"/>
        <v>4.9993751145560594E-5</v>
      </c>
    </row>
    <row r="392" spans="1:5">
      <c r="A392" s="65">
        <v>41395</v>
      </c>
      <c r="B392" s="9">
        <v>0.04</v>
      </c>
      <c r="C392" s="10">
        <f t="shared" si="15"/>
        <v>4.0000000000000002E-4</v>
      </c>
      <c r="D392" s="11">
        <f t="shared" si="16"/>
        <v>2.0000000000000001E-4</v>
      </c>
      <c r="E392" s="11">
        <f t="shared" si="17"/>
        <v>3.3330555895050296E-5</v>
      </c>
    </row>
    <row r="393" spans="1:5">
      <c r="A393" s="65">
        <v>41426</v>
      </c>
      <c r="B393" s="9">
        <v>0.05</v>
      </c>
      <c r="C393" s="10">
        <f t="shared" si="15"/>
        <v>5.0000000000000001E-4</v>
      </c>
      <c r="D393" s="11">
        <f t="shared" si="16"/>
        <v>2.5000000000000001E-4</v>
      </c>
      <c r="E393" s="11">
        <f t="shared" si="17"/>
        <v>4.166232705182793E-5</v>
      </c>
    </row>
    <row r="394" spans="1:5">
      <c r="A394" s="65">
        <v>41456</v>
      </c>
      <c r="B394" s="9">
        <v>0.04</v>
      </c>
      <c r="C394" s="10">
        <f t="shared" si="15"/>
        <v>4.0000000000000002E-4</v>
      </c>
      <c r="D394" s="11">
        <f t="shared" si="16"/>
        <v>2.0000000000000001E-4</v>
      </c>
      <c r="E394" s="11">
        <f t="shared" si="17"/>
        <v>3.3330555895050296E-5</v>
      </c>
    </row>
    <row r="395" spans="1:5">
      <c r="A395" s="65">
        <v>41487</v>
      </c>
      <c r="B395" s="9">
        <v>0.04</v>
      </c>
      <c r="C395" s="10">
        <f t="shared" si="15"/>
        <v>4.0000000000000002E-4</v>
      </c>
      <c r="D395" s="11">
        <f t="shared" si="16"/>
        <v>2.0000000000000001E-4</v>
      </c>
      <c r="E395" s="11">
        <f t="shared" si="17"/>
        <v>3.3330555895050296E-5</v>
      </c>
    </row>
    <row r="396" spans="1:5">
      <c r="A396" s="65">
        <v>41518</v>
      </c>
      <c r="B396" s="9">
        <v>0.02</v>
      </c>
      <c r="C396" s="10">
        <f t="shared" si="15"/>
        <v>2.0000000000000001E-4</v>
      </c>
      <c r="D396" s="11">
        <f t="shared" si="16"/>
        <v>1E-4</v>
      </c>
      <c r="E396" s="11">
        <f t="shared" si="17"/>
        <v>1.666597226468447E-5</v>
      </c>
    </row>
    <row r="397" spans="1:5">
      <c r="A397" s="65">
        <v>41548</v>
      </c>
      <c r="B397" s="9">
        <v>0.05</v>
      </c>
      <c r="C397" s="10">
        <f t="shared" ref="C397:C460" si="18">B397/100</f>
        <v>5.0000000000000001E-4</v>
      </c>
      <c r="D397" s="11">
        <f t="shared" ref="D397:D460" si="19">C397/2</f>
        <v>2.5000000000000001E-4</v>
      </c>
      <c r="E397" s="11">
        <f t="shared" ref="E397:E460" si="20">(1+D397)^(1/6) - 1</f>
        <v>4.166232705182793E-5</v>
      </c>
    </row>
    <row r="398" spans="1:5">
      <c r="A398" s="65">
        <v>41579</v>
      </c>
      <c r="B398" s="9">
        <v>7.0000000000000007E-2</v>
      </c>
      <c r="C398" s="10">
        <f t="shared" si="18"/>
        <v>7.000000000000001E-4</v>
      </c>
      <c r="D398" s="11">
        <f t="shared" si="19"/>
        <v>3.5000000000000005E-4</v>
      </c>
      <c r="E398" s="11">
        <f t="shared" si="20"/>
        <v>5.8324828208000667E-5</v>
      </c>
    </row>
    <row r="399" spans="1:5">
      <c r="A399" s="65">
        <v>41609</v>
      </c>
      <c r="B399" s="9">
        <v>7.0000000000000007E-2</v>
      </c>
      <c r="C399" s="10">
        <f t="shared" si="18"/>
        <v>7.000000000000001E-4</v>
      </c>
      <c r="D399" s="11">
        <f t="shared" si="19"/>
        <v>3.5000000000000005E-4</v>
      </c>
      <c r="E399" s="11">
        <f t="shared" si="20"/>
        <v>5.8324828208000667E-5</v>
      </c>
    </row>
    <row r="400" spans="1:5">
      <c r="A400" s="65">
        <v>41640</v>
      </c>
      <c r="B400" s="9">
        <v>0.04</v>
      </c>
      <c r="C400" s="10">
        <f t="shared" si="18"/>
        <v>4.0000000000000002E-4</v>
      </c>
      <c r="D400" s="11">
        <f t="shared" si="19"/>
        <v>2.0000000000000001E-4</v>
      </c>
      <c r="E400" s="11">
        <f t="shared" si="20"/>
        <v>3.3330555895050296E-5</v>
      </c>
    </row>
    <row r="401" spans="1:5">
      <c r="A401" s="65">
        <v>41671</v>
      </c>
      <c r="B401" s="9">
        <v>0.05</v>
      </c>
      <c r="C401" s="10">
        <f t="shared" si="18"/>
        <v>5.0000000000000001E-4</v>
      </c>
      <c r="D401" s="11">
        <f t="shared" si="19"/>
        <v>2.5000000000000001E-4</v>
      </c>
      <c r="E401" s="11">
        <f t="shared" si="20"/>
        <v>4.166232705182793E-5</v>
      </c>
    </row>
    <row r="402" spans="1:5">
      <c r="A402" s="65">
        <v>41699</v>
      </c>
      <c r="B402" s="9">
        <v>0.05</v>
      </c>
      <c r="C402" s="10">
        <f t="shared" si="18"/>
        <v>5.0000000000000001E-4</v>
      </c>
      <c r="D402" s="11">
        <f t="shared" si="19"/>
        <v>2.5000000000000001E-4</v>
      </c>
      <c r="E402" s="11">
        <f t="shared" si="20"/>
        <v>4.166232705182793E-5</v>
      </c>
    </row>
    <row r="403" spans="1:5">
      <c r="A403" s="65">
        <v>41730</v>
      </c>
      <c r="B403" s="9">
        <v>0.03</v>
      </c>
      <c r="C403" s="10">
        <f t="shared" si="18"/>
        <v>2.9999999999999997E-4</v>
      </c>
      <c r="D403" s="11">
        <f t="shared" si="19"/>
        <v>1.4999999999999999E-4</v>
      </c>
      <c r="E403" s="11">
        <f t="shared" si="20"/>
        <v>2.4998437643253268E-5</v>
      </c>
    </row>
    <row r="404" spans="1:5">
      <c r="A404" s="65">
        <v>41760</v>
      </c>
      <c r="B404" s="9">
        <v>0.03</v>
      </c>
      <c r="C404" s="10">
        <f t="shared" si="18"/>
        <v>2.9999999999999997E-4</v>
      </c>
      <c r="D404" s="11">
        <f t="shared" si="19"/>
        <v>1.4999999999999999E-4</v>
      </c>
      <c r="E404" s="11">
        <f t="shared" si="20"/>
        <v>2.4998437643253268E-5</v>
      </c>
    </row>
    <row r="405" spans="1:5">
      <c r="A405" s="65">
        <v>41791</v>
      </c>
      <c r="B405" s="9">
        <v>0.04</v>
      </c>
      <c r="C405" s="10">
        <f t="shared" si="18"/>
        <v>4.0000000000000002E-4</v>
      </c>
      <c r="D405" s="11">
        <f t="shared" si="19"/>
        <v>2.0000000000000001E-4</v>
      </c>
      <c r="E405" s="11">
        <f t="shared" si="20"/>
        <v>3.3330555895050296E-5</v>
      </c>
    </row>
    <row r="406" spans="1:5">
      <c r="A406" s="65">
        <v>41821</v>
      </c>
      <c r="B406" s="9">
        <v>0.03</v>
      </c>
      <c r="C406" s="10">
        <f t="shared" si="18"/>
        <v>2.9999999999999997E-4</v>
      </c>
      <c r="D406" s="11">
        <f t="shared" si="19"/>
        <v>1.4999999999999999E-4</v>
      </c>
      <c r="E406" s="11">
        <f t="shared" si="20"/>
        <v>2.4998437643253268E-5</v>
      </c>
    </row>
    <row r="407" spans="1:5">
      <c r="A407" s="65">
        <v>41852</v>
      </c>
      <c r="B407" s="9">
        <v>0.03</v>
      </c>
      <c r="C407" s="10">
        <f t="shared" si="18"/>
        <v>2.9999999999999997E-4</v>
      </c>
      <c r="D407" s="11">
        <f t="shared" si="19"/>
        <v>1.4999999999999999E-4</v>
      </c>
      <c r="E407" s="11">
        <f t="shared" si="20"/>
        <v>2.4998437643253268E-5</v>
      </c>
    </row>
    <row r="408" spans="1:5">
      <c r="A408" s="65">
        <v>41883</v>
      </c>
      <c r="B408" s="9">
        <v>0.02</v>
      </c>
      <c r="C408" s="10">
        <f t="shared" si="18"/>
        <v>2.0000000000000001E-4</v>
      </c>
      <c r="D408" s="11">
        <f t="shared" si="19"/>
        <v>1E-4</v>
      </c>
      <c r="E408" s="11">
        <f t="shared" si="20"/>
        <v>1.666597226468447E-5</v>
      </c>
    </row>
    <row r="409" spans="1:5">
      <c r="A409" s="65">
        <v>41913</v>
      </c>
      <c r="B409" s="9">
        <v>0.02</v>
      </c>
      <c r="C409" s="10">
        <f t="shared" si="18"/>
        <v>2.0000000000000001E-4</v>
      </c>
      <c r="D409" s="11">
        <f t="shared" si="19"/>
        <v>1E-4</v>
      </c>
      <c r="E409" s="11">
        <f t="shared" si="20"/>
        <v>1.666597226468447E-5</v>
      </c>
    </row>
    <row r="410" spans="1:5">
      <c r="A410" s="65">
        <v>41944</v>
      </c>
      <c r="B410" s="9">
        <v>0.02</v>
      </c>
      <c r="C410" s="10">
        <f t="shared" si="18"/>
        <v>2.0000000000000001E-4</v>
      </c>
      <c r="D410" s="11">
        <f t="shared" si="19"/>
        <v>1E-4</v>
      </c>
      <c r="E410" s="11">
        <f t="shared" si="20"/>
        <v>1.666597226468447E-5</v>
      </c>
    </row>
    <row r="411" spans="1:5">
      <c r="A411" s="65">
        <v>41974</v>
      </c>
      <c r="B411" s="9">
        <v>0.03</v>
      </c>
      <c r="C411" s="10">
        <f t="shared" si="18"/>
        <v>2.9999999999999997E-4</v>
      </c>
      <c r="D411" s="11">
        <f t="shared" si="19"/>
        <v>1.4999999999999999E-4</v>
      </c>
      <c r="E411" s="11">
        <f t="shared" si="20"/>
        <v>2.4998437643253268E-5</v>
      </c>
    </row>
    <row r="412" spans="1:5">
      <c r="A412" s="65">
        <v>42005</v>
      </c>
      <c r="B412" s="9">
        <v>0.03</v>
      </c>
      <c r="C412" s="10">
        <f t="shared" si="18"/>
        <v>2.9999999999999997E-4</v>
      </c>
      <c r="D412" s="11">
        <f t="shared" si="19"/>
        <v>1.4999999999999999E-4</v>
      </c>
      <c r="E412" s="11">
        <f t="shared" si="20"/>
        <v>2.4998437643253268E-5</v>
      </c>
    </row>
    <row r="413" spans="1:5">
      <c r="A413" s="65">
        <v>42036</v>
      </c>
      <c r="B413" s="9">
        <v>0.02</v>
      </c>
      <c r="C413" s="10">
        <f t="shared" si="18"/>
        <v>2.0000000000000001E-4</v>
      </c>
      <c r="D413" s="11">
        <f t="shared" si="19"/>
        <v>1E-4</v>
      </c>
      <c r="E413" s="11">
        <f t="shared" si="20"/>
        <v>1.666597226468447E-5</v>
      </c>
    </row>
    <row r="414" spans="1:5">
      <c r="A414" s="65">
        <v>42064</v>
      </c>
      <c r="B414" s="9">
        <v>0.03</v>
      </c>
      <c r="C414" s="10">
        <f t="shared" si="18"/>
        <v>2.9999999999999997E-4</v>
      </c>
      <c r="D414" s="11">
        <f t="shared" si="19"/>
        <v>1.4999999999999999E-4</v>
      </c>
      <c r="E414" s="11">
        <f t="shared" si="20"/>
        <v>2.4998437643253268E-5</v>
      </c>
    </row>
    <row r="415" spans="1:5">
      <c r="A415" s="65">
        <v>42095</v>
      </c>
      <c r="B415" s="9">
        <v>0.02</v>
      </c>
      <c r="C415" s="10">
        <f t="shared" si="18"/>
        <v>2.0000000000000001E-4</v>
      </c>
      <c r="D415" s="11">
        <f t="shared" si="19"/>
        <v>1E-4</v>
      </c>
      <c r="E415" s="11">
        <f t="shared" si="20"/>
        <v>1.666597226468447E-5</v>
      </c>
    </row>
    <row r="416" spans="1:5">
      <c r="A416" s="65">
        <v>42125</v>
      </c>
      <c r="B416" s="9">
        <v>0.02</v>
      </c>
      <c r="C416" s="10">
        <f t="shared" si="18"/>
        <v>2.0000000000000001E-4</v>
      </c>
      <c r="D416" s="11">
        <f t="shared" si="19"/>
        <v>1E-4</v>
      </c>
      <c r="E416" s="11">
        <f t="shared" si="20"/>
        <v>1.666597226468447E-5</v>
      </c>
    </row>
    <row r="417" spans="1:5">
      <c r="A417" s="65">
        <v>42156</v>
      </c>
      <c r="B417" s="9">
        <v>0.02</v>
      </c>
      <c r="C417" s="10">
        <f t="shared" si="18"/>
        <v>2.0000000000000001E-4</v>
      </c>
      <c r="D417" s="11">
        <f t="shared" si="19"/>
        <v>1E-4</v>
      </c>
      <c r="E417" s="11">
        <f t="shared" si="20"/>
        <v>1.666597226468447E-5</v>
      </c>
    </row>
    <row r="418" spans="1:5">
      <c r="A418" s="65">
        <v>42186</v>
      </c>
      <c r="B418" s="9">
        <v>0.03</v>
      </c>
      <c r="C418" s="10">
        <f t="shared" si="18"/>
        <v>2.9999999999999997E-4</v>
      </c>
      <c r="D418" s="11">
        <f t="shared" si="19"/>
        <v>1.4999999999999999E-4</v>
      </c>
      <c r="E418" s="11">
        <f t="shared" si="20"/>
        <v>2.4998437643253268E-5</v>
      </c>
    </row>
    <row r="419" spans="1:5">
      <c r="A419" s="65">
        <v>42217</v>
      </c>
      <c r="B419" s="9">
        <v>7.0000000000000007E-2</v>
      </c>
      <c r="C419" s="10">
        <f t="shared" si="18"/>
        <v>7.000000000000001E-4</v>
      </c>
      <c r="D419" s="11">
        <f t="shared" si="19"/>
        <v>3.5000000000000005E-4</v>
      </c>
      <c r="E419" s="11">
        <f t="shared" si="20"/>
        <v>5.8324828208000667E-5</v>
      </c>
    </row>
    <row r="420" spans="1:5">
      <c r="A420" s="65">
        <v>42248</v>
      </c>
      <c r="B420" s="9">
        <v>0.02</v>
      </c>
      <c r="C420" s="10">
        <f t="shared" si="18"/>
        <v>2.0000000000000001E-4</v>
      </c>
      <c r="D420" s="11">
        <f t="shared" si="19"/>
        <v>1E-4</v>
      </c>
      <c r="E420" s="11">
        <f t="shared" si="20"/>
        <v>1.666597226468447E-5</v>
      </c>
    </row>
    <row r="421" spans="1:5">
      <c r="A421" s="65">
        <v>42278</v>
      </c>
      <c r="B421" s="9">
        <v>0.02</v>
      </c>
      <c r="C421" s="10">
        <f t="shared" si="18"/>
        <v>2.0000000000000001E-4</v>
      </c>
      <c r="D421" s="11">
        <f t="shared" si="19"/>
        <v>1E-4</v>
      </c>
      <c r="E421" s="11">
        <f t="shared" si="20"/>
        <v>1.666597226468447E-5</v>
      </c>
    </row>
    <row r="422" spans="1:5">
      <c r="A422" s="65">
        <v>42309</v>
      </c>
      <c r="B422" s="9">
        <v>0.13</v>
      </c>
      <c r="C422" s="10">
        <f t="shared" si="18"/>
        <v>1.2999999999999999E-3</v>
      </c>
      <c r="D422" s="11">
        <f t="shared" si="19"/>
        <v>6.4999999999999997E-4</v>
      </c>
      <c r="E422" s="11">
        <f t="shared" si="20"/>
        <v>1.0830400470474011E-4</v>
      </c>
    </row>
    <row r="423" spans="1:5">
      <c r="A423" s="65">
        <v>42339</v>
      </c>
      <c r="B423" s="9">
        <v>0.23</v>
      </c>
      <c r="C423" s="10">
        <f t="shared" si="18"/>
        <v>2.3E-3</v>
      </c>
      <c r="D423" s="11">
        <f t="shared" si="19"/>
        <v>1.15E-3</v>
      </c>
      <c r="E423" s="11">
        <f t="shared" si="20"/>
        <v>1.9157489087961999E-4</v>
      </c>
    </row>
    <row r="424" spans="1:5">
      <c r="A424" s="65">
        <v>42370</v>
      </c>
      <c r="B424" s="9">
        <v>0.26</v>
      </c>
      <c r="C424" s="10">
        <f t="shared" si="18"/>
        <v>2.5999999999999999E-3</v>
      </c>
      <c r="D424" s="11">
        <f t="shared" si="19"/>
        <v>1.2999999999999999E-3</v>
      </c>
      <c r="E424" s="11">
        <f t="shared" si="20"/>
        <v>2.1654939870674461E-4</v>
      </c>
    </row>
    <row r="425" spans="1:5">
      <c r="A425" s="65">
        <v>42401</v>
      </c>
      <c r="B425" s="9">
        <v>0.31</v>
      </c>
      <c r="C425" s="10">
        <f t="shared" si="18"/>
        <v>3.0999999999999999E-3</v>
      </c>
      <c r="D425" s="11">
        <f t="shared" si="19"/>
        <v>1.5499999999999999E-3</v>
      </c>
      <c r="E425" s="11">
        <f t="shared" si="20"/>
        <v>2.5816665091715763E-4</v>
      </c>
    </row>
    <row r="426" spans="1:5">
      <c r="A426" s="65">
        <v>42430</v>
      </c>
      <c r="B426" s="9">
        <v>0.3</v>
      </c>
      <c r="C426" s="10">
        <f t="shared" si="18"/>
        <v>3.0000000000000001E-3</v>
      </c>
      <c r="D426" s="11">
        <f t="shared" si="19"/>
        <v>1.5E-3</v>
      </c>
      <c r="E426" s="11">
        <f t="shared" si="20"/>
        <v>2.4984389307713961E-4</v>
      </c>
    </row>
    <row r="427" spans="1:5">
      <c r="A427" s="65">
        <v>42461</v>
      </c>
      <c r="B427" s="9">
        <v>0.23</v>
      </c>
      <c r="C427" s="10">
        <f t="shared" si="18"/>
        <v>2.3E-3</v>
      </c>
      <c r="D427" s="11">
        <f t="shared" si="19"/>
        <v>1.15E-3</v>
      </c>
      <c r="E427" s="11">
        <f t="shared" si="20"/>
        <v>1.9157489087961999E-4</v>
      </c>
    </row>
    <row r="428" spans="1:5">
      <c r="A428" s="65">
        <v>42491</v>
      </c>
      <c r="B428" s="9">
        <v>0.28000000000000003</v>
      </c>
      <c r="C428" s="10">
        <f t="shared" si="18"/>
        <v>2.8000000000000004E-3</v>
      </c>
      <c r="D428" s="11">
        <f t="shared" si="19"/>
        <v>1.4000000000000002E-3</v>
      </c>
      <c r="E428" s="11">
        <f t="shared" si="20"/>
        <v>2.3319733855742264E-4</v>
      </c>
    </row>
    <row r="429" spans="1:5">
      <c r="A429" s="65">
        <v>42522</v>
      </c>
      <c r="B429" s="9">
        <v>0.27</v>
      </c>
      <c r="C429" s="10">
        <f t="shared" si="18"/>
        <v>2.7000000000000001E-3</v>
      </c>
      <c r="D429" s="11">
        <f t="shared" si="19"/>
        <v>1.3500000000000001E-3</v>
      </c>
      <c r="E429" s="11">
        <f t="shared" si="20"/>
        <v>2.2487354181421892E-4</v>
      </c>
    </row>
    <row r="430" spans="1:5">
      <c r="A430" s="65">
        <v>42552</v>
      </c>
      <c r="B430" s="9">
        <v>0.3</v>
      </c>
      <c r="C430" s="10">
        <f t="shared" si="18"/>
        <v>3.0000000000000001E-3</v>
      </c>
      <c r="D430" s="11">
        <f t="shared" si="19"/>
        <v>1.5E-3</v>
      </c>
      <c r="E430" s="11">
        <f t="shared" si="20"/>
        <v>2.4984389307713961E-4</v>
      </c>
    </row>
    <row r="431" spans="1:5">
      <c r="A431" s="65">
        <v>42583</v>
      </c>
      <c r="B431" s="9">
        <v>0.3</v>
      </c>
      <c r="C431" s="10">
        <f t="shared" si="18"/>
        <v>3.0000000000000001E-3</v>
      </c>
      <c r="D431" s="11">
        <f t="shared" si="19"/>
        <v>1.5E-3</v>
      </c>
      <c r="E431" s="11">
        <f t="shared" si="20"/>
        <v>2.4984389307713961E-4</v>
      </c>
    </row>
    <row r="432" spans="1:5">
      <c r="A432" s="65">
        <v>42614</v>
      </c>
      <c r="B432" s="9">
        <v>0.28999999999999998</v>
      </c>
      <c r="C432" s="10">
        <f t="shared" si="18"/>
        <v>2.8999999999999998E-3</v>
      </c>
      <c r="D432" s="11">
        <f t="shared" si="19"/>
        <v>1.4499999999999999E-3</v>
      </c>
      <c r="E432" s="11">
        <f t="shared" si="20"/>
        <v>2.4152078896788609E-4</v>
      </c>
    </row>
    <row r="433" spans="1:5">
      <c r="A433" s="65">
        <v>42644</v>
      </c>
      <c r="B433" s="9">
        <v>0.33</v>
      </c>
      <c r="C433" s="10">
        <f t="shared" si="18"/>
        <v>3.3E-3</v>
      </c>
      <c r="D433" s="11">
        <f t="shared" si="19"/>
        <v>1.65E-3</v>
      </c>
      <c r="E433" s="11">
        <f t="shared" si="20"/>
        <v>2.7481112791538642E-4</v>
      </c>
    </row>
    <row r="434" spans="1:5">
      <c r="A434" s="65">
        <v>42675</v>
      </c>
      <c r="B434" s="9">
        <v>0.45</v>
      </c>
      <c r="C434" s="10">
        <f t="shared" si="18"/>
        <v>4.5000000000000005E-3</v>
      </c>
      <c r="D434" s="11">
        <f t="shared" si="19"/>
        <v>2.2500000000000003E-3</v>
      </c>
      <c r="E434" s="11">
        <f t="shared" si="20"/>
        <v>3.7464892012928352E-4</v>
      </c>
    </row>
    <row r="435" spans="1:5">
      <c r="A435" s="65">
        <v>42705</v>
      </c>
      <c r="B435" s="9">
        <v>0.51</v>
      </c>
      <c r="C435" s="10">
        <f t="shared" si="18"/>
        <v>5.1000000000000004E-3</v>
      </c>
      <c r="D435" s="11">
        <f t="shared" si="19"/>
        <v>2.5500000000000002E-3</v>
      </c>
      <c r="E435" s="11">
        <f t="shared" si="20"/>
        <v>4.2454913991640808E-4</v>
      </c>
    </row>
    <row r="436" spans="1:5">
      <c r="A436" s="65">
        <v>42736</v>
      </c>
      <c r="B436" s="9">
        <v>0.52</v>
      </c>
      <c r="C436" s="10">
        <f t="shared" si="18"/>
        <v>5.1999999999999998E-3</v>
      </c>
      <c r="D436" s="11">
        <f t="shared" si="19"/>
        <v>2.5999999999999999E-3</v>
      </c>
      <c r="E436" s="11">
        <f t="shared" si="20"/>
        <v>4.3286463341307702E-4</v>
      </c>
    </row>
    <row r="437" spans="1:5">
      <c r="A437" s="65">
        <v>42767</v>
      </c>
      <c r="B437" s="9">
        <v>0.53</v>
      </c>
      <c r="C437" s="10">
        <f t="shared" si="18"/>
        <v>5.3E-3</v>
      </c>
      <c r="D437" s="11">
        <f t="shared" si="19"/>
        <v>2.65E-3</v>
      </c>
      <c r="E437" s="11">
        <f t="shared" si="20"/>
        <v>4.4117978133639824E-4</v>
      </c>
    </row>
    <row r="438" spans="1:5">
      <c r="A438" s="65">
        <v>42795</v>
      </c>
      <c r="B438" s="9">
        <v>0.75</v>
      </c>
      <c r="C438" s="10">
        <f t="shared" si="18"/>
        <v>7.4999999999999997E-3</v>
      </c>
      <c r="D438" s="11">
        <f t="shared" si="19"/>
        <v>3.7499999999999999E-3</v>
      </c>
      <c r="E438" s="11">
        <f t="shared" si="20"/>
        <v>6.2402566952823868E-4</v>
      </c>
    </row>
    <row r="439" spans="1:5">
      <c r="A439" s="65">
        <v>42826</v>
      </c>
      <c r="B439" s="9">
        <v>0.81</v>
      </c>
      <c r="C439" s="10">
        <f t="shared" si="18"/>
        <v>8.1000000000000013E-3</v>
      </c>
      <c r="D439" s="11">
        <f t="shared" si="19"/>
        <v>4.0500000000000006E-3</v>
      </c>
      <c r="E439" s="11">
        <f t="shared" si="20"/>
        <v>6.7386374861722054E-4</v>
      </c>
    </row>
    <row r="440" spans="1:5">
      <c r="A440" s="65">
        <v>42856</v>
      </c>
      <c r="B440" s="9">
        <v>0.9</v>
      </c>
      <c r="C440" s="10">
        <f t="shared" si="18"/>
        <v>9.0000000000000011E-3</v>
      </c>
      <c r="D440" s="11">
        <f t="shared" si="19"/>
        <v>4.5000000000000005E-3</v>
      </c>
      <c r="E440" s="11">
        <f t="shared" si="20"/>
        <v>7.4859760490331162E-4</v>
      </c>
    </row>
    <row r="441" spans="1:5">
      <c r="A441" s="65">
        <v>42887</v>
      </c>
      <c r="B441" s="9">
        <v>1</v>
      </c>
      <c r="C441" s="10">
        <f t="shared" si="18"/>
        <v>0.01</v>
      </c>
      <c r="D441" s="11">
        <f t="shared" si="19"/>
        <v>5.0000000000000001E-3</v>
      </c>
      <c r="E441" s="11">
        <f t="shared" si="20"/>
        <v>8.3160250829017457E-4</v>
      </c>
    </row>
    <row r="442" spans="1:5">
      <c r="A442" s="65">
        <v>42917</v>
      </c>
      <c r="B442" s="9">
        <v>1.0900000000000001</v>
      </c>
      <c r="C442" s="10">
        <f t="shared" si="18"/>
        <v>1.09E-2</v>
      </c>
      <c r="D442" s="11">
        <f t="shared" si="19"/>
        <v>5.45E-3</v>
      </c>
      <c r="E442" s="11">
        <f t="shared" si="20"/>
        <v>9.0627750316119027E-4</v>
      </c>
    </row>
    <row r="443" spans="1:5">
      <c r="A443" s="65">
        <v>42948</v>
      </c>
      <c r="B443" s="9">
        <v>1.03</v>
      </c>
      <c r="C443" s="10">
        <f t="shared" si="18"/>
        <v>1.03E-2</v>
      </c>
      <c r="D443" s="11">
        <f t="shared" si="19"/>
        <v>5.1500000000000001E-3</v>
      </c>
      <c r="E443" s="11">
        <f t="shared" si="20"/>
        <v>8.5649726867353948E-4</v>
      </c>
    </row>
    <row r="444" spans="1:5">
      <c r="A444" s="65">
        <v>42979</v>
      </c>
      <c r="B444" s="9">
        <v>1.05</v>
      </c>
      <c r="C444" s="10">
        <f t="shared" si="18"/>
        <v>1.0500000000000001E-2</v>
      </c>
      <c r="D444" s="11">
        <f t="shared" si="19"/>
        <v>5.2500000000000003E-3</v>
      </c>
      <c r="E444" s="11">
        <f t="shared" si="20"/>
        <v>8.7309205570540449E-4</v>
      </c>
    </row>
    <row r="445" spans="1:5">
      <c r="A445" s="65">
        <v>43009</v>
      </c>
      <c r="B445" s="9">
        <v>1.0900000000000001</v>
      </c>
      <c r="C445" s="10">
        <f t="shared" si="18"/>
        <v>1.09E-2</v>
      </c>
      <c r="D445" s="11">
        <f t="shared" si="19"/>
        <v>5.45E-3</v>
      </c>
      <c r="E445" s="11">
        <f t="shared" si="20"/>
        <v>9.0627750316119027E-4</v>
      </c>
    </row>
    <row r="446" spans="1:5">
      <c r="A446" s="65">
        <v>43040</v>
      </c>
      <c r="B446" s="9">
        <v>1.25</v>
      </c>
      <c r="C446" s="10">
        <f t="shared" si="18"/>
        <v>1.2500000000000001E-2</v>
      </c>
      <c r="D446" s="11">
        <f t="shared" si="19"/>
        <v>6.2500000000000003E-3</v>
      </c>
      <c r="E446" s="11">
        <f t="shared" si="20"/>
        <v>1.0389643083117406E-3</v>
      </c>
    </row>
    <row r="447" spans="1:5">
      <c r="A447" s="65">
        <v>43070</v>
      </c>
      <c r="B447" s="9">
        <v>1.34</v>
      </c>
      <c r="C447" s="10">
        <f t="shared" si="18"/>
        <v>1.34E-2</v>
      </c>
      <c r="D447" s="11">
        <f t="shared" si="19"/>
        <v>6.7000000000000002E-3</v>
      </c>
      <c r="E447" s="11">
        <f t="shared" si="20"/>
        <v>1.1135620091518028E-3</v>
      </c>
    </row>
    <row r="448" spans="1:5">
      <c r="A448" s="65">
        <v>43101</v>
      </c>
      <c r="B448" s="9">
        <v>1.43</v>
      </c>
      <c r="C448" s="10">
        <f t="shared" si="18"/>
        <v>1.43E-2</v>
      </c>
      <c r="D448" s="11">
        <f t="shared" si="19"/>
        <v>7.1500000000000001E-3</v>
      </c>
      <c r="E448" s="11">
        <f t="shared" si="20"/>
        <v>1.1881319272069035E-3</v>
      </c>
    </row>
    <row r="449" spans="1:5">
      <c r="A449" s="65">
        <v>43132</v>
      </c>
      <c r="B449" s="9">
        <v>1.59</v>
      </c>
      <c r="C449" s="10">
        <f t="shared" si="18"/>
        <v>1.5900000000000001E-2</v>
      </c>
      <c r="D449" s="11">
        <f t="shared" si="19"/>
        <v>7.9500000000000005E-3</v>
      </c>
      <c r="E449" s="11">
        <f t="shared" si="20"/>
        <v>1.3206321416776579E-3</v>
      </c>
    </row>
    <row r="450" spans="1:5">
      <c r="A450" s="65">
        <v>43160</v>
      </c>
      <c r="B450" s="9">
        <v>1.73</v>
      </c>
      <c r="C450" s="10">
        <f t="shared" si="18"/>
        <v>1.7299999999999999E-2</v>
      </c>
      <c r="D450" s="11">
        <f t="shared" si="19"/>
        <v>8.6499999999999997E-3</v>
      </c>
      <c r="E450" s="11">
        <f t="shared" si="20"/>
        <v>1.4364979592100813E-3</v>
      </c>
    </row>
    <row r="451" spans="1:5">
      <c r="A451" s="65">
        <v>43191</v>
      </c>
      <c r="B451" s="9">
        <v>1.79</v>
      </c>
      <c r="C451" s="10">
        <f t="shared" si="18"/>
        <v>1.7899999999999999E-2</v>
      </c>
      <c r="D451" s="11">
        <f t="shared" si="19"/>
        <v>8.9499999999999996E-3</v>
      </c>
      <c r="E451" s="11">
        <f t="shared" si="20"/>
        <v>1.4861342262237898E-3</v>
      </c>
    </row>
    <row r="452" spans="1:5">
      <c r="A452" s="65">
        <v>43221</v>
      </c>
      <c r="B452" s="9">
        <v>1.9</v>
      </c>
      <c r="C452" s="10">
        <f t="shared" si="18"/>
        <v>1.9E-2</v>
      </c>
      <c r="D452" s="11">
        <f t="shared" si="19"/>
        <v>9.4999999999999998E-3</v>
      </c>
      <c r="E452" s="11">
        <f t="shared" si="20"/>
        <v>1.5771021146608888E-3</v>
      </c>
    </row>
    <row r="453" spans="1:5">
      <c r="A453" s="65">
        <v>43252</v>
      </c>
      <c r="B453" s="9">
        <v>1.94</v>
      </c>
      <c r="C453" s="10">
        <f t="shared" si="18"/>
        <v>1.9400000000000001E-2</v>
      </c>
      <c r="D453" s="11">
        <f t="shared" si="19"/>
        <v>9.7000000000000003E-3</v>
      </c>
      <c r="E453" s="11">
        <f t="shared" si="20"/>
        <v>1.6101711069942404E-3</v>
      </c>
    </row>
    <row r="454" spans="1:5">
      <c r="A454" s="65">
        <v>43282</v>
      </c>
      <c r="B454" s="9">
        <v>1.99</v>
      </c>
      <c r="C454" s="10">
        <f t="shared" si="18"/>
        <v>1.9900000000000001E-2</v>
      </c>
      <c r="D454" s="11">
        <f t="shared" si="19"/>
        <v>9.9500000000000005E-3</v>
      </c>
      <c r="E454" s="11">
        <f t="shared" si="20"/>
        <v>1.6514996721896935E-3</v>
      </c>
    </row>
    <row r="455" spans="1:5">
      <c r="A455" s="65">
        <v>43313</v>
      </c>
      <c r="B455" s="9">
        <v>2.0699999999999998</v>
      </c>
      <c r="C455" s="10">
        <f t="shared" si="18"/>
        <v>2.07E-2</v>
      </c>
      <c r="D455" s="11">
        <f t="shared" si="19"/>
        <v>1.035E-2</v>
      </c>
      <c r="E455" s="11">
        <f t="shared" si="20"/>
        <v>1.7176076473344182E-3</v>
      </c>
    </row>
    <row r="456" spans="1:5">
      <c r="A456" s="65">
        <v>43344</v>
      </c>
      <c r="B456" s="9">
        <v>2.17</v>
      </c>
      <c r="C456" s="10">
        <f t="shared" si="18"/>
        <v>2.1700000000000001E-2</v>
      </c>
      <c r="D456" s="11">
        <f t="shared" si="19"/>
        <v>1.085E-2</v>
      </c>
      <c r="E456" s="11">
        <f t="shared" si="20"/>
        <v>1.8002119525051263E-3</v>
      </c>
    </row>
    <row r="457" spans="1:5">
      <c r="A457" s="65">
        <v>43374</v>
      </c>
      <c r="B457" s="9">
        <v>2.29</v>
      </c>
      <c r="C457" s="10">
        <f t="shared" si="18"/>
        <v>2.29E-2</v>
      </c>
      <c r="D457" s="11">
        <f t="shared" si="19"/>
        <v>1.145E-2</v>
      </c>
      <c r="E457" s="11">
        <f t="shared" si="20"/>
        <v>1.8992921859668499E-3</v>
      </c>
    </row>
    <row r="458" spans="1:5">
      <c r="A458" s="65">
        <v>43405</v>
      </c>
      <c r="B458" s="9">
        <v>2.37</v>
      </c>
      <c r="C458" s="10">
        <f t="shared" si="18"/>
        <v>2.3700000000000002E-2</v>
      </c>
      <c r="D458" s="11">
        <f t="shared" si="19"/>
        <v>1.1850000000000001E-2</v>
      </c>
      <c r="E458" s="11">
        <f t="shared" si="20"/>
        <v>1.9653184676531321E-3</v>
      </c>
    </row>
    <row r="459" spans="1:5">
      <c r="A459" s="65">
        <v>43435</v>
      </c>
      <c r="B459" s="9">
        <v>2.41</v>
      </c>
      <c r="C459" s="10">
        <f t="shared" si="18"/>
        <v>2.41E-2</v>
      </c>
      <c r="D459" s="11">
        <f t="shared" si="19"/>
        <v>1.205E-2</v>
      </c>
      <c r="E459" s="11">
        <f t="shared" si="20"/>
        <v>1.9983234522251703E-3</v>
      </c>
    </row>
    <row r="460" spans="1:5">
      <c r="A460" s="65">
        <v>43466</v>
      </c>
      <c r="B460" s="9">
        <v>2.42</v>
      </c>
      <c r="C460" s="10">
        <f t="shared" si="18"/>
        <v>2.4199999999999999E-2</v>
      </c>
      <c r="D460" s="11">
        <f t="shared" si="19"/>
        <v>1.21E-2</v>
      </c>
      <c r="E460" s="11">
        <f t="shared" si="20"/>
        <v>2.0065738490901985E-3</v>
      </c>
    </row>
    <row r="461" spans="1:5">
      <c r="A461" s="65">
        <v>43497</v>
      </c>
      <c r="B461" s="9">
        <v>2.44</v>
      </c>
      <c r="C461" s="10">
        <f t="shared" ref="C461:C524" si="21">B461/100</f>
        <v>2.4399999999999998E-2</v>
      </c>
      <c r="D461" s="11">
        <f t="shared" ref="D461:D524" si="22">C461/2</f>
        <v>1.2199999999999999E-2</v>
      </c>
      <c r="E461" s="11">
        <f t="shared" ref="E461:E524" si="23">(1+D461)^(1/6) - 1</f>
        <v>2.0230736239015279E-3</v>
      </c>
    </row>
    <row r="462" spans="1:5">
      <c r="A462" s="65">
        <v>43525</v>
      </c>
      <c r="B462" s="9">
        <v>2.4500000000000002</v>
      </c>
      <c r="C462" s="10">
        <f t="shared" si="21"/>
        <v>2.4500000000000001E-2</v>
      </c>
      <c r="D462" s="11">
        <f t="shared" si="22"/>
        <v>1.225E-2</v>
      </c>
      <c r="E462" s="11">
        <f t="shared" si="23"/>
        <v>2.0313230019097794E-3</v>
      </c>
    </row>
    <row r="463" spans="1:5">
      <c r="A463" s="65">
        <v>43556</v>
      </c>
      <c r="B463" s="9">
        <v>2.4300000000000002</v>
      </c>
      <c r="C463" s="10">
        <f t="shared" si="21"/>
        <v>2.4300000000000002E-2</v>
      </c>
      <c r="D463" s="11">
        <f t="shared" si="22"/>
        <v>1.2150000000000001E-2</v>
      </c>
      <c r="E463" s="11">
        <f t="shared" si="23"/>
        <v>2.014823906305363E-3</v>
      </c>
    </row>
    <row r="464" spans="1:5">
      <c r="A464" s="65">
        <v>43586</v>
      </c>
      <c r="B464" s="9">
        <v>2.4</v>
      </c>
      <c r="C464" s="10">
        <f t="shared" si="21"/>
        <v>2.4E-2</v>
      </c>
      <c r="D464" s="11">
        <f t="shared" si="22"/>
        <v>1.2E-2</v>
      </c>
      <c r="E464" s="11">
        <f t="shared" si="23"/>
        <v>1.9900727156798581E-3</v>
      </c>
    </row>
    <row r="465" spans="1:5">
      <c r="A465" s="65">
        <v>43617</v>
      </c>
      <c r="B465" s="9">
        <v>2.2200000000000002</v>
      </c>
      <c r="C465" s="10">
        <f t="shared" si="21"/>
        <v>2.2200000000000001E-2</v>
      </c>
      <c r="D465" s="11">
        <f t="shared" si="22"/>
        <v>1.11E-2</v>
      </c>
      <c r="E465" s="11">
        <f t="shared" si="23"/>
        <v>1.8415013374062372E-3</v>
      </c>
    </row>
    <row r="466" spans="1:5">
      <c r="A466" s="65">
        <v>43647</v>
      </c>
      <c r="B466" s="9">
        <v>2.15</v>
      </c>
      <c r="C466" s="10">
        <f t="shared" si="21"/>
        <v>2.1499999999999998E-2</v>
      </c>
      <c r="D466" s="11">
        <f t="shared" si="22"/>
        <v>1.0749999999999999E-2</v>
      </c>
      <c r="E466" s="11">
        <f t="shared" si="23"/>
        <v>1.7836938158199978E-3</v>
      </c>
    </row>
    <row r="467" spans="1:5">
      <c r="A467" s="65">
        <v>43678</v>
      </c>
      <c r="B467" s="9">
        <v>1.99</v>
      </c>
      <c r="C467" s="10">
        <f t="shared" si="21"/>
        <v>1.9900000000000001E-2</v>
      </c>
      <c r="D467" s="11">
        <f t="shared" si="22"/>
        <v>9.9500000000000005E-3</v>
      </c>
      <c r="E467" s="11">
        <f t="shared" si="23"/>
        <v>1.6514996721896935E-3</v>
      </c>
    </row>
    <row r="468" spans="1:5">
      <c r="A468" s="65">
        <v>43709</v>
      </c>
      <c r="B468" s="9">
        <v>1.93</v>
      </c>
      <c r="C468" s="10">
        <f t="shared" si="21"/>
        <v>1.9299999999999998E-2</v>
      </c>
      <c r="D468" s="11">
        <f t="shared" si="22"/>
        <v>9.6499999999999989E-3</v>
      </c>
      <c r="E468" s="11">
        <f t="shared" si="23"/>
        <v>1.6019043706854141E-3</v>
      </c>
    </row>
    <row r="469" spans="1:5">
      <c r="A469" s="65">
        <v>43739</v>
      </c>
      <c r="B469" s="9">
        <v>1.68</v>
      </c>
      <c r="C469" s="10">
        <f t="shared" si="21"/>
        <v>1.6799999999999999E-2</v>
      </c>
      <c r="D469" s="11">
        <f t="shared" si="22"/>
        <v>8.3999999999999995E-3</v>
      </c>
      <c r="E469" s="11">
        <f t="shared" si="23"/>
        <v>1.3951250046282393E-3</v>
      </c>
    </row>
    <row r="470" spans="1:5">
      <c r="A470" s="65">
        <v>43770</v>
      </c>
      <c r="B470" s="9">
        <v>1.57</v>
      </c>
      <c r="C470" s="10">
        <f t="shared" si="21"/>
        <v>1.5700000000000002E-2</v>
      </c>
      <c r="D470" s="11">
        <f t="shared" si="22"/>
        <v>7.8500000000000011E-3</v>
      </c>
      <c r="E470" s="11">
        <f t="shared" si="23"/>
        <v>1.3040744085350831E-3</v>
      </c>
    </row>
    <row r="471" spans="1:5">
      <c r="A471" s="99">
        <v>43800</v>
      </c>
      <c r="B471" s="12">
        <v>1.57</v>
      </c>
      <c r="C471" s="10">
        <f t="shared" si="21"/>
        <v>1.5700000000000002E-2</v>
      </c>
      <c r="D471" s="11">
        <f t="shared" si="22"/>
        <v>7.8500000000000011E-3</v>
      </c>
      <c r="E471" s="11">
        <f t="shared" si="23"/>
        <v>1.3040744085350831E-3</v>
      </c>
    </row>
    <row r="472" spans="1:5">
      <c r="A472" s="65">
        <v>43831</v>
      </c>
      <c r="B472" s="9">
        <v>1.55</v>
      </c>
      <c r="C472" s="10">
        <f t="shared" si="21"/>
        <v>1.55E-2</v>
      </c>
      <c r="D472" s="11">
        <f t="shared" si="22"/>
        <v>7.7499999999999999E-3</v>
      </c>
      <c r="E472" s="11">
        <f t="shared" si="23"/>
        <v>1.2875153062716915E-3</v>
      </c>
    </row>
    <row r="473" spans="1:5">
      <c r="A473" s="65">
        <v>43862</v>
      </c>
      <c r="B473" s="9">
        <v>1.54</v>
      </c>
      <c r="C473" s="10">
        <f t="shared" si="21"/>
        <v>1.54E-2</v>
      </c>
      <c r="D473" s="11">
        <f t="shared" si="22"/>
        <v>7.7000000000000002E-3</v>
      </c>
      <c r="E473" s="11">
        <f t="shared" si="23"/>
        <v>1.2792352416419739E-3</v>
      </c>
    </row>
    <row r="474" spans="1:5">
      <c r="A474" s="65">
        <v>43891</v>
      </c>
      <c r="B474" s="9">
        <v>0.3</v>
      </c>
      <c r="C474" s="10">
        <f t="shared" si="21"/>
        <v>3.0000000000000001E-3</v>
      </c>
      <c r="D474" s="11">
        <f t="shared" si="22"/>
        <v>1.5E-3</v>
      </c>
      <c r="E474" s="11">
        <f t="shared" si="23"/>
        <v>2.4984389307713961E-4</v>
      </c>
    </row>
    <row r="475" spans="1:5">
      <c r="A475" s="65">
        <v>43922</v>
      </c>
      <c r="B475" s="9">
        <v>0.14000000000000001</v>
      </c>
      <c r="C475" s="10">
        <f t="shared" si="21"/>
        <v>1.4000000000000002E-3</v>
      </c>
      <c r="D475" s="11">
        <f t="shared" si="22"/>
        <v>7.000000000000001E-4</v>
      </c>
      <c r="E475" s="11">
        <f t="shared" si="23"/>
        <v>1.1663265343808682E-4</v>
      </c>
    </row>
    <row r="476" spans="1:5">
      <c r="A476" s="65">
        <v>43952</v>
      </c>
      <c r="B476" s="9">
        <v>0.13</v>
      </c>
      <c r="C476" s="10">
        <f t="shared" si="21"/>
        <v>1.2999999999999999E-3</v>
      </c>
      <c r="D476" s="11">
        <f t="shared" si="22"/>
        <v>6.4999999999999997E-4</v>
      </c>
      <c r="E476" s="11">
        <f t="shared" si="23"/>
        <v>1.0830400470474011E-4</v>
      </c>
    </row>
    <row r="477" spans="1:5">
      <c r="A477" s="65">
        <v>43983</v>
      </c>
      <c r="B477" s="9">
        <v>0.16</v>
      </c>
      <c r="C477" s="10">
        <f t="shared" si="21"/>
        <v>1.6000000000000001E-3</v>
      </c>
      <c r="D477" s="11">
        <f t="shared" si="22"/>
        <v>8.0000000000000004E-4</v>
      </c>
      <c r="E477" s="11">
        <f t="shared" si="23"/>
        <v>1.3328891060493397E-4</v>
      </c>
    </row>
    <row r="478" spans="1:5">
      <c r="A478" s="65">
        <v>44013</v>
      </c>
      <c r="B478" s="9">
        <v>0.13</v>
      </c>
      <c r="C478" s="10">
        <f t="shared" si="21"/>
        <v>1.2999999999999999E-3</v>
      </c>
      <c r="D478" s="11">
        <f t="shared" si="22"/>
        <v>6.4999999999999997E-4</v>
      </c>
      <c r="E478" s="11">
        <f t="shared" si="23"/>
        <v>1.0830400470474011E-4</v>
      </c>
    </row>
    <row r="479" spans="1:5">
      <c r="A479" s="65">
        <v>44044</v>
      </c>
      <c r="B479" s="9">
        <v>0.1</v>
      </c>
      <c r="C479" s="10">
        <f t="shared" si="21"/>
        <v>1E-3</v>
      </c>
      <c r="D479" s="11">
        <f t="shared" si="22"/>
        <v>5.0000000000000001E-4</v>
      </c>
      <c r="E479" s="11">
        <f t="shared" si="23"/>
        <v>8.3315977525089124E-5</v>
      </c>
    </row>
    <row r="480" spans="1:5">
      <c r="A480" s="65">
        <v>44075</v>
      </c>
      <c r="B480" s="9">
        <v>0.11</v>
      </c>
      <c r="C480" s="10">
        <f t="shared" si="21"/>
        <v>1.1000000000000001E-3</v>
      </c>
      <c r="D480" s="11">
        <f t="shared" si="22"/>
        <v>5.5000000000000003E-4</v>
      </c>
      <c r="E480" s="11">
        <f t="shared" si="23"/>
        <v>9.1645666780104662E-5</v>
      </c>
    </row>
    <row r="481" spans="1:5">
      <c r="A481" s="65">
        <v>44105</v>
      </c>
      <c r="B481" s="9">
        <v>0.1</v>
      </c>
      <c r="C481" s="10">
        <f t="shared" si="21"/>
        <v>1E-3</v>
      </c>
      <c r="D481" s="11">
        <f t="shared" si="22"/>
        <v>5.0000000000000001E-4</v>
      </c>
      <c r="E481" s="11">
        <f t="shared" si="23"/>
        <v>8.3315977525089124E-5</v>
      </c>
    </row>
    <row r="482" spans="1:5">
      <c r="A482" s="65">
        <v>44136</v>
      </c>
      <c r="B482" s="9">
        <v>0.09</v>
      </c>
      <c r="C482" s="10">
        <f t="shared" si="21"/>
        <v>8.9999999999999998E-4</v>
      </c>
      <c r="D482" s="11">
        <f t="shared" si="22"/>
        <v>4.4999999999999999E-4</v>
      </c>
      <c r="E482" s="11">
        <f t="shared" si="23"/>
        <v>7.4985941366012554E-5</v>
      </c>
    </row>
    <row r="483" spans="1:5">
      <c r="A483" s="65">
        <v>44166</v>
      </c>
      <c r="B483" s="9">
        <v>0.09</v>
      </c>
      <c r="C483" s="10">
        <f t="shared" si="21"/>
        <v>8.9999999999999998E-4</v>
      </c>
      <c r="D483" s="11">
        <f t="shared" si="22"/>
        <v>4.4999999999999999E-4</v>
      </c>
      <c r="E483" s="11">
        <f t="shared" si="23"/>
        <v>7.4985941366012554E-5</v>
      </c>
    </row>
    <row r="484" spans="1:5">
      <c r="A484" s="65">
        <v>44197</v>
      </c>
      <c r="B484" s="9">
        <v>0.08</v>
      </c>
      <c r="C484" s="10">
        <f t="shared" si="21"/>
        <v>8.0000000000000004E-4</v>
      </c>
      <c r="D484" s="11">
        <f t="shared" si="22"/>
        <v>4.0000000000000002E-4</v>
      </c>
      <c r="E484" s="11">
        <f t="shared" si="23"/>
        <v>6.6655558270900528E-5</v>
      </c>
    </row>
    <row r="485" spans="1:5">
      <c r="A485" s="65">
        <v>44228</v>
      </c>
      <c r="B485" s="9">
        <v>0.04</v>
      </c>
      <c r="C485" s="10">
        <f t="shared" si="21"/>
        <v>4.0000000000000002E-4</v>
      </c>
      <c r="D485" s="11">
        <f t="shared" si="22"/>
        <v>2.0000000000000001E-4</v>
      </c>
      <c r="E485" s="11">
        <f t="shared" si="23"/>
        <v>3.3330555895050296E-5</v>
      </c>
    </row>
    <row r="486" spans="1:5">
      <c r="A486" s="65">
        <v>44256</v>
      </c>
      <c r="B486" s="9">
        <v>0.03</v>
      </c>
      <c r="C486" s="10">
        <f t="shared" si="21"/>
        <v>2.9999999999999997E-4</v>
      </c>
      <c r="D486" s="11">
        <f t="shared" si="22"/>
        <v>1.4999999999999999E-4</v>
      </c>
      <c r="E486" s="11">
        <f t="shared" si="23"/>
        <v>2.4998437643253268E-5</v>
      </c>
    </row>
    <row r="487" spans="1:5">
      <c r="A487" s="65">
        <v>44287</v>
      </c>
      <c r="B487" s="9">
        <v>0.02</v>
      </c>
      <c r="C487" s="10">
        <f t="shared" si="21"/>
        <v>2.0000000000000001E-4</v>
      </c>
      <c r="D487" s="11">
        <f t="shared" si="22"/>
        <v>1E-4</v>
      </c>
      <c r="E487" s="11">
        <f t="shared" si="23"/>
        <v>1.666597226468447E-5</v>
      </c>
    </row>
    <row r="488" spans="1:5">
      <c r="A488" s="65">
        <v>44317</v>
      </c>
      <c r="B488" s="9">
        <v>0.02</v>
      </c>
      <c r="C488" s="10">
        <f t="shared" si="21"/>
        <v>2.0000000000000001E-4</v>
      </c>
      <c r="D488" s="11">
        <f t="shared" si="22"/>
        <v>1E-4</v>
      </c>
      <c r="E488" s="11">
        <f t="shared" si="23"/>
        <v>1.666597226468447E-5</v>
      </c>
    </row>
    <row r="489" spans="1:5">
      <c r="A489" s="65">
        <v>44348</v>
      </c>
      <c r="B489" s="9">
        <v>0.04</v>
      </c>
      <c r="C489" s="10">
        <f t="shared" si="21"/>
        <v>4.0000000000000002E-4</v>
      </c>
      <c r="D489" s="11">
        <f t="shared" si="22"/>
        <v>2.0000000000000001E-4</v>
      </c>
      <c r="E489" s="11">
        <f t="shared" si="23"/>
        <v>3.3330555895050296E-5</v>
      </c>
    </row>
    <row r="490" spans="1:5">
      <c r="A490" s="65">
        <v>44378</v>
      </c>
      <c r="B490" s="9">
        <v>0.05</v>
      </c>
      <c r="C490" s="10">
        <f t="shared" si="21"/>
        <v>5.0000000000000001E-4</v>
      </c>
      <c r="D490" s="11">
        <f t="shared" si="22"/>
        <v>2.5000000000000001E-4</v>
      </c>
      <c r="E490" s="11">
        <f t="shared" si="23"/>
        <v>4.166232705182793E-5</v>
      </c>
    </row>
    <row r="491" spans="1:5">
      <c r="A491" s="65">
        <v>44409</v>
      </c>
      <c r="B491" s="9">
        <v>0.05</v>
      </c>
      <c r="C491" s="10">
        <f t="shared" si="21"/>
        <v>5.0000000000000001E-4</v>
      </c>
      <c r="D491" s="11">
        <f t="shared" si="22"/>
        <v>2.5000000000000001E-4</v>
      </c>
      <c r="E491" s="11">
        <f t="shared" si="23"/>
        <v>4.166232705182793E-5</v>
      </c>
    </row>
    <row r="492" spans="1:5">
      <c r="A492" s="65">
        <v>44440</v>
      </c>
      <c r="B492" s="9">
        <v>0.04</v>
      </c>
      <c r="C492" s="10">
        <f t="shared" si="21"/>
        <v>4.0000000000000002E-4</v>
      </c>
      <c r="D492" s="11">
        <f t="shared" si="22"/>
        <v>2.0000000000000001E-4</v>
      </c>
      <c r="E492" s="11">
        <f t="shared" si="23"/>
        <v>3.3330555895050296E-5</v>
      </c>
    </row>
    <row r="493" spans="1:5">
      <c r="A493" s="65">
        <v>44470</v>
      </c>
      <c r="B493" s="9">
        <v>0.05</v>
      </c>
      <c r="C493" s="10">
        <f t="shared" si="21"/>
        <v>5.0000000000000001E-4</v>
      </c>
      <c r="D493" s="11">
        <f t="shared" si="22"/>
        <v>2.5000000000000001E-4</v>
      </c>
      <c r="E493" s="11">
        <f t="shared" si="23"/>
        <v>4.166232705182793E-5</v>
      </c>
    </row>
    <row r="494" spans="1:5">
      <c r="A494" s="65">
        <v>44501</v>
      </c>
      <c r="B494" s="9">
        <v>0.05</v>
      </c>
      <c r="C494" s="10">
        <f t="shared" si="21"/>
        <v>5.0000000000000001E-4</v>
      </c>
      <c r="D494" s="11">
        <f t="shared" si="22"/>
        <v>2.5000000000000001E-4</v>
      </c>
      <c r="E494" s="11">
        <f t="shared" si="23"/>
        <v>4.166232705182793E-5</v>
      </c>
    </row>
    <row r="495" spans="1:5">
      <c r="A495" s="65">
        <v>44531</v>
      </c>
      <c r="B495" s="9">
        <v>0.06</v>
      </c>
      <c r="C495" s="10">
        <f t="shared" si="21"/>
        <v>5.9999999999999995E-4</v>
      </c>
      <c r="D495" s="11">
        <f t="shared" si="22"/>
        <v>2.9999999999999997E-4</v>
      </c>
      <c r="E495" s="11">
        <f t="shared" si="23"/>
        <v>4.9993751145560594E-5</v>
      </c>
    </row>
    <row r="496" spans="1:5">
      <c r="A496" s="65">
        <v>44562</v>
      </c>
      <c r="B496" s="9">
        <v>0.15</v>
      </c>
      <c r="C496" s="10">
        <f t="shared" si="21"/>
        <v>1.5E-3</v>
      </c>
      <c r="D496" s="11">
        <f t="shared" si="22"/>
        <v>7.5000000000000002E-4</v>
      </c>
      <c r="E496" s="11">
        <f t="shared" si="23"/>
        <v>1.2496095539415997E-4</v>
      </c>
    </row>
    <row r="497" spans="1:9">
      <c r="A497" s="65">
        <v>44593</v>
      </c>
      <c r="B497" s="9">
        <v>0.31</v>
      </c>
      <c r="C497" s="10">
        <f t="shared" si="21"/>
        <v>3.0999999999999999E-3</v>
      </c>
      <c r="D497" s="11">
        <f t="shared" si="22"/>
        <v>1.5499999999999999E-3</v>
      </c>
      <c r="E497" s="11">
        <f t="shared" si="23"/>
        <v>2.5816665091715763E-4</v>
      </c>
    </row>
    <row r="498" spans="1:9">
      <c r="A498" s="65">
        <v>44621</v>
      </c>
      <c r="B498" s="9">
        <v>0.45</v>
      </c>
      <c r="C498" s="10">
        <f t="shared" si="21"/>
        <v>4.5000000000000005E-3</v>
      </c>
      <c r="D498" s="11">
        <f t="shared" si="22"/>
        <v>2.2500000000000003E-3</v>
      </c>
      <c r="E498" s="11">
        <f t="shared" si="23"/>
        <v>3.7464892012928352E-4</v>
      </c>
      <c r="G498" s="13"/>
      <c r="H498" s="13"/>
      <c r="I498" s="13"/>
    </row>
    <row r="499" spans="1:9">
      <c r="A499" s="65">
        <v>44652</v>
      </c>
      <c r="B499" s="9">
        <v>0.76</v>
      </c>
      <c r="C499" s="10">
        <f t="shared" si="21"/>
        <v>7.6E-3</v>
      </c>
      <c r="D499" s="11">
        <f t="shared" si="22"/>
        <v>3.8E-3</v>
      </c>
      <c r="E499" s="11">
        <f t="shared" si="23"/>
        <v>6.3233287797870297E-4</v>
      </c>
      <c r="G499" s="13"/>
      <c r="H499" s="13"/>
      <c r="I499" s="13"/>
    </row>
    <row r="500" spans="1:9">
      <c r="A500" s="65">
        <v>44682</v>
      </c>
      <c r="B500" s="9">
        <v>0.99</v>
      </c>
      <c r="C500" s="10">
        <f t="shared" si="21"/>
        <v>9.8999999999999991E-3</v>
      </c>
      <c r="D500" s="11">
        <f t="shared" si="22"/>
        <v>4.9499999999999995E-3</v>
      </c>
      <c r="E500" s="11">
        <f t="shared" si="23"/>
        <v>8.233035667473132E-4</v>
      </c>
      <c r="G500" s="13"/>
      <c r="H500" s="13"/>
      <c r="I500" s="13"/>
    </row>
    <row r="501" spans="1:9">
      <c r="A501" s="65">
        <v>44713</v>
      </c>
      <c r="B501" s="9">
        <v>1.54</v>
      </c>
      <c r="C501" s="10">
        <f t="shared" si="21"/>
        <v>1.54E-2</v>
      </c>
      <c r="D501" s="11">
        <f t="shared" si="22"/>
        <v>7.7000000000000002E-3</v>
      </c>
      <c r="E501" s="11">
        <f t="shared" si="23"/>
        <v>1.2792352416419739E-3</v>
      </c>
      <c r="G501" s="13"/>
      <c r="H501" s="13"/>
      <c r="I501" s="13"/>
    </row>
    <row r="502" spans="1:9">
      <c r="A502" s="65">
        <v>44743</v>
      </c>
      <c r="B502" s="9">
        <v>2.2999999999999998</v>
      </c>
      <c r="C502" s="10">
        <f t="shared" si="21"/>
        <v>2.3E-2</v>
      </c>
      <c r="D502" s="11">
        <f t="shared" si="22"/>
        <v>1.15E-2</v>
      </c>
      <c r="E502" s="11">
        <f t="shared" si="23"/>
        <v>1.9075466610292136E-3</v>
      </c>
      <c r="F502" s="13"/>
      <c r="G502" s="13"/>
      <c r="H502" s="13"/>
      <c r="I502" s="13"/>
    </row>
    <row r="503" spans="1:9">
      <c r="A503" s="65">
        <v>44774</v>
      </c>
      <c r="B503" s="9">
        <v>2.72</v>
      </c>
      <c r="C503" s="10">
        <f t="shared" si="21"/>
        <v>2.7200000000000002E-2</v>
      </c>
      <c r="D503" s="11">
        <f t="shared" si="22"/>
        <v>1.3600000000000001E-2</v>
      </c>
      <c r="E503" s="11">
        <f t="shared" si="23"/>
        <v>2.2539279560598313E-3</v>
      </c>
      <c r="F503" s="13"/>
      <c r="G503" s="13"/>
      <c r="H503" s="13"/>
      <c r="I503" s="13"/>
    </row>
    <row r="504" spans="1:9">
      <c r="A504" s="65">
        <v>44805</v>
      </c>
      <c r="B504" s="9">
        <v>3.22</v>
      </c>
      <c r="C504" s="10">
        <f t="shared" si="21"/>
        <v>3.2199999999999999E-2</v>
      </c>
      <c r="D504" s="11">
        <f t="shared" si="22"/>
        <v>1.61E-2</v>
      </c>
      <c r="E504" s="11">
        <f t="shared" si="23"/>
        <v>2.6655077505770564E-3</v>
      </c>
      <c r="F504" s="13"/>
      <c r="G504" s="13"/>
      <c r="H504" s="13"/>
      <c r="I504" s="13"/>
    </row>
    <row r="505" spans="1:9">
      <c r="A505" s="65">
        <v>44835</v>
      </c>
      <c r="B505" s="9">
        <v>3.87</v>
      </c>
      <c r="C505" s="10">
        <f t="shared" si="21"/>
        <v>3.8699999999999998E-2</v>
      </c>
      <c r="D505" s="11">
        <f t="shared" si="22"/>
        <v>1.9349999999999999E-2</v>
      </c>
      <c r="E505" s="11">
        <f t="shared" si="23"/>
        <v>3.1993017532958579E-3</v>
      </c>
      <c r="F505" s="13"/>
      <c r="G505" s="13"/>
      <c r="H505" s="13"/>
      <c r="I505" s="13"/>
    </row>
    <row r="506" spans="1:9">
      <c r="A506" s="65">
        <v>44866</v>
      </c>
      <c r="B506" s="9">
        <v>4.32</v>
      </c>
      <c r="C506" s="10">
        <f t="shared" si="21"/>
        <v>4.3200000000000002E-2</v>
      </c>
      <c r="D506" s="11">
        <f t="shared" si="22"/>
        <v>2.1600000000000001E-2</v>
      </c>
      <c r="E506" s="11">
        <f t="shared" si="23"/>
        <v>3.5680212430042602E-3</v>
      </c>
      <c r="F506" s="13"/>
      <c r="G506" s="13"/>
      <c r="H506" s="13"/>
      <c r="I506" s="13"/>
    </row>
    <row r="507" spans="1:9">
      <c r="A507" s="65">
        <v>44896</v>
      </c>
      <c r="B507" s="9">
        <v>4.3600000000000003</v>
      </c>
      <c r="C507" s="10">
        <f t="shared" si="21"/>
        <v>4.36E-2</v>
      </c>
      <c r="D507" s="11">
        <f t="shared" si="22"/>
        <v>2.18E-2</v>
      </c>
      <c r="E507" s="11">
        <f t="shared" si="23"/>
        <v>3.6007635481660749E-3</v>
      </c>
      <c r="F507" s="13"/>
      <c r="G507" s="13"/>
      <c r="H507" s="13"/>
      <c r="I507" s="13"/>
    </row>
    <row r="508" spans="1:9">
      <c r="A508" s="65">
        <v>44927</v>
      </c>
      <c r="B508" s="9">
        <v>4.6900000000000004</v>
      </c>
      <c r="C508" s="10">
        <f t="shared" si="21"/>
        <v>4.6900000000000004E-2</v>
      </c>
      <c r="D508" s="11">
        <f t="shared" si="22"/>
        <v>2.3450000000000002E-2</v>
      </c>
      <c r="E508" s="11">
        <f t="shared" si="23"/>
        <v>3.8706839806363913E-3</v>
      </c>
      <c r="F508" s="13"/>
      <c r="G508" s="13"/>
      <c r="H508" s="13"/>
      <c r="I508" s="13"/>
    </row>
    <row r="509" spans="1:9">
      <c r="A509" s="65">
        <v>44958</v>
      </c>
      <c r="B509" s="9">
        <v>4.79</v>
      </c>
      <c r="C509" s="10">
        <f t="shared" si="21"/>
        <v>4.7899999999999998E-2</v>
      </c>
      <c r="D509" s="11">
        <f t="shared" si="22"/>
        <v>2.3949999999999999E-2</v>
      </c>
      <c r="E509" s="11">
        <f t="shared" si="23"/>
        <v>3.952406455044688E-3</v>
      </c>
      <c r="F509" s="13"/>
      <c r="G509" s="13"/>
      <c r="H509" s="13"/>
      <c r="I509" s="13"/>
    </row>
    <row r="510" spans="1:9">
      <c r="A510" s="65">
        <v>44986</v>
      </c>
      <c r="B510" s="9">
        <v>4.8600000000000003</v>
      </c>
      <c r="C510" s="10">
        <f t="shared" si="21"/>
        <v>4.8600000000000004E-2</v>
      </c>
      <c r="D510" s="11">
        <f t="shared" si="22"/>
        <v>2.4300000000000002E-2</v>
      </c>
      <c r="E510" s="11">
        <f t="shared" si="23"/>
        <v>4.0095924029068808E-3</v>
      </c>
      <c r="F510" s="13"/>
      <c r="G510" s="13"/>
      <c r="H510" s="13"/>
      <c r="I510" s="13"/>
    </row>
    <row r="511" spans="1:9">
      <c r="A511" s="65">
        <v>45017</v>
      </c>
      <c r="B511" s="9">
        <v>5.07</v>
      </c>
      <c r="C511" s="10">
        <f t="shared" si="21"/>
        <v>5.0700000000000002E-2</v>
      </c>
      <c r="D511" s="11">
        <f t="shared" si="22"/>
        <v>2.5350000000000001E-2</v>
      </c>
      <c r="E511" s="11">
        <f t="shared" si="23"/>
        <v>4.1810525998986492E-3</v>
      </c>
      <c r="F511" s="13"/>
      <c r="G511" s="13"/>
      <c r="H511" s="13"/>
      <c r="I511" s="13"/>
    </row>
    <row r="512" spans="1:9">
      <c r="A512" s="65">
        <v>45047</v>
      </c>
      <c r="B512" s="9">
        <v>5.31</v>
      </c>
      <c r="C512" s="10">
        <f t="shared" si="21"/>
        <v>5.3099999999999994E-2</v>
      </c>
      <c r="D512" s="11">
        <f t="shared" si="22"/>
        <v>2.6549999999999997E-2</v>
      </c>
      <c r="E512" s="11">
        <f t="shared" si="23"/>
        <v>4.3768280376161872E-3</v>
      </c>
      <c r="F512" s="13"/>
      <c r="G512" s="13"/>
      <c r="H512" s="13"/>
      <c r="I512" s="13"/>
    </row>
    <row r="513" spans="1:9">
      <c r="A513" s="65">
        <v>45078</v>
      </c>
      <c r="B513" s="9">
        <v>5.42</v>
      </c>
      <c r="C513" s="10">
        <f t="shared" si="21"/>
        <v>5.4199999999999998E-2</v>
      </c>
      <c r="D513" s="11">
        <f t="shared" si="22"/>
        <v>2.7099999999999999E-2</v>
      </c>
      <c r="E513" s="11">
        <f t="shared" si="23"/>
        <v>4.4664947167158964E-3</v>
      </c>
      <c r="F513" s="13"/>
      <c r="G513" s="13"/>
      <c r="H513" s="13"/>
      <c r="I513" s="13"/>
    </row>
    <row r="514" spans="1:9">
      <c r="A514" s="65">
        <v>45108</v>
      </c>
      <c r="B514" s="9">
        <v>5.49</v>
      </c>
      <c r="C514" s="10">
        <f t="shared" si="21"/>
        <v>5.4900000000000004E-2</v>
      </c>
      <c r="D514" s="11">
        <f t="shared" si="22"/>
        <v>2.7450000000000002E-2</v>
      </c>
      <c r="E514" s="11">
        <f t="shared" si="23"/>
        <v>4.5235344997047733E-3</v>
      </c>
      <c r="F514" s="13"/>
      <c r="G514" s="13"/>
      <c r="H514" s="13"/>
      <c r="I514" s="13"/>
    </row>
    <row r="515" spans="1:9">
      <c r="A515" s="65">
        <v>45139</v>
      </c>
      <c r="B515" s="9">
        <v>5.56</v>
      </c>
      <c r="C515" s="10">
        <f t="shared" si="21"/>
        <v>5.5599999999999997E-2</v>
      </c>
      <c r="D515" s="11">
        <f t="shared" si="22"/>
        <v>2.7799999999999998E-2</v>
      </c>
      <c r="E515" s="11">
        <f t="shared" si="23"/>
        <v>4.5805580928617307E-3</v>
      </c>
      <c r="F515" s="13"/>
      <c r="G515" s="13"/>
      <c r="H515" s="13"/>
      <c r="I515" s="13"/>
    </row>
    <row r="516" spans="1:9">
      <c r="A516" s="65">
        <v>45170</v>
      </c>
      <c r="B516" s="9">
        <v>5.56</v>
      </c>
      <c r="C516" s="10">
        <f t="shared" si="21"/>
        <v>5.5599999999999997E-2</v>
      </c>
      <c r="D516" s="11">
        <f t="shared" si="22"/>
        <v>2.7799999999999998E-2</v>
      </c>
      <c r="E516" s="11">
        <f t="shared" si="23"/>
        <v>4.5805580928617307E-3</v>
      </c>
      <c r="F516" s="13"/>
      <c r="G516" s="13"/>
      <c r="H516" s="13"/>
      <c r="I516" s="13"/>
    </row>
    <row r="517" spans="1:9">
      <c r="A517" s="65">
        <v>45200</v>
      </c>
      <c r="B517" s="9">
        <v>5.6</v>
      </c>
      <c r="C517" s="10">
        <f t="shared" si="21"/>
        <v>5.5999999999999994E-2</v>
      </c>
      <c r="D517" s="11">
        <f t="shared" si="22"/>
        <v>2.7999999999999997E-2</v>
      </c>
      <c r="E517" s="11">
        <f t="shared" si="23"/>
        <v>4.6131357382226401E-3</v>
      </c>
      <c r="F517" s="13"/>
      <c r="G517" s="13"/>
      <c r="H517" s="13"/>
      <c r="I517" s="13"/>
    </row>
    <row r="518" spans="1:9">
      <c r="A518" s="65">
        <v>45231</v>
      </c>
      <c r="B518" s="9">
        <v>5.52</v>
      </c>
      <c r="C518" s="10">
        <f t="shared" si="21"/>
        <v>5.5199999999999999E-2</v>
      </c>
      <c r="D518" s="11">
        <f t="shared" si="22"/>
        <v>2.76E-2</v>
      </c>
      <c r="E518" s="11">
        <f t="shared" si="23"/>
        <v>4.5479751643251465E-3</v>
      </c>
      <c r="F518" s="13"/>
      <c r="G518" s="13"/>
      <c r="H518" s="13"/>
      <c r="I518" s="13"/>
    </row>
    <row r="519" spans="1:9">
      <c r="A519" s="65">
        <v>45261</v>
      </c>
      <c r="B519" s="9">
        <v>5.44</v>
      </c>
      <c r="C519" s="10">
        <f t="shared" si="21"/>
        <v>5.4400000000000004E-2</v>
      </c>
      <c r="D519" s="11">
        <f t="shared" si="22"/>
        <v>2.7200000000000002E-2</v>
      </c>
      <c r="E519" s="11">
        <f t="shared" si="23"/>
        <v>4.482793450183209E-3</v>
      </c>
      <c r="F519" s="13"/>
      <c r="G519" s="13"/>
      <c r="H519" s="13"/>
      <c r="I519" s="13"/>
    </row>
    <row r="520" spans="1:9">
      <c r="A520" s="65">
        <v>45292</v>
      </c>
      <c r="B520" s="9">
        <v>5.45</v>
      </c>
      <c r="C520" s="10">
        <f t="shared" si="21"/>
        <v>5.45E-2</v>
      </c>
      <c r="D520" s="11">
        <f t="shared" si="22"/>
        <v>2.725E-2</v>
      </c>
      <c r="E520" s="11">
        <f t="shared" si="23"/>
        <v>4.4909423210737209E-3</v>
      </c>
      <c r="F520" s="13"/>
      <c r="G520" s="13"/>
      <c r="H520" s="13"/>
      <c r="I520" s="13"/>
    </row>
    <row r="521" spans="1:9">
      <c r="A521" s="65">
        <v>45323</v>
      </c>
      <c r="B521" s="9">
        <v>5.44</v>
      </c>
      <c r="C521" s="10">
        <f t="shared" si="21"/>
        <v>5.4400000000000004E-2</v>
      </c>
      <c r="D521" s="11">
        <f t="shared" si="22"/>
        <v>2.7200000000000002E-2</v>
      </c>
      <c r="E521" s="11">
        <f t="shared" si="23"/>
        <v>4.482793450183209E-3</v>
      </c>
      <c r="F521" s="13"/>
      <c r="G521" s="13"/>
      <c r="H521" s="13"/>
      <c r="I521" s="13"/>
    </row>
    <row r="522" spans="1:9">
      <c r="A522" s="65">
        <v>45352</v>
      </c>
      <c r="B522" s="9">
        <v>5.47</v>
      </c>
      <c r="C522" s="10">
        <f t="shared" si="21"/>
        <v>5.4699999999999999E-2</v>
      </c>
      <c r="D522" s="11">
        <f t="shared" si="22"/>
        <v>2.7349999999999999E-2</v>
      </c>
      <c r="E522" s="11">
        <f t="shared" si="23"/>
        <v>4.50723907131656E-3</v>
      </c>
      <c r="F522" s="13"/>
      <c r="G522" s="13"/>
      <c r="H522" s="13"/>
      <c r="I522" s="13"/>
    </row>
    <row r="523" spans="1:9">
      <c r="A523" s="65">
        <v>45383</v>
      </c>
      <c r="B523" s="9">
        <v>5.44</v>
      </c>
      <c r="C523" s="10">
        <f t="shared" si="21"/>
        <v>5.4400000000000004E-2</v>
      </c>
      <c r="D523" s="11">
        <f t="shared" si="22"/>
        <v>2.7200000000000002E-2</v>
      </c>
      <c r="E523" s="11">
        <f t="shared" si="23"/>
        <v>4.482793450183209E-3</v>
      </c>
      <c r="F523" s="13"/>
    </row>
    <row r="524" spans="1:9">
      <c r="A524" s="65">
        <v>45413</v>
      </c>
      <c r="B524" s="9">
        <v>5.46</v>
      </c>
      <c r="C524" s="10">
        <f t="shared" si="21"/>
        <v>5.4600000000000003E-2</v>
      </c>
      <c r="D524" s="11">
        <f t="shared" si="22"/>
        <v>2.7300000000000001E-2</v>
      </c>
      <c r="E524" s="11">
        <f t="shared" si="23"/>
        <v>4.4990908614417346E-3</v>
      </c>
      <c r="F524" s="13"/>
    </row>
    <row r="525" spans="1:9">
      <c r="A525" s="99">
        <v>45444</v>
      </c>
      <c r="B525" s="12">
        <v>5.51</v>
      </c>
      <c r="C525" s="10">
        <f t="shared" ref="C525:C527" si="24">B525/100</f>
        <v>5.5099999999999996E-2</v>
      </c>
      <c r="D525" s="11">
        <f t="shared" ref="D525:D529" si="25">C525/2</f>
        <v>2.7549999999999998E-2</v>
      </c>
      <c r="E525" s="11">
        <f t="shared" ref="E525:E529" si="26">(1+D525)^(1/6) - 1</f>
        <v>4.5398286064739501E-3</v>
      </c>
      <c r="F525" s="13"/>
    </row>
    <row r="526" spans="1:9">
      <c r="A526" s="65">
        <v>45474</v>
      </c>
      <c r="B526" s="76">
        <v>5.43</v>
      </c>
      <c r="C526" s="10">
        <f t="shared" si="24"/>
        <v>5.4299999999999994E-2</v>
      </c>
      <c r="D526" s="11">
        <f t="shared" si="25"/>
        <v>2.7149999999999997E-2</v>
      </c>
      <c r="E526" s="11">
        <f t="shared" si="26"/>
        <v>4.4746442487402227E-3</v>
      </c>
      <c r="F526" s="13"/>
    </row>
    <row r="527" spans="1:9">
      <c r="A527" s="65">
        <v>45505</v>
      </c>
      <c r="B527" s="76">
        <v>5.3</v>
      </c>
      <c r="C527" s="10">
        <f t="shared" si="24"/>
        <v>5.2999999999999999E-2</v>
      </c>
      <c r="D527" s="11">
        <f t="shared" si="25"/>
        <v>2.6499999999999999E-2</v>
      </c>
      <c r="E527" s="11">
        <f t="shared" si="26"/>
        <v>4.3686745363094026E-3</v>
      </c>
    </row>
    <row r="528" spans="1:9">
      <c r="A528" s="100">
        <v>45536</v>
      </c>
      <c r="B528" s="101">
        <v>4.9219999999999997</v>
      </c>
      <c r="C528" s="11">
        <f>B528/100</f>
        <v>4.922E-2</v>
      </c>
      <c r="D528" s="11">
        <f t="shared" si="25"/>
        <v>2.461E-2</v>
      </c>
      <c r="E528" s="11">
        <f t="shared" si="26"/>
        <v>4.0602292170599519E-3</v>
      </c>
    </row>
    <row r="529" spans="1:5">
      <c r="A529" s="100">
        <v>45566</v>
      </c>
      <c r="B529" s="101">
        <v>4.7181818181818178</v>
      </c>
      <c r="C529" s="11">
        <f>B529/100</f>
        <v>4.7181818181818179E-2</v>
      </c>
      <c r="D529" s="11">
        <f t="shared" si="25"/>
        <v>2.3590909090909089E-2</v>
      </c>
      <c r="E529" s="11">
        <f t="shared" si="26"/>
        <v>3.8937182261378211E-3</v>
      </c>
    </row>
    <row r="530" spans="1:5">
      <c r="A530" s="7"/>
      <c r="B530" s="5"/>
      <c r="C530" s="14"/>
      <c r="D530" s="14"/>
      <c r="E530" s="14"/>
    </row>
    <row r="531" spans="1:5">
      <c r="A531" s="7"/>
      <c r="B531" s="5"/>
      <c r="C531" s="14"/>
      <c r="D531" s="14"/>
      <c r="E531" s="14"/>
    </row>
    <row r="532" spans="1:5">
      <c r="A532" s="7"/>
      <c r="B532" s="5"/>
      <c r="C532" s="14"/>
      <c r="D532" s="14"/>
      <c r="E532" s="14"/>
    </row>
    <row r="533" spans="1:5">
      <c r="A533" s="7"/>
      <c r="B533" s="5"/>
      <c r="C533" s="14"/>
      <c r="D533" s="14"/>
      <c r="E533" s="14"/>
    </row>
    <row r="534" spans="1:5">
      <c r="A534" s="7"/>
      <c r="B534" s="5"/>
      <c r="C534" s="14"/>
      <c r="D534" s="14"/>
      <c r="E534" s="14"/>
    </row>
    <row r="535" spans="1:5">
      <c r="A535" s="7"/>
      <c r="B535" s="5"/>
      <c r="C535" s="14"/>
      <c r="D535" s="14"/>
      <c r="E535" s="14"/>
    </row>
    <row r="536" spans="1:5">
      <c r="A536" s="7"/>
      <c r="B536" s="5"/>
      <c r="C536" s="14"/>
      <c r="D536" s="14"/>
      <c r="E536" s="14"/>
    </row>
    <row r="537" spans="1:5">
      <c r="A537" s="7"/>
      <c r="B537" s="5"/>
      <c r="C537" s="14"/>
      <c r="D537" s="14"/>
      <c r="E537" s="14"/>
    </row>
    <row r="538" spans="1:5">
      <c r="C538" s="14"/>
      <c r="D538" s="14"/>
      <c r="E538" s="14"/>
    </row>
    <row r="539" spans="1:5">
      <c r="C539" s="14"/>
      <c r="D539" s="14"/>
      <c r="E539" s="14"/>
    </row>
    <row r="540" spans="1:5">
      <c r="C540" s="14"/>
      <c r="D540" s="14"/>
      <c r="E540" s="14"/>
    </row>
    <row r="541" spans="1:5">
      <c r="C541" s="14"/>
      <c r="D541" s="14"/>
      <c r="E541" s="14"/>
    </row>
    <row r="542" spans="1:5">
      <c r="C542" s="14"/>
      <c r="D542" s="14"/>
      <c r="E542" s="14"/>
    </row>
    <row r="543" spans="1:5">
      <c r="C543" s="14"/>
      <c r="D543" s="14"/>
      <c r="E543" s="14"/>
    </row>
    <row r="544" spans="1:5">
      <c r="C544" s="14"/>
      <c r="D544" s="14"/>
      <c r="E544" s="14"/>
    </row>
    <row r="545" spans="1:5">
      <c r="C545" s="14"/>
      <c r="D545" s="14"/>
      <c r="E545" s="14"/>
    </row>
    <row r="546" spans="1:5">
      <c r="C546" s="14"/>
      <c r="D546" s="14"/>
      <c r="E546" s="14"/>
    </row>
    <row r="547" spans="1:5">
      <c r="C547" s="14"/>
      <c r="D547" s="14"/>
      <c r="E547" s="14"/>
    </row>
    <row r="548" spans="1:5">
      <c r="C548" s="14"/>
      <c r="D548" s="14"/>
      <c r="E548" s="14"/>
    </row>
    <row r="549" spans="1:5">
      <c r="C549" s="14"/>
      <c r="D549" s="14"/>
      <c r="E549" s="14"/>
    </row>
    <row r="550" spans="1:5">
      <c r="C550" s="14"/>
      <c r="D550" s="14"/>
      <c r="E550" s="14"/>
    </row>
    <row r="551" spans="1:5">
      <c r="C551" s="14"/>
      <c r="D551" s="14"/>
      <c r="E551" s="14"/>
    </row>
    <row r="552" spans="1:5">
      <c r="C552" s="14"/>
      <c r="D552" s="14"/>
      <c r="E552" s="14"/>
    </row>
    <row r="553" spans="1:5">
      <c r="C553" s="14"/>
      <c r="D553" s="14"/>
      <c r="E553" s="14"/>
    </row>
    <row r="554" spans="1:5">
      <c r="C554" s="14"/>
      <c r="D554" s="14"/>
      <c r="E554" s="14"/>
    </row>
    <row r="555" spans="1:5">
      <c r="C555" s="14"/>
      <c r="D555" s="14"/>
      <c r="E555" s="14"/>
    </row>
    <row r="556" spans="1:5">
      <c r="A556" s="5"/>
      <c r="B556" s="5"/>
      <c r="C556" s="14"/>
      <c r="D556" s="14"/>
      <c r="E556" s="14"/>
    </row>
    <row r="557" spans="1:5">
      <c r="A557" s="5"/>
      <c r="B557" s="5"/>
      <c r="C557" s="14"/>
      <c r="D557" s="14"/>
      <c r="E557" s="14"/>
    </row>
    <row r="558" spans="1:5">
      <c r="A558" s="5"/>
      <c r="B558" s="5"/>
      <c r="C558" s="14"/>
      <c r="D558" s="14"/>
      <c r="E558" s="14"/>
    </row>
    <row r="559" spans="1:5">
      <c r="A559" s="5"/>
      <c r="B559" s="5"/>
      <c r="C559" s="14"/>
      <c r="D559" s="14"/>
      <c r="E559" s="14"/>
    </row>
    <row r="560" spans="1:5">
      <c r="A560" s="5"/>
      <c r="B560" s="5"/>
      <c r="C560" s="14"/>
      <c r="D560" s="14"/>
      <c r="E560" s="14"/>
    </row>
    <row r="561" spans="1:5">
      <c r="A561" s="5"/>
      <c r="B561" s="5"/>
      <c r="C561" s="14"/>
      <c r="D561" s="14"/>
      <c r="E561" s="14"/>
    </row>
    <row r="562" spans="1:5">
      <c r="A562" s="5"/>
      <c r="B562" s="5"/>
      <c r="C562" s="14"/>
      <c r="D562" s="14"/>
      <c r="E562" s="14"/>
    </row>
    <row r="563" spans="1:5">
      <c r="A563" s="5"/>
      <c r="B563" s="5"/>
      <c r="C563" s="14"/>
      <c r="D563" s="14"/>
      <c r="E563" s="14"/>
    </row>
    <row r="564" spans="1:5">
      <c r="A564" s="5"/>
      <c r="B564" s="5"/>
      <c r="C564" s="14"/>
      <c r="D564" s="14"/>
      <c r="E564" s="14"/>
    </row>
    <row r="565" spans="1:5">
      <c r="A565" s="5"/>
      <c r="B565" s="5"/>
      <c r="C565" s="14"/>
      <c r="D565" s="14"/>
      <c r="E565" s="14"/>
    </row>
    <row r="566" spans="1:5">
      <c r="A566" s="5"/>
      <c r="B566" s="5"/>
      <c r="C566" s="14"/>
      <c r="D566" s="14"/>
      <c r="E566" s="14"/>
    </row>
    <row r="567" spans="1:5">
      <c r="A567" s="5"/>
      <c r="B567" s="5"/>
      <c r="C567" s="14"/>
      <c r="D567" s="14"/>
      <c r="E567" s="14"/>
    </row>
    <row r="568" spans="1:5">
      <c r="A568" s="5"/>
      <c r="B568" s="5"/>
      <c r="C568" s="14"/>
      <c r="D568" s="14"/>
      <c r="E568" s="14"/>
    </row>
    <row r="569" spans="1:5">
      <c r="A569" s="5"/>
      <c r="B569" s="5"/>
      <c r="C569" s="14"/>
      <c r="D569" s="14"/>
      <c r="E569" s="14"/>
    </row>
    <row r="570" spans="1:5">
      <c r="A570" s="5"/>
      <c r="B570" s="5"/>
      <c r="C570" s="14"/>
      <c r="D570" s="14"/>
      <c r="E570" s="14"/>
    </row>
    <row r="571" spans="1:5">
      <c r="A571" s="5"/>
      <c r="B571" s="5"/>
      <c r="C571" s="14"/>
      <c r="D571" s="14"/>
      <c r="E571" s="14"/>
    </row>
    <row r="572" spans="1:5">
      <c r="A572" s="5"/>
      <c r="B572" s="5"/>
      <c r="C572" s="14"/>
      <c r="D572" s="14"/>
      <c r="E572" s="14"/>
    </row>
    <row r="573" spans="1:5">
      <c r="A573" s="5"/>
      <c r="B573" s="5"/>
      <c r="C573" s="14"/>
      <c r="D573" s="14"/>
      <c r="E573" s="14"/>
    </row>
    <row r="574" spans="1:5">
      <c r="A574" s="5"/>
      <c r="B574" s="5"/>
      <c r="C574" s="14"/>
      <c r="D574" s="14"/>
      <c r="E574" s="14"/>
    </row>
    <row r="575" spans="1:5">
      <c r="A575" s="5"/>
      <c r="B575" s="5"/>
      <c r="C575" s="14"/>
      <c r="D575" s="14"/>
      <c r="E575" s="14"/>
    </row>
    <row r="576" spans="1:5">
      <c r="A576" s="5"/>
      <c r="B576" s="5"/>
      <c r="C576" s="14"/>
      <c r="D576" s="14"/>
      <c r="E576" s="14"/>
    </row>
    <row r="577" spans="1:5">
      <c r="A577" s="5"/>
      <c r="B577" s="5"/>
      <c r="C577" s="14"/>
      <c r="D577" s="14"/>
      <c r="E577" s="14"/>
    </row>
    <row r="578" spans="1:5">
      <c r="A578" s="5"/>
      <c r="B578" s="5"/>
      <c r="C578" s="14"/>
      <c r="D578" s="14"/>
      <c r="E578" s="14"/>
    </row>
    <row r="579" spans="1:5">
      <c r="A579" s="5"/>
      <c r="B579" s="5"/>
      <c r="C579" s="14"/>
      <c r="D579" s="14"/>
      <c r="E579" s="14"/>
    </row>
    <row r="580" spans="1:5">
      <c r="A580" s="5"/>
      <c r="B580" s="5"/>
      <c r="C580" s="14"/>
      <c r="D580" s="14"/>
      <c r="E580" s="14"/>
    </row>
    <row r="581" spans="1:5">
      <c r="A581" s="5"/>
      <c r="B581" s="5"/>
      <c r="C581" s="14"/>
      <c r="D581" s="14"/>
      <c r="E581" s="14"/>
    </row>
    <row r="582" spans="1:5">
      <c r="A582" s="5"/>
      <c r="B582" s="5"/>
      <c r="C582" s="14"/>
      <c r="D582" s="14"/>
      <c r="E582" s="14"/>
    </row>
    <row r="583" spans="1:5">
      <c r="A583" s="5"/>
      <c r="B583" s="5"/>
      <c r="C583" s="14"/>
      <c r="D583" s="14"/>
      <c r="E583" s="14"/>
    </row>
    <row r="584" spans="1:5">
      <c r="A584" s="5"/>
      <c r="B584" s="5"/>
      <c r="C584" s="14"/>
      <c r="D584" s="14"/>
      <c r="E584" s="14"/>
    </row>
    <row r="585" spans="1:5">
      <c r="A585" s="5"/>
      <c r="B585" s="5"/>
      <c r="C585" s="14"/>
      <c r="D585" s="14"/>
      <c r="E585" s="14"/>
    </row>
    <row r="586" spans="1:5">
      <c r="A586" s="7"/>
      <c r="B586" s="5"/>
      <c r="C586" s="14"/>
      <c r="D586" s="14"/>
      <c r="E586" s="14"/>
    </row>
    <row r="587" spans="1:5">
      <c r="A587" s="7"/>
      <c r="B587" s="5"/>
      <c r="C587" s="14"/>
      <c r="D587" s="14"/>
      <c r="E587" s="14"/>
    </row>
    <row r="588" spans="1:5">
      <c r="A588" s="7"/>
      <c r="B588" s="5"/>
      <c r="C588" s="14"/>
      <c r="D588" s="14"/>
      <c r="E588" s="14"/>
    </row>
    <row r="589" spans="1:5">
      <c r="A589" s="7"/>
      <c r="B589" s="5"/>
      <c r="C589" s="14"/>
      <c r="D589" s="14"/>
      <c r="E589" s="14"/>
    </row>
    <row r="590" spans="1:5">
      <c r="A590" s="7"/>
      <c r="B590" s="5"/>
      <c r="C590" s="14"/>
      <c r="D590" s="14"/>
      <c r="E590" s="14"/>
    </row>
    <row r="591" spans="1:5">
      <c r="A591" s="7"/>
      <c r="B591" s="5"/>
      <c r="C591" s="14"/>
      <c r="D591" s="14"/>
      <c r="E591" s="14"/>
    </row>
    <row r="592" spans="1:5">
      <c r="A592" s="7"/>
      <c r="B592" s="5"/>
      <c r="C592" s="14"/>
      <c r="D592" s="14"/>
      <c r="E592" s="14"/>
    </row>
    <row r="593" spans="1:5">
      <c r="A593" s="7"/>
      <c r="B593" s="5"/>
      <c r="C593" s="14"/>
      <c r="D593" s="14"/>
      <c r="E593" s="14"/>
    </row>
    <row r="594" spans="1:5">
      <c r="A594" s="7"/>
      <c r="B594" s="5"/>
      <c r="C594" s="14"/>
      <c r="D594" s="14"/>
      <c r="E594" s="14"/>
    </row>
    <row r="595" spans="1:5">
      <c r="A595" s="7"/>
      <c r="B595" s="5"/>
      <c r="C595" s="14"/>
      <c r="D595" s="14"/>
      <c r="E595" s="14"/>
    </row>
    <row r="596" spans="1:5">
      <c r="A596" s="7"/>
      <c r="B596" s="5"/>
      <c r="C596" s="14"/>
      <c r="D596" s="14"/>
      <c r="E596" s="14"/>
    </row>
    <row r="597" spans="1:5">
      <c r="A597" s="7"/>
      <c r="B597" s="5"/>
      <c r="C597" s="14"/>
      <c r="D597" s="14"/>
      <c r="E597" s="14"/>
    </row>
    <row r="598" spans="1:5">
      <c r="A598" s="7"/>
      <c r="B598" s="5"/>
      <c r="C598" s="14"/>
      <c r="D598" s="14"/>
      <c r="E598" s="14"/>
    </row>
    <row r="599" spans="1:5">
      <c r="A599" s="7"/>
      <c r="B599" s="5"/>
      <c r="C599" s="14"/>
      <c r="D599" s="14"/>
      <c r="E599" s="14"/>
    </row>
    <row r="600" spans="1:5">
      <c r="A600" s="7"/>
      <c r="B600" s="5"/>
      <c r="C600" s="14"/>
      <c r="D600" s="14"/>
      <c r="E600" s="14"/>
    </row>
    <row r="601" spans="1:5">
      <c r="A601" s="7"/>
      <c r="B601" s="5"/>
      <c r="C601" s="14"/>
      <c r="D601" s="14"/>
      <c r="E601" s="14"/>
    </row>
    <row r="602" spans="1:5">
      <c r="A602" s="7"/>
      <c r="B602" s="5"/>
      <c r="C602" s="14"/>
      <c r="D602" s="14"/>
      <c r="E602" s="14"/>
    </row>
    <row r="603" spans="1:5">
      <c r="A603" s="7"/>
      <c r="B603" s="5"/>
      <c r="C603" s="14"/>
      <c r="D603" s="14"/>
      <c r="E603" s="14"/>
    </row>
    <row r="604" spans="1:5">
      <c r="A604" s="7"/>
      <c r="B604" s="5"/>
      <c r="C604" s="14"/>
      <c r="D604" s="14"/>
      <c r="E604" s="14"/>
    </row>
    <row r="605" spans="1:5">
      <c r="A605" s="7"/>
      <c r="B605" s="5"/>
      <c r="C605" s="14"/>
      <c r="D605" s="14"/>
      <c r="E605" s="14"/>
    </row>
    <row r="606" spans="1:5">
      <c r="A606" s="7"/>
      <c r="B606" s="5"/>
      <c r="C606" s="14"/>
      <c r="D606" s="14"/>
      <c r="E606" s="14"/>
    </row>
    <row r="607" spans="1:5">
      <c r="A607" s="7"/>
      <c r="B607" s="5"/>
      <c r="C607" s="14"/>
      <c r="D607" s="14"/>
      <c r="E607" s="14"/>
    </row>
    <row r="608" spans="1:5">
      <c r="A608" s="7"/>
      <c r="B608" s="5"/>
      <c r="C608" s="14"/>
      <c r="D608" s="14"/>
      <c r="E608" s="14"/>
    </row>
    <row r="609" spans="1:5">
      <c r="A609" s="7"/>
      <c r="B609" s="5"/>
      <c r="C609" s="14"/>
      <c r="D609" s="14"/>
      <c r="E609" s="14"/>
    </row>
    <row r="610" spans="1:5">
      <c r="A610" s="7"/>
      <c r="B610" s="5"/>
      <c r="C610" s="14"/>
      <c r="D610" s="14"/>
      <c r="E610" s="14"/>
    </row>
    <row r="611" spans="1:5">
      <c r="A611" s="7"/>
      <c r="B611" s="5"/>
      <c r="C611" s="14"/>
      <c r="D611" s="14"/>
      <c r="E611" s="14"/>
    </row>
    <row r="612" spans="1:5">
      <c r="A612" s="7"/>
      <c r="B612" s="5"/>
      <c r="C612" s="14"/>
      <c r="D612" s="14"/>
      <c r="E612" s="14"/>
    </row>
    <row r="613" spans="1:5">
      <c r="A613" s="7"/>
      <c r="B613" s="5"/>
      <c r="C613" s="14"/>
      <c r="D613" s="14"/>
      <c r="E613" s="14"/>
    </row>
    <row r="614" spans="1:5">
      <c r="A614" s="7"/>
      <c r="B614" s="5"/>
      <c r="C614" s="14"/>
      <c r="D614" s="14"/>
      <c r="E614" s="14"/>
    </row>
    <row r="615" spans="1:5">
      <c r="A615" s="7"/>
      <c r="B615" s="5"/>
      <c r="C615" s="14"/>
      <c r="D615" s="14"/>
      <c r="E615" s="14"/>
    </row>
    <row r="616" spans="1:5">
      <c r="A616" s="7"/>
      <c r="B616" s="5"/>
      <c r="C616" s="14"/>
      <c r="D616" s="14"/>
      <c r="E616" s="14"/>
    </row>
    <row r="617" spans="1:5">
      <c r="A617" s="7"/>
      <c r="B617" s="5"/>
      <c r="C617" s="14"/>
      <c r="D617" s="14"/>
      <c r="E617" s="14"/>
    </row>
    <row r="618" spans="1:5">
      <c r="A618" s="7"/>
      <c r="B618" s="5"/>
      <c r="C618" s="14"/>
      <c r="D618" s="14"/>
      <c r="E618" s="14"/>
    </row>
    <row r="619" spans="1:5">
      <c r="A619" s="7"/>
      <c r="B619" s="5"/>
      <c r="C619" s="14"/>
      <c r="D619" s="14"/>
      <c r="E619" s="14"/>
    </row>
    <row r="620" spans="1:5">
      <c r="A620" s="7"/>
      <c r="B620" s="5"/>
      <c r="C620" s="14"/>
      <c r="D620" s="14"/>
      <c r="E620" s="14"/>
    </row>
    <row r="621" spans="1:5">
      <c r="A621" s="7"/>
      <c r="B621" s="5"/>
      <c r="C621" s="14"/>
      <c r="D621" s="14"/>
      <c r="E621" s="14"/>
    </row>
    <row r="622" spans="1:5">
      <c r="A622" s="7"/>
      <c r="B622" s="5"/>
      <c r="C622" s="14"/>
      <c r="D622" s="14"/>
      <c r="E622" s="14"/>
    </row>
    <row r="623" spans="1:5">
      <c r="A623" s="7"/>
      <c r="B623" s="5"/>
      <c r="C623" s="14"/>
      <c r="D623" s="14"/>
      <c r="E623" s="14"/>
    </row>
    <row r="624" spans="1:5">
      <c r="A624" s="7"/>
      <c r="B624" s="5"/>
      <c r="C624" s="14"/>
      <c r="D624" s="14"/>
      <c r="E624" s="14"/>
    </row>
    <row r="625" spans="1:5">
      <c r="A625" s="7"/>
      <c r="B625" s="5"/>
      <c r="C625" s="14"/>
      <c r="D625" s="14"/>
      <c r="E625" s="14"/>
    </row>
    <row r="626" spans="1:5">
      <c r="A626" s="7"/>
      <c r="B626" s="5"/>
      <c r="C626" s="14"/>
      <c r="D626" s="14"/>
      <c r="E626" s="14"/>
    </row>
    <row r="627" spans="1:5">
      <c r="A627" s="7"/>
      <c r="B627" s="5"/>
      <c r="C627" s="14"/>
      <c r="D627" s="14"/>
      <c r="E627" s="14"/>
    </row>
    <row r="628" spans="1:5">
      <c r="A628" s="7"/>
      <c r="B628" s="5"/>
      <c r="C628" s="14"/>
      <c r="D628" s="14"/>
      <c r="E628" s="14"/>
    </row>
    <row r="629" spans="1:5">
      <c r="A629" s="7"/>
      <c r="B629" s="5"/>
      <c r="C629" s="14"/>
      <c r="D629" s="14"/>
      <c r="E629" s="14"/>
    </row>
    <row r="630" spans="1:5">
      <c r="A630" s="7"/>
      <c r="B630" s="5"/>
      <c r="C630" s="14"/>
      <c r="D630" s="14"/>
      <c r="E630" s="14"/>
    </row>
    <row r="631" spans="1:5">
      <c r="A631" s="7"/>
      <c r="B631" s="5"/>
      <c r="C631" s="14"/>
      <c r="D631" s="14"/>
      <c r="E631" s="14"/>
    </row>
    <row r="632" spans="1:5">
      <c r="A632" s="7"/>
      <c r="B632" s="5"/>
      <c r="C632" s="14"/>
      <c r="D632" s="14"/>
      <c r="E632" s="14"/>
    </row>
    <row r="633" spans="1:5">
      <c r="A633" s="7"/>
      <c r="B633" s="5"/>
      <c r="C633" s="14"/>
      <c r="D633" s="14"/>
      <c r="E633" s="14"/>
    </row>
    <row r="634" spans="1:5">
      <c r="A634" s="7"/>
      <c r="B634" s="5"/>
      <c r="C634" s="14"/>
      <c r="D634" s="14"/>
      <c r="E634" s="14"/>
    </row>
    <row r="635" spans="1:5">
      <c r="A635" s="7"/>
      <c r="B635" s="5"/>
      <c r="C635" s="14"/>
      <c r="D635" s="14"/>
      <c r="E635" s="14"/>
    </row>
    <row r="636" spans="1:5">
      <c r="A636" s="7"/>
      <c r="B636" s="5"/>
      <c r="C636" s="14"/>
      <c r="D636" s="14"/>
      <c r="E636" s="14"/>
    </row>
    <row r="637" spans="1:5">
      <c r="A637" s="7"/>
      <c r="B637" s="5"/>
      <c r="C637" s="14"/>
      <c r="D637" s="14"/>
      <c r="E637" s="14"/>
    </row>
    <row r="638" spans="1:5">
      <c r="A638" s="7"/>
      <c r="B638" s="5"/>
      <c r="C638" s="14"/>
      <c r="D638" s="14"/>
      <c r="E638" s="14"/>
    </row>
    <row r="639" spans="1:5">
      <c r="A639" s="7"/>
      <c r="B639" s="5"/>
      <c r="C639" s="14"/>
      <c r="D639" s="14"/>
      <c r="E639" s="14"/>
    </row>
    <row r="640" spans="1:5">
      <c r="A640" s="7"/>
      <c r="B640" s="5"/>
      <c r="C640" s="14"/>
      <c r="D640" s="14"/>
      <c r="E640" s="14"/>
    </row>
    <row r="641" spans="1:5">
      <c r="A641" s="7"/>
      <c r="B641" s="5"/>
      <c r="C641" s="14"/>
      <c r="D641" s="14"/>
      <c r="E641" s="14"/>
    </row>
    <row r="642" spans="1:5">
      <c r="A642" s="7"/>
      <c r="B642" s="5"/>
      <c r="C642" s="14"/>
      <c r="D642" s="14"/>
      <c r="E642" s="14"/>
    </row>
    <row r="643" spans="1:5">
      <c r="A643" s="7"/>
      <c r="B643" s="5"/>
      <c r="C643" s="14"/>
      <c r="D643" s="14"/>
      <c r="E643" s="14"/>
    </row>
    <row r="644" spans="1:5">
      <c r="A644" s="7"/>
      <c r="B644" s="5"/>
      <c r="C644" s="14"/>
      <c r="D644" s="14"/>
      <c r="E644" s="14"/>
    </row>
    <row r="645" spans="1:5">
      <c r="A645" s="7"/>
      <c r="B645" s="5"/>
      <c r="C645" s="14"/>
      <c r="D645" s="14"/>
      <c r="E645" s="14"/>
    </row>
    <row r="646" spans="1:5">
      <c r="A646" s="7"/>
      <c r="B646" s="5"/>
      <c r="C646" s="14"/>
      <c r="D646" s="14"/>
      <c r="E646" s="14"/>
    </row>
    <row r="647" spans="1:5">
      <c r="A647" s="7"/>
      <c r="B647" s="5"/>
      <c r="C647" s="14"/>
      <c r="D647" s="14"/>
      <c r="E647" s="14"/>
    </row>
    <row r="648" spans="1:5">
      <c r="A648" s="7"/>
      <c r="B648" s="5"/>
      <c r="C648" s="14"/>
      <c r="D648" s="14"/>
      <c r="E648" s="14"/>
    </row>
    <row r="649" spans="1:5">
      <c r="A649" s="7"/>
      <c r="B649" s="5"/>
      <c r="C649" s="14"/>
      <c r="D649" s="14"/>
      <c r="E649" s="14"/>
    </row>
    <row r="650" spans="1:5">
      <c r="A650" s="7"/>
      <c r="B650" s="5"/>
      <c r="C650" s="14"/>
      <c r="D650" s="14"/>
      <c r="E650" s="14"/>
    </row>
    <row r="651" spans="1:5">
      <c r="A651" s="7"/>
      <c r="B651" s="5"/>
      <c r="C651" s="14"/>
      <c r="D651" s="14"/>
      <c r="E651" s="14"/>
    </row>
    <row r="652" spans="1:5">
      <c r="A652" s="7"/>
      <c r="B652" s="5"/>
      <c r="C652" s="14"/>
      <c r="D652" s="14"/>
      <c r="E652" s="14"/>
    </row>
    <row r="653" spans="1:5">
      <c r="A653" s="7"/>
      <c r="B653" s="5"/>
      <c r="C653" s="14"/>
      <c r="D653" s="14"/>
      <c r="E653" s="14"/>
    </row>
    <row r="654" spans="1:5">
      <c r="A654" s="7"/>
      <c r="B654" s="5"/>
      <c r="C654" s="14"/>
      <c r="D654" s="14"/>
      <c r="E654" s="14"/>
    </row>
    <row r="655" spans="1:5">
      <c r="A655" s="7"/>
      <c r="B655" s="5"/>
      <c r="C655" s="14"/>
      <c r="D655" s="14"/>
      <c r="E655" s="14"/>
    </row>
    <row r="656" spans="1:5">
      <c r="A656" s="7"/>
      <c r="B656" s="5"/>
      <c r="C656" s="14"/>
      <c r="D656" s="14"/>
      <c r="E656" s="14"/>
    </row>
    <row r="657" spans="1:5">
      <c r="A657" s="7"/>
      <c r="B657" s="5"/>
      <c r="C657" s="14"/>
      <c r="D657" s="14"/>
      <c r="E657" s="14"/>
    </row>
    <row r="658" spans="1:5">
      <c r="A658" s="7"/>
      <c r="B658" s="5"/>
      <c r="C658" s="14"/>
      <c r="D658" s="14"/>
      <c r="E658" s="14"/>
    </row>
    <row r="659" spans="1:5">
      <c r="A659" s="7"/>
      <c r="B659" s="5"/>
      <c r="C659" s="14"/>
      <c r="D659" s="14"/>
      <c r="E659" s="14"/>
    </row>
    <row r="660" spans="1:5">
      <c r="A660" s="7"/>
      <c r="B660" s="5"/>
      <c r="C660" s="14"/>
      <c r="D660" s="14"/>
      <c r="E660" s="14"/>
    </row>
    <row r="661" spans="1:5">
      <c r="A661" s="7"/>
      <c r="B661" s="5"/>
      <c r="C661" s="14"/>
      <c r="D661" s="14"/>
      <c r="E661" s="14"/>
    </row>
    <row r="662" spans="1:5">
      <c r="A662" s="7"/>
      <c r="B662" s="5"/>
      <c r="C662" s="14"/>
      <c r="D662" s="14"/>
      <c r="E662" s="14"/>
    </row>
    <row r="663" spans="1:5">
      <c r="A663" s="7"/>
      <c r="B663" s="5"/>
      <c r="C663" s="14"/>
      <c r="D663" s="14"/>
      <c r="E663" s="14"/>
    </row>
    <row r="664" spans="1:5">
      <c r="A664" s="7"/>
      <c r="B664" s="5"/>
      <c r="C664" s="14"/>
      <c r="D664" s="14"/>
      <c r="E664" s="14"/>
    </row>
    <row r="665" spans="1:5">
      <c r="A665" s="7"/>
      <c r="B665" s="5"/>
      <c r="C665" s="14"/>
      <c r="D665" s="14"/>
      <c r="E665" s="14"/>
    </row>
    <row r="666" spans="1:5">
      <c r="A666" s="7"/>
      <c r="B666" s="5"/>
      <c r="C666" s="14"/>
      <c r="D666" s="14"/>
      <c r="E666" s="14"/>
    </row>
    <row r="667" spans="1:5">
      <c r="A667" s="7"/>
      <c r="B667" s="5"/>
      <c r="C667" s="14"/>
      <c r="D667" s="14"/>
      <c r="E667" s="14"/>
    </row>
    <row r="668" spans="1:5">
      <c r="A668" s="7"/>
      <c r="B668" s="5"/>
      <c r="C668" s="14"/>
      <c r="D668" s="14"/>
      <c r="E668" s="14"/>
    </row>
    <row r="669" spans="1:5">
      <c r="A669" s="7"/>
      <c r="B669" s="5"/>
      <c r="C669" s="14"/>
      <c r="D669" s="14"/>
      <c r="E669" s="14"/>
    </row>
    <row r="670" spans="1:5">
      <c r="A670" s="7"/>
      <c r="B670" s="5"/>
      <c r="C670" s="14"/>
      <c r="D670" s="14"/>
      <c r="E670" s="14"/>
    </row>
    <row r="671" spans="1:5">
      <c r="A671" s="7"/>
      <c r="B671" s="5"/>
      <c r="C671" s="14"/>
      <c r="D671" s="14"/>
      <c r="E671" s="14"/>
    </row>
    <row r="672" spans="1:5">
      <c r="A672" s="7"/>
      <c r="B672" s="5"/>
      <c r="C672" s="14"/>
      <c r="D672" s="14"/>
      <c r="E672" s="14"/>
    </row>
    <row r="673" spans="1:5">
      <c r="A673" s="7"/>
      <c r="B673" s="5"/>
      <c r="C673" s="14"/>
      <c r="D673" s="14"/>
      <c r="E673" s="14"/>
    </row>
    <row r="674" spans="1:5">
      <c r="A674" s="7"/>
      <c r="B674" s="5"/>
      <c r="C674" s="14"/>
      <c r="D674" s="14"/>
      <c r="E674" s="14"/>
    </row>
    <row r="675" spans="1:5">
      <c r="A675" s="7"/>
      <c r="B675" s="5"/>
      <c r="C675" s="14"/>
      <c r="D675" s="14"/>
      <c r="E675" s="14"/>
    </row>
    <row r="676" spans="1:5">
      <c r="A676" s="7"/>
      <c r="B676" s="5"/>
      <c r="C676" s="14"/>
      <c r="D676" s="14"/>
      <c r="E676" s="14"/>
    </row>
    <row r="677" spans="1:5">
      <c r="A677" s="7"/>
      <c r="B677" s="5"/>
      <c r="C677" s="14"/>
      <c r="D677" s="14"/>
      <c r="E677" s="14"/>
    </row>
    <row r="678" spans="1:5">
      <c r="A678" s="7"/>
      <c r="B678" s="5"/>
      <c r="C678" s="14"/>
      <c r="D678" s="14"/>
      <c r="E678" s="14"/>
    </row>
    <row r="679" spans="1:5">
      <c r="A679" s="7"/>
      <c r="B679" s="5"/>
      <c r="C679" s="14"/>
      <c r="D679" s="14"/>
      <c r="E679" s="14"/>
    </row>
    <row r="680" spans="1:5">
      <c r="A680" s="7"/>
      <c r="B680" s="5"/>
      <c r="C680" s="14"/>
      <c r="D680" s="14"/>
      <c r="E680" s="14"/>
    </row>
    <row r="681" spans="1:5">
      <c r="A681" s="7"/>
      <c r="B681" s="5"/>
      <c r="C681" s="14"/>
      <c r="D681" s="14"/>
      <c r="E681" s="14"/>
    </row>
    <row r="682" spans="1:5">
      <c r="A682" s="7"/>
      <c r="B682" s="5"/>
      <c r="C682" s="14"/>
      <c r="D682" s="14"/>
      <c r="E682" s="14"/>
    </row>
    <row r="683" spans="1:5">
      <c r="A683" s="7"/>
      <c r="B683" s="5"/>
      <c r="C683" s="14"/>
      <c r="D683" s="14"/>
      <c r="E683" s="14"/>
    </row>
    <row r="684" spans="1:5">
      <c r="A684" s="7"/>
      <c r="B684" s="5"/>
      <c r="C684" s="14"/>
      <c r="D684" s="14"/>
      <c r="E684" s="14"/>
    </row>
    <row r="685" spans="1:5">
      <c r="A685" s="7"/>
      <c r="B685" s="5"/>
      <c r="C685" s="14"/>
      <c r="D685" s="14"/>
      <c r="E685" s="14"/>
    </row>
    <row r="686" spans="1:5">
      <c r="A686" s="7"/>
      <c r="B686" s="5"/>
      <c r="C686" s="14"/>
      <c r="D686" s="14"/>
      <c r="E686" s="14"/>
    </row>
    <row r="687" spans="1:5">
      <c r="A687" s="7"/>
      <c r="B687" s="5"/>
      <c r="C687" s="14"/>
      <c r="D687" s="14"/>
      <c r="E687" s="14"/>
    </row>
    <row r="688" spans="1:5">
      <c r="A688" s="7"/>
      <c r="B688" s="5"/>
      <c r="C688" s="14"/>
      <c r="D688" s="14"/>
      <c r="E688" s="14"/>
    </row>
    <row r="689" spans="1:5">
      <c r="A689" s="7"/>
      <c r="B689" s="5"/>
      <c r="C689" s="14"/>
      <c r="D689" s="14"/>
      <c r="E689" s="14"/>
    </row>
    <row r="690" spans="1:5">
      <c r="A690" s="7"/>
      <c r="B690" s="5"/>
      <c r="C690" s="14"/>
      <c r="D690" s="14"/>
      <c r="E690" s="14"/>
    </row>
    <row r="691" spans="1:5">
      <c r="A691" s="7"/>
      <c r="B691" s="5"/>
      <c r="C691" s="14"/>
      <c r="D691" s="14"/>
      <c r="E691" s="14"/>
    </row>
    <row r="692" spans="1:5">
      <c r="A692" s="7"/>
      <c r="B692" s="5"/>
      <c r="C692" s="14"/>
      <c r="D692" s="14"/>
      <c r="E692" s="14"/>
    </row>
    <row r="693" spans="1:5">
      <c r="A693" s="7"/>
      <c r="B693" s="5"/>
      <c r="C693" s="14"/>
      <c r="D693" s="14"/>
      <c r="E693" s="14"/>
    </row>
    <row r="694" spans="1:5">
      <c r="A694" s="7"/>
      <c r="B694" s="5"/>
      <c r="C694" s="14"/>
      <c r="D694" s="14"/>
      <c r="E694" s="14"/>
    </row>
    <row r="695" spans="1:5">
      <c r="A695" s="7"/>
      <c r="B695" s="5"/>
      <c r="C695" s="14"/>
      <c r="D695" s="14"/>
      <c r="E695" s="14"/>
    </row>
    <row r="696" spans="1:5">
      <c r="A696" s="7"/>
      <c r="B696" s="5"/>
      <c r="C696" s="14"/>
      <c r="D696" s="14"/>
      <c r="E696" s="14"/>
    </row>
    <row r="697" spans="1:5">
      <c r="A697" s="7"/>
      <c r="B697" s="5"/>
      <c r="C697" s="14"/>
      <c r="D697" s="14"/>
      <c r="E697" s="14"/>
    </row>
    <row r="698" spans="1:5">
      <c r="A698" s="7"/>
      <c r="B698" s="5"/>
      <c r="C698" s="14"/>
      <c r="D698" s="14"/>
      <c r="E698" s="14"/>
    </row>
    <row r="699" spans="1:5">
      <c r="A699" s="7"/>
      <c r="B699" s="5"/>
      <c r="C699" s="14"/>
      <c r="D699" s="14"/>
      <c r="E699" s="14"/>
    </row>
    <row r="700" spans="1:5">
      <c r="A700" s="7"/>
      <c r="B700" s="5"/>
      <c r="C700" s="14"/>
      <c r="D700" s="14"/>
      <c r="E700" s="14"/>
    </row>
    <row r="701" spans="1:5">
      <c r="A701" s="7"/>
      <c r="B701" s="5"/>
      <c r="C701" s="14"/>
      <c r="D701" s="14"/>
      <c r="E701" s="14"/>
    </row>
    <row r="702" spans="1:5">
      <c r="A702" s="7"/>
      <c r="B702" s="5"/>
      <c r="C702" s="14"/>
      <c r="D702" s="14"/>
      <c r="E702" s="14"/>
    </row>
    <row r="703" spans="1:5">
      <c r="A703" s="7"/>
      <c r="B703" s="5"/>
      <c r="C703" s="14"/>
      <c r="D703" s="14"/>
      <c r="E703" s="14"/>
    </row>
    <row r="704" spans="1:5">
      <c r="A704" s="7"/>
      <c r="B704" s="5"/>
      <c r="C704" s="14"/>
      <c r="D704" s="14"/>
      <c r="E704" s="14"/>
    </row>
    <row r="705" spans="1:5">
      <c r="A705" s="7"/>
      <c r="B705" s="5"/>
      <c r="C705" s="14"/>
      <c r="D705" s="14"/>
      <c r="E705" s="14"/>
    </row>
    <row r="706" spans="1:5">
      <c r="A706" s="7"/>
      <c r="B706" s="5"/>
      <c r="C706" s="14"/>
      <c r="D706" s="14"/>
      <c r="E706" s="14"/>
    </row>
    <row r="707" spans="1:5">
      <c r="A707" s="7"/>
      <c r="B707" s="5"/>
      <c r="C707" s="14"/>
      <c r="D707" s="14"/>
      <c r="E707" s="14"/>
    </row>
    <row r="708" spans="1:5">
      <c r="A708" s="7"/>
      <c r="B708" s="5"/>
      <c r="C708" s="14"/>
      <c r="D708" s="14"/>
      <c r="E708" s="14"/>
    </row>
    <row r="709" spans="1:5">
      <c r="A709" s="7"/>
      <c r="B709" s="5"/>
      <c r="C709" s="14"/>
      <c r="D709" s="14"/>
      <c r="E709" s="14"/>
    </row>
    <row r="710" spans="1:5">
      <c r="A710" s="7"/>
      <c r="B710" s="5"/>
      <c r="C710" s="14"/>
      <c r="D710" s="14"/>
      <c r="E710" s="14"/>
    </row>
    <row r="711" spans="1:5">
      <c r="A711" s="7"/>
      <c r="B711" s="5"/>
      <c r="C711" s="14"/>
      <c r="D711" s="14"/>
      <c r="E711" s="14"/>
    </row>
    <row r="712" spans="1:5">
      <c r="A712" s="7"/>
      <c r="B712" s="5"/>
      <c r="C712" s="14"/>
      <c r="D712" s="14"/>
      <c r="E712" s="14"/>
    </row>
    <row r="713" spans="1:5">
      <c r="A713" s="7"/>
      <c r="B713" s="5"/>
      <c r="C713" s="14"/>
      <c r="D713" s="14"/>
      <c r="E713" s="14"/>
    </row>
    <row r="714" spans="1:5">
      <c r="A714" s="7"/>
      <c r="B714" s="5"/>
      <c r="C714" s="14"/>
      <c r="D714" s="14"/>
      <c r="E714" s="14"/>
    </row>
    <row r="715" spans="1:5">
      <c r="A715" s="7"/>
      <c r="B715" s="5"/>
      <c r="C715" s="14"/>
      <c r="D715" s="14"/>
      <c r="E715" s="14"/>
    </row>
    <row r="716" spans="1:5">
      <c r="A716" s="7"/>
      <c r="B716" s="5"/>
      <c r="C716" s="14"/>
      <c r="D716" s="14"/>
      <c r="E716" s="14"/>
    </row>
    <row r="717" spans="1:5">
      <c r="A717" s="7"/>
      <c r="B717" s="5"/>
      <c r="C717" s="14"/>
      <c r="D717" s="14"/>
      <c r="E717" s="14"/>
    </row>
    <row r="718" spans="1:5">
      <c r="A718" s="7"/>
      <c r="B718" s="5"/>
      <c r="C718" s="14"/>
      <c r="D718" s="14"/>
      <c r="E718" s="14"/>
    </row>
    <row r="719" spans="1:5">
      <c r="A719" s="7"/>
      <c r="B719" s="5"/>
      <c r="C719" s="14"/>
      <c r="D719" s="14"/>
      <c r="E719" s="14"/>
    </row>
    <row r="720" spans="1:5">
      <c r="A720" s="7"/>
      <c r="B720" s="5"/>
      <c r="C720" s="14"/>
      <c r="D720" s="14"/>
      <c r="E720" s="14"/>
    </row>
    <row r="721" spans="1:5">
      <c r="A721" s="7"/>
      <c r="B721" s="5"/>
      <c r="C721" s="14"/>
      <c r="D721" s="14"/>
      <c r="E721" s="14"/>
    </row>
    <row r="722" spans="1:5">
      <c r="A722" s="7"/>
      <c r="B722" s="5"/>
      <c r="C722" s="14"/>
      <c r="D722" s="14"/>
      <c r="E722" s="14"/>
    </row>
    <row r="723" spans="1:5">
      <c r="A723" s="7"/>
      <c r="B723" s="5"/>
      <c r="C723" s="14"/>
      <c r="D723" s="14"/>
      <c r="E723" s="14"/>
    </row>
    <row r="724" spans="1:5">
      <c r="A724" s="7"/>
      <c r="B724" s="5"/>
      <c r="C724" s="14"/>
      <c r="D724" s="14"/>
      <c r="E724" s="14"/>
    </row>
    <row r="725" spans="1:5">
      <c r="A725" s="7"/>
      <c r="B725" s="5"/>
      <c r="C725" s="14"/>
      <c r="D725" s="14"/>
      <c r="E725" s="14"/>
    </row>
    <row r="726" spans="1:5">
      <c r="A726" s="7"/>
      <c r="B726" s="5"/>
      <c r="C726" s="14"/>
      <c r="D726" s="14"/>
      <c r="E726" s="14"/>
    </row>
    <row r="727" spans="1:5">
      <c r="A727" s="7"/>
      <c r="B727" s="5"/>
      <c r="C727" s="14"/>
      <c r="D727" s="14"/>
      <c r="E727" s="14"/>
    </row>
    <row r="728" spans="1:5">
      <c r="A728" s="7"/>
      <c r="B728" s="5"/>
      <c r="C728" s="14"/>
      <c r="D728" s="14"/>
      <c r="E728" s="14"/>
    </row>
    <row r="729" spans="1:5">
      <c r="A729" s="7"/>
      <c r="B729" s="5"/>
      <c r="C729" s="14"/>
      <c r="D729" s="14"/>
      <c r="E729" s="14"/>
    </row>
    <row r="730" spans="1:5">
      <c r="A730" s="7"/>
      <c r="B730" s="5"/>
      <c r="C730" s="14"/>
      <c r="D730" s="14"/>
      <c r="E730" s="14"/>
    </row>
    <row r="731" spans="1:5">
      <c r="A731" s="7"/>
      <c r="B731" s="5"/>
      <c r="C731" s="14"/>
      <c r="D731" s="14"/>
      <c r="E731" s="14"/>
    </row>
    <row r="732" spans="1:5">
      <c r="A732" s="7"/>
      <c r="B732" s="5"/>
      <c r="C732" s="14"/>
      <c r="D732" s="14"/>
      <c r="E732" s="14"/>
    </row>
    <row r="733" spans="1:5">
      <c r="A733" s="7"/>
      <c r="B733" s="5"/>
      <c r="C733" s="14"/>
      <c r="D733" s="14"/>
      <c r="E733" s="14"/>
    </row>
    <row r="734" spans="1:5">
      <c r="A734" s="7"/>
      <c r="B734" s="5"/>
      <c r="C734" s="14"/>
      <c r="D734" s="14"/>
      <c r="E734" s="14"/>
    </row>
    <row r="735" spans="1:5">
      <c r="A735" s="7"/>
      <c r="B735" s="5"/>
      <c r="C735" s="14"/>
      <c r="D735" s="14"/>
      <c r="E735" s="14"/>
    </row>
    <row r="736" spans="1:5">
      <c r="A736" s="7"/>
      <c r="B736" s="5"/>
      <c r="C736" s="14"/>
      <c r="D736" s="14"/>
      <c r="E736" s="14"/>
    </row>
    <row r="737" spans="1:5">
      <c r="A737" s="7"/>
      <c r="B737" s="5"/>
      <c r="C737" s="14"/>
      <c r="D737" s="14"/>
      <c r="E737" s="14"/>
    </row>
    <row r="738" spans="1:5">
      <c r="A738" s="7"/>
      <c r="B738" s="5"/>
      <c r="C738" s="14"/>
      <c r="D738" s="14"/>
      <c r="E738" s="14"/>
    </row>
    <row r="739" spans="1:5">
      <c r="A739" s="7"/>
      <c r="B739" s="5"/>
      <c r="C739" s="14"/>
      <c r="D739" s="14"/>
      <c r="E739" s="14"/>
    </row>
    <row r="740" spans="1:5">
      <c r="A740" s="7"/>
      <c r="B740" s="5"/>
      <c r="C740" s="14"/>
      <c r="D740" s="14"/>
      <c r="E740" s="14"/>
    </row>
    <row r="741" spans="1:5">
      <c r="A741" s="7"/>
      <c r="B741" s="5"/>
      <c r="C741" s="14"/>
      <c r="D741" s="14"/>
      <c r="E741" s="14"/>
    </row>
    <row r="742" spans="1:5">
      <c r="A742" s="7"/>
      <c r="B742" s="5"/>
      <c r="C742" s="14"/>
      <c r="D742" s="14"/>
      <c r="E742" s="14"/>
    </row>
    <row r="743" spans="1:5">
      <c r="A743" s="7"/>
      <c r="B743" s="5"/>
      <c r="C743" s="14"/>
      <c r="D743" s="14"/>
      <c r="E743" s="14"/>
    </row>
    <row r="744" spans="1:5">
      <c r="A744" s="7"/>
      <c r="B744" s="5"/>
      <c r="C744" s="14"/>
      <c r="D744" s="14"/>
      <c r="E744" s="14"/>
    </row>
    <row r="745" spans="1:5">
      <c r="A745" s="7"/>
      <c r="B745" s="5"/>
      <c r="C745" s="14"/>
      <c r="D745" s="14"/>
      <c r="E745" s="14"/>
    </row>
    <row r="746" spans="1:5">
      <c r="A746" s="7"/>
      <c r="B746" s="5"/>
      <c r="C746" s="14"/>
      <c r="D746" s="14"/>
      <c r="E746" s="14"/>
    </row>
    <row r="747" spans="1:5">
      <c r="A747" s="7"/>
      <c r="B747" s="5"/>
      <c r="C747" s="14"/>
      <c r="D747" s="14"/>
      <c r="E747" s="14"/>
    </row>
    <row r="748" spans="1:5">
      <c r="A748" s="7"/>
      <c r="B748" s="5"/>
      <c r="C748" s="14"/>
      <c r="D748" s="14"/>
      <c r="E748" s="14"/>
    </row>
    <row r="749" spans="1:5">
      <c r="A749" s="7"/>
      <c r="B749" s="5"/>
      <c r="C749" s="14"/>
      <c r="D749" s="14"/>
      <c r="E749" s="14"/>
    </row>
    <row r="750" spans="1:5">
      <c r="A750" s="7"/>
      <c r="B750" s="5"/>
      <c r="C750" s="14"/>
      <c r="D750" s="14"/>
      <c r="E750" s="14"/>
    </row>
    <row r="751" spans="1:5">
      <c r="A751" s="7"/>
      <c r="B751" s="5"/>
      <c r="C751" s="14"/>
      <c r="D751" s="14"/>
      <c r="E751" s="14"/>
    </row>
    <row r="752" spans="1:5">
      <c r="A752" s="7"/>
      <c r="B752" s="5"/>
      <c r="C752" s="14"/>
      <c r="D752" s="14"/>
      <c r="E752" s="14"/>
    </row>
    <row r="753" spans="1:5">
      <c r="A753" s="7"/>
      <c r="B753" s="5"/>
      <c r="C753" s="14"/>
      <c r="D753" s="14"/>
      <c r="E753" s="14"/>
    </row>
    <row r="754" spans="1:5">
      <c r="A754" s="7"/>
      <c r="B754" s="5"/>
      <c r="C754" s="14"/>
      <c r="D754" s="14"/>
      <c r="E754" s="14"/>
    </row>
    <row r="755" spans="1:5">
      <c r="A755" s="7"/>
      <c r="B755" s="5"/>
      <c r="C755" s="14"/>
      <c r="D755" s="14"/>
      <c r="E755" s="14"/>
    </row>
    <row r="756" spans="1:5">
      <c r="A756" s="7"/>
      <c r="B756" s="5"/>
      <c r="C756" s="14"/>
      <c r="D756" s="14"/>
      <c r="E756" s="14"/>
    </row>
    <row r="757" spans="1:5">
      <c r="A757" s="7"/>
      <c r="B757" s="5"/>
      <c r="C757" s="14"/>
      <c r="D757" s="14"/>
      <c r="E757" s="14"/>
    </row>
    <row r="758" spans="1:5">
      <c r="A758" s="7"/>
      <c r="B758" s="5"/>
      <c r="C758" s="14"/>
      <c r="D758" s="14"/>
      <c r="E758" s="14"/>
    </row>
    <row r="759" spans="1:5">
      <c r="A759" s="7"/>
      <c r="B759" s="5"/>
      <c r="C759" s="14"/>
      <c r="D759" s="14"/>
      <c r="E759" s="14"/>
    </row>
    <row r="760" spans="1:5">
      <c r="A760" s="7"/>
      <c r="B760" s="5"/>
      <c r="C760" s="14"/>
      <c r="D760" s="14"/>
      <c r="E760" s="14"/>
    </row>
    <row r="761" spans="1:5">
      <c r="A761" s="7"/>
      <c r="B761" s="5"/>
      <c r="C761" s="14"/>
      <c r="D761" s="14"/>
      <c r="E761" s="14"/>
    </row>
    <row r="762" spans="1:5">
      <c r="A762" s="7"/>
      <c r="B762" s="5"/>
      <c r="C762" s="14"/>
      <c r="D762" s="14"/>
      <c r="E762" s="14"/>
    </row>
    <row r="763" spans="1:5">
      <c r="A763" s="7"/>
      <c r="B763" s="5"/>
      <c r="C763" s="14"/>
      <c r="D763" s="14"/>
      <c r="E763" s="14"/>
    </row>
    <row r="764" spans="1:5">
      <c r="A764" s="7"/>
      <c r="B764" s="5"/>
      <c r="C764" s="14"/>
      <c r="D764" s="14"/>
      <c r="E764" s="14"/>
    </row>
    <row r="765" spans="1:5">
      <c r="A765" s="7"/>
      <c r="B765" s="5"/>
      <c r="C765" s="14"/>
      <c r="D765" s="14"/>
      <c r="E765" s="14"/>
    </row>
    <row r="766" spans="1:5">
      <c r="A766" s="7"/>
      <c r="B766" s="5"/>
      <c r="C766" s="14"/>
      <c r="D766" s="14"/>
      <c r="E766" s="14"/>
    </row>
    <row r="767" spans="1:5">
      <c r="A767" s="7"/>
      <c r="B767" s="5"/>
      <c r="C767" s="14"/>
      <c r="D767" s="14"/>
      <c r="E767" s="14"/>
    </row>
    <row r="768" spans="1:5">
      <c r="A768" s="7"/>
      <c r="B768" s="5"/>
      <c r="C768" s="14"/>
      <c r="D768" s="14"/>
      <c r="E768" s="14"/>
    </row>
    <row r="769" spans="1:5">
      <c r="A769" s="7"/>
      <c r="B769" s="5"/>
      <c r="C769" s="14"/>
      <c r="D769" s="14"/>
      <c r="E769" s="14"/>
    </row>
    <row r="770" spans="1:5">
      <c r="A770" s="7"/>
      <c r="B770" s="5"/>
      <c r="C770" s="14"/>
      <c r="D770" s="14"/>
      <c r="E770" s="14"/>
    </row>
    <row r="771" spans="1:5">
      <c r="A771" s="7"/>
      <c r="B771" s="5"/>
      <c r="C771" s="14"/>
      <c r="D771" s="14"/>
      <c r="E771" s="14"/>
    </row>
    <row r="772" spans="1:5">
      <c r="A772" s="7"/>
      <c r="B772" s="5"/>
      <c r="C772" s="14"/>
      <c r="D772" s="14"/>
      <c r="E772" s="14"/>
    </row>
    <row r="773" spans="1:5">
      <c r="A773" s="7"/>
      <c r="B773" s="5"/>
      <c r="C773" s="14"/>
      <c r="D773" s="14"/>
      <c r="E773" s="14"/>
    </row>
    <row r="774" spans="1:5">
      <c r="A774" s="7"/>
      <c r="B774" s="5"/>
      <c r="C774" s="14"/>
      <c r="D774" s="14"/>
      <c r="E774" s="14"/>
    </row>
    <row r="775" spans="1:5">
      <c r="A775" s="7"/>
      <c r="B775" s="5"/>
      <c r="C775" s="14"/>
      <c r="D775" s="14"/>
      <c r="E775" s="14"/>
    </row>
    <row r="776" spans="1:5">
      <c r="A776" s="7"/>
      <c r="B776" s="5"/>
      <c r="C776" s="14"/>
      <c r="D776" s="14"/>
      <c r="E776" s="14"/>
    </row>
    <row r="777" spans="1:5">
      <c r="A777" s="7"/>
      <c r="B777" s="5"/>
      <c r="C777" s="14"/>
      <c r="D777" s="14"/>
      <c r="E777" s="14"/>
    </row>
    <row r="778" spans="1:5">
      <c r="A778" s="7"/>
      <c r="B778" s="5"/>
      <c r="C778" s="14"/>
      <c r="D778" s="14"/>
      <c r="E778" s="14"/>
    </row>
    <row r="779" spans="1:5">
      <c r="A779" s="7"/>
      <c r="B779" s="5"/>
      <c r="C779" s="14"/>
      <c r="D779" s="14"/>
      <c r="E779" s="14"/>
    </row>
    <row r="780" spans="1:5">
      <c r="A780" s="7"/>
      <c r="B780" s="5"/>
      <c r="C780" s="14"/>
      <c r="D780" s="14"/>
      <c r="E780" s="14"/>
    </row>
    <row r="781" spans="1:5">
      <c r="A781" s="7"/>
      <c r="B781" s="5"/>
      <c r="C781" s="14"/>
      <c r="D781" s="14"/>
      <c r="E781" s="14"/>
    </row>
    <row r="782" spans="1:5">
      <c r="A782" s="7"/>
      <c r="B782" s="5"/>
      <c r="C782" s="14"/>
      <c r="D782" s="14"/>
      <c r="E782" s="14"/>
    </row>
    <row r="783" spans="1:5">
      <c r="A783" s="7"/>
      <c r="B783" s="5"/>
      <c r="C783" s="14"/>
      <c r="D783" s="14"/>
      <c r="E783" s="14"/>
    </row>
    <row r="784" spans="1:5">
      <c r="A784" s="7"/>
      <c r="B784" s="5"/>
      <c r="C784" s="14"/>
      <c r="D784" s="14"/>
      <c r="E784" s="14"/>
    </row>
    <row r="785" spans="1:5">
      <c r="A785" s="7"/>
      <c r="B785" s="5"/>
      <c r="C785" s="14"/>
      <c r="D785" s="14"/>
      <c r="E785" s="14"/>
    </row>
    <row r="786" spans="1:5">
      <c r="A786" s="7"/>
      <c r="B786" s="5"/>
      <c r="C786" s="14"/>
      <c r="D786" s="14"/>
      <c r="E786" s="14"/>
    </row>
    <row r="787" spans="1:5">
      <c r="A787" s="7"/>
      <c r="B787" s="5"/>
      <c r="C787" s="14"/>
      <c r="D787" s="14"/>
      <c r="E787" s="14"/>
    </row>
    <row r="788" spans="1:5">
      <c r="A788" s="7"/>
      <c r="B788" s="5"/>
      <c r="C788" s="14"/>
      <c r="D788" s="14"/>
      <c r="E788" s="14"/>
    </row>
    <row r="789" spans="1:5">
      <c r="A789" s="7"/>
      <c r="B789" s="5"/>
      <c r="C789" s="14"/>
      <c r="D789" s="14"/>
      <c r="E789" s="14"/>
    </row>
    <row r="790" spans="1:5">
      <c r="A790" s="7"/>
      <c r="B790" s="5"/>
      <c r="C790" s="14"/>
      <c r="D790" s="14"/>
      <c r="E790" s="14"/>
    </row>
    <row r="791" spans="1:5">
      <c r="A791" s="7"/>
      <c r="B791" s="5"/>
      <c r="C791" s="14"/>
      <c r="D791" s="14"/>
      <c r="E791" s="14"/>
    </row>
    <row r="792" spans="1:5">
      <c r="A792" s="7"/>
      <c r="B792" s="5"/>
      <c r="C792" s="14"/>
      <c r="D792" s="14"/>
      <c r="E792" s="14"/>
    </row>
    <row r="793" spans="1:5">
      <c r="A793" s="7"/>
      <c r="B793" s="5"/>
      <c r="C793" s="14"/>
      <c r="D793" s="14"/>
      <c r="E793" s="14"/>
    </row>
    <row r="794" spans="1:5">
      <c r="A794" s="7"/>
      <c r="B794" s="5"/>
      <c r="C794" s="14"/>
      <c r="D794" s="14"/>
      <c r="E794" s="14"/>
    </row>
    <row r="795" spans="1:5">
      <c r="A795" s="7"/>
      <c r="B795" s="5"/>
      <c r="C795" s="14"/>
      <c r="D795" s="14"/>
      <c r="E795" s="14"/>
    </row>
    <row r="796" spans="1:5">
      <c r="A796" s="7"/>
      <c r="B796" s="5"/>
      <c r="C796" s="14"/>
      <c r="D796" s="14"/>
      <c r="E796" s="14"/>
    </row>
    <row r="797" spans="1:5">
      <c r="A797" s="7"/>
      <c r="B797" s="5"/>
      <c r="C797" s="14"/>
      <c r="D797" s="14"/>
      <c r="E797" s="14"/>
    </row>
    <row r="798" spans="1:5">
      <c r="A798" s="7"/>
      <c r="B798" s="5"/>
      <c r="C798" s="14"/>
      <c r="D798" s="14"/>
      <c r="E798" s="14"/>
    </row>
    <row r="799" spans="1:5">
      <c r="A799" s="7"/>
      <c r="B799" s="5"/>
      <c r="C799" s="14"/>
      <c r="D799" s="14"/>
      <c r="E799" s="14"/>
    </row>
    <row r="800" spans="1:5">
      <c r="A800" s="7"/>
      <c r="B800" s="5"/>
      <c r="C800" s="14"/>
      <c r="D800" s="14"/>
      <c r="E800" s="14"/>
    </row>
    <row r="801" spans="1:5">
      <c r="A801" s="7"/>
      <c r="B801" s="5"/>
      <c r="C801" s="14"/>
      <c r="D801" s="14"/>
      <c r="E801" s="14"/>
    </row>
    <row r="802" spans="1:5">
      <c r="A802" s="7"/>
      <c r="B802" s="5"/>
      <c r="C802" s="14"/>
      <c r="D802" s="14"/>
      <c r="E802" s="14"/>
    </row>
    <row r="803" spans="1:5">
      <c r="A803" s="7"/>
      <c r="B803" s="5"/>
      <c r="C803" s="14"/>
      <c r="D803" s="14"/>
      <c r="E803" s="14"/>
    </row>
    <row r="804" spans="1:5">
      <c r="A804" s="7"/>
      <c r="B804" s="5"/>
      <c r="C804" s="14"/>
      <c r="D804" s="14"/>
      <c r="E804" s="14"/>
    </row>
    <row r="805" spans="1:5">
      <c r="A805" s="7"/>
      <c r="B805" s="5"/>
      <c r="C805" s="14"/>
      <c r="D805" s="14"/>
      <c r="E805" s="14"/>
    </row>
    <row r="806" spans="1:5">
      <c r="A806" s="7"/>
      <c r="B806" s="5"/>
      <c r="C806" s="14"/>
      <c r="D806" s="14"/>
      <c r="E806" s="14"/>
    </row>
    <row r="807" spans="1:5">
      <c r="A807" s="7"/>
      <c r="B807" s="5"/>
      <c r="C807" s="14"/>
      <c r="D807" s="14"/>
      <c r="E807" s="14"/>
    </row>
    <row r="808" spans="1:5">
      <c r="A808" s="7"/>
      <c r="B808" s="5"/>
      <c r="C808" s="14"/>
      <c r="D808" s="14"/>
      <c r="E808" s="14"/>
    </row>
    <row r="809" spans="1:5">
      <c r="A809" s="7"/>
      <c r="B809" s="5"/>
      <c r="C809" s="14"/>
      <c r="D809" s="14"/>
      <c r="E809" s="14"/>
    </row>
    <row r="810" spans="1:5">
      <c r="A810" s="7"/>
      <c r="B810" s="5"/>
      <c r="C810" s="14"/>
      <c r="D810" s="14"/>
      <c r="E810" s="14"/>
    </row>
  </sheetData>
  <hyperlinks>
    <hyperlink ref="A7" r:id="rId1" xr:uid="{D01A2988-4DD3-41F6-A7FE-16207350F085}"/>
  </hyperlinks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3AA70-FBD1-4C24-B7A0-ECB3DB73BB7C}">
  <dimension ref="A1:P1181"/>
  <sheetViews>
    <sheetView topLeftCell="H1" zoomScale="81" zoomScaleNormal="49" workbookViewId="0">
      <selection activeCell="U8" sqref="U8"/>
    </sheetView>
  </sheetViews>
  <sheetFormatPr defaultRowHeight="14.5"/>
  <cols>
    <col min="1" max="1" width="11.81640625" style="28" bestFit="1" customWidth="1"/>
    <col min="2" max="2" width="12.6328125" bestFit="1" customWidth="1"/>
    <col min="3" max="3" width="32.453125" bestFit="1" customWidth="1"/>
    <col min="4" max="4" width="16.1796875" style="14" bestFit="1" customWidth="1"/>
    <col min="5" max="5" width="13" style="14" bestFit="1" customWidth="1"/>
    <col min="6" max="6" width="5.90625" customWidth="1"/>
    <col min="7" max="7" width="12.90625" style="28" bestFit="1" customWidth="1"/>
    <col min="8" max="8" width="12.08984375" bestFit="1" customWidth="1"/>
    <col min="9" max="9" width="31.453125" bestFit="1" customWidth="1"/>
    <col min="10" max="10" width="15.36328125" style="14" bestFit="1" customWidth="1"/>
    <col min="11" max="11" width="12.90625" style="14" bestFit="1" customWidth="1"/>
    <col min="13" max="13" width="11.81640625" style="28" bestFit="1" customWidth="1"/>
    <col min="14" max="15" width="11.08984375" bestFit="1" customWidth="1"/>
    <col min="16" max="16" width="13" bestFit="1" customWidth="1"/>
  </cols>
  <sheetData>
    <row r="1" spans="1:16">
      <c r="A1" s="166" t="s">
        <v>23</v>
      </c>
      <c r="B1" s="166"/>
      <c r="C1" s="166"/>
      <c r="D1" s="166"/>
      <c r="E1" s="166"/>
      <c r="G1" s="166" t="s">
        <v>25</v>
      </c>
      <c r="H1" s="166"/>
      <c r="I1" s="166"/>
      <c r="J1" s="166"/>
      <c r="K1" s="166"/>
      <c r="M1" s="163" t="s">
        <v>26</v>
      </c>
      <c r="N1" s="163"/>
      <c r="O1" s="163"/>
      <c r="P1" s="163"/>
    </row>
    <row r="2" spans="1:16">
      <c r="A2" s="167" t="s">
        <v>16</v>
      </c>
      <c r="B2" s="167"/>
      <c r="C2" s="167"/>
      <c r="D2" s="167"/>
      <c r="E2" s="167"/>
      <c r="G2" s="167" t="s">
        <v>16</v>
      </c>
      <c r="H2" s="167"/>
      <c r="I2" s="167"/>
      <c r="J2" s="167"/>
      <c r="K2" s="167"/>
      <c r="M2" s="164" t="s">
        <v>24</v>
      </c>
      <c r="N2" s="164"/>
      <c r="O2" s="164"/>
      <c r="P2" s="164"/>
    </row>
    <row r="3" spans="1:16">
      <c r="A3" s="168" t="s">
        <v>17</v>
      </c>
      <c r="B3" s="169"/>
      <c r="C3" s="169"/>
      <c r="D3" s="169"/>
      <c r="E3" s="170"/>
      <c r="G3" s="168" t="s">
        <v>17</v>
      </c>
      <c r="H3" s="169"/>
      <c r="I3" s="169"/>
      <c r="J3" s="169"/>
      <c r="K3" s="170"/>
      <c r="M3" s="165" t="s">
        <v>17</v>
      </c>
      <c r="N3" s="165"/>
      <c r="O3" s="165"/>
      <c r="P3" s="165"/>
    </row>
    <row r="4" spans="1:16">
      <c r="A4" s="27" t="s">
        <v>18</v>
      </c>
      <c r="B4" s="18" t="s">
        <v>19</v>
      </c>
      <c r="C4" s="18" t="s">
        <v>20</v>
      </c>
      <c r="D4" s="35" t="s">
        <v>21</v>
      </c>
      <c r="E4" s="35" t="s">
        <v>22</v>
      </c>
      <c r="G4" s="29" t="s">
        <v>18</v>
      </c>
      <c r="H4" s="19" t="s">
        <v>19</v>
      </c>
      <c r="I4" s="19" t="s">
        <v>20</v>
      </c>
      <c r="J4" s="34" t="s">
        <v>21</v>
      </c>
      <c r="K4" s="34" t="s">
        <v>22</v>
      </c>
      <c r="M4" s="161" t="s">
        <v>18</v>
      </c>
      <c r="N4" s="162" t="s">
        <v>30</v>
      </c>
      <c r="O4" s="162" t="s">
        <v>29</v>
      </c>
      <c r="P4" s="162" t="s">
        <v>22</v>
      </c>
    </row>
    <row r="5" spans="1:16">
      <c r="A5" s="47">
        <v>9497</v>
      </c>
      <c r="B5" s="48">
        <v>11404</v>
      </c>
      <c r="C5" s="48" t="s">
        <v>28</v>
      </c>
      <c r="D5" s="49">
        <v>-66</v>
      </c>
      <c r="E5" s="50"/>
      <c r="F5" s="48"/>
      <c r="G5" s="47">
        <v>34485</v>
      </c>
      <c r="H5" s="76">
        <v>80681</v>
      </c>
      <c r="I5" s="76" t="s">
        <v>27</v>
      </c>
      <c r="J5" s="159">
        <v>-88</v>
      </c>
      <c r="K5" s="160">
        <v>1.2418999999999999E-2</v>
      </c>
      <c r="L5" s="48"/>
      <c r="M5" s="65">
        <v>34544</v>
      </c>
      <c r="N5" s="11">
        <v>7.0920000000000002E-3</v>
      </c>
      <c r="O5" s="11">
        <v>8.4905999999999995E-2</v>
      </c>
      <c r="P5" s="160">
        <v>3.1467000000000002E-2</v>
      </c>
    </row>
    <row r="6" spans="1:16">
      <c r="A6" s="47">
        <v>9527</v>
      </c>
      <c r="B6" s="48">
        <v>11404</v>
      </c>
      <c r="C6" s="48" t="s">
        <v>28</v>
      </c>
      <c r="D6" s="50">
        <v>3.9683000000000003E-2</v>
      </c>
      <c r="E6" s="14">
        <v>2.2471999999999999E-2</v>
      </c>
      <c r="F6" s="48"/>
      <c r="G6" s="47">
        <v>34515</v>
      </c>
      <c r="H6" s="76">
        <v>80681</v>
      </c>
      <c r="I6" s="76" t="s">
        <v>27</v>
      </c>
      <c r="J6" s="159">
        <v>-66</v>
      </c>
      <c r="K6" s="160">
        <v>-2.6811999999999999E-2</v>
      </c>
      <c r="L6" s="48"/>
      <c r="M6" s="65">
        <v>34577</v>
      </c>
      <c r="N6" s="11">
        <v>3.5210999999999999E-2</v>
      </c>
      <c r="O6" s="11">
        <v>-3.4783000000000001E-2</v>
      </c>
      <c r="P6" s="160">
        <v>3.7643000000000003E-2</v>
      </c>
    </row>
    <row r="7" spans="1:16">
      <c r="A7" s="47">
        <v>9555</v>
      </c>
      <c r="B7" s="48">
        <v>11404</v>
      </c>
      <c r="C7" s="48" t="s">
        <v>28</v>
      </c>
      <c r="D7" s="50">
        <v>-1.2719999999999999E-3</v>
      </c>
      <c r="E7" s="14">
        <v>-4.3956000000000002E-2</v>
      </c>
      <c r="F7" s="48"/>
      <c r="G7" s="47">
        <v>34544</v>
      </c>
      <c r="H7" s="76">
        <v>80681</v>
      </c>
      <c r="I7" s="76" t="s">
        <v>27</v>
      </c>
      <c r="J7" s="11">
        <v>7.0920000000000002E-3</v>
      </c>
      <c r="K7" s="160">
        <v>3.1467000000000002E-2</v>
      </c>
      <c r="L7" s="48"/>
      <c r="M7" s="65">
        <v>34607</v>
      </c>
      <c r="N7" s="11">
        <v>2.313E-3</v>
      </c>
      <c r="O7" s="11">
        <v>-8.7155999999999997E-2</v>
      </c>
      <c r="P7" s="160">
        <v>-2.6897999999999998E-2</v>
      </c>
    </row>
    <row r="8" spans="1:16">
      <c r="A8" s="47">
        <v>9587</v>
      </c>
      <c r="B8" s="48">
        <v>11404</v>
      </c>
      <c r="C8" s="48" t="s">
        <v>28</v>
      </c>
      <c r="D8" s="50">
        <v>-6.0644999999999998E-2</v>
      </c>
      <c r="E8" s="14">
        <v>-5.9112999999999999E-2</v>
      </c>
      <c r="F8" s="48"/>
      <c r="G8" s="47">
        <v>34577</v>
      </c>
      <c r="H8" s="76">
        <v>80681</v>
      </c>
      <c r="I8" s="76" t="s">
        <v>27</v>
      </c>
      <c r="J8" s="11">
        <v>3.5210999999999999E-2</v>
      </c>
      <c r="K8" s="160">
        <v>3.7643000000000003E-2</v>
      </c>
      <c r="L8" s="48"/>
      <c r="M8" s="65">
        <v>34638</v>
      </c>
      <c r="N8" s="11">
        <v>-2.0833000000000001E-2</v>
      </c>
      <c r="O8" s="11">
        <v>0</v>
      </c>
      <c r="P8" s="160">
        <v>2.0833999999999998E-2</v>
      </c>
    </row>
    <row r="9" spans="1:16">
      <c r="A9" s="47">
        <v>9617</v>
      </c>
      <c r="B9" s="48">
        <v>11404</v>
      </c>
      <c r="C9" s="48" t="s">
        <v>28</v>
      </c>
      <c r="D9" s="50">
        <v>2.1978000000000001E-2</v>
      </c>
      <c r="E9" s="14">
        <v>2.2688E-2</v>
      </c>
      <c r="F9" s="48"/>
      <c r="G9" s="47">
        <v>34607</v>
      </c>
      <c r="H9" s="76">
        <v>80681</v>
      </c>
      <c r="I9" s="76" t="s">
        <v>27</v>
      </c>
      <c r="J9" s="11">
        <v>2.313E-3</v>
      </c>
      <c r="K9" s="160">
        <v>-2.6897999999999998E-2</v>
      </c>
      <c r="L9" s="48"/>
      <c r="M9" s="65">
        <v>34668</v>
      </c>
      <c r="N9" s="11">
        <v>-3.5460999999999999E-2</v>
      </c>
      <c r="O9" s="11">
        <v>6.0302000000000001E-2</v>
      </c>
      <c r="P9" s="160">
        <v>-3.9504999999999998E-2</v>
      </c>
    </row>
    <row r="10" spans="1:16">
      <c r="A10" s="47">
        <v>9645</v>
      </c>
      <c r="B10" s="48">
        <v>11404</v>
      </c>
      <c r="C10" s="48" t="s">
        <v>28</v>
      </c>
      <c r="D10" s="50">
        <v>4.0322999999999998E-2</v>
      </c>
      <c r="E10" s="14">
        <v>7.6790000000000001E-3</v>
      </c>
      <c r="F10" s="48"/>
      <c r="G10" s="47">
        <v>34638</v>
      </c>
      <c r="H10" s="76">
        <v>80681</v>
      </c>
      <c r="I10" s="76" t="s">
        <v>27</v>
      </c>
      <c r="J10" s="11">
        <v>-2.0833000000000001E-2</v>
      </c>
      <c r="K10" s="160">
        <v>2.0833999999999998E-2</v>
      </c>
      <c r="L10" s="48"/>
      <c r="M10" s="65">
        <v>34698</v>
      </c>
      <c r="N10" s="11">
        <v>-8.5735000000000006E-2</v>
      </c>
      <c r="O10" s="11">
        <v>-4.8310000000000002E-3</v>
      </c>
      <c r="P10" s="160">
        <v>1.2298999999999999E-2</v>
      </c>
    </row>
    <row r="11" spans="1:16">
      <c r="A11" s="47">
        <v>9678</v>
      </c>
      <c r="B11" s="48">
        <v>11404</v>
      </c>
      <c r="C11" s="48" t="s">
        <v>28</v>
      </c>
      <c r="D11" s="50">
        <v>3.6649000000000001E-2</v>
      </c>
      <c r="E11" s="14">
        <v>4.3184E-2</v>
      </c>
      <c r="F11" s="48"/>
      <c r="G11" s="47">
        <v>34668</v>
      </c>
      <c r="H11" s="76">
        <v>80681</v>
      </c>
      <c r="I11" s="76" t="s">
        <v>27</v>
      </c>
      <c r="J11" s="11">
        <v>-3.5460999999999999E-2</v>
      </c>
      <c r="K11" s="160">
        <v>-3.9504999999999998E-2</v>
      </c>
      <c r="L11" s="48"/>
      <c r="M11" s="65">
        <v>34730</v>
      </c>
      <c r="N11" s="11">
        <v>9.0909000000000004E-2</v>
      </c>
      <c r="O11" s="11">
        <v>9.7087000000000007E-2</v>
      </c>
      <c r="P11" s="160">
        <v>2.4278000000000001E-2</v>
      </c>
    </row>
    <row r="12" spans="1:16">
      <c r="A12" s="47">
        <v>9709</v>
      </c>
      <c r="B12" s="48">
        <v>11404</v>
      </c>
      <c r="C12" s="48" t="s">
        <v>28</v>
      </c>
      <c r="D12" s="50">
        <v>0.107323</v>
      </c>
      <c r="E12" s="14">
        <v>4.5455000000000002E-2</v>
      </c>
      <c r="F12" s="48"/>
      <c r="G12" s="47">
        <v>34698</v>
      </c>
      <c r="H12" s="76">
        <v>80681</v>
      </c>
      <c r="I12" s="76" t="s">
        <v>27</v>
      </c>
      <c r="J12" s="11">
        <v>-8.5735000000000006E-2</v>
      </c>
      <c r="K12" s="160">
        <v>1.2298999999999999E-2</v>
      </c>
      <c r="L12" s="48"/>
      <c r="M12" s="65">
        <v>34758</v>
      </c>
      <c r="N12" s="11">
        <v>-2.2727000000000001E-2</v>
      </c>
      <c r="O12" s="11">
        <v>-4.071E-3</v>
      </c>
      <c r="P12" s="160">
        <v>3.6074000000000002E-2</v>
      </c>
    </row>
    <row r="13" spans="1:16">
      <c r="A13" s="47">
        <v>9740</v>
      </c>
      <c r="B13" s="48">
        <v>11404</v>
      </c>
      <c r="C13" s="48" t="s">
        <v>28</v>
      </c>
      <c r="D13" s="50">
        <v>5.7010000000000003E-3</v>
      </c>
      <c r="E13" s="14">
        <v>1.7080999999999999E-2</v>
      </c>
      <c r="F13" s="48"/>
      <c r="G13" s="47">
        <v>34730</v>
      </c>
      <c r="H13" s="76">
        <v>80681</v>
      </c>
      <c r="I13" s="76" t="s">
        <v>27</v>
      </c>
      <c r="J13" s="11">
        <v>9.0909000000000004E-2</v>
      </c>
      <c r="K13" s="160">
        <v>2.4278000000000001E-2</v>
      </c>
      <c r="L13" s="48"/>
      <c r="M13" s="65">
        <v>34789</v>
      </c>
      <c r="N13" s="11">
        <v>1.0388E-2</v>
      </c>
      <c r="O13" s="11">
        <v>-1.3575E-2</v>
      </c>
      <c r="P13" s="160">
        <v>2.7328999999999999E-2</v>
      </c>
    </row>
    <row r="14" spans="1:16">
      <c r="A14" s="47">
        <v>9770</v>
      </c>
      <c r="B14" s="48">
        <v>11404</v>
      </c>
      <c r="C14" s="48" t="s">
        <v>28</v>
      </c>
      <c r="D14" s="50">
        <v>9.1739999999999999E-3</v>
      </c>
      <c r="E14" s="14">
        <v>2.2901000000000001E-2</v>
      </c>
      <c r="F14" s="48"/>
      <c r="G14" s="47">
        <v>34758</v>
      </c>
      <c r="H14" s="76">
        <v>80681</v>
      </c>
      <c r="I14" s="76" t="s">
        <v>27</v>
      </c>
      <c r="J14" s="11">
        <v>-2.2727000000000001E-2</v>
      </c>
      <c r="K14" s="160">
        <v>3.6074000000000002E-2</v>
      </c>
      <c r="L14" s="48"/>
      <c r="M14" s="65">
        <v>34817</v>
      </c>
      <c r="N14" s="11">
        <v>2.3622000000000001E-2</v>
      </c>
      <c r="O14" s="11">
        <v>1.8349000000000001E-2</v>
      </c>
      <c r="P14" s="160">
        <v>2.7959999999999999E-2</v>
      </c>
    </row>
    <row r="15" spans="1:16">
      <c r="A15" s="47">
        <v>9800</v>
      </c>
      <c r="B15" s="48">
        <v>11404</v>
      </c>
      <c r="C15" s="48" t="s">
        <v>28</v>
      </c>
      <c r="D15" s="50">
        <v>-3.2954999999999998E-2</v>
      </c>
      <c r="E15" s="14">
        <v>-3.1343000000000003E-2</v>
      </c>
      <c r="F15" s="48"/>
      <c r="G15" s="47">
        <v>34789</v>
      </c>
      <c r="H15" s="76">
        <v>80681</v>
      </c>
      <c r="I15" s="76" t="s">
        <v>27</v>
      </c>
      <c r="J15" s="11">
        <v>1.0388E-2</v>
      </c>
      <c r="K15" s="160">
        <v>2.7328999999999999E-2</v>
      </c>
      <c r="L15" s="48"/>
      <c r="M15" s="65">
        <v>34850</v>
      </c>
      <c r="N15" s="11">
        <v>0.1</v>
      </c>
      <c r="O15" s="11">
        <v>9.4954999999999998E-2</v>
      </c>
      <c r="P15" s="160">
        <v>3.6311999999999997E-2</v>
      </c>
    </row>
    <row r="16" spans="1:16">
      <c r="A16" s="47">
        <v>9831</v>
      </c>
      <c r="B16" s="48">
        <v>11404</v>
      </c>
      <c r="C16" s="48" t="s">
        <v>28</v>
      </c>
      <c r="D16" s="50">
        <v>5.9929000000000003E-2</v>
      </c>
      <c r="E16" s="14">
        <v>2.2342000000000001E-2</v>
      </c>
      <c r="F16" s="48"/>
      <c r="G16" s="47">
        <v>34817</v>
      </c>
      <c r="H16" s="76">
        <v>80681</v>
      </c>
      <c r="I16" s="76" t="s">
        <v>27</v>
      </c>
      <c r="J16" s="11">
        <v>2.3622000000000001E-2</v>
      </c>
      <c r="K16" s="160">
        <v>2.7959999999999999E-2</v>
      </c>
      <c r="L16" s="48"/>
      <c r="M16" s="65">
        <v>34880</v>
      </c>
      <c r="N16" s="11">
        <v>3.7343000000000001E-2</v>
      </c>
      <c r="O16" s="11">
        <v>-1.2552000000000001E-2</v>
      </c>
      <c r="P16" s="160">
        <v>2.1278999999999999E-2</v>
      </c>
    </row>
    <row r="17" spans="1:16">
      <c r="A17" s="47">
        <v>9862</v>
      </c>
      <c r="B17" s="48">
        <v>11404</v>
      </c>
      <c r="C17" s="48" t="s">
        <v>28</v>
      </c>
      <c r="D17" s="50">
        <v>-2.4663999999999998E-2</v>
      </c>
      <c r="E17" s="14">
        <v>1.6579E-2</v>
      </c>
      <c r="F17" s="48"/>
      <c r="G17" s="47">
        <v>34850</v>
      </c>
      <c r="H17" s="76">
        <v>80681</v>
      </c>
      <c r="I17" s="76" t="s">
        <v>27</v>
      </c>
      <c r="J17" s="11">
        <v>0.1</v>
      </c>
      <c r="K17" s="160">
        <v>3.6311999999999997E-2</v>
      </c>
      <c r="L17" s="48"/>
      <c r="M17" s="65">
        <v>34911</v>
      </c>
      <c r="N17" s="11">
        <v>-2.069E-2</v>
      </c>
      <c r="O17" s="11">
        <v>-1.6948999999999999E-2</v>
      </c>
      <c r="P17" s="160">
        <v>3.1775999999999999E-2</v>
      </c>
    </row>
    <row r="18" spans="1:16">
      <c r="A18" s="47">
        <v>9893</v>
      </c>
      <c r="B18" s="48">
        <v>11404</v>
      </c>
      <c r="C18" s="48" t="s">
        <v>28</v>
      </c>
      <c r="D18" s="50">
        <v>-8.3907999999999996E-2</v>
      </c>
      <c r="E18" s="14">
        <v>-2.0756E-2</v>
      </c>
      <c r="F18" s="48"/>
      <c r="G18" s="47">
        <v>34880</v>
      </c>
      <c r="H18" s="76">
        <v>80681</v>
      </c>
      <c r="I18" s="76" t="s">
        <v>27</v>
      </c>
      <c r="J18" s="11">
        <v>3.7343000000000001E-2</v>
      </c>
      <c r="K18" s="160">
        <v>2.1278999999999999E-2</v>
      </c>
      <c r="L18" s="48"/>
      <c r="M18" s="65">
        <v>34942</v>
      </c>
      <c r="N18" s="11">
        <v>-2.1127E-2</v>
      </c>
      <c r="O18" s="11">
        <v>-8.2760000000000004E-3</v>
      </c>
      <c r="P18" s="160">
        <v>-3.2000000000000003E-4</v>
      </c>
    </row>
    <row r="19" spans="1:16">
      <c r="A19" s="47">
        <v>9921</v>
      </c>
      <c r="B19" s="48">
        <v>11404</v>
      </c>
      <c r="C19" s="48" t="s">
        <v>28</v>
      </c>
      <c r="D19" s="50">
        <v>5.7190999999999999E-2</v>
      </c>
      <c r="E19" s="14">
        <v>4.7690999999999997E-2</v>
      </c>
      <c r="F19" s="48"/>
      <c r="G19" s="47">
        <v>34911</v>
      </c>
      <c r="H19" s="76">
        <v>80681</v>
      </c>
      <c r="I19" s="76" t="s">
        <v>27</v>
      </c>
      <c r="J19" s="11">
        <v>-2.069E-2</v>
      </c>
      <c r="K19" s="160">
        <v>3.1775999999999999E-2</v>
      </c>
      <c r="L19" s="48"/>
      <c r="M19" s="65">
        <v>34971</v>
      </c>
      <c r="N19" s="11">
        <v>1.6834999999999999E-2</v>
      </c>
      <c r="O19" s="11">
        <v>7.5220999999999996E-2</v>
      </c>
      <c r="P19" s="160">
        <v>4.0098000000000002E-2</v>
      </c>
    </row>
    <row r="20" spans="1:16">
      <c r="A20" s="47">
        <v>9952</v>
      </c>
      <c r="B20" s="48">
        <v>11404</v>
      </c>
      <c r="C20" s="48" t="s">
        <v>28</v>
      </c>
      <c r="D20" s="50">
        <v>-2.75E-2</v>
      </c>
      <c r="E20" s="14">
        <v>6.5030000000000001E-3</v>
      </c>
      <c r="F20" s="48"/>
      <c r="G20" s="47">
        <v>34942</v>
      </c>
      <c r="H20" s="76">
        <v>80681</v>
      </c>
      <c r="I20" s="76" t="s">
        <v>27</v>
      </c>
      <c r="J20" s="11">
        <v>-2.1127E-2</v>
      </c>
      <c r="K20" s="160">
        <v>-3.2000000000000003E-4</v>
      </c>
      <c r="L20" s="48"/>
      <c r="M20" s="65">
        <v>35003</v>
      </c>
      <c r="N20" s="11">
        <v>3.5460999999999999E-2</v>
      </c>
      <c r="O20" s="11">
        <v>0</v>
      </c>
      <c r="P20" s="160">
        <v>-4.9789999999999999E-3</v>
      </c>
    </row>
    <row r="21" spans="1:16">
      <c r="A21" s="47">
        <v>9982</v>
      </c>
      <c r="B21" s="48">
        <v>11404</v>
      </c>
      <c r="C21" s="48" t="s">
        <v>28</v>
      </c>
      <c r="D21" s="50">
        <v>0</v>
      </c>
      <c r="E21" s="14">
        <v>1.7229000000000001E-2</v>
      </c>
      <c r="F21" s="48"/>
      <c r="G21" s="47">
        <v>34971</v>
      </c>
      <c r="H21" s="76">
        <v>80681</v>
      </c>
      <c r="I21" s="76" t="s">
        <v>27</v>
      </c>
      <c r="J21" s="11">
        <v>1.6834999999999999E-2</v>
      </c>
      <c r="K21" s="160">
        <v>4.0098000000000002E-2</v>
      </c>
      <c r="L21" s="48"/>
      <c r="M21" s="65">
        <v>35033</v>
      </c>
      <c r="N21" s="11">
        <v>2.0548E-2</v>
      </c>
      <c r="O21" s="11">
        <v>-3.6707999999999998E-2</v>
      </c>
      <c r="P21" s="160">
        <v>4.1049000000000002E-2</v>
      </c>
    </row>
    <row r="22" spans="1:16">
      <c r="A22" s="47">
        <v>10013</v>
      </c>
      <c r="B22" s="48">
        <v>11404</v>
      </c>
      <c r="C22" s="48" t="s">
        <v>28</v>
      </c>
      <c r="D22" s="50">
        <v>8.4833000000000006E-2</v>
      </c>
      <c r="E22" s="14">
        <v>5.2222999999999999E-2</v>
      </c>
      <c r="F22" s="48"/>
      <c r="G22" s="47">
        <v>35003</v>
      </c>
      <c r="H22" s="76">
        <v>80681</v>
      </c>
      <c r="I22" s="76" t="s">
        <v>27</v>
      </c>
      <c r="J22" s="11">
        <v>3.5460999999999999E-2</v>
      </c>
      <c r="K22" s="160">
        <v>-4.9789999999999999E-3</v>
      </c>
      <c r="L22" s="48"/>
      <c r="M22" s="65">
        <v>35062</v>
      </c>
      <c r="N22" s="11">
        <v>5.6376000000000002E-2</v>
      </c>
      <c r="O22" s="11">
        <v>0.104348</v>
      </c>
      <c r="P22" s="160">
        <v>1.7444000000000001E-2</v>
      </c>
    </row>
    <row r="23" spans="1:16">
      <c r="A23" s="47">
        <v>10043</v>
      </c>
      <c r="B23" s="48">
        <v>11404</v>
      </c>
      <c r="C23" s="48" t="s">
        <v>28</v>
      </c>
      <c r="D23" s="50">
        <v>-3.9567999999999999E-2</v>
      </c>
      <c r="E23" s="14">
        <v>-9.3900000000000008E-3</v>
      </c>
      <c r="F23" s="48"/>
      <c r="G23" s="47">
        <v>35033</v>
      </c>
      <c r="H23" s="76">
        <v>80681</v>
      </c>
      <c r="I23" s="76" t="s">
        <v>27</v>
      </c>
      <c r="J23" s="11">
        <v>2.0548E-2</v>
      </c>
      <c r="K23" s="160">
        <v>4.1049000000000002E-2</v>
      </c>
      <c r="L23" s="48"/>
      <c r="M23" s="65">
        <v>35095</v>
      </c>
      <c r="N23" s="11">
        <v>3.8961000000000003E-2</v>
      </c>
      <c r="O23" s="11">
        <v>6.2992000000000006E-2</v>
      </c>
      <c r="P23" s="160">
        <v>3.2617E-2</v>
      </c>
    </row>
    <row r="24" spans="1:16">
      <c r="A24" s="47">
        <v>10073</v>
      </c>
      <c r="B24" s="48">
        <v>11404</v>
      </c>
      <c r="C24" s="48" t="s">
        <v>28</v>
      </c>
      <c r="D24" s="50">
        <v>0.103621</v>
      </c>
      <c r="E24" s="14">
        <v>6.4996999999999999E-2</v>
      </c>
      <c r="F24" s="48"/>
      <c r="G24" s="47">
        <v>35062</v>
      </c>
      <c r="H24" s="76">
        <v>80681</v>
      </c>
      <c r="I24" s="76" t="s">
        <v>27</v>
      </c>
      <c r="J24" s="11">
        <v>5.6376000000000002E-2</v>
      </c>
      <c r="K24" s="160">
        <v>1.7444000000000001E-2</v>
      </c>
      <c r="L24" s="48"/>
      <c r="M24" s="65">
        <v>35124</v>
      </c>
      <c r="N24" s="11">
        <v>1.2500000000000001E-2</v>
      </c>
      <c r="O24" s="11">
        <v>-2.5333000000000001E-2</v>
      </c>
      <c r="P24" s="160">
        <v>6.9340000000000001E-3</v>
      </c>
    </row>
    <row r="25" spans="1:16">
      <c r="A25" s="47">
        <v>10105</v>
      </c>
      <c r="B25" s="48">
        <v>11404</v>
      </c>
      <c r="C25" s="48" t="s">
        <v>28</v>
      </c>
      <c r="D25" s="50">
        <v>2.2620000000000001E-3</v>
      </c>
      <c r="E25" s="14">
        <v>4.4500999999999999E-2</v>
      </c>
      <c r="F25" s="48"/>
      <c r="G25" s="47">
        <v>35095</v>
      </c>
      <c r="H25" s="76">
        <v>80681</v>
      </c>
      <c r="I25" s="76" t="s">
        <v>27</v>
      </c>
      <c r="J25" s="11">
        <v>3.8961000000000003E-2</v>
      </c>
      <c r="K25" s="160">
        <v>3.2617E-2</v>
      </c>
      <c r="L25" s="48"/>
      <c r="M25" s="65">
        <v>35153</v>
      </c>
      <c r="N25" s="11">
        <v>4.5678999999999997E-2</v>
      </c>
      <c r="O25" s="11">
        <v>-1.5443999999999999E-2</v>
      </c>
      <c r="P25" s="160">
        <v>7.9170000000000004E-3</v>
      </c>
    </row>
    <row r="26" spans="1:16">
      <c r="A26" s="47">
        <v>10135</v>
      </c>
      <c r="B26" s="48">
        <v>11404</v>
      </c>
      <c r="C26" s="48" t="s">
        <v>28</v>
      </c>
      <c r="D26" s="50">
        <v>8.6758000000000002E-2</v>
      </c>
      <c r="E26" s="14">
        <v>4.3214000000000002E-2</v>
      </c>
      <c r="F26" s="48"/>
      <c r="G26" s="47">
        <v>35124</v>
      </c>
      <c r="H26" s="76">
        <v>80681</v>
      </c>
      <c r="I26" s="76" t="s">
        <v>27</v>
      </c>
      <c r="J26" s="11">
        <v>1.2500000000000001E-2</v>
      </c>
      <c r="K26" s="160">
        <v>6.9340000000000001E-3</v>
      </c>
      <c r="L26" s="48"/>
      <c r="M26" s="65">
        <v>35185</v>
      </c>
      <c r="N26" s="11">
        <v>-6.0239999999999998E-3</v>
      </c>
      <c r="O26" s="11">
        <v>-7.8431000000000001E-2</v>
      </c>
      <c r="P26" s="160">
        <v>1.3431E-2</v>
      </c>
    </row>
    <row r="27" spans="1:16">
      <c r="A27" s="47">
        <v>10166</v>
      </c>
      <c r="B27" s="48">
        <v>11404</v>
      </c>
      <c r="C27" s="48" t="s">
        <v>28</v>
      </c>
      <c r="D27" s="50">
        <v>-6.5126000000000003E-2</v>
      </c>
      <c r="E27" s="14">
        <v>-5.3092E-2</v>
      </c>
      <c r="F27" s="48"/>
      <c r="G27" s="47">
        <v>35153</v>
      </c>
      <c r="H27" s="76">
        <v>80681</v>
      </c>
      <c r="I27" s="76" t="s">
        <v>27</v>
      </c>
      <c r="J27" s="11">
        <v>4.5678999999999997E-2</v>
      </c>
      <c r="K27" s="160">
        <v>7.9170000000000004E-3</v>
      </c>
      <c r="L27" s="48"/>
      <c r="M27" s="65">
        <v>35216</v>
      </c>
      <c r="N27" s="11">
        <v>6.0610000000000004E-3</v>
      </c>
      <c r="O27" s="11">
        <v>-3.3362000000000003E-2</v>
      </c>
      <c r="P27" s="160">
        <v>2.2852999999999998E-2</v>
      </c>
    </row>
    <row r="28" spans="1:16">
      <c r="A28" s="47">
        <v>10196</v>
      </c>
      <c r="B28" s="48">
        <v>11404</v>
      </c>
      <c r="C28" s="48" t="s">
        <v>28</v>
      </c>
      <c r="D28" s="50">
        <v>8.9887999999999996E-2</v>
      </c>
      <c r="E28" s="14">
        <v>6.7776000000000003E-2</v>
      </c>
      <c r="F28" s="48"/>
      <c r="G28" s="47">
        <v>35185</v>
      </c>
      <c r="H28" s="76">
        <v>80681</v>
      </c>
      <c r="I28" s="76" t="s">
        <v>27</v>
      </c>
      <c r="J28" s="11">
        <v>-6.0239999999999998E-3</v>
      </c>
      <c r="K28" s="160">
        <v>1.3431E-2</v>
      </c>
      <c r="L28" s="48"/>
      <c r="M28" s="65">
        <v>35244</v>
      </c>
      <c r="N28" s="11">
        <v>5.6626999999999997E-2</v>
      </c>
      <c r="O28" s="11">
        <v>4.9327000000000003E-2</v>
      </c>
      <c r="P28" s="160">
        <v>2.2569999999999999E-3</v>
      </c>
    </row>
    <row r="29" spans="1:16">
      <c r="A29" s="47">
        <v>10227</v>
      </c>
      <c r="B29" s="48">
        <v>11404</v>
      </c>
      <c r="C29" s="48" t="s">
        <v>28</v>
      </c>
      <c r="D29" s="50">
        <v>4.1667000000000003E-2</v>
      </c>
      <c r="E29" s="14">
        <v>1.9042E-2</v>
      </c>
      <c r="F29" s="48"/>
      <c r="G29" s="47">
        <v>35216</v>
      </c>
      <c r="H29" s="76">
        <v>80681</v>
      </c>
      <c r="I29" s="76" t="s">
        <v>27</v>
      </c>
      <c r="J29" s="11">
        <v>6.0610000000000004E-3</v>
      </c>
      <c r="K29" s="160">
        <v>2.2852999999999998E-2</v>
      </c>
      <c r="L29" s="48"/>
      <c r="M29" s="65">
        <v>35277</v>
      </c>
      <c r="N29" s="11">
        <v>3.4883999999999998E-2</v>
      </c>
      <c r="O29" s="11">
        <v>-7.6923000000000005E-2</v>
      </c>
      <c r="P29" s="160">
        <v>-4.5747999999999997E-2</v>
      </c>
    </row>
    <row r="30" spans="1:16">
      <c r="A30" s="47">
        <v>10258</v>
      </c>
      <c r="B30" s="48">
        <v>11404</v>
      </c>
      <c r="C30" s="48" t="s">
        <v>28</v>
      </c>
      <c r="D30" s="50">
        <v>1.2E-2</v>
      </c>
      <c r="E30" s="14">
        <v>-5.0959999999999998E-3</v>
      </c>
      <c r="F30" s="48"/>
      <c r="G30" s="47">
        <v>35244</v>
      </c>
      <c r="H30" s="76">
        <v>80681</v>
      </c>
      <c r="I30" s="76" t="s">
        <v>27</v>
      </c>
      <c r="J30" s="11">
        <v>5.6626999999999997E-2</v>
      </c>
      <c r="K30" s="160">
        <v>2.2569999999999999E-3</v>
      </c>
      <c r="L30" s="48"/>
      <c r="M30" s="65">
        <v>35307</v>
      </c>
      <c r="N30" s="11">
        <v>7.3034000000000002E-2</v>
      </c>
      <c r="O30" s="11">
        <v>-1.3148E-2</v>
      </c>
      <c r="P30" s="160">
        <v>1.8814000000000001E-2</v>
      </c>
    </row>
    <row r="31" spans="1:16">
      <c r="A31" s="47">
        <v>10287</v>
      </c>
      <c r="B31" s="48">
        <v>11404</v>
      </c>
      <c r="C31" s="48" t="s">
        <v>28</v>
      </c>
      <c r="D31" s="50">
        <v>4.5455000000000002E-2</v>
      </c>
      <c r="E31" s="14">
        <v>-1.7644E-2</v>
      </c>
      <c r="F31" s="48"/>
      <c r="G31" s="47">
        <v>35277</v>
      </c>
      <c r="H31" s="76">
        <v>80681</v>
      </c>
      <c r="I31" s="76" t="s">
        <v>27</v>
      </c>
      <c r="J31" s="11">
        <v>3.4883999999999998E-2</v>
      </c>
      <c r="K31" s="160">
        <v>-4.5747999999999997E-2</v>
      </c>
      <c r="L31" s="48"/>
      <c r="M31" s="65">
        <v>35338</v>
      </c>
      <c r="N31" s="11">
        <v>6.0104999999999999E-2</v>
      </c>
      <c r="O31" s="11">
        <v>6.2200999999999999E-2</v>
      </c>
      <c r="P31" s="160">
        <v>5.4172999999999999E-2</v>
      </c>
    </row>
    <row r="32" spans="1:16">
      <c r="A32" s="47">
        <v>10318</v>
      </c>
      <c r="B32" s="48">
        <v>11404</v>
      </c>
      <c r="C32" s="48" t="s">
        <v>28</v>
      </c>
      <c r="D32" s="50">
        <v>0.11068699999999999</v>
      </c>
      <c r="E32" s="14">
        <v>0.10834299999999999</v>
      </c>
      <c r="F32" s="48"/>
      <c r="G32" s="47">
        <v>35307</v>
      </c>
      <c r="H32" s="76">
        <v>80681</v>
      </c>
      <c r="I32" s="76" t="s">
        <v>27</v>
      </c>
      <c r="J32" s="11">
        <v>7.3034000000000002E-2</v>
      </c>
      <c r="K32" s="160">
        <v>1.8814000000000001E-2</v>
      </c>
      <c r="L32" s="48"/>
      <c r="M32" s="65">
        <v>35369</v>
      </c>
      <c r="N32" s="11">
        <v>4.0201000000000001E-2</v>
      </c>
      <c r="O32" s="11">
        <v>5.4053999999999998E-2</v>
      </c>
      <c r="P32" s="160">
        <v>2.6131000000000001E-2</v>
      </c>
    </row>
    <row r="33" spans="1:16">
      <c r="A33" s="47">
        <v>10348</v>
      </c>
      <c r="B33" s="48">
        <v>11404</v>
      </c>
      <c r="C33" s="48" t="s">
        <v>28</v>
      </c>
      <c r="D33" s="50">
        <v>0.132302</v>
      </c>
      <c r="E33" s="14">
        <v>3.2410000000000001E-2</v>
      </c>
      <c r="F33" s="48"/>
      <c r="G33" s="47">
        <v>35338</v>
      </c>
      <c r="H33" s="76">
        <v>80681</v>
      </c>
      <c r="I33" s="76" t="s">
        <v>27</v>
      </c>
      <c r="J33" s="11">
        <v>6.0104999999999999E-2</v>
      </c>
      <c r="K33" s="160">
        <v>5.4172999999999999E-2</v>
      </c>
      <c r="L33" s="48"/>
      <c r="M33" s="65">
        <v>35398</v>
      </c>
      <c r="N33" s="11">
        <v>6.2801999999999997E-2</v>
      </c>
      <c r="O33" s="11">
        <v>9.2309999999999996E-3</v>
      </c>
      <c r="P33" s="160">
        <v>7.3375999999999997E-2</v>
      </c>
    </row>
    <row r="34" spans="1:16">
      <c r="A34" s="47">
        <v>10379</v>
      </c>
      <c r="B34" s="48">
        <v>11404</v>
      </c>
      <c r="C34" s="48" t="s">
        <v>28</v>
      </c>
      <c r="D34" s="50">
        <v>-5.0076000000000002E-2</v>
      </c>
      <c r="E34" s="14">
        <v>1.2658000000000001E-2</v>
      </c>
      <c r="F34" s="48"/>
      <c r="G34" s="47">
        <v>35369</v>
      </c>
      <c r="H34" s="76">
        <v>80681</v>
      </c>
      <c r="I34" s="76" t="s">
        <v>27</v>
      </c>
      <c r="J34" s="11">
        <v>4.0201000000000001E-2</v>
      </c>
      <c r="K34" s="160">
        <v>2.6131000000000001E-2</v>
      </c>
      <c r="L34" s="48"/>
      <c r="M34" s="65">
        <v>35430</v>
      </c>
      <c r="N34" s="11">
        <v>8.4000000000000005E-2</v>
      </c>
      <c r="O34" s="11">
        <v>4.3099999999999996E-3</v>
      </c>
      <c r="P34" s="160">
        <v>-2.1505E-2</v>
      </c>
    </row>
    <row r="35" spans="1:16">
      <c r="A35" s="47">
        <v>10409</v>
      </c>
      <c r="B35" s="48">
        <v>11404</v>
      </c>
      <c r="C35" s="48" t="s">
        <v>28</v>
      </c>
      <c r="D35" s="50">
        <v>-1.5298000000000001E-2</v>
      </c>
      <c r="E35" s="14">
        <v>-4.0500000000000001E-2</v>
      </c>
      <c r="F35" s="48"/>
      <c r="G35" s="47">
        <v>35398</v>
      </c>
      <c r="H35" s="76">
        <v>80681</v>
      </c>
      <c r="I35" s="76" t="s">
        <v>27</v>
      </c>
      <c r="J35" s="11">
        <v>6.2801999999999997E-2</v>
      </c>
      <c r="K35" s="160">
        <v>7.3375999999999997E-2</v>
      </c>
      <c r="L35" s="48"/>
      <c r="M35" s="65">
        <v>35461</v>
      </c>
      <c r="N35" s="11">
        <v>-4.2550000000000001E-3</v>
      </c>
      <c r="O35" s="11">
        <v>6.4378000000000005E-2</v>
      </c>
      <c r="P35" s="160">
        <v>6.1317000000000003E-2</v>
      </c>
    </row>
    <row r="36" spans="1:16">
      <c r="A36" s="47">
        <v>10440</v>
      </c>
      <c r="B36" s="48">
        <v>11404</v>
      </c>
      <c r="C36" s="48" t="s">
        <v>28</v>
      </c>
      <c r="D36" s="50">
        <v>-4.4970999999999997E-2</v>
      </c>
      <c r="E36" s="14">
        <v>1.2507000000000001E-2</v>
      </c>
      <c r="F36" s="48"/>
      <c r="G36" s="47">
        <v>35430</v>
      </c>
      <c r="H36" s="76">
        <v>80681</v>
      </c>
      <c r="I36" s="76" t="s">
        <v>27</v>
      </c>
      <c r="J36" s="11">
        <v>8.4000000000000005E-2</v>
      </c>
      <c r="K36" s="160">
        <v>-2.1505E-2</v>
      </c>
      <c r="L36" s="48"/>
      <c r="M36" s="65">
        <v>35489</v>
      </c>
      <c r="N36" s="11">
        <v>2.5641000000000001E-2</v>
      </c>
      <c r="O36" s="11">
        <v>1.2903E-2</v>
      </c>
      <c r="P36" s="160">
        <v>5.9280000000000001E-3</v>
      </c>
    </row>
    <row r="37" spans="1:16">
      <c r="A37" s="47">
        <v>10471</v>
      </c>
      <c r="B37" s="48">
        <v>11404</v>
      </c>
      <c r="C37" s="48" t="s">
        <v>28</v>
      </c>
      <c r="D37" s="50">
        <v>9.0753E-2</v>
      </c>
      <c r="E37" s="14">
        <v>7.4111999999999997E-2</v>
      </c>
      <c r="F37" s="48"/>
      <c r="G37" s="47">
        <v>35461</v>
      </c>
      <c r="H37" s="76">
        <v>80681</v>
      </c>
      <c r="I37" s="76" t="s">
        <v>27</v>
      </c>
      <c r="J37" s="11">
        <v>-4.2550000000000001E-3</v>
      </c>
      <c r="K37" s="160">
        <v>6.1317000000000003E-2</v>
      </c>
      <c r="L37" s="48"/>
      <c r="M37" s="65">
        <v>35520</v>
      </c>
      <c r="N37" s="11">
        <v>1.0333E-2</v>
      </c>
      <c r="O37" s="11">
        <v>-2.8340000000000001E-2</v>
      </c>
      <c r="P37" s="160">
        <v>-4.2613999999999999E-2</v>
      </c>
    </row>
    <row r="38" spans="1:16">
      <c r="A38" s="47">
        <v>10500</v>
      </c>
      <c r="B38" s="48">
        <v>11404</v>
      </c>
      <c r="C38" s="48" t="s">
        <v>28</v>
      </c>
      <c r="D38" s="50">
        <v>-9.4940000000000007E-3</v>
      </c>
      <c r="E38" s="14">
        <v>2.3958E-2</v>
      </c>
      <c r="F38" s="48"/>
      <c r="G38" s="47">
        <v>35489</v>
      </c>
      <c r="H38" s="76">
        <v>80681</v>
      </c>
      <c r="I38" s="76" t="s">
        <v>27</v>
      </c>
      <c r="J38" s="11">
        <v>2.5641000000000001E-2</v>
      </c>
      <c r="K38" s="160">
        <v>5.9280000000000001E-3</v>
      </c>
      <c r="L38" s="48"/>
      <c r="M38" s="65">
        <v>35550</v>
      </c>
      <c r="N38" s="11">
        <v>-2.0920999999999999E-2</v>
      </c>
      <c r="O38" s="11">
        <v>-7.4999999999999997E-2</v>
      </c>
      <c r="P38" s="160">
        <v>5.8406E-2</v>
      </c>
    </row>
    <row r="39" spans="1:16">
      <c r="A39" s="47">
        <v>10532</v>
      </c>
      <c r="B39" s="48">
        <v>11404</v>
      </c>
      <c r="C39" s="48" t="s">
        <v>28</v>
      </c>
      <c r="D39" s="50">
        <v>-1.5969999999999999E-3</v>
      </c>
      <c r="E39" s="14">
        <v>1.4506E-2</v>
      </c>
      <c r="F39" s="48"/>
      <c r="G39" s="47">
        <v>35520</v>
      </c>
      <c r="H39" s="76">
        <v>80681</v>
      </c>
      <c r="I39" s="76" t="s">
        <v>27</v>
      </c>
      <c r="J39" s="11">
        <v>1.0333E-2</v>
      </c>
      <c r="K39" s="160">
        <v>-4.2613999999999999E-2</v>
      </c>
      <c r="L39" s="48"/>
      <c r="M39" s="65">
        <v>35580</v>
      </c>
      <c r="N39" s="11">
        <v>1.2821000000000001E-2</v>
      </c>
      <c r="O39" s="11">
        <v>6.8468000000000001E-2</v>
      </c>
      <c r="P39" s="160">
        <v>5.8576999999999997E-2</v>
      </c>
    </row>
    <row r="40" spans="1:16">
      <c r="A40" s="47">
        <v>10562</v>
      </c>
      <c r="B40" s="48">
        <v>11404</v>
      </c>
      <c r="C40" s="48" t="s">
        <v>28</v>
      </c>
      <c r="D40" s="50">
        <v>0.4128</v>
      </c>
      <c r="E40" s="14">
        <v>0.119926</v>
      </c>
      <c r="F40" s="48"/>
      <c r="G40" s="47">
        <v>35550</v>
      </c>
      <c r="H40" s="76">
        <v>80681</v>
      </c>
      <c r="I40" s="76" t="s">
        <v>27</v>
      </c>
      <c r="J40" s="11">
        <v>-2.0920999999999999E-2</v>
      </c>
      <c r="K40" s="160">
        <v>5.8406E-2</v>
      </c>
      <c r="L40" s="48"/>
      <c r="M40" s="65">
        <v>35611</v>
      </c>
      <c r="N40" s="11">
        <v>9.9071999999999993E-2</v>
      </c>
      <c r="O40" s="11">
        <v>1.073E-2</v>
      </c>
      <c r="P40" s="160">
        <v>4.3452999999999999E-2</v>
      </c>
    </row>
    <row r="41" spans="1:16">
      <c r="A41" s="47">
        <v>10593</v>
      </c>
      <c r="B41" s="48">
        <v>11404</v>
      </c>
      <c r="C41" s="48" t="s">
        <v>28</v>
      </c>
      <c r="D41" s="50">
        <v>-6.842E-3</v>
      </c>
      <c r="E41" s="14">
        <v>2.8830000000000001E-3</v>
      </c>
      <c r="F41" s="48"/>
      <c r="G41" s="47">
        <v>35580</v>
      </c>
      <c r="H41" s="76">
        <v>80681</v>
      </c>
      <c r="I41" s="76" t="s">
        <v>27</v>
      </c>
      <c r="J41" s="11">
        <v>1.2821000000000001E-2</v>
      </c>
      <c r="K41" s="160">
        <v>5.8576999999999997E-2</v>
      </c>
      <c r="L41" s="48"/>
      <c r="M41" s="65">
        <v>35642</v>
      </c>
      <c r="N41" s="11">
        <v>2.1401E-2</v>
      </c>
      <c r="O41" s="11">
        <v>7.4310000000000001E-2</v>
      </c>
      <c r="P41" s="160">
        <v>7.8122999999999998E-2</v>
      </c>
    </row>
    <row r="42" spans="1:16">
      <c r="A42" s="47">
        <v>10624</v>
      </c>
      <c r="B42" s="48">
        <v>11404</v>
      </c>
      <c r="C42" s="48" t="s">
        <v>28</v>
      </c>
      <c r="D42" s="50">
        <v>6.4294000000000004E-2</v>
      </c>
      <c r="E42" s="14">
        <v>5.7084000000000003E-2</v>
      </c>
      <c r="F42" s="48"/>
      <c r="G42" s="47">
        <v>35611</v>
      </c>
      <c r="H42" s="76">
        <v>80681</v>
      </c>
      <c r="I42" s="76" t="s">
        <v>27</v>
      </c>
      <c r="J42" s="11">
        <v>9.9071999999999993E-2</v>
      </c>
      <c r="K42" s="160">
        <v>4.3452999999999999E-2</v>
      </c>
      <c r="L42" s="48"/>
      <c r="M42" s="65">
        <v>35671</v>
      </c>
      <c r="N42" s="11">
        <v>-2.4761999999999999E-2</v>
      </c>
      <c r="O42" s="11">
        <v>-1.502E-2</v>
      </c>
      <c r="P42" s="160">
        <v>-5.7445999999999997E-2</v>
      </c>
    </row>
    <row r="43" spans="1:16">
      <c r="A43" s="47">
        <v>10652</v>
      </c>
      <c r="B43" s="48">
        <v>11404</v>
      </c>
      <c r="C43" s="48" t="s">
        <v>28</v>
      </c>
      <c r="D43" s="50">
        <v>-3.9913999999999998E-2</v>
      </c>
      <c r="E43" s="14">
        <v>-5.8279999999999998E-3</v>
      </c>
      <c r="F43" s="48"/>
      <c r="G43" s="47">
        <v>35642</v>
      </c>
      <c r="H43" s="76">
        <v>80681</v>
      </c>
      <c r="I43" s="76" t="s">
        <v>27</v>
      </c>
      <c r="J43" s="11">
        <v>2.1401E-2</v>
      </c>
      <c r="K43" s="160">
        <v>7.8122999999999998E-2</v>
      </c>
      <c r="L43" s="48"/>
      <c r="M43" s="65">
        <v>35703</v>
      </c>
      <c r="N43" s="11">
        <v>0.101953</v>
      </c>
      <c r="O43" s="11">
        <v>0.110204</v>
      </c>
      <c r="P43" s="160">
        <v>5.3154E-2</v>
      </c>
    </row>
    <row r="44" spans="1:16">
      <c r="A44" s="47">
        <v>10680</v>
      </c>
      <c r="B44" s="48">
        <v>11404</v>
      </c>
      <c r="C44" s="48" t="s">
        <v>28</v>
      </c>
      <c r="D44" s="50">
        <v>-4.9773999999999999E-2</v>
      </c>
      <c r="E44" s="14">
        <v>-2.3449999999999999E-3</v>
      </c>
      <c r="F44" s="48"/>
      <c r="G44" s="47">
        <v>35671</v>
      </c>
      <c r="H44" s="76">
        <v>80681</v>
      </c>
      <c r="I44" s="76" t="s">
        <v>27</v>
      </c>
      <c r="J44" s="11">
        <v>-2.4761999999999999E-2</v>
      </c>
      <c r="K44" s="160">
        <v>-5.7445999999999997E-2</v>
      </c>
      <c r="L44" s="48"/>
      <c r="M44" s="65">
        <v>35734</v>
      </c>
      <c r="N44" s="11">
        <v>-1.6157999999999999E-2</v>
      </c>
      <c r="O44" s="11">
        <v>7.3530000000000002E-3</v>
      </c>
      <c r="P44" s="160">
        <v>-3.4478000000000002E-2</v>
      </c>
    </row>
    <row r="45" spans="1:16">
      <c r="A45" s="47">
        <v>10713</v>
      </c>
      <c r="B45" s="48">
        <v>11404</v>
      </c>
      <c r="C45" s="48" t="s">
        <v>28</v>
      </c>
      <c r="D45" s="50">
        <v>3.9286000000000001E-2</v>
      </c>
      <c r="E45" s="14">
        <v>1.6060000000000001E-2</v>
      </c>
      <c r="F45" s="48"/>
      <c r="G45" s="47">
        <v>35703</v>
      </c>
      <c r="H45" s="76">
        <v>80681</v>
      </c>
      <c r="I45" s="76" t="s">
        <v>27</v>
      </c>
      <c r="J45" s="11">
        <v>0.101953</v>
      </c>
      <c r="K45" s="160">
        <v>5.3154E-2</v>
      </c>
      <c r="L45" s="48"/>
      <c r="M45" s="65">
        <v>35762</v>
      </c>
      <c r="N45" s="11">
        <v>5.4745000000000002E-2</v>
      </c>
      <c r="O45" s="11">
        <v>0.12299300000000001</v>
      </c>
      <c r="P45" s="160">
        <v>4.4587000000000002E-2</v>
      </c>
    </row>
    <row r="46" spans="1:16">
      <c r="A46" s="47">
        <v>10744</v>
      </c>
      <c r="B46" s="48">
        <v>11404</v>
      </c>
      <c r="C46" s="48" t="s">
        <v>28</v>
      </c>
      <c r="D46" s="50">
        <v>1.9473000000000001E-2</v>
      </c>
      <c r="E46" s="14">
        <v>-4.2791000000000003E-2</v>
      </c>
      <c r="F46" s="48"/>
      <c r="G46" s="47">
        <v>35734</v>
      </c>
      <c r="H46" s="76">
        <v>80681</v>
      </c>
      <c r="I46" s="76" t="s">
        <v>27</v>
      </c>
      <c r="J46" s="11">
        <v>-1.6157999999999999E-2</v>
      </c>
      <c r="K46" s="160">
        <v>-3.4478000000000002E-2</v>
      </c>
      <c r="L46" s="48"/>
      <c r="M46" s="65">
        <v>35795</v>
      </c>
      <c r="N46" s="11">
        <v>-1.8685E-2</v>
      </c>
      <c r="O46" s="11">
        <v>8.0725000000000005E-2</v>
      </c>
      <c r="P46" s="160">
        <v>1.5731999999999999E-2</v>
      </c>
    </row>
    <row r="47" spans="1:16">
      <c r="A47" s="47">
        <v>10773</v>
      </c>
      <c r="B47" s="48">
        <v>11404</v>
      </c>
      <c r="C47" s="48" t="s">
        <v>28</v>
      </c>
      <c r="D47" s="50">
        <v>0.18665200000000001</v>
      </c>
      <c r="E47" s="14">
        <v>0.11236400000000001</v>
      </c>
      <c r="F47" s="48"/>
      <c r="G47" s="47">
        <v>35762</v>
      </c>
      <c r="H47" s="76">
        <v>80681</v>
      </c>
      <c r="I47" s="76" t="s">
        <v>27</v>
      </c>
      <c r="J47" s="11">
        <v>5.4745000000000002E-2</v>
      </c>
      <c r="K47" s="160">
        <v>4.4587000000000002E-2</v>
      </c>
      <c r="L47" s="48"/>
      <c r="M47" s="65">
        <v>35825</v>
      </c>
      <c r="N47" s="11">
        <v>-1.6070999999999998E-2</v>
      </c>
      <c r="O47" s="11">
        <v>7.6220000000000003E-3</v>
      </c>
      <c r="P47" s="160">
        <v>1.0149999999999999E-2</v>
      </c>
    </row>
    <row r="48" spans="1:16">
      <c r="A48" s="47">
        <v>10805</v>
      </c>
      <c r="B48" s="48">
        <v>11404</v>
      </c>
      <c r="C48" s="48" t="s">
        <v>28</v>
      </c>
      <c r="D48" s="50">
        <v>0.113441</v>
      </c>
      <c r="E48" s="14">
        <v>4.5619E-2</v>
      </c>
      <c r="F48" s="48"/>
      <c r="G48" s="47">
        <v>35795</v>
      </c>
      <c r="H48" s="76">
        <v>80681</v>
      </c>
      <c r="I48" s="76" t="s">
        <v>27</v>
      </c>
      <c r="J48" s="11">
        <v>-1.8685E-2</v>
      </c>
      <c r="K48" s="160">
        <v>1.5731999999999999E-2</v>
      </c>
      <c r="L48" s="48"/>
      <c r="M48" s="65">
        <v>35853</v>
      </c>
      <c r="N48" s="11">
        <v>-5.9891E-2</v>
      </c>
      <c r="O48" s="11">
        <v>4.1572999999999999E-2</v>
      </c>
      <c r="P48" s="160">
        <v>7.0448999999999998E-2</v>
      </c>
    </row>
    <row r="49" spans="1:16">
      <c r="A49" s="47">
        <v>10835</v>
      </c>
      <c r="B49" s="48">
        <v>11404</v>
      </c>
      <c r="C49" s="48" t="s">
        <v>28</v>
      </c>
      <c r="D49" s="50">
        <v>0.24315100000000001</v>
      </c>
      <c r="E49" s="14">
        <v>9.7991999999999996E-2</v>
      </c>
      <c r="F49" s="48"/>
      <c r="G49" s="47">
        <v>35825</v>
      </c>
      <c r="H49" s="76">
        <v>80681</v>
      </c>
      <c r="I49" s="76" t="s">
        <v>27</v>
      </c>
      <c r="J49" s="11">
        <v>-1.6070999999999998E-2</v>
      </c>
      <c r="K49" s="160">
        <v>1.0149999999999999E-2</v>
      </c>
      <c r="L49" s="48"/>
      <c r="M49" s="65">
        <v>35885</v>
      </c>
      <c r="N49" s="11">
        <v>7.3745000000000005E-2</v>
      </c>
      <c r="O49" s="11">
        <v>0.1</v>
      </c>
      <c r="P49" s="160">
        <v>4.9945999999999997E-2</v>
      </c>
    </row>
    <row r="50" spans="1:16">
      <c r="A50" s="47">
        <v>10866</v>
      </c>
      <c r="B50" s="48">
        <v>11404</v>
      </c>
      <c r="C50" s="48" t="s">
        <v>28</v>
      </c>
      <c r="D50" s="50">
        <v>-0.10127800000000001</v>
      </c>
      <c r="E50" s="14">
        <v>-4.888E-2</v>
      </c>
      <c r="F50" s="48"/>
      <c r="G50" s="47">
        <v>35853</v>
      </c>
      <c r="H50" s="76">
        <v>80681</v>
      </c>
      <c r="I50" s="76" t="s">
        <v>27</v>
      </c>
      <c r="J50" s="11">
        <v>-5.9891E-2</v>
      </c>
      <c r="K50" s="160">
        <v>7.0448999999999998E-2</v>
      </c>
      <c r="L50" s="48"/>
      <c r="M50" s="65">
        <v>35915</v>
      </c>
      <c r="N50" s="11">
        <v>-3.8251E-2</v>
      </c>
      <c r="O50" s="11">
        <v>-3.2086000000000003E-2</v>
      </c>
      <c r="P50" s="160">
        <v>9.0760000000000007E-3</v>
      </c>
    </row>
    <row r="51" spans="1:16">
      <c r="A51" s="47">
        <v>10897</v>
      </c>
      <c r="B51" s="48">
        <v>11404</v>
      </c>
      <c r="C51" s="48" t="s">
        <v>28</v>
      </c>
      <c r="D51" s="50">
        <v>-0.28571400000000002</v>
      </c>
      <c r="E51" s="14">
        <v>-0.199271</v>
      </c>
      <c r="F51" s="48"/>
      <c r="G51" s="47">
        <v>35885</v>
      </c>
      <c r="H51" s="76">
        <v>80681</v>
      </c>
      <c r="I51" s="76" t="s">
        <v>27</v>
      </c>
      <c r="J51" s="11">
        <v>7.3745000000000005E-2</v>
      </c>
      <c r="K51" s="160">
        <v>4.9945999999999997E-2</v>
      </c>
      <c r="L51" s="48"/>
      <c r="M51" s="65">
        <v>35944</v>
      </c>
      <c r="N51" s="11">
        <v>-1.5152000000000001E-2</v>
      </c>
      <c r="O51" s="11">
        <v>-4.2154999999999998E-2</v>
      </c>
      <c r="P51" s="160">
        <v>-1.8825999999999999E-2</v>
      </c>
    </row>
    <row r="52" spans="1:16">
      <c r="A52" s="47">
        <v>10924</v>
      </c>
      <c r="B52" s="48">
        <v>11404</v>
      </c>
      <c r="C52" s="48" t="s">
        <v>28</v>
      </c>
      <c r="D52" s="50">
        <v>-0.10909099999999999</v>
      </c>
      <c r="E52" s="14">
        <v>-0.133747</v>
      </c>
      <c r="F52" s="48"/>
      <c r="G52" s="47">
        <v>35915</v>
      </c>
      <c r="H52" s="76">
        <v>80681</v>
      </c>
      <c r="I52" s="76" t="s">
        <v>27</v>
      </c>
      <c r="J52" s="11">
        <v>-3.8251E-2</v>
      </c>
      <c r="K52" s="160">
        <v>9.0760000000000007E-3</v>
      </c>
      <c r="L52" s="48"/>
      <c r="M52" s="65">
        <v>35976</v>
      </c>
      <c r="N52" s="11">
        <v>-3.0769000000000001E-2</v>
      </c>
      <c r="O52" s="11">
        <v>7.5911999999999993E-2</v>
      </c>
      <c r="P52" s="160">
        <v>3.9438000000000001E-2</v>
      </c>
    </row>
    <row r="53" spans="1:16">
      <c r="A53" s="47">
        <v>10958</v>
      </c>
      <c r="B53" s="48">
        <v>11404</v>
      </c>
      <c r="C53" s="48" t="s">
        <v>28</v>
      </c>
      <c r="D53" s="50">
        <v>3.2216000000000002E-2</v>
      </c>
      <c r="E53" s="14">
        <v>2.5335E-2</v>
      </c>
      <c r="F53" s="48"/>
      <c r="G53" s="47">
        <v>35944</v>
      </c>
      <c r="H53" s="76">
        <v>80681</v>
      </c>
      <c r="I53" s="76" t="s">
        <v>27</v>
      </c>
      <c r="J53" s="11">
        <v>-1.5152000000000001E-2</v>
      </c>
      <c r="K53" s="160">
        <v>-1.8825999999999999E-2</v>
      </c>
      <c r="L53" s="48"/>
      <c r="M53" s="65">
        <v>36007</v>
      </c>
      <c r="N53" s="11">
        <v>-2.0160999999999998E-2</v>
      </c>
      <c r="O53" s="11">
        <v>-8.1410999999999997E-2</v>
      </c>
      <c r="P53" s="160">
        <v>-1.1615E-2</v>
      </c>
    </row>
    <row r="54" spans="1:16">
      <c r="A54" s="47">
        <v>10989</v>
      </c>
      <c r="B54" s="48">
        <v>11404</v>
      </c>
      <c r="C54" s="48" t="s">
        <v>28</v>
      </c>
      <c r="D54" s="50">
        <v>0.108614</v>
      </c>
      <c r="E54" s="14">
        <v>6.2470999999999999E-2</v>
      </c>
      <c r="F54" s="48"/>
      <c r="G54" s="47">
        <v>35976</v>
      </c>
      <c r="H54" s="76">
        <v>80681</v>
      </c>
      <c r="I54" s="76" t="s">
        <v>27</v>
      </c>
      <c r="J54" s="11">
        <v>-3.0769000000000001E-2</v>
      </c>
      <c r="K54" s="160">
        <v>3.9438000000000001E-2</v>
      </c>
      <c r="L54" s="48"/>
      <c r="M54" s="65">
        <v>36038</v>
      </c>
      <c r="N54" s="11">
        <v>-6.3785999999999995E-2</v>
      </c>
      <c r="O54" s="11">
        <v>0.130694</v>
      </c>
      <c r="P54" s="160">
        <v>-0.14579700000000001</v>
      </c>
    </row>
    <row r="55" spans="1:16">
      <c r="A55" s="47">
        <v>11017</v>
      </c>
      <c r="B55" s="48">
        <v>11404</v>
      </c>
      <c r="C55" s="48" t="s">
        <v>28</v>
      </c>
      <c r="D55" s="50">
        <v>8.7837999999999999E-2</v>
      </c>
      <c r="E55" s="14">
        <v>2.1500999999999999E-2</v>
      </c>
      <c r="F55" s="48"/>
      <c r="G55" s="47">
        <v>36007</v>
      </c>
      <c r="H55" s="76">
        <v>80681</v>
      </c>
      <c r="I55" s="76" t="s">
        <v>27</v>
      </c>
      <c r="J55" s="11">
        <v>-2.0160999999999998E-2</v>
      </c>
      <c r="K55" s="160">
        <v>-1.1615E-2</v>
      </c>
      <c r="L55" s="48"/>
      <c r="M55" s="65">
        <v>36068</v>
      </c>
      <c r="N55" s="11">
        <v>0.107692</v>
      </c>
      <c r="O55" s="11">
        <v>9.9074999999999996E-2</v>
      </c>
      <c r="P55" s="160">
        <v>6.2396E-2</v>
      </c>
    </row>
    <row r="56" spans="1:16">
      <c r="A56" s="47">
        <v>11048</v>
      </c>
      <c r="B56" s="48">
        <v>11404</v>
      </c>
      <c r="C56" s="48" t="s">
        <v>28</v>
      </c>
      <c r="D56" s="50">
        <v>2.6096000000000001E-2</v>
      </c>
      <c r="E56" s="14">
        <v>7.9896999999999996E-2</v>
      </c>
      <c r="F56" s="48"/>
      <c r="G56" s="47">
        <v>36038</v>
      </c>
      <c r="H56" s="76">
        <v>80681</v>
      </c>
      <c r="I56" s="76" t="s">
        <v>27</v>
      </c>
      <c r="J56" s="11">
        <v>-6.3785999999999995E-2</v>
      </c>
      <c r="K56" s="160">
        <v>-0.14579700000000001</v>
      </c>
      <c r="L56" s="48"/>
      <c r="M56" s="65">
        <v>36098</v>
      </c>
      <c r="N56" s="11">
        <v>1.2097E-2</v>
      </c>
      <c r="O56" s="11">
        <v>-3.6058E-2</v>
      </c>
      <c r="P56" s="160">
        <v>8.0294000000000004E-2</v>
      </c>
    </row>
    <row r="57" spans="1:16">
      <c r="A57" s="47">
        <v>11078</v>
      </c>
      <c r="B57" s="48">
        <v>11404</v>
      </c>
      <c r="C57" s="48" t="s">
        <v>28</v>
      </c>
      <c r="D57" s="50">
        <v>7.4261999999999995E-2</v>
      </c>
      <c r="E57" s="14">
        <v>-9.5469999999999999E-3</v>
      </c>
      <c r="F57" s="48"/>
      <c r="G57" s="47">
        <v>36068</v>
      </c>
      <c r="H57" s="76">
        <v>80681</v>
      </c>
      <c r="I57" s="76" t="s">
        <v>27</v>
      </c>
      <c r="J57" s="11">
        <v>0.107692</v>
      </c>
      <c r="K57" s="160">
        <v>6.2396E-2</v>
      </c>
      <c r="L57" s="48"/>
      <c r="M57" s="65">
        <v>36129</v>
      </c>
      <c r="N57" s="11">
        <v>-1.3944E-2</v>
      </c>
      <c r="O57" s="11">
        <v>2.4289000000000002E-2</v>
      </c>
      <c r="P57" s="160">
        <v>5.9125999999999998E-2</v>
      </c>
    </row>
    <row r="58" spans="1:16">
      <c r="A58" s="47">
        <v>11107</v>
      </c>
      <c r="B58" s="48">
        <v>11404</v>
      </c>
      <c r="C58" s="48" t="s">
        <v>28</v>
      </c>
      <c r="D58" s="50">
        <v>6.6290000000000003E-3</v>
      </c>
      <c r="E58" s="14">
        <v>-1.6466000000000001E-2</v>
      </c>
      <c r="F58" s="48"/>
      <c r="G58" s="47">
        <v>36098</v>
      </c>
      <c r="H58" s="76">
        <v>80681</v>
      </c>
      <c r="I58" s="76" t="s">
        <v>27</v>
      </c>
      <c r="J58" s="11">
        <v>1.2097E-2</v>
      </c>
      <c r="K58" s="160">
        <v>8.0294000000000004E-2</v>
      </c>
      <c r="L58" s="48"/>
      <c r="M58" s="65">
        <v>36160</v>
      </c>
      <c r="N58" s="11">
        <v>-2.2221999999999999E-2</v>
      </c>
      <c r="O58" s="11">
        <v>4.0590000000000001E-2</v>
      </c>
      <c r="P58" s="160">
        <v>5.6375000000000001E-2</v>
      </c>
    </row>
    <row r="59" spans="1:16">
      <c r="A59" s="47">
        <v>11139</v>
      </c>
      <c r="B59" s="48">
        <v>11404</v>
      </c>
      <c r="C59" s="48" t="s">
        <v>28</v>
      </c>
      <c r="D59" s="50">
        <v>-0.179147</v>
      </c>
      <c r="E59" s="14">
        <v>-0.16455700000000001</v>
      </c>
      <c r="F59" s="48"/>
      <c r="G59" s="47">
        <v>36129</v>
      </c>
      <c r="H59" s="76">
        <v>80681</v>
      </c>
      <c r="I59" s="76" t="s">
        <v>27</v>
      </c>
      <c r="J59" s="11">
        <v>-1.3944E-2</v>
      </c>
      <c r="K59" s="160">
        <v>5.9125999999999998E-2</v>
      </c>
      <c r="L59" s="48"/>
      <c r="M59" s="65">
        <v>36189</v>
      </c>
      <c r="N59" s="11">
        <v>-3.7815000000000001E-2</v>
      </c>
      <c r="O59" s="11">
        <v>-6.5012E-2</v>
      </c>
      <c r="P59" s="160">
        <v>4.1008999999999997E-2</v>
      </c>
    </row>
    <row r="60" spans="1:16">
      <c r="A60" s="47">
        <v>11170</v>
      </c>
      <c r="B60" s="48">
        <v>11404</v>
      </c>
      <c r="C60" s="48" t="s">
        <v>28</v>
      </c>
      <c r="D60" s="50">
        <v>-4.6189999999999998E-3</v>
      </c>
      <c r="E60" s="14">
        <v>3.6657000000000002E-2</v>
      </c>
      <c r="F60" s="48"/>
      <c r="G60" s="47">
        <v>36160</v>
      </c>
      <c r="H60" s="76">
        <v>80681</v>
      </c>
      <c r="I60" s="76" t="s">
        <v>27</v>
      </c>
      <c r="J60" s="11">
        <v>-2.2221999999999999E-2</v>
      </c>
      <c r="K60" s="160">
        <v>5.6375000000000001E-2</v>
      </c>
      <c r="L60" s="48"/>
      <c r="M60" s="65">
        <v>36217</v>
      </c>
      <c r="N60" s="11">
        <v>-1.3100000000000001E-2</v>
      </c>
      <c r="O60" s="11">
        <v>-4.3540000000000002E-2</v>
      </c>
      <c r="P60" s="160">
        <v>-3.2282999999999999E-2</v>
      </c>
    </row>
    <row r="61" spans="1:16">
      <c r="A61" s="47">
        <v>11199</v>
      </c>
      <c r="B61" s="48">
        <v>11404</v>
      </c>
      <c r="C61" s="48" t="s">
        <v>28</v>
      </c>
      <c r="D61" s="50">
        <v>1.8561000000000001E-2</v>
      </c>
      <c r="E61" s="14">
        <v>7.5440000000000004E-3</v>
      </c>
      <c r="F61" s="48"/>
      <c r="G61" s="47">
        <v>36189</v>
      </c>
      <c r="H61" s="76">
        <v>80681</v>
      </c>
      <c r="I61" s="76" t="s">
        <v>27</v>
      </c>
      <c r="J61" s="11">
        <v>-3.7815000000000001E-2</v>
      </c>
      <c r="K61" s="160">
        <v>4.1008999999999997E-2</v>
      </c>
      <c r="L61" s="48"/>
      <c r="M61" s="65">
        <v>36250</v>
      </c>
      <c r="N61" s="11">
        <v>-5.7521999999999997E-2</v>
      </c>
      <c r="O61" s="11">
        <v>-3.0748999999999999E-2</v>
      </c>
      <c r="P61" s="160">
        <v>3.8794000000000002E-2</v>
      </c>
    </row>
    <row r="62" spans="1:16">
      <c r="A62" s="47">
        <v>11231</v>
      </c>
      <c r="B62" s="48">
        <v>11404</v>
      </c>
      <c r="C62" s="48" t="s">
        <v>28</v>
      </c>
      <c r="D62" s="50">
        <v>-8.0460000000000004E-2</v>
      </c>
      <c r="E62" s="14">
        <v>-0.13008900000000001</v>
      </c>
      <c r="F62" s="48"/>
      <c r="G62" s="47">
        <v>36217</v>
      </c>
      <c r="H62" s="76">
        <v>80681</v>
      </c>
      <c r="I62" s="76" t="s">
        <v>27</v>
      </c>
      <c r="J62" s="11">
        <v>-1.3100000000000001E-2</v>
      </c>
      <c r="K62" s="160">
        <v>-3.2282999999999999E-2</v>
      </c>
      <c r="L62" s="48"/>
      <c r="M62" s="65">
        <v>36280</v>
      </c>
      <c r="N62" s="11">
        <v>0.20813400000000001</v>
      </c>
      <c r="O62" s="11">
        <v>2.7590000000000002E-3</v>
      </c>
      <c r="P62" s="160">
        <v>3.7943999999999999E-2</v>
      </c>
    </row>
    <row r="63" spans="1:16">
      <c r="A63" s="47">
        <v>11262</v>
      </c>
      <c r="B63" s="48">
        <v>11404</v>
      </c>
      <c r="C63" s="48" t="s">
        <v>28</v>
      </c>
      <c r="D63" s="50">
        <v>-6.25E-2</v>
      </c>
      <c r="E63" s="14">
        <v>-8.8757000000000003E-2</v>
      </c>
      <c r="F63" s="48"/>
      <c r="G63" s="47">
        <v>36250</v>
      </c>
      <c r="H63" s="76">
        <v>80681</v>
      </c>
      <c r="I63" s="76" t="s">
        <v>27</v>
      </c>
      <c r="J63" s="11">
        <v>-5.7521999999999997E-2</v>
      </c>
      <c r="K63" s="160">
        <v>3.8794000000000002E-2</v>
      </c>
      <c r="L63" s="48"/>
      <c r="M63" s="65">
        <v>36308</v>
      </c>
      <c r="N63" s="11">
        <v>1.7822000000000001E-2</v>
      </c>
      <c r="O63" s="11">
        <v>8.0549999999999997E-2</v>
      </c>
      <c r="P63" s="160">
        <v>-2.4969999999999999E-2</v>
      </c>
    </row>
    <row r="64" spans="1:16">
      <c r="A64" s="47">
        <v>11291</v>
      </c>
      <c r="B64" s="48">
        <v>11404</v>
      </c>
      <c r="C64" s="48" t="s">
        <v>28</v>
      </c>
      <c r="D64" s="50">
        <v>-5.6000000000000001E-2</v>
      </c>
      <c r="E64" s="14">
        <v>-2.1842E-2</v>
      </c>
      <c r="F64" s="48"/>
      <c r="G64" s="47">
        <v>36280</v>
      </c>
      <c r="H64" s="76">
        <v>80681</v>
      </c>
      <c r="I64" s="76" t="s">
        <v>27</v>
      </c>
      <c r="J64" s="11">
        <v>0.20813400000000001</v>
      </c>
      <c r="K64" s="160">
        <v>3.7943999999999999E-2</v>
      </c>
      <c r="L64" s="48"/>
      <c r="M64" s="65">
        <v>36341</v>
      </c>
      <c r="N64" s="11">
        <v>0.118288</v>
      </c>
      <c r="O64" s="11">
        <v>-6.8210999999999994E-2</v>
      </c>
      <c r="P64" s="160">
        <v>5.4438E-2</v>
      </c>
    </row>
    <row r="65" spans="1:16">
      <c r="A65" s="47">
        <v>11323</v>
      </c>
      <c r="B65" s="48">
        <v>11404</v>
      </c>
      <c r="C65" s="48" t="s">
        <v>28</v>
      </c>
      <c r="D65" s="50">
        <v>-0.04</v>
      </c>
      <c r="E65" s="14">
        <v>-7.4231000000000005E-2</v>
      </c>
      <c r="F65" s="48"/>
      <c r="G65" s="47">
        <v>36308</v>
      </c>
      <c r="H65" s="76">
        <v>80681</v>
      </c>
      <c r="I65" s="76" t="s">
        <v>27</v>
      </c>
      <c r="J65" s="11">
        <v>1.7822000000000001E-2</v>
      </c>
      <c r="K65" s="160">
        <v>-2.4969999999999999E-2</v>
      </c>
      <c r="L65" s="48"/>
      <c r="M65" s="65">
        <v>36371</v>
      </c>
      <c r="N65" s="11">
        <v>-4.5935999999999998E-2</v>
      </c>
      <c r="O65" s="11">
        <v>-3.8674E-2</v>
      </c>
      <c r="P65" s="160">
        <v>-3.2045999999999998E-2</v>
      </c>
    </row>
    <row r="66" spans="1:16">
      <c r="A66" s="47">
        <v>11354</v>
      </c>
      <c r="B66" s="48">
        <v>11404</v>
      </c>
      <c r="C66" s="48" t="s">
        <v>28</v>
      </c>
      <c r="D66" s="50">
        <v>6.5476000000000006E-2</v>
      </c>
      <c r="E66" s="14">
        <v>4.8891999999999998E-2</v>
      </c>
      <c r="F66" s="48"/>
      <c r="G66" s="47">
        <v>36341</v>
      </c>
      <c r="H66" s="76">
        <v>80681</v>
      </c>
      <c r="I66" s="76" t="s">
        <v>27</v>
      </c>
      <c r="J66" s="11">
        <v>0.118288</v>
      </c>
      <c r="K66" s="160">
        <v>5.4438E-2</v>
      </c>
      <c r="L66" s="48"/>
      <c r="M66" s="65">
        <v>36403</v>
      </c>
      <c r="N66" s="11">
        <v>2.5926000000000001E-2</v>
      </c>
      <c r="O66" s="11">
        <v>2.3793000000000002E-2</v>
      </c>
      <c r="P66" s="160">
        <v>-6.254E-3</v>
      </c>
    </row>
    <row r="67" spans="1:16">
      <c r="A67" s="47">
        <v>11382</v>
      </c>
      <c r="B67" s="48">
        <v>11404</v>
      </c>
      <c r="C67" s="48" t="s">
        <v>28</v>
      </c>
      <c r="D67" s="50">
        <v>0.128492</v>
      </c>
      <c r="E67" s="14">
        <v>0.114357</v>
      </c>
      <c r="F67" s="48"/>
      <c r="G67" s="47">
        <v>36371</v>
      </c>
      <c r="H67" s="76">
        <v>80681</v>
      </c>
      <c r="I67" s="76" t="s">
        <v>27</v>
      </c>
      <c r="J67" s="11">
        <v>-4.5935999999999998E-2</v>
      </c>
      <c r="K67" s="160">
        <v>-3.2045999999999998E-2</v>
      </c>
      <c r="L67" s="48"/>
      <c r="M67" s="65">
        <v>36433</v>
      </c>
      <c r="N67" s="11">
        <v>2.4910000000000002E-2</v>
      </c>
      <c r="O67" s="11">
        <v>-5.6818E-2</v>
      </c>
      <c r="P67" s="160">
        <v>-2.8552000000000001E-2</v>
      </c>
    </row>
    <row r="68" spans="1:16">
      <c r="A68" s="47">
        <v>11413</v>
      </c>
      <c r="B68" s="48">
        <v>11404</v>
      </c>
      <c r="C68" s="48" t="s">
        <v>28</v>
      </c>
      <c r="D68" s="50">
        <v>1.2500000000000001E-2</v>
      </c>
      <c r="E68" s="14">
        <v>-6.9157999999999997E-2</v>
      </c>
      <c r="F68" s="48"/>
      <c r="G68" s="47">
        <v>36403</v>
      </c>
      <c r="H68" s="76">
        <v>80681</v>
      </c>
      <c r="I68" s="76" t="s">
        <v>27</v>
      </c>
      <c r="J68" s="11">
        <v>2.5926000000000001E-2</v>
      </c>
      <c r="K68" s="160">
        <v>-6.254E-3</v>
      </c>
      <c r="L68" s="48"/>
      <c r="M68" s="65">
        <v>36462</v>
      </c>
      <c r="N68" s="11">
        <v>-6.7978999999999998E-2</v>
      </c>
      <c r="O68" s="11">
        <v>-7.9819000000000001E-2</v>
      </c>
      <c r="P68" s="160">
        <v>6.2538999999999997E-2</v>
      </c>
    </row>
    <row r="69" spans="1:16">
      <c r="A69" s="47">
        <v>11443</v>
      </c>
      <c r="B69" s="48">
        <v>11404</v>
      </c>
      <c r="C69" s="48" t="s">
        <v>28</v>
      </c>
      <c r="D69" s="50">
        <v>-6.9136000000000003E-2</v>
      </c>
      <c r="E69" s="14">
        <v>-9.5866000000000007E-2</v>
      </c>
      <c r="F69" s="48"/>
      <c r="G69" s="47">
        <v>36433</v>
      </c>
      <c r="H69" s="76">
        <v>80681</v>
      </c>
      <c r="I69" s="76" t="s">
        <v>27</v>
      </c>
      <c r="J69" s="11">
        <v>2.4910000000000002E-2</v>
      </c>
      <c r="K69" s="160">
        <v>-2.8552000000000001E-2</v>
      </c>
      <c r="L69" s="48"/>
      <c r="M69" s="65">
        <v>36494</v>
      </c>
      <c r="N69" s="11">
        <v>-3.839E-3</v>
      </c>
      <c r="O69" s="11">
        <v>-8.2553000000000001E-2</v>
      </c>
      <c r="P69" s="160">
        <v>1.9061999999999999E-2</v>
      </c>
    </row>
    <row r="70" spans="1:16">
      <c r="A70" s="47">
        <v>11472</v>
      </c>
      <c r="B70" s="48">
        <v>11404</v>
      </c>
      <c r="C70" s="48" t="s">
        <v>28</v>
      </c>
      <c r="D70" s="50">
        <v>-6.8966E-2</v>
      </c>
      <c r="E70" s="14">
        <v>-0.13717699999999999</v>
      </c>
      <c r="F70" s="48"/>
      <c r="G70" s="47">
        <v>36462</v>
      </c>
      <c r="H70" s="76">
        <v>80681</v>
      </c>
      <c r="I70" s="76" t="s">
        <v>27</v>
      </c>
      <c r="J70" s="11">
        <v>-6.7978999999999998E-2</v>
      </c>
      <c r="K70" s="160">
        <v>6.2538999999999997E-2</v>
      </c>
      <c r="L70" s="48"/>
      <c r="M70" s="65">
        <v>36525</v>
      </c>
      <c r="N70" s="11">
        <v>6.5125000000000002E-2</v>
      </c>
      <c r="O70" s="11">
        <v>0</v>
      </c>
      <c r="P70" s="160">
        <v>5.7844E-2</v>
      </c>
    </row>
    <row r="71" spans="1:16">
      <c r="A71" s="47">
        <v>11504</v>
      </c>
      <c r="B71" s="48">
        <v>11404</v>
      </c>
      <c r="C71" s="48" t="s">
        <v>28</v>
      </c>
      <c r="D71" s="50">
        <v>0.11239200000000001</v>
      </c>
      <c r="E71" s="14">
        <v>0.139017</v>
      </c>
      <c r="F71" s="48"/>
      <c r="G71" s="47">
        <v>36494</v>
      </c>
      <c r="H71" s="76">
        <v>80681</v>
      </c>
      <c r="I71" s="76" t="s">
        <v>27</v>
      </c>
      <c r="J71" s="11">
        <v>-3.839E-3</v>
      </c>
      <c r="K71" s="160">
        <v>1.9061999999999999E-2</v>
      </c>
      <c r="L71" s="48"/>
      <c r="M71" s="65">
        <v>36556</v>
      </c>
      <c r="N71" s="11">
        <v>0</v>
      </c>
      <c r="O71" s="11">
        <v>-5.2535999999999999E-2</v>
      </c>
      <c r="P71" s="160">
        <v>-5.0903999999999998E-2</v>
      </c>
    </row>
    <row r="72" spans="1:16">
      <c r="A72" s="47">
        <v>11535</v>
      </c>
      <c r="B72" s="48">
        <v>11404</v>
      </c>
      <c r="C72" s="48" t="s">
        <v>28</v>
      </c>
      <c r="D72" s="50">
        <v>-5.1812999999999998E-2</v>
      </c>
      <c r="E72" s="14">
        <v>-7.4174000000000004E-2</v>
      </c>
      <c r="F72" s="48"/>
      <c r="G72" s="47">
        <v>36525</v>
      </c>
      <c r="H72" s="76">
        <v>80681</v>
      </c>
      <c r="I72" s="76" t="s">
        <v>27</v>
      </c>
      <c r="J72" s="11">
        <v>6.5125000000000002E-2</v>
      </c>
      <c r="K72" s="160">
        <v>5.7844E-2</v>
      </c>
      <c r="L72" s="48"/>
      <c r="M72" s="65">
        <v>36585</v>
      </c>
      <c r="N72" s="11">
        <v>3.6764999999999999E-2</v>
      </c>
      <c r="O72" s="11">
        <v>-0.14011499999999999</v>
      </c>
      <c r="P72" s="160">
        <v>-2.0108000000000001E-2</v>
      </c>
    </row>
    <row r="73" spans="1:16">
      <c r="A73" s="47">
        <v>11566</v>
      </c>
      <c r="B73" s="48">
        <v>11404</v>
      </c>
      <c r="C73" s="48" t="s">
        <v>28</v>
      </c>
      <c r="D73" s="50">
        <v>3.0054999999999998E-2</v>
      </c>
      <c r="E73" s="14">
        <v>9.4680000000000007E-3</v>
      </c>
      <c r="F73" s="48"/>
      <c r="G73" s="47">
        <v>36556</v>
      </c>
      <c r="H73" s="76">
        <v>80681</v>
      </c>
      <c r="I73" s="76" t="s">
        <v>27</v>
      </c>
      <c r="J73" s="11">
        <v>0</v>
      </c>
      <c r="K73" s="160">
        <v>-5.0903999999999998E-2</v>
      </c>
      <c r="L73" s="48"/>
      <c r="M73" s="65">
        <v>36616</v>
      </c>
      <c r="N73" s="11">
        <v>3.6879000000000002E-2</v>
      </c>
      <c r="O73" s="11">
        <v>5.6689000000000003E-2</v>
      </c>
      <c r="P73" s="160">
        <v>9.672E-2</v>
      </c>
    </row>
    <row r="74" spans="1:16">
      <c r="A74" s="47">
        <v>11596</v>
      </c>
      <c r="B74" s="48">
        <v>11404</v>
      </c>
      <c r="C74" s="48" t="s">
        <v>28</v>
      </c>
      <c r="D74" s="50">
        <v>-0.281501</v>
      </c>
      <c r="E74" s="14">
        <v>-0.29942299999999999</v>
      </c>
      <c r="F74" s="48"/>
      <c r="G74" s="47">
        <v>36585</v>
      </c>
      <c r="H74" s="76">
        <v>80681</v>
      </c>
      <c r="I74" s="76" t="s">
        <v>27</v>
      </c>
      <c r="J74" s="11">
        <v>3.6764999999999999E-2</v>
      </c>
      <c r="K74" s="160">
        <v>-2.0108000000000001E-2</v>
      </c>
      <c r="L74" s="48"/>
      <c r="M74" s="65">
        <v>36644</v>
      </c>
      <c r="N74" s="11">
        <v>7.2916999999999996E-2</v>
      </c>
      <c r="O74" s="11">
        <v>0.20815500000000001</v>
      </c>
      <c r="P74" s="160">
        <v>-3.0796E-2</v>
      </c>
    </row>
    <row r="75" spans="1:16">
      <c r="A75" s="47">
        <v>11627</v>
      </c>
      <c r="B75" s="48">
        <v>11404</v>
      </c>
      <c r="C75" s="48" t="s">
        <v>28</v>
      </c>
      <c r="D75" s="50">
        <v>8.7687000000000001E-2</v>
      </c>
      <c r="E75" s="14">
        <v>8.4448999999999996E-2</v>
      </c>
      <c r="F75" s="48"/>
      <c r="G75" s="47">
        <v>36616</v>
      </c>
      <c r="H75" s="76">
        <v>80681</v>
      </c>
      <c r="I75" s="76" t="s">
        <v>27</v>
      </c>
      <c r="J75" s="11">
        <v>3.6879000000000002E-2</v>
      </c>
      <c r="K75" s="160">
        <v>9.672E-2</v>
      </c>
      <c r="L75" s="48"/>
      <c r="M75" s="65">
        <v>36677</v>
      </c>
      <c r="N75" s="11">
        <v>3.0744E-2</v>
      </c>
      <c r="O75" s="11">
        <v>-5.7335999999999998E-2</v>
      </c>
      <c r="P75" s="160">
        <v>-2.1915E-2</v>
      </c>
    </row>
    <row r="76" spans="1:16">
      <c r="A76" s="47">
        <v>11657</v>
      </c>
      <c r="B76" s="48">
        <v>11404</v>
      </c>
      <c r="C76" s="48" t="s">
        <v>28</v>
      </c>
      <c r="D76" s="50">
        <v>-5.6604000000000002E-2</v>
      </c>
      <c r="E76" s="14">
        <v>-9.7816E-2</v>
      </c>
      <c r="F76" s="48"/>
      <c r="G76" s="47">
        <v>36644</v>
      </c>
      <c r="H76" s="76">
        <v>80681</v>
      </c>
      <c r="I76" s="76" t="s">
        <v>27</v>
      </c>
      <c r="J76" s="11">
        <v>7.2916999999999996E-2</v>
      </c>
      <c r="K76" s="160">
        <v>-3.0796E-2</v>
      </c>
      <c r="L76" s="48"/>
      <c r="M76" s="65">
        <v>36707</v>
      </c>
      <c r="N76" s="11">
        <v>7.0266999999999996E-2</v>
      </c>
      <c r="O76" s="11">
        <v>-9.1953999999999994E-2</v>
      </c>
      <c r="P76" s="160">
        <v>2.3934E-2</v>
      </c>
    </row>
    <row r="77" spans="1:16">
      <c r="A77" s="47">
        <v>11688</v>
      </c>
      <c r="B77" s="48">
        <v>11404</v>
      </c>
      <c r="C77" s="48" t="s">
        <v>28</v>
      </c>
      <c r="D77" s="50">
        <v>-0.11254599999999999</v>
      </c>
      <c r="E77" s="14">
        <v>-0.145263</v>
      </c>
      <c r="F77" s="48"/>
      <c r="G77" s="47">
        <v>36677</v>
      </c>
      <c r="H77" s="76">
        <v>80681</v>
      </c>
      <c r="I77" s="76" t="s">
        <v>27</v>
      </c>
      <c r="J77" s="11">
        <v>3.0744E-2</v>
      </c>
      <c r="K77" s="160">
        <v>-2.1915E-2</v>
      </c>
      <c r="L77" s="48"/>
      <c r="M77" s="65">
        <v>36738</v>
      </c>
      <c r="N77" s="11">
        <v>0.17261899999999999</v>
      </c>
      <c r="O77" s="11">
        <v>2.3206999999999998E-2</v>
      </c>
      <c r="P77" s="160">
        <v>-1.6341000000000001E-2</v>
      </c>
    </row>
    <row r="78" spans="1:16">
      <c r="A78" s="47">
        <v>11718</v>
      </c>
      <c r="B78" s="48">
        <v>11404</v>
      </c>
      <c r="C78" s="48" t="s">
        <v>28</v>
      </c>
      <c r="D78" s="50">
        <v>-4.9896000000000003E-2</v>
      </c>
      <c r="E78" s="14">
        <v>-2.8324999999999999E-2</v>
      </c>
      <c r="F78" s="48"/>
      <c r="G78" s="47">
        <v>36707</v>
      </c>
      <c r="H78" s="76">
        <v>80681</v>
      </c>
      <c r="I78" s="76" t="s">
        <v>27</v>
      </c>
      <c r="J78" s="11">
        <v>7.0266999999999996E-2</v>
      </c>
      <c r="K78" s="160">
        <v>2.3934E-2</v>
      </c>
      <c r="L78" s="48"/>
      <c r="M78" s="65">
        <v>36769</v>
      </c>
      <c r="N78" s="11">
        <v>-1.2689999999999999E-3</v>
      </c>
      <c r="O78" s="11">
        <v>5.0969E-2</v>
      </c>
      <c r="P78" s="160">
        <v>6.0699000000000003E-2</v>
      </c>
    </row>
    <row r="79" spans="1:16">
      <c r="A79" s="47">
        <v>11748</v>
      </c>
      <c r="B79" s="48">
        <v>11404</v>
      </c>
      <c r="C79" s="48" t="s">
        <v>28</v>
      </c>
      <c r="D79" s="50">
        <v>0.10284500000000001</v>
      </c>
      <c r="E79" s="14">
        <v>5.0696999999999999E-2</v>
      </c>
      <c r="F79" s="48"/>
      <c r="G79" s="47">
        <v>36738</v>
      </c>
      <c r="H79" s="76">
        <v>80681</v>
      </c>
      <c r="I79" s="76" t="s">
        <v>27</v>
      </c>
      <c r="J79" s="11">
        <v>0.17261899999999999</v>
      </c>
      <c r="K79" s="160">
        <v>-1.6341000000000001E-2</v>
      </c>
      <c r="L79" s="48"/>
      <c r="M79" s="65">
        <v>36798</v>
      </c>
      <c r="N79" s="11">
        <v>0.13819600000000001</v>
      </c>
      <c r="O79" s="11">
        <v>8.9819999999999997E-2</v>
      </c>
      <c r="P79" s="160">
        <v>-5.3483000000000003E-2</v>
      </c>
    </row>
    <row r="80" spans="1:16">
      <c r="A80" s="47">
        <v>11779</v>
      </c>
      <c r="B80" s="48">
        <v>11404</v>
      </c>
      <c r="C80" s="48" t="s">
        <v>28</v>
      </c>
      <c r="D80" s="50">
        <v>-6.25E-2</v>
      </c>
      <c r="E80" s="14">
        <v>-0.118215</v>
      </c>
      <c r="F80" s="48"/>
      <c r="G80" s="47">
        <v>36769</v>
      </c>
      <c r="H80" s="76">
        <v>80681</v>
      </c>
      <c r="I80" s="76" t="s">
        <v>27</v>
      </c>
      <c r="J80" s="11">
        <v>-1.2689999999999999E-3</v>
      </c>
      <c r="K80" s="160">
        <v>6.0699000000000003E-2</v>
      </c>
      <c r="L80" s="48"/>
      <c r="M80" s="65">
        <v>36830</v>
      </c>
      <c r="N80" s="11">
        <v>-6.0948000000000002E-2</v>
      </c>
      <c r="O80" s="11">
        <v>3.1136E-2</v>
      </c>
      <c r="P80" s="160">
        <v>-4.9490000000000003E-3</v>
      </c>
    </row>
    <row r="81" spans="1:16">
      <c r="A81" s="47">
        <v>11809</v>
      </c>
      <c r="B81" s="48">
        <v>11404</v>
      </c>
      <c r="C81" s="48" t="s">
        <v>28</v>
      </c>
      <c r="D81" s="50">
        <v>-0.14838699999999999</v>
      </c>
      <c r="E81" s="14">
        <v>-0.202462</v>
      </c>
      <c r="F81" s="48"/>
      <c r="G81" s="47">
        <v>36798</v>
      </c>
      <c r="H81" s="76">
        <v>80681</v>
      </c>
      <c r="I81" s="76" t="s">
        <v>27</v>
      </c>
      <c r="J81" s="11">
        <v>0.13819600000000001</v>
      </c>
      <c r="K81" s="160">
        <v>-5.3483000000000003E-2</v>
      </c>
      <c r="L81" s="48"/>
      <c r="M81" s="65">
        <v>36860</v>
      </c>
      <c r="N81" s="11">
        <v>1.0817E-2</v>
      </c>
      <c r="O81" s="11">
        <v>7.4103000000000002E-2</v>
      </c>
      <c r="P81" s="160">
        <v>-8.0069000000000001E-2</v>
      </c>
    </row>
    <row r="82" spans="1:16">
      <c r="A82" s="47">
        <v>11840</v>
      </c>
      <c r="B82" s="48">
        <v>11404</v>
      </c>
      <c r="C82" s="48" t="s">
        <v>28</v>
      </c>
      <c r="D82" s="50">
        <v>-0.252525</v>
      </c>
      <c r="E82" s="14">
        <v>-0.23327600000000001</v>
      </c>
      <c r="F82" s="48"/>
      <c r="G82" s="47">
        <v>36830</v>
      </c>
      <c r="H82" s="76">
        <v>80681</v>
      </c>
      <c r="I82" s="76" t="s">
        <v>27</v>
      </c>
      <c r="J82" s="11">
        <v>-6.0948000000000002E-2</v>
      </c>
      <c r="K82" s="160">
        <v>-4.9490000000000003E-3</v>
      </c>
      <c r="L82" s="48"/>
      <c r="M82" s="65">
        <v>36889</v>
      </c>
      <c r="N82" s="11">
        <v>5.3221999999999998E-2</v>
      </c>
      <c r="O82" s="11">
        <v>3.3556999999999997E-2</v>
      </c>
      <c r="P82" s="160">
        <v>4.0530000000000002E-3</v>
      </c>
    </row>
    <row r="83" spans="1:16">
      <c r="A83" s="47">
        <v>11870</v>
      </c>
      <c r="B83" s="48">
        <v>11404</v>
      </c>
      <c r="C83" s="48" t="s">
        <v>28</v>
      </c>
      <c r="D83" s="50">
        <v>-1.3889E-2</v>
      </c>
      <c r="E83" s="14">
        <v>-8.9490000000000004E-3</v>
      </c>
      <c r="F83" s="48"/>
      <c r="G83" s="47">
        <v>36860</v>
      </c>
      <c r="H83" s="76">
        <v>80681</v>
      </c>
      <c r="I83" s="76" t="s">
        <v>27</v>
      </c>
      <c r="J83" s="11">
        <v>1.0817E-2</v>
      </c>
      <c r="K83" s="160">
        <v>-8.0069000000000001E-2</v>
      </c>
      <c r="L83" s="48"/>
      <c r="M83" s="65">
        <v>36922</v>
      </c>
      <c r="N83" s="11">
        <v>-5.4795000000000003E-2</v>
      </c>
      <c r="O83" s="11">
        <v>-9.2467999999999995E-2</v>
      </c>
      <c r="P83" s="160">
        <v>3.4637000000000001E-2</v>
      </c>
    </row>
    <row r="84" spans="1:16">
      <c r="A84" s="47">
        <v>11900</v>
      </c>
      <c r="B84" s="48">
        <v>11404</v>
      </c>
      <c r="C84" s="48" t="s">
        <v>28</v>
      </c>
      <c r="D84" s="50">
        <v>0.32394400000000001</v>
      </c>
      <c r="E84" s="14">
        <v>0.376975</v>
      </c>
      <c r="F84" s="48"/>
      <c r="G84" s="47">
        <v>36889</v>
      </c>
      <c r="H84" s="76">
        <v>80681</v>
      </c>
      <c r="I84" s="76" t="s">
        <v>27</v>
      </c>
      <c r="J84" s="11">
        <v>5.3221999999999998E-2</v>
      </c>
      <c r="K84" s="160">
        <v>4.0530000000000002E-3</v>
      </c>
      <c r="L84" s="48"/>
      <c r="M84" s="65">
        <v>36950</v>
      </c>
      <c r="N84" s="11">
        <v>-3.0918000000000001E-2</v>
      </c>
      <c r="O84" s="11">
        <v>7.0979E-2</v>
      </c>
      <c r="P84" s="160">
        <v>-9.2290999999999998E-2</v>
      </c>
    </row>
    <row r="85" spans="1:16">
      <c r="A85" s="47">
        <v>11932</v>
      </c>
      <c r="B85" s="48">
        <v>11404</v>
      </c>
      <c r="C85" s="48" t="s">
        <v>28</v>
      </c>
      <c r="D85" s="50">
        <v>0.31383</v>
      </c>
      <c r="E85" s="14">
        <v>0.37541000000000002</v>
      </c>
      <c r="F85" s="48"/>
      <c r="G85" s="47">
        <v>36922</v>
      </c>
      <c r="H85" s="76">
        <v>80681</v>
      </c>
      <c r="I85" s="76" t="s">
        <v>27</v>
      </c>
      <c r="J85" s="11">
        <v>-5.4795000000000003E-2</v>
      </c>
      <c r="K85" s="160">
        <v>3.4637000000000001E-2</v>
      </c>
      <c r="L85" s="48"/>
      <c r="M85" s="65">
        <v>36980</v>
      </c>
      <c r="N85" s="11">
        <v>-2.7916E-2</v>
      </c>
      <c r="O85" s="11">
        <v>6.2379999999999996E-3</v>
      </c>
      <c r="P85" s="160">
        <v>-6.4204999999999998E-2</v>
      </c>
    </row>
    <row r="86" spans="1:16">
      <c r="A86" s="47">
        <v>11962</v>
      </c>
      <c r="B86" s="48">
        <v>11404</v>
      </c>
      <c r="C86" s="48" t="s">
        <v>28</v>
      </c>
      <c r="D86" s="50">
        <v>1.0288E-2</v>
      </c>
      <c r="E86" s="14">
        <v>-3.6949000000000003E-2</v>
      </c>
      <c r="F86" s="48"/>
      <c r="G86" s="47">
        <v>36950</v>
      </c>
      <c r="H86" s="76">
        <v>80681</v>
      </c>
      <c r="I86" s="76" t="s">
        <v>27</v>
      </c>
      <c r="J86" s="11">
        <v>-3.0918000000000001E-2</v>
      </c>
      <c r="K86" s="160">
        <v>-9.2290999999999998E-2</v>
      </c>
      <c r="L86" s="48"/>
      <c r="M86" s="65">
        <v>37011</v>
      </c>
      <c r="N86" s="11">
        <v>-2.1852E-2</v>
      </c>
      <c r="O86" s="11">
        <v>8.3560000000000006E-3</v>
      </c>
      <c r="P86" s="160">
        <v>7.6813999999999993E-2</v>
      </c>
    </row>
    <row r="87" spans="1:16">
      <c r="A87" s="47">
        <v>11993</v>
      </c>
      <c r="B87" s="48">
        <v>11404</v>
      </c>
      <c r="C87" s="48" t="s">
        <v>28</v>
      </c>
      <c r="D87" s="50">
        <v>-7.3319999999999996E-2</v>
      </c>
      <c r="E87" s="14">
        <v>-0.13861399999999999</v>
      </c>
      <c r="F87" s="48"/>
      <c r="G87" s="47">
        <v>36980</v>
      </c>
      <c r="H87" s="76">
        <v>80681</v>
      </c>
      <c r="I87" s="76" t="s">
        <v>27</v>
      </c>
      <c r="J87" s="11">
        <v>-2.7916E-2</v>
      </c>
      <c r="K87" s="160">
        <v>-6.4204999999999998E-2</v>
      </c>
      <c r="L87" s="48"/>
      <c r="M87" s="65">
        <v>37042</v>
      </c>
      <c r="N87" s="11">
        <v>0</v>
      </c>
      <c r="O87" s="11">
        <v>6.1213999999999998E-2</v>
      </c>
      <c r="P87" s="160">
        <v>5.0899999999999999E-3</v>
      </c>
    </row>
    <row r="88" spans="1:16">
      <c r="A88" s="47">
        <v>12023</v>
      </c>
      <c r="B88" s="48">
        <v>11404</v>
      </c>
      <c r="C88" s="48" t="s">
        <v>28</v>
      </c>
      <c r="D88" s="50">
        <v>-1.5384999999999999E-2</v>
      </c>
      <c r="E88" s="14">
        <v>-5.8908000000000002E-2</v>
      </c>
      <c r="F88" s="48"/>
      <c r="G88" s="47">
        <v>37011</v>
      </c>
      <c r="H88" s="76">
        <v>80681</v>
      </c>
      <c r="I88" s="76" t="s">
        <v>27</v>
      </c>
      <c r="J88" s="11">
        <v>-2.1852E-2</v>
      </c>
      <c r="K88" s="160">
        <v>7.6813999999999993E-2</v>
      </c>
      <c r="L88" s="48"/>
      <c r="M88" s="65">
        <v>37071</v>
      </c>
      <c r="N88" s="11">
        <v>6.9149000000000002E-2</v>
      </c>
      <c r="O88" s="11">
        <v>1.6603E-2</v>
      </c>
      <c r="P88" s="160">
        <v>-2.5003999999999998E-2</v>
      </c>
    </row>
    <row r="89" spans="1:16">
      <c r="A89" s="47">
        <v>12054</v>
      </c>
      <c r="B89" s="48">
        <v>11404</v>
      </c>
      <c r="C89" s="48" t="s">
        <v>28</v>
      </c>
      <c r="D89" s="50">
        <v>7.0455000000000004E-2</v>
      </c>
      <c r="E89" s="14">
        <v>5.1908000000000003E-2</v>
      </c>
      <c r="F89" s="48"/>
      <c r="G89" s="47">
        <v>37042</v>
      </c>
      <c r="H89" s="76">
        <v>80681</v>
      </c>
      <c r="I89" s="76" t="s">
        <v>27</v>
      </c>
      <c r="J89" s="11">
        <v>0</v>
      </c>
      <c r="K89" s="160">
        <v>5.0899999999999999E-3</v>
      </c>
      <c r="L89" s="48"/>
      <c r="M89" s="65">
        <v>37103</v>
      </c>
      <c r="N89" s="11">
        <v>2.7244999999999998E-2</v>
      </c>
      <c r="O89" s="11">
        <v>-1.5070000000000001E-3</v>
      </c>
      <c r="P89" s="160">
        <v>-1.0772E-2</v>
      </c>
    </row>
    <row r="90" spans="1:16">
      <c r="A90" s="47">
        <v>12085</v>
      </c>
      <c r="B90" s="48">
        <v>11404</v>
      </c>
      <c r="C90" s="48" t="s">
        <v>28</v>
      </c>
      <c r="D90" s="50">
        <v>-2.5478000000000001E-2</v>
      </c>
      <c r="E90" s="14">
        <v>7.2570000000000004E-3</v>
      </c>
      <c r="F90" s="48"/>
      <c r="G90" s="47">
        <v>37071</v>
      </c>
      <c r="H90" s="76">
        <v>80681</v>
      </c>
      <c r="I90" s="76" t="s">
        <v>27</v>
      </c>
      <c r="J90" s="11">
        <v>6.9149000000000002E-2</v>
      </c>
      <c r="K90" s="160">
        <v>-2.5003999999999998E-2</v>
      </c>
      <c r="L90" s="48"/>
      <c r="M90" s="65">
        <v>37134</v>
      </c>
      <c r="N90" s="11">
        <v>2.3576E-2</v>
      </c>
      <c r="O90" s="11">
        <v>4.3029999999999999E-2</v>
      </c>
      <c r="P90" s="160">
        <v>-6.4107999999999998E-2</v>
      </c>
    </row>
    <row r="91" spans="1:16">
      <c r="A91" s="47">
        <v>12113</v>
      </c>
      <c r="B91" s="48">
        <v>11404</v>
      </c>
      <c r="C91" s="48" t="s">
        <v>28</v>
      </c>
      <c r="D91" s="50">
        <v>-0.18518499999999999</v>
      </c>
      <c r="E91" s="14">
        <v>-0.18443799999999999</v>
      </c>
      <c r="F91" s="48"/>
      <c r="G91" s="47">
        <v>37103</v>
      </c>
      <c r="H91" s="76">
        <v>80681</v>
      </c>
      <c r="I91" s="76" t="s">
        <v>27</v>
      </c>
      <c r="J91" s="11">
        <v>2.7244999999999998E-2</v>
      </c>
      <c r="K91" s="160">
        <v>-1.0772E-2</v>
      </c>
      <c r="L91" s="48"/>
      <c r="M91" s="65">
        <v>37162</v>
      </c>
      <c r="N91" s="11">
        <v>-4.4145999999999998E-2</v>
      </c>
      <c r="O91" s="11">
        <v>-4.4010000000000004E-3</v>
      </c>
      <c r="P91" s="160">
        <v>-8.1723000000000004E-2</v>
      </c>
    </row>
    <row r="92" spans="1:16">
      <c r="A92" s="47">
        <v>12144</v>
      </c>
      <c r="B92" s="48">
        <v>11404</v>
      </c>
      <c r="C92" s="48" t="s">
        <v>28</v>
      </c>
      <c r="D92" s="50">
        <v>-0.106557</v>
      </c>
      <c r="E92" s="14">
        <v>3.3569000000000002E-2</v>
      </c>
      <c r="F92" s="48"/>
      <c r="G92" s="47">
        <v>37134</v>
      </c>
      <c r="H92" s="76">
        <v>80681</v>
      </c>
      <c r="I92" s="76" t="s">
        <v>27</v>
      </c>
      <c r="J92" s="11">
        <v>2.3576E-2</v>
      </c>
      <c r="K92" s="160">
        <v>-6.4107999999999998E-2</v>
      </c>
      <c r="L92" s="48"/>
      <c r="M92" s="65">
        <v>37195</v>
      </c>
      <c r="N92" s="11">
        <v>-4.5824999999999998E-2</v>
      </c>
      <c r="O92" s="11">
        <v>-3.0206E-2</v>
      </c>
      <c r="P92" s="160">
        <v>1.8099000000000001E-2</v>
      </c>
    </row>
    <row r="93" spans="1:16">
      <c r="A93" s="47">
        <v>12173</v>
      </c>
      <c r="B93" s="48">
        <v>11404</v>
      </c>
      <c r="C93" s="48" t="s">
        <v>28</v>
      </c>
      <c r="D93" s="50">
        <v>0.17431199999999999</v>
      </c>
      <c r="E93" s="14">
        <v>0.42222199999999999</v>
      </c>
      <c r="F93" s="48"/>
      <c r="G93" s="47">
        <v>37162</v>
      </c>
      <c r="H93" s="76">
        <v>80681</v>
      </c>
      <c r="I93" s="76" t="s">
        <v>27</v>
      </c>
      <c r="J93" s="11">
        <v>-4.4145999999999998E-2</v>
      </c>
      <c r="K93" s="160">
        <v>-8.1723000000000004E-2</v>
      </c>
      <c r="L93" s="48"/>
      <c r="M93" s="65">
        <v>37225</v>
      </c>
      <c r="N93" s="11">
        <v>1.7715999999999999E-2</v>
      </c>
      <c r="O93" s="11">
        <v>-8.1030000000000008E-3</v>
      </c>
      <c r="P93" s="160">
        <v>7.5176000000000007E-2</v>
      </c>
    </row>
    <row r="94" spans="1:16">
      <c r="A94" s="47">
        <v>12205</v>
      </c>
      <c r="B94" s="48">
        <v>11404</v>
      </c>
      <c r="C94" s="48" t="s">
        <v>28</v>
      </c>
      <c r="D94" s="50">
        <v>0.160938</v>
      </c>
      <c r="E94" s="14">
        <v>0.15865399999999999</v>
      </c>
      <c r="F94" s="48"/>
      <c r="G94" s="47">
        <v>37195</v>
      </c>
      <c r="H94" s="76">
        <v>80681</v>
      </c>
      <c r="I94" s="76" t="s">
        <v>27</v>
      </c>
      <c r="J94" s="11">
        <v>-4.5824999999999998E-2</v>
      </c>
      <c r="K94" s="160">
        <v>1.8099000000000001E-2</v>
      </c>
      <c r="L94" s="48"/>
      <c r="M94" s="65">
        <v>37256</v>
      </c>
      <c r="N94" s="11">
        <v>5.0965000000000003E-2</v>
      </c>
      <c r="O94" s="11">
        <v>4.5053999999999997E-2</v>
      </c>
      <c r="P94" s="160">
        <v>7.574E-3</v>
      </c>
    </row>
    <row r="95" spans="1:16">
      <c r="A95" s="47">
        <v>12235</v>
      </c>
      <c r="B95" s="48">
        <v>11404</v>
      </c>
      <c r="C95" s="48" t="s">
        <v>28</v>
      </c>
      <c r="D95" s="50">
        <v>3.8724000000000001E-2</v>
      </c>
      <c r="E95" s="14">
        <v>0.131743</v>
      </c>
      <c r="F95" s="48"/>
      <c r="G95" s="47">
        <v>37225</v>
      </c>
      <c r="H95" s="76">
        <v>80681</v>
      </c>
      <c r="I95" s="76" t="s">
        <v>27</v>
      </c>
      <c r="J95" s="11">
        <v>1.7715999999999999E-2</v>
      </c>
      <c r="K95" s="160">
        <v>7.5176000000000007E-2</v>
      </c>
      <c r="L95" s="48"/>
      <c r="M95" s="65">
        <v>37287</v>
      </c>
      <c r="N95" s="11">
        <v>-6.2133000000000001E-2</v>
      </c>
      <c r="O95" s="11">
        <v>1.5610000000000001E-2</v>
      </c>
      <c r="P95" s="160">
        <v>-1.5573999999999999E-2</v>
      </c>
    </row>
    <row r="96" spans="1:16">
      <c r="A96" s="47">
        <v>12266</v>
      </c>
      <c r="B96" s="48">
        <v>11404</v>
      </c>
      <c r="C96" s="48" t="s">
        <v>28</v>
      </c>
      <c r="D96" s="50">
        <v>-9.4298000000000007E-2</v>
      </c>
      <c r="E96" s="14">
        <v>-8.7993000000000002E-2</v>
      </c>
      <c r="F96" s="48"/>
      <c r="G96" s="47">
        <v>37256</v>
      </c>
      <c r="H96" s="76">
        <v>80681</v>
      </c>
      <c r="I96" s="76" t="s">
        <v>27</v>
      </c>
      <c r="J96" s="11">
        <v>5.0965000000000003E-2</v>
      </c>
      <c r="K96" s="160">
        <v>7.574E-3</v>
      </c>
      <c r="L96" s="48"/>
      <c r="M96" s="65">
        <v>37315</v>
      </c>
      <c r="N96" s="11">
        <v>2.2873999999999999E-2</v>
      </c>
      <c r="O96" s="11">
        <v>8.9049999999999997E-3</v>
      </c>
      <c r="P96" s="160">
        <v>-2.0766E-2</v>
      </c>
    </row>
    <row r="97" spans="1:16">
      <c r="A97" s="47">
        <v>12297</v>
      </c>
      <c r="B97" s="48">
        <v>11404</v>
      </c>
      <c r="C97" s="48" t="s">
        <v>28</v>
      </c>
      <c r="D97" s="50">
        <v>-1.0168999999999999E-2</v>
      </c>
      <c r="E97" s="14">
        <v>0.11457299999999999</v>
      </c>
      <c r="F97" s="48"/>
      <c r="G97" s="47">
        <v>37287</v>
      </c>
      <c r="H97" s="76">
        <v>80681</v>
      </c>
      <c r="I97" s="76" t="s">
        <v>27</v>
      </c>
      <c r="J97" s="11">
        <v>-6.2133000000000001E-2</v>
      </c>
      <c r="K97" s="160">
        <v>-1.5573999999999999E-2</v>
      </c>
      <c r="L97" s="48"/>
      <c r="M97" s="65">
        <v>37343</v>
      </c>
      <c r="N97" s="11">
        <v>0.117089</v>
      </c>
      <c r="O97" s="11">
        <v>2.7206000000000001E-2</v>
      </c>
      <c r="P97" s="160">
        <v>3.6739000000000001E-2</v>
      </c>
    </row>
    <row r="98" spans="1:16">
      <c r="A98" s="47">
        <v>12327</v>
      </c>
      <c r="B98" s="48">
        <v>11404</v>
      </c>
      <c r="C98" s="48" t="s">
        <v>28</v>
      </c>
      <c r="D98" s="50">
        <v>-0.17412900000000001</v>
      </c>
      <c r="E98" s="14">
        <v>-0.11361599999999999</v>
      </c>
      <c r="F98" s="48"/>
      <c r="G98" s="47">
        <v>37315</v>
      </c>
      <c r="H98" s="76">
        <v>80681</v>
      </c>
      <c r="I98" s="76" t="s">
        <v>27</v>
      </c>
      <c r="J98" s="11">
        <v>2.2873999999999999E-2</v>
      </c>
      <c r="K98" s="160">
        <v>-2.0766E-2</v>
      </c>
      <c r="L98" s="48"/>
      <c r="M98" s="65">
        <v>37376</v>
      </c>
      <c r="N98" s="11">
        <v>-3.4499999999999999E-3</v>
      </c>
      <c r="O98" s="11">
        <v>4.0085999999999997E-2</v>
      </c>
      <c r="P98" s="160">
        <v>-6.1418E-2</v>
      </c>
    </row>
    <row r="99" spans="1:16">
      <c r="A99" s="47">
        <v>12358</v>
      </c>
      <c r="B99" s="48">
        <v>11404</v>
      </c>
      <c r="C99" s="48" t="s">
        <v>28</v>
      </c>
      <c r="D99" s="50">
        <v>-4.8193E-2</v>
      </c>
      <c r="E99" s="14">
        <v>-8.8505E-2</v>
      </c>
      <c r="F99" s="48"/>
      <c r="G99" s="47">
        <v>37343</v>
      </c>
      <c r="H99" s="76">
        <v>80681</v>
      </c>
      <c r="I99" s="76" t="s">
        <v>27</v>
      </c>
      <c r="J99" s="11">
        <v>0.117089</v>
      </c>
      <c r="K99" s="160">
        <v>3.6739000000000001E-2</v>
      </c>
      <c r="L99" s="48"/>
      <c r="M99" s="65">
        <v>37407</v>
      </c>
      <c r="N99" s="11">
        <v>4.8079999999999998E-3</v>
      </c>
      <c r="O99" s="11">
        <v>1.6861999999999999E-2</v>
      </c>
      <c r="P99" s="160">
        <v>-9.0810000000000005E-3</v>
      </c>
    </row>
    <row r="100" spans="1:16">
      <c r="A100" s="47">
        <v>12387</v>
      </c>
      <c r="B100" s="48">
        <v>11404</v>
      </c>
      <c r="C100" s="48" t="s">
        <v>28</v>
      </c>
      <c r="D100" s="50">
        <v>-3.1646000000000001E-2</v>
      </c>
      <c r="E100" s="14">
        <v>0.10267900000000001</v>
      </c>
      <c r="F100" s="48"/>
      <c r="G100" s="47">
        <v>37376</v>
      </c>
      <c r="H100" s="76">
        <v>80681</v>
      </c>
      <c r="I100" s="76" t="s">
        <v>27</v>
      </c>
      <c r="J100" s="11">
        <v>-3.4499999999999999E-3</v>
      </c>
      <c r="K100" s="160">
        <v>-6.1418E-2</v>
      </c>
      <c r="L100" s="48"/>
      <c r="M100" s="65">
        <v>37435</v>
      </c>
      <c r="N100" s="11">
        <v>6.1627000000000001E-2</v>
      </c>
      <c r="O100" s="11">
        <v>-4.6149999999999997E-2</v>
      </c>
      <c r="P100" s="160">
        <v>-7.2465000000000002E-2</v>
      </c>
    </row>
    <row r="101" spans="1:16">
      <c r="A101" s="47">
        <v>12418</v>
      </c>
      <c r="B101" s="48">
        <v>11404</v>
      </c>
      <c r="C101" s="48" t="s">
        <v>28</v>
      </c>
      <c r="D101" s="50">
        <v>0.03</v>
      </c>
      <c r="E101" s="14">
        <v>2.2266999999999999E-2</v>
      </c>
      <c r="F101" s="48"/>
      <c r="G101" s="47">
        <v>37407</v>
      </c>
      <c r="H101" s="76">
        <v>80681</v>
      </c>
      <c r="I101" s="76" t="s">
        <v>27</v>
      </c>
      <c r="J101" s="11">
        <v>4.8079999999999998E-3</v>
      </c>
      <c r="K101" s="160">
        <v>-9.0810000000000005E-3</v>
      </c>
      <c r="L101" s="48"/>
      <c r="M101" s="65">
        <v>37468</v>
      </c>
      <c r="N101" s="11">
        <v>-6.7641999999999994E-2</v>
      </c>
      <c r="O101" s="11">
        <v>2.6346999999999999E-2</v>
      </c>
      <c r="P101" s="160">
        <v>-7.8994999999999996E-2</v>
      </c>
    </row>
    <row r="102" spans="1:16">
      <c r="A102" s="47">
        <v>12450</v>
      </c>
      <c r="B102" s="48">
        <v>11404</v>
      </c>
      <c r="C102" s="48" t="s">
        <v>28</v>
      </c>
      <c r="D102" s="50">
        <v>0.12621399999999999</v>
      </c>
      <c r="E102" s="14">
        <v>0.10594099999999999</v>
      </c>
      <c r="F102" s="48"/>
      <c r="G102" s="47">
        <v>37435</v>
      </c>
      <c r="H102" s="76">
        <v>80681</v>
      </c>
      <c r="I102" s="76" t="s">
        <v>27</v>
      </c>
      <c r="J102" s="11">
        <v>6.1627000000000001E-2</v>
      </c>
      <c r="K102" s="160">
        <v>-7.2465000000000002E-2</v>
      </c>
      <c r="L102" s="48"/>
      <c r="M102" s="65">
        <v>37498</v>
      </c>
      <c r="N102" s="11">
        <v>3.5293999999999999E-2</v>
      </c>
      <c r="O102" s="11">
        <v>-3.7456000000000003E-2</v>
      </c>
      <c r="P102" s="160">
        <v>4.8809999999999999E-3</v>
      </c>
    </row>
    <row r="103" spans="1:16">
      <c r="A103" s="47">
        <v>12478</v>
      </c>
      <c r="B103" s="48">
        <v>11404</v>
      </c>
      <c r="C103" s="48" t="s">
        <v>28</v>
      </c>
      <c r="D103" s="50">
        <v>-7.4713000000000002E-2</v>
      </c>
      <c r="E103" s="14">
        <v>-3.6705000000000002E-2</v>
      </c>
      <c r="F103" s="48"/>
      <c r="G103" s="47">
        <v>37468</v>
      </c>
      <c r="H103" s="76">
        <v>80681</v>
      </c>
      <c r="I103" s="76" t="s">
        <v>27</v>
      </c>
      <c r="J103" s="11">
        <v>-6.7641999999999994E-2</v>
      </c>
      <c r="K103" s="160">
        <v>-7.8994999999999996E-2</v>
      </c>
      <c r="L103" s="48"/>
      <c r="M103" s="65">
        <v>37529</v>
      </c>
      <c r="N103" s="11">
        <v>-4.9052999999999999E-2</v>
      </c>
      <c r="O103" s="11">
        <v>-1.1551000000000001E-2</v>
      </c>
      <c r="P103" s="160">
        <v>-0.110013</v>
      </c>
    </row>
    <row r="104" spans="1:16">
      <c r="A104" s="47">
        <v>12509</v>
      </c>
      <c r="B104" s="48">
        <v>11404</v>
      </c>
      <c r="C104" s="48" t="s">
        <v>28</v>
      </c>
      <c r="D104" s="50">
        <v>-3.7975000000000002E-2</v>
      </c>
      <c r="E104" s="14">
        <v>-9.2900000000000003E-4</v>
      </c>
      <c r="F104" s="48"/>
      <c r="G104" s="47">
        <v>37498</v>
      </c>
      <c r="H104" s="76">
        <v>80681</v>
      </c>
      <c r="I104" s="76" t="s">
        <v>27</v>
      </c>
      <c r="J104" s="11">
        <v>3.5293999999999999E-2</v>
      </c>
      <c r="K104" s="160">
        <v>4.8809999999999999E-3</v>
      </c>
      <c r="L104" s="48"/>
      <c r="M104" s="65">
        <v>37560</v>
      </c>
      <c r="N104" s="11">
        <v>-4.0049000000000001E-2</v>
      </c>
      <c r="O104" s="11">
        <v>5.8429000000000002E-2</v>
      </c>
      <c r="P104" s="160">
        <v>8.6435999999999999E-2</v>
      </c>
    </row>
    <row r="105" spans="1:16">
      <c r="A105" s="47">
        <v>12539</v>
      </c>
      <c r="B105" s="48">
        <v>11404</v>
      </c>
      <c r="C105" s="48" t="s">
        <v>28</v>
      </c>
      <c r="D105" s="50">
        <v>-7.5658000000000003E-2</v>
      </c>
      <c r="E105" s="14">
        <v>-2.6977000000000001E-2</v>
      </c>
      <c r="F105" s="48"/>
      <c r="G105" s="47">
        <v>37529</v>
      </c>
      <c r="H105" s="76">
        <v>80681</v>
      </c>
      <c r="I105" s="76" t="s">
        <v>27</v>
      </c>
      <c r="J105" s="11">
        <v>-4.9052999999999999E-2</v>
      </c>
      <c r="K105" s="160">
        <v>-0.110013</v>
      </c>
      <c r="L105" s="48"/>
      <c r="M105" s="65">
        <v>37589</v>
      </c>
      <c r="N105" s="11">
        <v>7.4589000000000003E-2</v>
      </c>
      <c r="O105" s="11">
        <v>-5.3206000000000003E-2</v>
      </c>
      <c r="P105" s="160">
        <v>5.7070000000000003E-2</v>
      </c>
    </row>
    <row r="106" spans="1:16">
      <c r="A106" s="47">
        <v>12570</v>
      </c>
      <c r="B106" s="48">
        <v>11404</v>
      </c>
      <c r="C106" s="48" t="s">
        <v>28</v>
      </c>
      <c r="D106" s="50">
        <v>-7.4732999999999994E-2</v>
      </c>
      <c r="E106" s="14">
        <v>-8.1262000000000001E-2</v>
      </c>
      <c r="F106" s="48"/>
      <c r="G106" s="47">
        <v>37560</v>
      </c>
      <c r="H106" s="76">
        <v>80681</v>
      </c>
      <c r="I106" s="76" t="s">
        <v>27</v>
      </c>
      <c r="J106" s="11">
        <v>-4.0049000000000001E-2</v>
      </c>
      <c r="K106" s="160">
        <v>8.6435999999999999E-2</v>
      </c>
      <c r="L106" s="48"/>
      <c r="M106" s="65">
        <v>37621</v>
      </c>
      <c r="N106" s="11">
        <v>1.2156999999999999E-2</v>
      </c>
      <c r="O106" s="11">
        <v>7.7232999999999996E-2</v>
      </c>
      <c r="P106" s="160">
        <v>-6.0332999999999998E-2</v>
      </c>
    </row>
    <row r="107" spans="1:16">
      <c r="A107" s="47">
        <v>12600</v>
      </c>
      <c r="B107" s="48">
        <v>11404</v>
      </c>
      <c r="C107" s="48" t="s">
        <v>28</v>
      </c>
      <c r="D107" s="50">
        <v>4.2969E-2</v>
      </c>
      <c r="E107" s="14">
        <v>2.0812000000000001E-2</v>
      </c>
      <c r="F107" s="48"/>
      <c r="G107" s="47">
        <v>37589</v>
      </c>
      <c r="H107" s="76">
        <v>80681</v>
      </c>
      <c r="I107" s="76" t="s">
        <v>27</v>
      </c>
      <c r="J107" s="11">
        <v>7.4589000000000003E-2</v>
      </c>
      <c r="K107" s="160">
        <v>5.7070000000000003E-2</v>
      </c>
      <c r="L107" s="48"/>
      <c r="M107" s="65">
        <v>37652</v>
      </c>
      <c r="N107" s="11">
        <v>-7.2760000000000003E-3</v>
      </c>
      <c r="O107" s="11">
        <v>-6.7724999999999994E-2</v>
      </c>
      <c r="P107" s="160">
        <v>-2.7414999999999998E-2</v>
      </c>
    </row>
    <row r="108" spans="1:16">
      <c r="A108" s="47">
        <v>12631</v>
      </c>
      <c r="B108" s="48">
        <v>11404</v>
      </c>
      <c r="C108" s="48" t="s">
        <v>28</v>
      </c>
      <c r="D108" s="50">
        <v>-0.17602999999999999</v>
      </c>
      <c r="E108" s="14">
        <v>-0.115189</v>
      </c>
      <c r="F108" s="48"/>
      <c r="G108" s="47">
        <v>37621</v>
      </c>
      <c r="H108" s="76">
        <v>80681</v>
      </c>
      <c r="I108" s="76" t="s">
        <v>27</v>
      </c>
      <c r="J108" s="11">
        <v>1.2156999999999999E-2</v>
      </c>
      <c r="K108" s="160">
        <v>-6.0332999999999998E-2</v>
      </c>
      <c r="L108" s="48"/>
      <c r="M108" s="65">
        <v>37680</v>
      </c>
      <c r="N108" s="11">
        <v>9.3109999999999998E-3</v>
      </c>
      <c r="O108" s="11">
        <v>-9.018E-3</v>
      </c>
      <c r="P108" s="160">
        <v>-1.7003999999999998E-2</v>
      </c>
    </row>
    <row r="109" spans="1:16">
      <c r="A109" s="47">
        <v>12662</v>
      </c>
      <c r="B109" s="48">
        <v>11404</v>
      </c>
      <c r="C109" s="48" t="s">
        <v>28</v>
      </c>
      <c r="D109" s="50">
        <v>3.6364E-2</v>
      </c>
      <c r="E109" s="14">
        <v>5.4147000000000001E-2</v>
      </c>
      <c r="F109" s="48"/>
      <c r="G109" s="47">
        <v>37652</v>
      </c>
      <c r="H109" s="76">
        <v>80681</v>
      </c>
      <c r="I109" s="76" t="s">
        <v>27</v>
      </c>
      <c r="J109" s="11">
        <v>-7.2760000000000003E-3</v>
      </c>
      <c r="K109" s="160">
        <v>-2.7414999999999998E-2</v>
      </c>
      <c r="L109" s="48"/>
      <c r="M109" s="65">
        <v>37711</v>
      </c>
      <c r="N109" s="11">
        <v>4.0823999999999999E-2</v>
      </c>
      <c r="O109" s="11">
        <v>-1.359E-2</v>
      </c>
      <c r="P109" s="160">
        <v>8.3580000000000008E-3</v>
      </c>
    </row>
    <row r="110" spans="1:16">
      <c r="A110" s="47">
        <v>12691</v>
      </c>
      <c r="B110" s="48">
        <v>11404</v>
      </c>
      <c r="C110" s="48" t="s">
        <v>28</v>
      </c>
      <c r="D110" s="50">
        <v>6.25E-2</v>
      </c>
      <c r="E110" s="14">
        <v>-5.4640000000000001E-3</v>
      </c>
      <c r="F110" s="48"/>
      <c r="G110" s="47">
        <v>37680</v>
      </c>
      <c r="H110" s="76">
        <v>80681</v>
      </c>
      <c r="I110" s="76" t="s">
        <v>27</v>
      </c>
      <c r="J110" s="11">
        <v>9.3109999999999998E-3</v>
      </c>
      <c r="K110" s="160">
        <v>-1.7003999999999998E-2</v>
      </c>
      <c r="L110" s="48"/>
      <c r="M110" s="65">
        <v>37741</v>
      </c>
      <c r="N110" s="11">
        <v>5.2056999999999999E-2</v>
      </c>
      <c r="O110" s="11">
        <v>1.0397999999999999E-2</v>
      </c>
      <c r="P110" s="160">
        <v>8.1044000000000005E-2</v>
      </c>
    </row>
    <row r="111" spans="1:16">
      <c r="A111" s="47">
        <v>12723</v>
      </c>
      <c r="B111" s="48">
        <v>11404</v>
      </c>
      <c r="C111" s="48" t="s">
        <v>28</v>
      </c>
      <c r="D111" s="50">
        <v>-0.12605</v>
      </c>
      <c r="E111" s="14">
        <v>-3.1868E-2</v>
      </c>
      <c r="F111" s="48"/>
      <c r="G111" s="47">
        <v>37711</v>
      </c>
      <c r="H111" s="76">
        <v>80681</v>
      </c>
      <c r="I111" s="76" t="s">
        <v>27</v>
      </c>
      <c r="J111" s="11">
        <v>4.0823999999999999E-2</v>
      </c>
      <c r="K111" s="160">
        <v>8.3580000000000008E-3</v>
      </c>
      <c r="L111" s="48"/>
      <c r="M111" s="65">
        <v>37771</v>
      </c>
      <c r="N111" s="11">
        <v>3.6747000000000002E-2</v>
      </c>
      <c r="O111" s="11">
        <v>0.12040099999999999</v>
      </c>
      <c r="P111" s="160">
        <v>5.0899E-2</v>
      </c>
    </row>
    <row r="112" spans="1:16">
      <c r="A112" s="47">
        <v>12753</v>
      </c>
      <c r="B112" s="48">
        <v>11404</v>
      </c>
      <c r="C112" s="48" t="s">
        <v>28</v>
      </c>
      <c r="D112" s="50">
        <v>-6.25E-2</v>
      </c>
      <c r="E112" s="14">
        <v>8.2860000000000003E-2</v>
      </c>
      <c r="F112" s="48"/>
      <c r="G112" s="47">
        <v>37741</v>
      </c>
      <c r="H112" s="76">
        <v>80681</v>
      </c>
      <c r="I112" s="76" t="s">
        <v>27</v>
      </c>
      <c r="J112" s="11">
        <v>5.2056999999999999E-2</v>
      </c>
      <c r="K112" s="160">
        <v>8.1044000000000005E-2</v>
      </c>
      <c r="L112" s="48"/>
      <c r="M112" s="65">
        <v>37802</v>
      </c>
      <c r="N112" s="11">
        <v>1.8249000000000001E-2</v>
      </c>
      <c r="O112" s="11">
        <v>6.7460000000000003E-3</v>
      </c>
      <c r="P112" s="160">
        <v>1.1322E-2</v>
      </c>
    </row>
    <row r="113" spans="1:16">
      <c r="A113" s="47">
        <v>12784</v>
      </c>
      <c r="B113" s="48">
        <v>11404</v>
      </c>
      <c r="C113" s="48" t="s">
        <v>28</v>
      </c>
      <c r="D113" s="50">
        <v>-0.151833</v>
      </c>
      <c r="E113" s="14">
        <v>-4.1929999999999997E-3</v>
      </c>
      <c r="F113" s="48"/>
      <c r="G113" s="47">
        <v>37771</v>
      </c>
      <c r="H113" s="76">
        <v>80681</v>
      </c>
      <c r="I113" s="76" t="s">
        <v>27</v>
      </c>
      <c r="J113" s="11">
        <v>3.6747000000000002E-2</v>
      </c>
      <c r="K113" s="160">
        <v>5.0899E-2</v>
      </c>
      <c r="L113" s="48"/>
      <c r="M113" s="65">
        <v>37833</v>
      </c>
      <c r="N113" s="11">
        <v>5.8514999999999998E-2</v>
      </c>
      <c r="O113" s="11">
        <v>-8.2486000000000004E-2</v>
      </c>
      <c r="P113" s="160">
        <v>1.6223999999999999E-2</v>
      </c>
    </row>
    <row r="114" spans="1:16">
      <c r="A114" s="47">
        <v>12815</v>
      </c>
      <c r="B114" s="48">
        <v>11404</v>
      </c>
      <c r="C114" s="48" t="s">
        <v>28</v>
      </c>
      <c r="D114" s="50">
        <v>-2.4691000000000001E-2</v>
      </c>
      <c r="E114" s="14">
        <v>-4.2104999999999997E-2</v>
      </c>
      <c r="F114" s="48"/>
      <c r="G114" s="47">
        <v>37802</v>
      </c>
      <c r="H114" s="76">
        <v>80681</v>
      </c>
      <c r="I114" s="76" t="s">
        <v>27</v>
      </c>
      <c r="J114" s="11">
        <v>1.8249000000000001E-2</v>
      </c>
      <c r="K114" s="160">
        <v>1.1322E-2</v>
      </c>
      <c r="L114" s="48"/>
      <c r="M114" s="65">
        <v>37862</v>
      </c>
      <c r="N114" s="11">
        <v>3.7129000000000002E-2</v>
      </c>
      <c r="O114" s="11">
        <v>9.5689999999999994E-3</v>
      </c>
      <c r="P114" s="160">
        <v>1.7873E-2</v>
      </c>
    </row>
    <row r="115" spans="1:16">
      <c r="A115" s="47">
        <v>12843</v>
      </c>
      <c r="B115" s="48">
        <v>11404</v>
      </c>
      <c r="C115" s="48" t="s">
        <v>28</v>
      </c>
      <c r="D115" s="50">
        <v>-5.6961999999999999E-2</v>
      </c>
      <c r="E115" s="14">
        <v>-3.9559999999999998E-2</v>
      </c>
      <c r="F115" s="48"/>
      <c r="G115" s="47">
        <v>37833</v>
      </c>
      <c r="H115" s="76">
        <v>80681</v>
      </c>
      <c r="I115" s="76" t="s">
        <v>27</v>
      </c>
      <c r="J115" s="11">
        <v>5.8514999999999998E-2</v>
      </c>
      <c r="K115" s="160">
        <v>1.6223999999999999E-2</v>
      </c>
      <c r="L115" s="48"/>
      <c r="M115" s="65">
        <v>37894</v>
      </c>
      <c r="N115" s="11">
        <v>1.0182999999999999E-2</v>
      </c>
      <c r="O115" s="11">
        <v>3.1116000000000001E-2</v>
      </c>
      <c r="P115" s="160">
        <v>-1.1944E-2</v>
      </c>
    </row>
    <row r="116" spans="1:16">
      <c r="A116" s="47">
        <v>12873</v>
      </c>
      <c r="B116" s="48">
        <v>11404</v>
      </c>
      <c r="C116" s="48" t="s">
        <v>28</v>
      </c>
      <c r="D116" s="50">
        <v>0.10204100000000001</v>
      </c>
      <c r="E116" s="14">
        <v>-3.0891999999999999E-2</v>
      </c>
      <c r="F116" s="48"/>
      <c r="G116" s="47">
        <v>37862</v>
      </c>
      <c r="H116" s="76">
        <v>80681</v>
      </c>
      <c r="I116" s="76" t="s">
        <v>27</v>
      </c>
      <c r="J116" s="11">
        <v>3.7129000000000002E-2</v>
      </c>
      <c r="K116" s="160">
        <v>1.7873E-2</v>
      </c>
      <c r="L116" s="48"/>
      <c r="M116" s="65">
        <v>37925</v>
      </c>
      <c r="N116" s="11">
        <v>-4.5128000000000001E-2</v>
      </c>
      <c r="O116" s="11">
        <v>-7.1149999999999998E-3</v>
      </c>
      <c r="P116" s="160">
        <v>5.4961999999999997E-2</v>
      </c>
    </row>
    <row r="117" spans="1:16">
      <c r="A117" s="47">
        <v>12904</v>
      </c>
      <c r="B117" s="48">
        <v>11404</v>
      </c>
      <c r="C117" s="48" t="s">
        <v>28</v>
      </c>
      <c r="D117" s="50">
        <v>0.117284</v>
      </c>
      <c r="E117" s="14">
        <v>9.5631999999999995E-2</v>
      </c>
      <c r="F117" s="48"/>
      <c r="G117" s="47">
        <v>37894</v>
      </c>
      <c r="H117" s="76">
        <v>80681</v>
      </c>
      <c r="I117" s="76" t="s">
        <v>27</v>
      </c>
      <c r="J117" s="11">
        <v>1.0182999999999999E-2</v>
      </c>
      <c r="K117" s="160">
        <v>-1.1944E-2</v>
      </c>
      <c r="L117" s="48"/>
      <c r="M117" s="65">
        <v>37953</v>
      </c>
      <c r="N117" s="11">
        <v>6.7969000000000002E-2</v>
      </c>
      <c r="O117" s="11">
        <v>9.6369999999999997E-3</v>
      </c>
      <c r="P117" s="160">
        <v>7.1289999999999999E-3</v>
      </c>
    </row>
    <row r="118" spans="1:16">
      <c r="A118" s="47">
        <v>12935</v>
      </c>
      <c r="B118" s="48">
        <v>11404</v>
      </c>
      <c r="C118" s="48" t="s">
        <v>28</v>
      </c>
      <c r="D118" s="50">
        <v>5.5248999999999999E-2</v>
      </c>
      <c r="E118" s="14">
        <v>3.2328000000000003E-2</v>
      </c>
      <c r="F118" s="48"/>
      <c r="G118" s="47">
        <v>37925</v>
      </c>
      <c r="H118" s="76">
        <v>80681</v>
      </c>
      <c r="I118" s="76" t="s">
        <v>27</v>
      </c>
      <c r="J118" s="11">
        <v>-4.5128000000000001E-2</v>
      </c>
      <c r="K118" s="160">
        <v>5.4961999999999997E-2</v>
      </c>
      <c r="L118" s="48"/>
      <c r="M118" s="65">
        <v>37986</v>
      </c>
      <c r="N118" s="11">
        <v>1.6419E-2</v>
      </c>
      <c r="O118" s="11">
        <v>6.7246E-2</v>
      </c>
      <c r="P118" s="160">
        <v>5.0764999999999998E-2</v>
      </c>
    </row>
    <row r="119" spans="1:16">
      <c r="A119" s="47">
        <v>12964</v>
      </c>
      <c r="B119" s="48">
        <v>11404</v>
      </c>
      <c r="C119" s="48" t="s">
        <v>28</v>
      </c>
      <c r="D119" s="50">
        <v>9.5238000000000003E-2</v>
      </c>
      <c r="E119" s="14">
        <v>6.7849999999999994E-2</v>
      </c>
      <c r="F119" s="48"/>
      <c r="G119" s="47">
        <v>37953</v>
      </c>
      <c r="H119" s="76">
        <v>80681</v>
      </c>
      <c r="I119" s="76" t="s">
        <v>27</v>
      </c>
      <c r="J119" s="11">
        <v>6.7969000000000002E-2</v>
      </c>
      <c r="K119" s="160">
        <v>7.1289999999999999E-3</v>
      </c>
      <c r="L119" s="48"/>
      <c r="M119" s="65">
        <v>38016</v>
      </c>
      <c r="N119" s="11">
        <v>-3.2232999999999998E-2</v>
      </c>
      <c r="O119" s="11">
        <v>1.9064999999999999E-2</v>
      </c>
      <c r="P119" s="160">
        <v>1.7276E-2</v>
      </c>
    </row>
    <row r="120" spans="1:16">
      <c r="A120" s="47">
        <v>12996</v>
      </c>
      <c r="B120" s="48">
        <v>11404</v>
      </c>
      <c r="C120" s="48" t="s">
        <v>28</v>
      </c>
      <c r="D120" s="50">
        <v>0.140097</v>
      </c>
      <c r="E120" s="14">
        <v>8.3088999999999996E-2</v>
      </c>
      <c r="F120" s="48"/>
      <c r="G120" s="47">
        <v>37986</v>
      </c>
      <c r="H120" s="76">
        <v>80681</v>
      </c>
      <c r="I120" s="76" t="s">
        <v>27</v>
      </c>
      <c r="J120" s="11">
        <v>1.6419E-2</v>
      </c>
      <c r="K120" s="160">
        <v>5.0764999999999998E-2</v>
      </c>
      <c r="L120" s="48"/>
      <c r="M120" s="65">
        <v>38044</v>
      </c>
      <c r="N120" s="11">
        <v>1.3194000000000001E-2</v>
      </c>
      <c r="O120" s="11">
        <v>2.0648E-2</v>
      </c>
      <c r="P120" s="160">
        <v>1.2208999999999999E-2</v>
      </c>
    </row>
    <row r="121" spans="1:16">
      <c r="A121" s="47">
        <v>13027</v>
      </c>
      <c r="B121" s="48">
        <v>11404</v>
      </c>
      <c r="C121" s="48" t="s">
        <v>28</v>
      </c>
      <c r="D121" s="50">
        <v>-2.5423999999999999E-2</v>
      </c>
      <c r="E121" s="14">
        <v>2.1661E-2</v>
      </c>
      <c r="F121" s="48"/>
      <c r="G121" s="47">
        <v>38016</v>
      </c>
      <c r="H121" s="76">
        <v>80681</v>
      </c>
      <c r="I121" s="76" t="s">
        <v>27</v>
      </c>
      <c r="J121" s="11">
        <v>-3.2232999999999998E-2</v>
      </c>
      <c r="K121" s="160">
        <v>1.7276E-2</v>
      </c>
      <c r="L121" s="48"/>
      <c r="M121" s="65">
        <v>38077</v>
      </c>
      <c r="N121" s="11">
        <v>5.2724E-2</v>
      </c>
      <c r="O121" s="11">
        <v>-1.585E-3</v>
      </c>
      <c r="P121" s="160">
        <v>-1.6358999999999999E-2</v>
      </c>
    </row>
    <row r="122" spans="1:16">
      <c r="A122" s="47">
        <v>13057</v>
      </c>
      <c r="B122" s="48">
        <v>11404</v>
      </c>
      <c r="C122" s="48" t="s">
        <v>28</v>
      </c>
      <c r="D122" s="50">
        <v>-3.9474000000000002E-2</v>
      </c>
      <c r="E122" s="14">
        <v>2.3852000000000002E-2</v>
      </c>
      <c r="F122" s="48"/>
      <c r="G122" s="47">
        <v>38044</v>
      </c>
      <c r="H122" s="76">
        <v>80681</v>
      </c>
      <c r="I122" s="76" t="s">
        <v>27</v>
      </c>
      <c r="J122" s="11">
        <v>1.3194000000000001E-2</v>
      </c>
      <c r="K122" s="160">
        <v>1.2208999999999999E-2</v>
      </c>
      <c r="L122" s="48"/>
      <c r="M122" s="65">
        <v>38107</v>
      </c>
      <c r="N122" s="11">
        <v>-6.9466E-2</v>
      </c>
      <c r="O122" s="11">
        <v>-6.5532999999999994E-2</v>
      </c>
      <c r="P122" s="160">
        <v>-1.6791E-2</v>
      </c>
    </row>
    <row r="123" spans="1:16">
      <c r="A123" s="47">
        <v>13088</v>
      </c>
      <c r="B123" s="48">
        <v>11404</v>
      </c>
      <c r="C123" s="48" t="s">
        <v>28</v>
      </c>
      <c r="D123" s="50">
        <v>7.7626000000000001E-2</v>
      </c>
      <c r="E123" s="14">
        <v>7.5065000000000007E-2</v>
      </c>
      <c r="F123" s="48"/>
      <c r="G123" s="47">
        <v>38077</v>
      </c>
      <c r="H123" s="76">
        <v>80681</v>
      </c>
      <c r="I123" s="76" t="s">
        <v>27</v>
      </c>
      <c r="J123" s="11">
        <v>5.2724E-2</v>
      </c>
      <c r="K123" s="160">
        <v>-1.6358999999999999E-2</v>
      </c>
      <c r="L123" s="48"/>
      <c r="M123" s="65">
        <v>38135</v>
      </c>
      <c r="N123" s="11">
        <v>7.5471999999999997E-2</v>
      </c>
      <c r="O123" s="11">
        <v>-3.3607999999999999E-2</v>
      </c>
      <c r="P123" s="160">
        <v>1.2083E-2</v>
      </c>
    </row>
    <row r="124" spans="1:16">
      <c r="A124" s="47">
        <v>13118</v>
      </c>
      <c r="B124" s="48">
        <v>11404</v>
      </c>
      <c r="C124" s="48" t="s">
        <v>28</v>
      </c>
      <c r="D124" s="50">
        <v>7.6271000000000005E-2</v>
      </c>
      <c r="E124" s="14">
        <v>3.9326E-2</v>
      </c>
      <c r="F124" s="48"/>
      <c r="G124" s="47">
        <v>38107</v>
      </c>
      <c r="H124" s="76">
        <v>80681</v>
      </c>
      <c r="I124" s="76" t="s">
        <v>27</v>
      </c>
      <c r="J124" s="11">
        <v>-6.9466E-2</v>
      </c>
      <c r="K124" s="160">
        <v>-1.6791E-2</v>
      </c>
      <c r="L124" s="48"/>
      <c r="M124" s="65">
        <v>38168</v>
      </c>
      <c r="N124" s="11">
        <v>5.4767000000000003E-2</v>
      </c>
      <c r="O124" s="11">
        <v>1.2736000000000001E-2</v>
      </c>
      <c r="P124" s="160">
        <v>1.7989000000000002E-2</v>
      </c>
    </row>
    <row r="125" spans="1:16">
      <c r="A125" s="47">
        <v>13149</v>
      </c>
      <c r="B125" s="48">
        <v>11404</v>
      </c>
      <c r="C125" s="48" t="s">
        <v>28</v>
      </c>
      <c r="D125" s="50">
        <v>7.9369999999999996E-3</v>
      </c>
      <c r="E125" s="14">
        <v>3.7066000000000002E-2</v>
      </c>
      <c r="F125" s="48"/>
      <c r="G125" s="47">
        <v>38135</v>
      </c>
      <c r="H125" s="76">
        <v>80681</v>
      </c>
      <c r="I125" s="76" t="s">
        <v>27</v>
      </c>
      <c r="J125" s="11">
        <v>7.5471999999999997E-2</v>
      </c>
      <c r="K125" s="160">
        <v>1.2083E-2</v>
      </c>
      <c r="L125" s="48"/>
      <c r="M125" s="65">
        <v>38198</v>
      </c>
      <c r="N125" s="11">
        <v>-3.5845000000000002E-2</v>
      </c>
      <c r="O125" s="11">
        <v>3.0433000000000002E-2</v>
      </c>
      <c r="P125" s="160">
        <v>-3.4291000000000002E-2</v>
      </c>
    </row>
    <row r="126" spans="1:16">
      <c r="A126" s="47">
        <v>13180</v>
      </c>
      <c r="B126" s="48">
        <v>11404</v>
      </c>
      <c r="C126" s="48" t="s">
        <v>28</v>
      </c>
      <c r="D126" s="50">
        <v>0.137795</v>
      </c>
      <c r="E126" s="14">
        <v>6.5525E-2</v>
      </c>
      <c r="F126" s="48"/>
      <c r="G126" s="47">
        <v>38168</v>
      </c>
      <c r="H126" s="76">
        <v>80681</v>
      </c>
      <c r="I126" s="76" t="s">
        <v>27</v>
      </c>
      <c r="J126" s="11">
        <v>5.4767000000000003E-2</v>
      </c>
      <c r="K126" s="160">
        <v>1.7989000000000002E-2</v>
      </c>
      <c r="L126" s="48"/>
      <c r="M126" s="65">
        <v>38230</v>
      </c>
      <c r="N126" s="11">
        <v>0.11912</v>
      </c>
      <c r="O126" s="11">
        <v>4.3812999999999998E-2</v>
      </c>
      <c r="P126" s="160">
        <v>2.287E-3</v>
      </c>
    </row>
    <row r="127" spans="1:16">
      <c r="A127" s="47">
        <v>13209</v>
      </c>
      <c r="B127" s="48">
        <v>11404</v>
      </c>
      <c r="C127" s="48" t="s">
        <v>28</v>
      </c>
      <c r="D127" s="50">
        <v>-5.8824000000000001E-2</v>
      </c>
      <c r="E127" s="14">
        <v>1.6771000000000001E-2</v>
      </c>
      <c r="F127" s="48"/>
      <c r="G127" s="47">
        <v>38198</v>
      </c>
      <c r="H127" s="76">
        <v>80681</v>
      </c>
      <c r="I127" s="76" t="s">
        <v>27</v>
      </c>
      <c r="J127" s="11">
        <v>-3.5845000000000002E-2</v>
      </c>
      <c r="K127" s="160">
        <v>-3.4291000000000002E-2</v>
      </c>
      <c r="L127" s="48"/>
      <c r="M127" s="65">
        <v>38260</v>
      </c>
      <c r="N127" s="11">
        <v>-1.5051E-2</v>
      </c>
      <c r="O127" s="11">
        <v>-3.7910000000000001E-3</v>
      </c>
      <c r="P127" s="160">
        <v>9.3640000000000008E-3</v>
      </c>
    </row>
    <row r="128" spans="1:16">
      <c r="A128" s="47">
        <v>13240</v>
      </c>
      <c r="B128" s="48">
        <v>11404</v>
      </c>
      <c r="C128" s="48" t="s">
        <v>28</v>
      </c>
      <c r="D128" s="50">
        <v>-2.2221999999999999E-2</v>
      </c>
      <c r="E128" s="14">
        <v>2.5430000000000001E-2</v>
      </c>
      <c r="F128" s="48"/>
      <c r="G128" s="47">
        <v>38230</v>
      </c>
      <c r="H128" s="76">
        <v>80681</v>
      </c>
      <c r="I128" s="76" t="s">
        <v>27</v>
      </c>
      <c r="J128" s="11">
        <v>0.11912</v>
      </c>
      <c r="K128" s="160">
        <v>2.287E-3</v>
      </c>
      <c r="L128" s="48"/>
      <c r="M128" s="65">
        <v>38289</v>
      </c>
      <c r="N128" s="11">
        <v>9.1996999999999995E-2</v>
      </c>
      <c r="O128" s="11">
        <v>3.3538999999999999E-2</v>
      </c>
      <c r="P128" s="160">
        <v>1.4014E-2</v>
      </c>
    </row>
    <row r="129" spans="1:16">
      <c r="A129" s="47">
        <v>13270</v>
      </c>
      <c r="B129" s="48">
        <v>11404</v>
      </c>
      <c r="C129" s="48" t="s">
        <v>28</v>
      </c>
      <c r="D129" s="50">
        <v>-0.109849</v>
      </c>
      <c r="E129" s="14">
        <v>-7.7077999999999994E-2</v>
      </c>
      <c r="F129" s="48"/>
      <c r="G129" s="47">
        <v>38260</v>
      </c>
      <c r="H129" s="76">
        <v>80681</v>
      </c>
      <c r="I129" s="76" t="s">
        <v>27</v>
      </c>
      <c r="J129" s="11">
        <v>-1.5051E-2</v>
      </c>
      <c r="K129" s="160">
        <v>9.3640000000000008E-3</v>
      </c>
      <c r="L129" s="48"/>
      <c r="M129" s="65">
        <v>38321</v>
      </c>
      <c r="N129" s="11">
        <v>2.6383E-2</v>
      </c>
      <c r="O129" s="11">
        <v>2.2209E-2</v>
      </c>
      <c r="P129" s="160">
        <v>3.8594999999999997E-2</v>
      </c>
    </row>
    <row r="130" spans="1:16">
      <c r="A130" s="47">
        <v>13299</v>
      </c>
      <c r="B130" s="48">
        <v>11404</v>
      </c>
      <c r="C130" s="48" t="s">
        <v>28</v>
      </c>
      <c r="D130" s="50">
        <v>0.123404</v>
      </c>
      <c r="E130" s="14">
        <v>4.5752000000000001E-2</v>
      </c>
      <c r="F130" s="48"/>
      <c r="G130" s="47">
        <v>38289</v>
      </c>
      <c r="H130" s="76">
        <v>80681</v>
      </c>
      <c r="I130" s="76" t="s">
        <v>27</v>
      </c>
      <c r="J130" s="11">
        <v>9.1996999999999995E-2</v>
      </c>
      <c r="K130" s="160">
        <v>1.4014E-2</v>
      </c>
      <c r="L130" s="48"/>
      <c r="M130" s="65">
        <v>38352</v>
      </c>
      <c r="N130" s="11">
        <v>5.0416000000000002E-2</v>
      </c>
      <c r="O130" s="11">
        <v>-2.2799999999999999E-3</v>
      </c>
      <c r="P130" s="160">
        <v>3.2458000000000001E-2</v>
      </c>
    </row>
    <row r="131" spans="1:16">
      <c r="A131" s="47">
        <v>13331</v>
      </c>
      <c r="B131" s="48">
        <v>11404</v>
      </c>
      <c r="C131" s="48" t="s">
        <v>28</v>
      </c>
      <c r="D131" s="50">
        <v>6.8701999999999999E-2</v>
      </c>
      <c r="E131" s="14">
        <v>3.0556E-2</v>
      </c>
      <c r="F131" s="48"/>
      <c r="G131" s="47">
        <v>38321</v>
      </c>
      <c r="H131" s="76">
        <v>80681</v>
      </c>
      <c r="I131" s="76" t="s">
        <v>27</v>
      </c>
      <c r="J131" s="11">
        <v>2.6383E-2</v>
      </c>
      <c r="K131" s="160">
        <v>3.8594999999999997E-2</v>
      </c>
      <c r="L131" s="48"/>
      <c r="M131" s="65">
        <v>38383</v>
      </c>
      <c r="N131" s="11">
        <v>-0.14140800000000001</v>
      </c>
      <c r="O131" s="11">
        <v>2.7430000000000002E-3</v>
      </c>
      <c r="P131" s="160">
        <v>-2.529E-2</v>
      </c>
    </row>
    <row r="132" spans="1:16">
      <c r="A132" s="47">
        <v>13362</v>
      </c>
      <c r="B132" s="48">
        <v>11404</v>
      </c>
      <c r="C132" s="48" t="s">
        <v>28</v>
      </c>
      <c r="D132" s="50">
        <v>0.192857</v>
      </c>
      <c r="E132" s="14">
        <v>6.8058999999999995E-2</v>
      </c>
      <c r="F132" s="48"/>
      <c r="G132" s="47">
        <v>38352</v>
      </c>
      <c r="H132" s="76">
        <v>80681</v>
      </c>
      <c r="I132" s="76" t="s">
        <v>27</v>
      </c>
      <c r="J132" s="11">
        <v>5.0416000000000002E-2</v>
      </c>
      <c r="K132" s="160">
        <v>3.2458000000000001E-2</v>
      </c>
      <c r="L132" s="48"/>
      <c r="M132" s="65">
        <v>38411</v>
      </c>
      <c r="N132" s="11">
        <v>1.807E-3</v>
      </c>
      <c r="O132" s="11">
        <v>-1.2537E-2</v>
      </c>
      <c r="P132" s="160">
        <v>1.8903E-2</v>
      </c>
    </row>
    <row r="133" spans="1:16">
      <c r="A133" s="47">
        <v>13393</v>
      </c>
      <c r="B133" s="48">
        <v>11404</v>
      </c>
      <c r="C133" s="48" t="s">
        <v>28</v>
      </c>
      <c r="D133" s="50">
        <v>6.2873999999999999E-2</v>
      </c>
      <c r="E133" s="14">
        <v>8.8330000000000006E-3</v>
      </c>
      <c r="F133" s="48"/>
      <c r="G133" s="47">
        <v>38383</v>
      </c>
      <c r="H133" s="76">
        <v>80681</v>
      </c>
      <c r="I133" s="76" t="s">
        <v>27</v>
      </c>
      <c r="J133" s="11">
        <v>-0.14140800000000001</v>
      </c>
      <c r="K133" s="160">
        <v>-2.529E-2</v>
      </c>
      <c r="L133" s="48"/>
      <c r="M133" s="65">
        <v>38442</v>
      </c>
      <c r="N133" s="11">
        <v>-3.0105E-2</v>
      </c>
      <c r="O133" s="11">
        <v>-1.3332999999999999E-2</v>
      </c>
      <c r="P133" s="160">
        <v>-1.9118E-2</v>
      </c>
    </row>
    <row r="134" spans="1:16">
      <c r="A134" s="47">
        <v>13423</v>
      </c>
      <c r="B134" s="48">
        <v>11404</v>
      </c>
      <c r="C134" s="48" t="s">
        <v>28</v>
      </c>
      <c r="D134" s="50">
        <v>-2.5641000000000001E-2</v>
      </c>
      <c r="E134" s="14">
        <v>1.2509999999999999E-3</v>
      </c>
      <c r="F134" s="48"/>
      <c r="G134" s="47">
        <v>38411</v>
      </c>
      <c r="H134" s="76">
        <v>80681</v>
      </c>
      <c r="I134" s="76" t="s">
        <v>27</v>
      </c>
      <c r="J134" s="11">
        <v>1.807E-3</v>
      </c>
      <c r="K134" s="160">
        <v>1.8903E-2</v>
      </c>
      <c r="L134" s="48"/>
      <c r="M134" s="65">
        <v>38471</v>
      </c>
      <c r="N134" s="11">
        <v>9.9131999999999998E-2</v>
      </c>
      <c r="O134" s="11">
        <v>2.6079000000000001E-2</v>
      </c>
      <c r="P134" s="160">
        <v>-2.0108999999999998E-2</v>
      </c>
    </row>
    <row r="135" spans="1:16">
      <c r="A135" s="47">
        <v>13454</v>
      </c>
      <c r="B135" s="48">
        <v>11404</v>
      </c>
      <c r="C135" s="48" t="s">
        <v>28</v>
      </c>
      <c r="D135" s="50">
        <v>0.119883</v>
      </c>
      <c r="E135" s="14">
        <v>7.4953000000000006E-2</v>
      </c>
      <c r="F135" s="48"/>
      <c r="G135" s="47">
        <v>38442</v>
      </c>
      <c r="H135" s="76">
        <v>80681</v>
      </c>
      <c r="I135" s="76" t="s">
        <v>27</v>
      </c>
      <c r="J135" s="11">
        <v>-3.0105E-2</v>
      </c>
      <c r="K135" s="160">
        <v>-1.9118E-2</v>
      </c>
      <c r="L135" s="48"/>
      <c r="M135" s="65">
        <v>38503</v>
      </c>
      <c r="N135" s="11">
        <v>5.3324999999999997E-2</v>
      </c>
      <c r="O135" s="11">
        <v>6.4695000000000003E-2</v>
      </c>
      <c r="P135" s="160">
        <v>2.9951999999999999E-2</v>
      </c>
    </row>
    <row r="136" spans="1:16">
      <c r="A136" s="47">
        <v>13484</v>
      </c>
      <c r="B136" s="48">
        <v>11404</v>
      </c>
      <c r="C136" s="48" t="s">
        <v>28</v>
      </c>
      <c r="D136" s="50">
        <v>2.611E-3</v>
      </c>
      <c r="E136" s="14">
        <v>4.0670000000000003E-3</v>
      </c>
      <c r="F136" s="48"/>
      <c r="G136" s="47">
        <v>38471</v>
      </c>
      <c r="H136" s="76">
        <v>80681</v>
      </c>
      <c r="I136" s="76" t="s">
        <v>27</v>
      </c>
      <c r="J136" s="11">
        <v>9.9131999999999998E-2</v>
      </c>
      <c r="K136" s="160">
        <v>-2.0108999999999998E-2</v>
      </c>
      <c r="L136" s="48"/>
      <c r="M136" s="65">
        <v>38533</v>
      </c>
      <c r="N136" s="11">
        <v>4.8375000000000001E-2</v>
      </c>
      <c r="O136" s="11">
        <v>2.9224E-2</v>
      </c>
      <c r="P136" s="160">
        <v>-1.4300000000000001E-4</v>
      </c>
    </row>
    <row r="137" spans="1:16">
      <c r="A137" s="47">
        <v>13515</v>
      </c>
      <c r="B137" s="48">
        <v>11404</v>
      </c>
      <c r="C137" s="48" t="s">
        <v>28</v>
      </c>
      <c r="D137" s="50">
        <v>-5.2909999999999999E-2</v>
      </c>
      <c r="E137" s="14">
        <v>-5.7869999999999996E-3</v>
      </c>
      <c r="F137" s="48"/>
      <c r="G137" s="47">
        <v>38503</v>
      </c>
      <c r="H137" s="76">
        <v>80681</v>
      </c>
      <c r="I137" s="76" t="s">
        <v>27</v>
      </c>
      <c r="J137" s="11">
        <v>5.3324999999999997E-2</v>
      </c>
      <c r="K137" s="160">
        <v>2.9951999999999999E-2</v>
      </c>
      <c r="L137" s="48"/>
      <c r="M137" s="65">
        <v>38562</v>
      </c>
      <c r="N137" s="11">
        <v>0.105948</v>
      </c>
      <c r="O137" s="11">
        <v>2.8181000000000001E-2</v>
      </c>
      <c r="P137" s="160">
        <v>3.5968E-2</v>
      </c>
    </row>
    <row r="138" spans="1:16">
      <c r="A138" s="47">
        <v>13545</v>
      </c>
      <c r="B138" s="48">
        <v>11404</v>
      </c>
      <c r="C138" s="48" t="s">
        <v>28</v>
      </c>
      <c r="D138" s="50">
        <v>3.9106000000000002E-2</v>
      </c>
      <c r="E138" s="14">
        <v>3.7835000000000001E-2</v>
      </c>
      <c r="F138" s="48"/>
      <c r="G138" s="47">
        <v>38533</v>
      </c>
      <c r="H138" s="76">
        <v>80681</v>
      </c>
      <c r="I138" s="76" t="s">
        <v>27</v>
      </c>
      <c r="J138" s="11">
        <v>4.8375000000000001E-2</v>
      </c>
      <c r="K138" s="160">
        <v>-1.4300000000000001E-4</v>
      </c>
      <c r="L138" s="48"/>
      <c r="M138" s="65">
        <v>38595</v>
      </c>
      <c r="N138" s="11">
        <v>-4.2564999999999999E-2</v>
      </c>
      <c r="O138" s="11">
        <v>-1.4120000000000001E-2</v>
      </c>
      <c r="P138" s="160">
        <v>-1.1221999999999999E-2</v>
      </c>
    </row>
    <row r="139" spans="1:16">
      <c r="A139" s="47">
        <v>13573</v>
      </c>
      <c r="B139" s="48">
        <v>11404</v>
      </c>
      <c r="C139" s="48" t="s">
        <v>28</v>
      </c>
      <c r="D139" s="50">
        <v>-7.5269000000000003E-2</v>
      </c>
      <c r="E139" s="14">
        <v>1.4581999999999999E-2</v>
      </c>
      <c r="F139" s="48"/>
      <c r="G139" s="47">
        <v>38562</v>
      </c>
      <c r="H139" s="76">
        <v>80681</v>
      </c>
      <c r="I139" s="76" t="s">
        <v>27</v>
      </c>
      <c r="J139" s="11">
        <v>0.105948</v>
      </c>
      <c r="K139" s="160">
        <v>3.5968E-2</v>
      </c>
      <c r="L139" s="48"/>
      <c r="M139" s="65">
        <v>38625</v>
      </c>
      <c r="N139" s="11">
        <v>3.2518999999999999E-2</v>
      </c>
      <c r="O139" s="11">
        <v>3.4960999999999999E-2</v>
      </c>
      <c r="P139" s="160">
        <v>6.9490000000000003E-3</v>
      </c>
    </row>
    <row r="140" spans="1:16">
      <c r="A140" s="47">
        <v>13605</v>
      </c>
      <c r="B140" s="48">
        <v>11404</v>
      </c>
      <c r="C140" s="48" t="s">
        <v>28</v>
      </c>
      <c r="D140" s="50">
        <v>-4.4117999999999997E-2</v>
      </c>
      <c r="E140" s="14">
        <v>-9.3970000000000008E-3</v>
      </c>
      <c r="F140" s="48"/>
      <c r="G140" s="47">
        <v>38595</v>
      </c>
      <c r="H140" s="76">
        <v>80681</v>
      </c>
      <c r="I140" s="76" t="s">
        <v>27</v>
      </c>
      <c r="J140" s="11">
        <v>-4.2564999999999999E-2</v>
      </c>
      <c r="K140" s="160">
        <v>-1.1221999999999999E-2</v>
      </c>
      <c r="L140" s="48"/>
      <c r="M140" s="65">
        <v>38656</v>
      </c>
      <c r="N140" s="11">
        <v>-1.333E-3</v>
      </c>
      <c r="O140" s="11">
        <v>-6.2822000000000003E-2</v>
      </c>
      <c r="P140" s="160">
        <v>-1.7741E-2</v>
      </c>
    </row>
    <row r="141" spans="1:16">
      <c r="A141" s="47">
        <v>13635</v>
      </c>
      <c r="B141" s="48">
        <v>11404</v>
      </c>
      <c r="C141" s="48" t="s">
        <v>28</v>
      </c>
      <c r="D141" s="50">
        <v>-7.0768999999999999E-2</v>
      </c>
      <c r="E141" s="14">
        <v>-8.3146999999999999E-2</v>
      </c>
      <c r="F141" s="48"/>
      <c r="G141" s="47">
        <v>38625</v>
      </c>
      <c r="H141" s="76">
        <v>80681</v>
      </c>
      <c r="I141" s="76" t="s">
        <v>27</v>
      </c>
      <c r="J141" s="11">
        <v>3.2518999999999999E-2</v>
      </c>
      <c r="K141" s="160">
        <v>6.9490000000000003E-3</v>
      </c>
      <c r="L141" s="48"/>
      <c r="M141" s="65">
        <v>38686</v>
      </c>
      <c r="N141" s="11">
        <v>2.0249E-2</v>
      </c>
      <c r="O141" s="11">
        <v>1.3407000000000001E-2</v>
      </c>
      <c r="P141" s="160">
        <v>3.5186000000000002E-2</v>
      </c>
    </row>
    <row r="142" spans="1:16">
      <c r="A142" s="47">
        <v>13663</v>
      </c>
      <c r="B142" s="48">
        <v>11404</v>
      </c>
      <c r="C142" s="48" t="s">
        <v>28</v>
      </c>
      <c r="D142" s="50">
        <v>-4.6358000000000003E-2</v>
      </c>
      <c r="E142" s="14">
        <v>-1.0347E-2</v>
      </c>
      <c r="F142" s="48"/>
      <c r="G142" s="47">
        <v>38656</v>
      </c>
      <c r="H142" s="76">
        <v>80681</v>
      </c>
      <c r="I142" s="76" t="s">
        <v>27</v>
      </c>
      <c r="J142" s="11">
        <v>-1.333E-3</v>
      </c>
      <c r="K142" s="160">
        <v>-1.7741E-2</v>
      </c>
      <c r="L142" s="48"/>
      <c r="M142" s="65">
        <v>38716</v>
      </c>
      <c r="N142" s="11">
        <v>1.4286E-2</v>
      </c>
      <c r="O142" s="11">
        <v>1.7347000000000001E-2</v>
      </c>
      <c r="P142" s="160">
        <v>-9.5200000000000005E-4</v>
      </c>
    </row>
    <row r="143" spans="1:16">
      <c r="A143" s="47">
        <v>13696</v>
      </c>
      <c r="B143" s="48">
        <v>11404</v>
      </c>
      <c r="C143" s="48" t="s">
        <v>28</v>
      </c>
      <c r="D143" s="50">
        <v>-6.3380000000000006E-2</v>
      </c>
      <c r="E143" s="14">
        <v>-5.2891000000000001E-2</v>
      </c>
      <c r="F143" s="48"/>
      <c r="G143" s="47">
        <v>38686</v>
      </c>
      <c r="H143" s="76">
        <v>80681</v>
      </c>
      <c r="I143" s="76" t="s">
        <v>27</v>
      </c>
      <c r="J143" s="11">
        <v>2.0249E-2</v>
      </c>
      <c r="K143" s="160">
        <v>3.5186000000000002E-2</v>
      </c>
      <c r="L143" s="48"/>
      <c r="M143" s="65">
        <v>38748</v>
      </c>
      <c r="N143" s="11">
        <v>7.7873999999999999E-2</v>
      </c>
      <c r="O143" s="11">
        <v>1.4677000000000001E-2</v>
      </c>
      <c r="P143" s="160">
        <v>2.5467E-2</v>
      </c>
    </row>
    <row r="144" spans="1:16">
      <c r="A144" s="47">
        <v>13727</v>
      </c>
      <c r="B144" s="48">
        <v>11404</v>
      </c>
      <c r="C144" s="48" t="s">
        <v>28</v>
      </c>
      <c r="D144" s="50">
        <v>0.16165399999999999</v>
      </c>
      <c r="E144" s="14">
        <v>0.10259699999999999</v>
      </c>
      <c r="F144" s="48"/>
      <c r="G144" s="47">
        <v>38716</v>
      </c>
      <c r="H144" s="76">
        <v>80681</v>
      </c>
      <c r="I144" s="76" t="s">
        <v>27</v>
      </c>
      <c r="J144" s="11">
        <v>1.4286E-2</v>
      </c>
      <c r="K144" s="160">
        <v>-9.5200000000000005E-4</v>
      </c>
      <c r="L144" s="48"/>
      <c r="M144" s="65">
        <v>38776</v>
      </c>
      <c r="N144" s="11">
        <v>2.7169999999999998E-3</v>
      </c>
      <c r="O144" s="11">
        <v>-1.2019E-2</v>
      </c>
      <c r="P144" s="160">
        <v>4.5300000000000001E-4</v>
      </c>
    </row>
    <row r="145" spans="1:16">
      <c r="A145" s="47">
        <v>13758</v>
      </c>
      <c r="B145" s="48">
        <v>11404</v>
      </c>
      <c r="C145" s="48" t="s">
        <v>28</v>
      </c>
      <c r="D145" s="50">
        <v>-9.7087000000000007E-2</v>
      </c>
      <c r="E145" s="14">
        <v>-5.5358999999999998E-2</v>
      </c>
      <c r="F145" s="48"/>
      <c r="G145" s="47">
        <v>38748</v>
      </c>
      <c r="H145" s="76">
        <v>80681</v>
      </c>
      <c r="I145" s="76" t="s">
        <v>27</v>
      </c>
      <c r="J145" s="11">
        <v>7.7873999999999999E-2</v>
      </c>
      <c r="K145" s="160">
        <v>2.5467E-2</v>
      </c>
      <c r="L145" s="48"/>
      <c r="M145" s="65">
        <v>38807</v>
      </c>
      <c r="N145" s="11">
        <v>9.9547999999999998E-2</v>
      </c>
      <c r="O145" s="11">
        <v>-5.1667999999999999E-2</v>
      </c>
      <c r="P145" s="160">
        <v>1.1065E-2</v>
      </c>
    </row>
    <row r="146" spans="1:16">
      <c r="A146" s="47">
        <v>13788</v>
      </c>
      <c r="B146" s="48">
        <v>11404</v>
      </c>
      <c r="C146" s="48" t="s">
        <v>28</v>
      </c>
      <c r="D146" s="50">
        <v>-0.10181800000000001</v>
      </c>
      <c r="E146" s="14">
        <v>-0.14214499999999999</v>
      </c>
      <c r="F146" s="48"/>
      <c r="G146" s="47">
        <v>38776</v>
      </c>
      <c r="H146" s="76">
        <v>80681</v>
      </c>
      <c r="I146" s="76" t="s">
        <v>27</v>
      </c>
      <c r="J146" s="11">
        <v>2.7169999999999998E-3</v>
      </c>
      <c r="K146" s="160">
        <v>4.5300000000000001E-4</v>
      </c>
      <c r="L146" s="48"/>
      <c r="M146" s="65">
        <v>38835</v>
      </c>
      <c r="N146" s="11">
        <v>3.4030000000000002E-3</v>
      </c>
      <c r="O146" s="11">
        <v>-8.7360000000000007E-3</v>
      </c>
      <c r="P146" s="160">
        <v>1.2187E-2</v>
      </c>
    </row>
    <row r="147" spans="1:16">
      <c r="A147" s="47">
        <v>13818</v>
      </c>
      <c r="B147" s="48">
        <v>11404</v>
      </c>
      <c r="C147" s="48" t="s">
        <v>28</v>
      </c>
      <c r="D147" s="50">
        <v>-0.15789500000000001</v>
      </c>
      <c r="E147" s="14">
        <v>-0.101744</v>
      </c>
      <c r="F147" s="48"/>
      <c r="G147" s="47">
        <v>38807</v>
      </c>
      <c r="H147" s="76">
        <v>80681</v>
      </c>
      <c r="I147" s="76" t="s">
        <v>27</v>
      </c>
      <c r="J147" s="11">
        <v>9.9547999999999998E-2</v>
      </c>
      <c r="K147" s="160">
        <v>1.1065E-2</v>
      </c>
      <c r="L147" s="48"/>
      <c r="M147" s="65">
        <v>38868</v>
      </c>
      <c r="N147" s="11">
        <v>-2.3831000000000001E-2</v>
      </c>
      <c r="O147" s="11">
        <v>3.6061999999999997E-2</v>
      </c>
      <c r="P147" s="160">
        <v>-3.0917E-2</v>
      </c>
    </row>
    <row r="148" spans="1:16">
      <c r="A148" s="47">
        <v>13849</v>
      </c>
      <c r="B148" s="48">
        <v>11404</v>
      </c>
      <c r="C148" s="48" t="s">
        <v>28</v>
      </c>
      <c r="D148" s="50">
        <v>5.7692E-2</v>
      </c>
      <c r="E148" s="14">
        <v>-0.101133</v>
      </c>
      <c r="F148" s="48"/>
      <c r="G148" s="47">
        <v>38835</v>
      </c>
      <c r="H148" s="76">
        <v>80681</v>
      </c>
      <c r="I148" s="76" t="s">
        <v>27</v>
      </c>
      <c r="J148" s="11">
        <v>3.4030000000000002E-3</v>
      </c>
      <c r="K148" s="160">
        <v>1.2187E-2</v>
      </c>
      <c r="L148" s="48"/>
      <c r="M148" s="65">
        <v>38898</v>
      </c>
      <c r="N148" s="11">
        <v>5.6337999999999999E-2</v>
      </c>
      <c r="O148" s="11">
        <v>7.7099999999999998E-3</v>
      </c>
      <c r="P148" s="160">
        <v>8.7000000000000001E-5</v>
      </c>
    </row>
    <row r="149" spans="1:16">
      <c r="A149" s="47">
        <v>13880</v>
      </c>
      <c r="B149" s="48">
        <v>11404</v>
      </c>
      <c r="C149" s="48" t="s">
        <v>28</v>
      </c>
      <c r="D149" s="50">
        <v>-0.18981500000000001</v>
      </c>
      <c r="E149" s="14">
        <v>-5.0404999999999998E-2</v>
      </c>
      <c r="F149" s="48"/>
      <c r="G149" s="47">
        <v>38868</v>
      </c>
      <c r="H149" s="76">
        <v>80681</v>
      </c>
      <c r="I149" s="76" t="s">
        <v>27</v>
      </c>
      <c r="J149" s="11">
        <v>-2.3831000000000001E-2</v>
      </c>
      <c r="K149" s="160">
        <v>-3.0917E-2</v>
      </c>
      <c r="L149" s="48"/>
      <c r="M149" s="65">
        <v>38929</v>
      </c>
      <c r="N149" s="11">
        <v>4.863E-2</v>
      </c>
      <c r="O149" s="11">
        <v>5.4679999999999999E-2</v>
      </c>
      <c r="P149" s="160">
        <v>5.0860000000000002E-3</v>
      </c>
    </row>
    <row r="150" spans="1:16">
      <c r="A150" s="47">
        <v>13911</v>
      </c>
      <c r="B150" s="48">
        <v>11404</v>
      </c>
      <c r="C150" s="48" t="s">
        <v>28</v>
      </c>
      <c r="D150" s="50">
        <v>5.7140000000000003E-3</v>
      </c>
      <c r="E150" s="14">
        <v>1.3270000000000001E-2</v>
      </c>
      <c r="F150" s="48"/>
      <c r="G150" s="47">
        <v>38898</v>
      </c>
      <c r="H150" s="76">
        <v>80681</v>
      </c>
      <c r="I150" s="76" t="s">
        <v>27</v>
      </c>
      <c r="J150" s="11">
        <v>5.6337999999999999E-2</v>
      </c>
      <c r="K150" s="160">
        <v>8.7000000000000001E-5</v>
      </c>
      <c r="L150" s="48"/>
      <c r="M150" s="65">
        <v>38960</v>
      </c>
      <c r="N150" s="11">
        <v>7.1568999999999994E-2</v>
      </c>
      <c r="O150" s="11">
        <v>-2.0270000000000002E-3</v>
      </c>
      <c r="P150" s="160">
        <v>2.1274000000000001E-2</v>
      </c>
    </row>
    <row r="151" spans="1:16">
      <c r="A151" s="47">
        <v>13939</v>
      </c>
      <c r="B151" s="48">
        <v>11404</v>
      </c>
      <c r="C151" s="48" t="s">
        <v>28</v>
      </c>
      <c r="D151" s="50">
        <v>5.6820000000000004E-3</v>
      </c>
      <c r="E151" s="14">
        <v>6.0803999999999997E-2</v>
      </c>
      <c r="F151" s="48"/>
      <c r="G151" s="47">
        <v>38929</v>
      </c>
      <c r="H151" s="76">
        <v>80681</v>
      </c>
      <c r="I151" s="76" t="s">
        <v>27</v>
      </c>
      <c r="J151" s="11">
        <v>4.863E-2</v>
      </c>
      <c r="K151" s="160">
        <v>5.0860000000000002E-3</v>
      </c>
      <c r="L151" s="48"/>
      <c r="M151" s="65">
        <v>38989</v>
      </c>
      <c r="N151" s="11">
        <v>-2.5742999999999999E-2</v>
      </c>
      <c r="O151" s="11">
        <v>0</v>
      </c>
      <c r="P151" s="160">
        <v>2.4566000000000001E-2</v>
      </c>
    </row>
    <row r="152" spans="1:16">
      <c r="A152" s="47">
        <v>13970</v>
      </c>
      <c r="B152" s="48">
        <v>11404</v>
      </c>
      <c r="C152" s="48" t="s">
        <v>28</v>
      </c>
      <c r="D152" s="50">
        <v>-0.19653200000000001</v>
      </c>
      <c r="E152" s="14">
        <v>-0.25044100000000002</v>
      </c>
      <c r="F152" s="48"/>
      <c r="G152" s="47">
        <v>38960</v>
      </c>
      <c r="H152" s="76">
        <v>80681</v>
      </c>
      <c r="I152" s="76" t="s">
        <v>27</v>
      </c>
      <c r="J152" s="11">
        <v>7.1568999999999994E-2</v>
      </c>
      <c r="K152" s="160">
        <v>2.1274000000000001E-2</v>
      </c>
      <c r="L152" s="48"/>
      <c r="M152" s="65">
        <v>39021</v>
      </c>
      <c r="N152" s="11">
        <v>9.7858000000000001E-2</v>
      </c>
      <c r="O152" s="11">
        <v>4.6537000000000002E-2</v>
      </c>
      <c r="P152" s="160">
        <v>3.1508000000000001E-2</v>
      </c>
    </row>
    <row r="153" spans="1:16">
      <c r="A153" s="47">
        <v>14000</v>
      </c>
      <c r="B153" s="48">
        <v>11404</v>
      </c>
      <c r="C153" s="48" t="s">
        <v>28</v>
      </c>
      <c r="D153" s="50">
        <v>0.23741000000000001</v>
      </c>
      <c r="E153" s="14">
        <v>0.141177</v>
      </c>
      <c r="F153" s="48"/>
      <c r="G153" s="47">
        <v>38989</v>
      </c>
      <c r="H153" s="76">
        <v>80681</v>
      </c>
      <c r="I153" s="76" t="s">
        <v>27</v>
      </c>
      <c r="J153" s="11">
        <v>-2.5742999999999999E-2</v>
      </c>
      <c r="K153" s="160">
        <v>2.4566000000000001E-2</v>
      </c>
      <c r="L153" s="48"/>
      <c r="M153" s="65">
        <v>39051</v>
      </c>
      <c r="N153" s="11">
        <v>-9.3039999999999998E-3</v>
      </c>
      <c r="O153" s="11">
        <v>9.2040000000000004E-3</v>
      </c>
      <c r="P153" s="160">
        <v>1.6466999999999999E-2</v>
      </c>
    </row>
    <row r="154" spans="1:16">
      <c r="A154" s="47">
        <v>14031</v>
      </c>
      <c r="B154" s="48">
        <v>11404</v>
      </c>
      <c r="C154" s="48" t="s">
        <v>28</v>
      </c>
      <c r="D154" s="50">
        <v>5.2325999999999998E-2</v>
      </c>
      <c r="E154" s="14">
        <v>-4.4330000000000001E-2</v>
      </c>
      <c r="F154" s="48"/>
      <c r="G154" s="47">
        <v>39021</v>
      </c>
      <c r="H154" s="76">
        <v>80681</v>
      </c>
      <c r="I154" s="76" t="s">
        <v>27</v>
      </c>
      <c r="J154" s="11">
        <v>9.7858000000000001E-2</v>
      </c>
      <c r="K154" s="160">
        <v>3.1508000000000001E-2</v>
      </c>
      <c r="L154" s="48"/>
      <c r="M154" s="65">
        <v>39080</v>
      </c>
      <c r="N154" s="11">
        <v>-1.4768E-2</v>
      </c>
      <c r="O154" s="11">
        <v>-3.1110000000000001E-3</v>
      </c>
      <c r="P154" s="160">
        <v>1.2616E-2</v>
      </c>
    </row>
    <row r="155" spans="1:16">
      <c r="A155" s="47">
        <v>14061</v>
      </c>
      <c r="B155" s="48">
        <v>11404</v>
      </c>
      <c r="C155" s="48" t="s">
        <v>28</v>
      </c>
      <c r="D155" s="50">
        <v>0.21468899999999999</v>
      </c>
      <c r="E155" s="14">
        <v>0.247033</v>
      </c>
      <c r="F155" s="48"/>
      <c r="G155" s="47">
        <v>39051</v>
      </c>
      <c r="H155" s="76">
        <v>80681</v>
      </c>
      <c r="I155" s="76" t="s">
        <v>27</v>
      </c>
      <c r="J155" s="11">
        <v>-9.3039999999999998E-3</v>
      </c>
      <c r="K155" s="160">
        <v>1.6466999999999999E-2</v>
      </c>
      <c r="L155" s="48"/>
      <c r="M155" s="65">
        <v>39113</v>
      </c>
      <c r="N155" s="11">
        <v>0.11675099999999999</v>
      </c>
      <c r="O155" s="11">
        <v>4.3689999999999996E-3</v>
      </c>
      <c r="P155" s="160">
        <v>1.4059E-2</v>
      </c>
    </row>
    <row r="156" spans="1:16">
      <c r="A156" s="47">
        <v>14091</v>
      </c>
      <c r="B156" s="48">
        <v>11404</v>
      </c>
      <c r="C156" s="48" t="s">
        <v>28</v>
      </c>
      <c r="D156" s="50">
        <v>4.1860000000000001E-2</v>
      </c>
      <c r="E156" s="14">
        <v>7.2664000000000006E-2</v>
      </c>
      <c r="F156" s="48"/>
      <c r="G156" s="47">
        <v>39080</v>
      </c>
      <c r="H156" s="76">
        <v>80681</v>
      </c>
      <c r="I156" s="76" t="s">
        <v>27</v>
      </c>
      <c r="J156" s="11">
        <v>-1.4768E-2</v>
      </c>
      <c r="K156" s="160">
        <v>1.2616E-2</v>
      </c>
      <c r="L156" s="48"/>
      <c r="M156" s="65">
        <v>39141</v>
      </c>
      <c r="N156" s="11">
        <v>-3.7758E-2</v>
      </c>
      <c r="O156" s="11">
        <v>1.8227E-2</v>
      </c>
      <c r="P156" s="160">
        <v>-2.1846000000000001E-2</v>
      </c>
    </row>
    <row r="157" spans="1:16">
      <c r="A157" s="47">
        <v>14123</v>
      </c>
      <c r="B157" s="48">
        <v>11404</v>
      </c>
      <c r="C157" s="48" t="s">
        <v>28</v>
      </c>
      <c r="D157" s="50">
        <v>-4.9106999999999998E-2</v>
      </c>
      <c r="E157" s="14">
        <v>-2.7418999999999999E-2</v>
      </c>
      <c r="F157" s="48"/>
      <c r="G157" s="47">
        <v>39113</v>
      </c>
      <c r="H157" s="76">
        <v>80681</v>
      </c>
      <c r="I157" s="76" t="s">
        <v>27</v>
      </c>
      <c r="J157" s="11">
        <v>0.11675099999999999</v>
      </c>
      <c r="K157" s="160">
        <v>1.4059E-2</v>
      </c>
      <c r="L157" s="48"/>
      <c r="M157" s="65">
        <v>39171</v>
      </c>
      <c r="N157" s="11">
        <v>-6.1055999999999999E-2</v>
      </c>
      <c r="O157" s="11">
        <v>5.1049999999999998E-2</v>
      </c>
      <c r="P157" s="160">
        <v>9.9799999999999993E-3</v>
      </c>
    </row>
    <row r="158" spans="1:16">
      <c r="A158" s="47">
        <v>14153</v>
      </c>
      <c r="B158" s="48">
        <v>11404</v>
      </c>
      <c r="C158" s="48" t="s">
        <v>28</v>
      </c>
      <c r="D158" s="50">
        <v>3.3493000000000002E-2</v>
      </c>
      <c r="E158" s="14">
        <v>1.4925000000000001E-2</v>
      </c>
      <c r="F158" s="48"/>
      <c r="G158" s="47">
        <v>39141</v>
      </c>
      <c r="H158" s="76">
        <v>80681</v>
      </c>
      <c r="I158" s="76" t="s">
        <v>27</v>
      </c>
      <c r="J158" s="11">
        <v>-3.7758E-2</v>
      </c>
      <c r="K158" s="160">
        <v>-2.1846000000000001E-2</v>
      </c>
      <c r="L158" s="48"/>
      <c r="M158" s="65">
        <v>39202</v>
      </c>
      <c r="N158" s="11">
        <v>-4.7879999999999997E-3</v>
      </c>
      <c r="O158" s="11">
        <v>3.9170000000000003E-3</v>
      </c>
      <c r="P158" s="160">
        <v>4.3291000000000003E-2</v>
      </c>
    </row>
    <row r="159" spans="1:16">
      <c r="A159" s="47">
        <v>14184</v>
      </c>
      <c r="B159" s="48">
        <v>11404</v>
      </c>
      <c r="C159" s="48" t="s">
        <v>28</v>
      </c>
      <c r="D159" s="50">
        <v>0.222222</v>
      </c>
      <c r="E159" s="14">
        <v>7.5980000000000006E-2</v>
      </c>
      <c r="F159" s="48"/>
      <c r="G159" s="47">
        <v>39171</v>
      </c>
      <c r="H159" s="76">
        <v>80681</v>
      </c>
      <c r="I159" s="76" t="s">
        <v>27</v>
      </c>
      <c r="J159" s="11">
        <v>-6.1055999999999999E-2</v>
      </c>
      <c r="K159" s="160">
        <v>9.9799999999999993E-3</v>
      </c>
      <c r="L159" s="48"/>
      <c r="M159" s="65">
        <v>39233</v>
      </c>
      <c r="N159" s="11">
        <v>-1.2649000000000001E-2</v>
      </c>
      <c r="O159" s="11">
        <v>-3.6285999999999999E-2</v>
      </c>
      <c r="P159" s="160">
        <v>3.2549000000000002E-2</v>
      </c>
    </row>
    <row r="160" spans="1:16">
      <c r="A160" s="47">
        <v>14214</v>
      </c>
      <c r="B160" s="48">
        <v>11404</v>
      </c>
      <c r="C160" s="48" t="s">
        <v>28</v>
      </c>
      <c r="D160" s="50">
        <v>-7.5758000000000006E-2</v>
      </c>
      <c r="E160" s="14">
        <v>-3.3409000000000001E-2</v>
      </c>
      <c r="F160" s="48"/>
      <c r="G160" s="47">
        <v>39202</v>
      </c>
      <c r="H160" s="76">
        <v>80681</v>
      </c>
      <c r="I160" s="76" t="s">
        <v>27</v>
      </c>
      <c r="J160" s="11">
        <v>-4.7879999999999997E-3</v>
      </c>
      <c r="K160" s="160">
        <v>4.3291000000000003E-2</v>
      </c>
      <c r="L160" s="48"/>
      <c r="M160" s="65">
        <v>39262</v>
      </c>
      <c r="N160" s="11">
        <v>-7.8598000000000001E-2</v>
      </c>
      <c r="O160" s="11">
        <v>-7.5788999999999995E-2</v>
      </c>
      <c r="P160" s="160">
        <v>-1.7815999999999999E-2</v>
      </c>
    </row>
    <row r="161" spans="1:16">
      <c r="A161" s="47">
        <v>14245</v>
      </c>
      <c r="B161" s="48">
        <v>11404</v>
      </c>
      <c r="C161" s="48" t="s">
        <v>28</v>
      </c>
      <c r="D161" s="50">
        <v>4.1667000000000003E-2</v>
      </c>
      <c r="E161" s="14">
        <v>3.7706000000000003E-2</v>
      </c>
      <c r="F161" s="48"/>
      <c r="G161" s="47">
        <v>39233</v>
      </c>
      <c r="H161" s="76">
        <v>80681</v>
      </c>
      <c r="I161" s="76" t="s">
        <v>27</v>
      </c>
      <c r="J161" s="11">
        <v>-1.2649000000000001E-2</v>
      </c>
      <c r="K161" s="160">
        <v>3.2549000000000002E-2</v>
      </c>
      <c r="L161" s="48"/>
      <c r="M161" s="65">
        <v>39294</v>
      </c>
      <c r="N161" s="11">
        <v>-7.4979000000000004E-2</v>
      </c>
      <c r="O161" s="11">
        <v>-3.1914999999999999E-2</v>
      </c>
      <c r="P161" s="160">
        <v>-3.1981999999999997E-2</v>
      </c>
    </row>
    <row r="162" spans="1:16">
      <c r="A162" s="47">
        <v>14276</v>
      </c>
      <c r="B162" s="48">
        <v>11404</v>
      </c>
      <c r="C162" s="48" t="s">
        <v>28</v>
      </c>
      <c r="D162" s="50">
        <v>1.2E-2</v>
      </c>
      <c r="E162" s="14">
        <v>-6.8887000000000004E-2</v>
      </c>
      <c r="F162" s="48"/>
      <c r="G162" s="47">
        <v>39262</v>
      </c>
      <c r="H162" s="76">
        <v>80681</v>
      </c>
      <c r="I162" s="76" t="s">
        <v>27</v>
      </c>
      <c r="J162" s="11">
        <v>-7.8598000000000001E-2</v>
      </c>
      <c r="K162" s="160">
        <v>-1.7815999999999999E-2</v>
      </c>
      <c r="L162" s="48"/>
      <c r="M162" s="65">
        <v>39325</v>
      </c>
      <c r="N162" s="11">
        <v>9.4906000000000004E-2</v>
      </c>
      <c r="O162" s="11">
        <v>6.5018000000000006E-2</v>
      </c>
      <c r="P162" s="160">
        <v>1.2864E-2</v>
      </c>
    </row>
    <row r="163" spans="1:16">
      <c r="A163" s="47">
        <v>14304</v>
      </c>
      <c r="B163" s="48">
        <v>11404</v>
      </c>
      <c r="C163" s="48" t="s">
        <v>28</v>
      </c>
      <c r="D163" s="50">
        <v>9.0909000000000004E-2</v>
      </c>
      <c r="E163" s="14">
        <v>3.252E-2</v>
      </c>
      <c r="F163" s="48"/>
      <c r="G163" s="47">
        <v>39294</v>
      </c>
      <c r="H163" s="76">
        <v>80681</v>
      </c>
      <c r="I163" s="76" t="s">
        <v>27</v>
      </c>
      <c r="J163" s="11">
        <v>-7.4979000000000004E-2</v>
      </c>
      <c r="K163" s="160">
        <v>-3.1981999999999997E-2</v>
      </c>
      <c r="L163" s="48"/>
      <c r="M163" s="65">
        <v>39353</v>
      </c>
      <c r="N163" s="11">
        <v>6.0280000000000004E-3</v>
      </c>
      <c r="O163" s="11">
        <v>7.8359999999999992E-3</v>
      </c>
      <c r="P163" s="160">
        <v>3.5793999999999999E-2</v>
      </c>
    </row>
    <row r="164" spans="1:16">
      <c r="A164" s="47">
        <v>14335</v>
      </c>
      <c r="B164" s="48">
        <v>11404</v>
      </c>
      <c r="C164" s="48" t="s">
        <v>28</v>
      </c>
      <c r="D164" s="50">
        <v>-0.147059</v>
      </c>
      <c r="E164" s="14">
        <v>-0.135433</v>
      </c>
      <c r="F164" s="48"/>
      <c r="G164" s="47">
        <v>39325</v>
      </c>
      <c r="H164" s="76">
        <v>80681</v>
      </c>
      <c r="I164" s="76" t="s">
        <v>27</v>
      </c>
      <c r="J164" s="11">
        <v>9.4906000000000004E-2</v>
      </c>
      <c r="K164" s="160">
        <v>1.2864E-2</v>
      </c>
      <c r="L164" s="48"/>
      <c r="M164" s="65">
        <v>39386</v>
      </c>
      <c r="N164" s="11">
        <v>4.9842999999999998E-2</v>
      </c>
      <c r="O164" s="11">
        <v>1.7062999999999998E-2</v>
      </c>
      <c r="P164" s="160">
        <v>1.4822E-2</v>
      </c>
    </row>
    <row r="165" spans="1:16">
      <c r="A165" s="47">
        <v>14364</v>
      </c>
      <c r="B165" s="48">
        <v>11404</v>
      </c>
      <c r="C165" s="48" t="s">
        <v>28</v>
      </c>
      <c r="D165" s="50">
        <v>2.5862E-2</v>
      </c>
      <c r="E165" s="14">
        <v>-5.4640000000000001E-3</v>
      </c>
      <c r="F165" s="48"/>
      <c r="G165" s="47">
        <v>39353</v>
      </c>
      <c r="H165" s="76">
        <v>80681</v>
      </c>
      <c r="I165" s="76" t="s">
        <v>27</v>
      </c>
      <c r="J165" s="11">
        <v>6.0280000000000004E-3</v>
      </c>
      <c r="K165" s="160">
        <v>3.5793999999999999E-2</v>
      </c>
      <c r="L165" s="48"/>
      <c r="M165" s="65">
        <v>39416</v>
      </c>
      <c r="N165" s="11">
        <v>-0.159524</v>
      </c>
      <c r="O165" s="11">
        <v>4.1197999999999999E-2</v>
      </c>
      <c r="P165" s="160">
        <v>-4.4042999999999999E-2</v>
      </c>
    </row>
    <row r="166" spans="1:16">
      <c r="A166" s="47">
        <v>14396</v>
      </c>
      <c r="B166" s="48">
        <v>11404</v>
      </c>
      <c r="C166" s="48" t="s">
        <v>28</v>
      </c>
      <c r="D166" s="50">
        <v>7.5630000000000003E-2</v>
      </c>
      <c r="E166" s="14">
        <v>6.2271E-2</v>
      </c>
      <c r="F166" s="48"/>
      <c r="G166" s="47">
        <v>39386</v>
      </c>
      <c r="H166" s="76">
        <v>80681</v>
      </c>
      <c r="I166" s="76" t="s">
        <v>27</v>
      </c>
      <c r="J166" s="11">
        <v>4.9842999999999998E-2</v>
      </c>
      <c r="K166" s="160">
        <v>1.4822E-2</v>
      </c>
      <c r="L166" s="48"/>
      <c r="M166" s="65">
        <v>39447</v>
      </c>
      <c r="N166" s="11">
        <v>-5.1282000000000001E-2</v>
      </c>
      <c r="O166" s="11">
        <v>8.2559999999999995E-3</v>
      </c>
      <c r="P166" s="160">
        <v>-8.6280000000000003E-3</v>
      </c>
    </row>
    <row r="167" spans="1:16">
      <c r="A167" s="47">
        <v>14426</v>
      </c>
      <c r="B167" s="48">
        <v>11404</v>
      </c>
      <c r="C167" s="48" t="s">
        <v>28</v>
      </c>
      <c r="D167" s="50">
        <v>-7.1429000000000006E-2</v>
      </c>
      <c r="E167" s="14">
        <v>-6.3793000000000002E-2</v>
      </c>
      <c r="F167" s="48"/>
      <c r="G167" s="47">
        <v>39416</v>
      </c>
      <c r="H167" s="76">
        <v>80681</v>
      </c>
      <c r="I167" s="76" t="s">
        <v>27</v>
      </c>
      <c r="J167" s="11">
        <v>-0.159524</v>
      </c>
      <c r="K167" s="160">
        <v>-4.4042999999999999E-2</v>
      </c>
      <c r="L167" s="48"/>
      <c r="M167" s="65">
        <v>39478</v>
      </c>
      <c r="N167" s="11">
        <v>6.2775999999999998E-2</v>
      </c>
      <c r="O167" s="11">
        <v>-0.108086</v>
      </c>
      <c r="P167" s="160">
        <v>-6.1163000000000002E-2</v>
      </c>
    </row>
    <row r="168" spans="1:16">
      <c r="A168" s="47">
        <v>14457</v>
      </c>
      <c r="B168" s="48">
        <v>11404</v>
      </c>
      <c r="C168" s="48" t="s">
        <v>28</v>
      </c>
      <c r="D168" s="50">
        <v>0.119658</v>
      </c>
      <c r="E168" s="14">
        <v>0.108656</v>
      </c>
      <c r="F168" s="48"/>
      <c r="G168" s="47">
        <v>39447</v>
      </c>
      <c r="H168" s="76">
        <v>80681</v>
      </c>
      <c r="I168" s="76" t="s">
        <v>27</v>
      </c>
      <c r="J168" s="11">
        <v>-5.1282000000000001E-2</v>
      </c>
      <c r="K168" s="160">
        <v>-8.6280000000000003E-3</v>
      </c>
      <c r="L168" s="48"/>
      <c r="M168" s="65">
        <v>39507</v>
      </c>
      <c r="N168" s="11">
        <v>1.3802E-2</v>
      </c>
      <c r="O168" s="11">
        <v>-4.8084000000000002E-2</v>
      </c>
      <c r="P168" s="160">
        <v>-3.4761E-2</v>
      </c>
    </row>
    <row r="169" spans="1:16">
      <c r="A169" s="47">
        <v>14488</v>
      </c>
      <c r="B169" s="48">
        <v>11404</v>
      </c>
      <c r="C169" s="48" t="s">
        <v>28</v>
      </c>
      <c r="D169" s="50">
        <v>-6.4885999999999999E-2</v>
      </c>
      <c r="E169" s="14">
        <v>-7.1429000000000006E-2</v>
      </c>
      <c r="F169" s="48"/>
      <c r="G169" s="47">
        <v>39478</v>
      </c>
      <c r="H169" s="76">
        <v>80681</v>
      </c>
      <c r="I169" s="76" t="s">
        <v>27</v>
      </c>
      <c r="J169" s="11">
        <v>6.2775999999999998E-2</v>
      </c>
      <c r="K169" s="160">
        <v>-6.1163000000000002E-2</v>
      </c>
      <c r="L169" s="48"/>
      <c r="M169" s="65">
        <v>39538</v>
      </c>
      <c r="N169" s="11">
        <v>9.4821000000000003E-2</v>
      </c>
      <c r="O169" s="11">
        <v>-2.9101999999999999E-2</v>
      </c>
      <c r="P169" s="160">
        <v>-5.96E-3</v>
      </c>
    </row>
    <row r="170" spans="1:16">
      <c r="A170" s="47">
        <v>14518</v>
      </c>
      <c r="B170" s="48">
        <v>11404</v>
      </c>
      <c r="C170" s="48" t="s">
        <v>28</v>
      </c>
      <c r="D170" s="50">
        <v>1.2448000000000001E-2</v>
      </c>
      <c r="E170" s="14">
        <v>0.16458</v>
      </c>
      <c r="F170" s="48"/>
      <c r="G170" s="47">
        <v>39507</v>
      </c>
      <c r="H170" s="76">
        <v>80681</v>
      </c>
      <c r="I170" s="76" t="s">
        <v>27</v>
      </c>
      <c r="J170" s="11">
        <v>1.3802E-2</v>
      </c>
      <c r="K170" s="160">
        <v>-3.4761E-2</v>
      </c>
      <c r="L170" s="48"/>
      <c r="M170" s="65">
        <v>39568</v>
      </c>
      <c r="N170" s="11">
        <v>4.4042999999999999E-2</v>
      </c>
      <c r="O170" s="11">
        <v>4.7858999999999999E-2</v>
      </c>
      <c r="P170" s="160">
        <v>4.7546999999999999E-2</v>
      </c>
    </row>
    <row r="171" spans="1:16">
      <c r="A171" s="47">
        <v>14549</v>
      </c>
      <c r="B171" s="48">
        <v>11404</v>
      </c>
      <c r="C171" s="48" t="s">
        <v>28</v>
      </c>
      <c r="D171" s="50">
        <v>2.0492E-2</v>
      </c>
      <c r="E171" s="14">
        <v>-1.4593E-2</v>
      </c>
      <c r="F171" s="48"/>
      <c r="G171" s="47">
        <v>39538</v>
      </c>
      <c r="H171" s="76">
        <v>80681</v>
      </c>
      <c r="I171" s="76" t="s">
        <v>27</v>
      </c>
      <c r="J171" s="11">
        <v>9.4821000000000003E-2</v>
      </c>
      <c r="K171" s="160">
        <v>-5.96E-3</v>
      </c>
      <c r="L171" s="48"/>
      <c r="M171" s="65">
        <v>39598</v>
      </c>
      <c r="N171" s="11">
        <v>3.9500000000000004E-3</v>
      </c>
      <c r="O171" s="11">
        <v>6.8510000000000003E-3</v>
      </c>
      <c r="P171" s="160">
        <v>1.0673999999999999E-2</v>
      </c>
    </row>
    <row r="172" spans="1:16">
      <c r="A172" s="47">
        <v>14579</v>
      </c>
      <c r="B172" s="48">
        <v>11404</v>
      </c>
      <c r="C172" s="48" t="s">
        <v>28</v>
      </c>
      <c r="D172" s="50">
        <v>-8.0319999999999992E-3</v>
      </c>
      <c r="E172" s="14">
        <v>-4.9104000000000002E-2</v>
      </c>
      <c r="F172" s="48"/>
      <c r="G172" s="47">
        <v>39568</v>
      </c>
      <c r="H172" s="76">
        <v>80681</v>
      </c>
      <c r="I172" s="76" t="s">
        <v>27</v>
      </c>
      <c r="J172" s="11">
        <v>4.4042999999999999E-2</v>
      </c>
      <c r="K172" s="160">
        <v>4.7546999999999999E-2</v>
      </c>
      <c r="L172" s="48"/>
      <c r="M172" s="65">
        <v>39629</v>
      </c>
      <c r="N172" s="11">
        <v>-0.100025</v>
      </c>
      <c r="O172" s="11">
        <v>-5.3511000000000003E-2</v>
      </c>
      <c r="P172" s="160">
        <v>-8.5961999999999997E-2</v>
      </c>
    </row>
    <row r="173" spans="1:16">
      <c r="A173" s="47">
        <v>14609</v>
      </c>
      <c r="B173" s="48">
        <v>11404</v>
      </c>
      <c r="C173" s="48" t="s">
        <v>28</v>
      </c>
      <c r="D173" s="50">
        <v>8.2299999999999995E-3</v>
      </c>
      <c r="E173" s="14">
        <v>2.3769999999999999E-2</v>
      </c>
      <c r="F173" s="48"/>
      <c r="G173" s="47">
        <v>39598</v>
      </c>
      <c r="H173" s="76">
        <v>80681</v>
      </c>
      <c r="I173" s="76" t="s">
        <v>27</v>
      </c>
      <c r="J173" s="11">
        <v>3.9500000000000004E-3</v>
      </c>
      <c r="K173" s="160">
        <v>1.0673999999999999E-2</v>
      </c>
      <c r="L173" s="48"/>
      <c r="M173" s="65">
        <v>39660</v>
      </c>
      <c r="N173" s="11">
        <v>0.13943700000000001</v>
      </c>
      <c r="O173" s="11">
        <v>1.5605000000000001E-2</v>
      </c>
      <c r="P173" s="160">
        <v>-9.8589999999999997E-3</v>
      </c>
    </row>
    <row r="174" spans="1:16">
      <c r="A174" s="47">
        <v>14641</v>
      </c>
      <c r="B174" s="48">
        <v>11404</v>
      </c>
      <c r="C174" s="48" t="s">
        <v>28</v>
      </c>
      <c r="D174" s="50">
        <v>4.8980000000000003E-2</v>
      </c>
      <c r="E174" s="14">
        <v>-3.5228000000000002E-2</v>
      </c>
      <c r="F174" s="48"/>
      <c r="G174" s="47">
        <v>39629</v>
      </c>
      <c r="H174" s="76">
        <v>80681</v>
      </c>
      <c r="I174" s="76" t="s">
        <v>27</v>
      </c>
      <c r="J174" s="11">
        <v>-0.100025</v>
      </c>
      <c r="K174" s="160">
        <v>-8.5961999999999997E-2</v>
      </c>
      <c r="L174" s="48"/>
      <c r="M174" s="65">
        <v>39689</v>
      </c>
      <c r="N174" s="11">
        <v>-3.2962999999999999E-2</v>
      </c>
      <c r="O174" s="11">
        <v>4.4962000000000002E-2</v>
      </c>
      <c r="P174" s="160">
        <v>1.2191E-2</v>
      </c>
    </row>
    <row r="175" spans="1:16">
      <c r="A175" s="47">
        <v>14670</v>
      </c>
      <c r="B175" s="48">
        <v>11404</v>
      </c>
      <c r="C175" s="48" t="s">
        <v>28</v>
      </c>
      <c r="D175" s="50">
        <v>-7.7819999999999999E-3</v>
      </c>
      <c r="E175" s="14">
        <v>6.6389999999999999E-3</v>
      </c>
      <c r="F175" s="48"/>
      <c r="G175" s="47">
        <v>39660</v>
      </c>
      <c r="H175" s="76">
        <v>80681</v>
      </c>
      <c r="I175" s="76" t="s">
        <v>27</v>
      </c>
      <c r="J175" s="11">
        <v>0.13943700000000001</v>
      </c>
      <c r="K175" s="160">
        <v>-9.8589999999999997E-3</v>
      </c>
      <c r="L175" s="48"/>
      <c r="M175" s="65">
        <v>39721</v>
      </c>
      <c r="N175" s="11">
        <v>1.7042999999999999E-2</v>
      </c>
      <c r="O175" s="11">
        <v>5.0367000000000002E-2</v>
      </c>
      <c r="P175" s="160">
        <v>-9.0790999999999997E-2</v>
      </c>
    </row>
    <row r="176" spans="1:16">
      <c r="A176" s="47">
        <v>14700</v>
      </c>
      <c r="B176" s="48">
        <v>11404</v>
      </c>
      <c r="C176" s="48" t="s">
        <v>28</v>
      </c>
      <c r="D176" s="50">
        <v>1.5935999999999999E-2</v>
      </c>
      <c r="E176" s="14">
        <v>9.8930000000000008E-3</v>
      </c>
      <c r="F176" s="48"/>
      <c r="G176" s="47">
        <v>39689</v>
      </c>
      <c r="H176" s="76">
        <v>80681</v>
      </c>
      <c r="I176" s="76" t="s">
        <v>27</v>
      </c>
      <c r="J176" s="11">
        <v>-3.2962999999999999E-2</v>
      </c>
      <c r="K176" s="160">
        <v>1.2191E-2</v>
      </c>
      <c r="L176" s="48"/>
      <c r="M176" s="65">
        <v>39752</v>
      </c>
      <c r="N176" s="11">
        <v>-0.17772299999999999</v>
      </c>
      <c r="O176" s="11">
        <v>8.3800000000000003E-3</v>
      </c>
      <c r="P176" s="160">
        <v>-0.16942499999999999</v>
      </c>
    </row>
    <row r="177" spans="1:16">
      <c r="A177" s="47">
        <v>14731</v>
      </c>
      <c r="B177" s="48">
        <v>11404</v>
      </c>
      <c r="C177" s="48" t="s">
        <v>28</v>
      </c>
      <c r="D177" s="50">
        <v>0</v>
      </c>
      <c r="E177" s="14">
        <v>-4.8979999999999996E-3</v>
      </c>
      <c r="F177" s="48"/>
      <c r="G177" s="47">
        <v>39721</v>
      </c>
      <c r="H177" s="76">
        <v>80681</v>
      </c>
      <c r="I177" s="76" t="s">
        <v>27</v>
      </c>
      <c r="J177" s="11">
        <v>1.7042999999999999E-2</v>
      </c>
      <c r="K177" s="160">
        <v>-9.0790999999999997E-2</v>
      </c>
      <c r="L177" s="48"/>
      <c r="M177" s="65">
        <v>39780</v>
      </c>
      <c r="N177" s="11">
        <v>-0.111305</v>
      </c>
      <c r="O177" s="11">
        <v>-5.4132E-2</v>
      </c>
      <c r="P177" s="160">
        <v>-7.4848999999999999E-2</v>
      </c>
    </row>
    <row r="178" spans="1:16">
      <c r="A178" s="47">
        <v>14762</v>
      </c>
      <c r="B178" s="48">
        <v>11404</v>
      </c>
      <c r="C178" s="48" t="s">
        <v>28</v>
      </c>
      <c r="D178" s="50">
        <v>-0.2</v>
      </c>
      <c r="E178" s="14">
        <v>-0.239541</v>
      </c>
      <c r="F178" s="48"/>
      <c r="G178" s="47">
        <v>39752</v>
      </c>
      <c r="H178" s="76">
        <v>80681</v>
      </c>
      <c r="I178" s="76" t="s">
        <v>27</v>
      </c>
      <c r="J178" s="11">
        <v>-0.17772299999999999</v>
      </c>
      <c r="K178" s="160">
        <v>-0.16942499999999999</v>
      </c>
      <c r="L178" s="48"/>
      <c r="M178" s="65">
        <v>39813</v>
      </c>
      <c r="N178" s="11">
        <v>-0.10061299999999999</v>
      </c>
      <c r="O178" s="11">
        <v>-3.6148E-2</v>
      </c>
      <c r="P178" s="160">
        <v>7.8220000000000008E-3</v>
      </c>
    </row>
    <row r="179" spans="1:16">
      <c r="A179" s="47">
        <v>14791</v>
      </c>
      <c r="B179" s="48">
        <v>11404</v>
      </c>
      <c r="C179" s="48" t="s">
        <v>28</v>
      </c>
      <c r="D179" s="50">
        <v>0.15</v>
      </c>
      <c r="E179" s="14">
        <v>7.6591000000000006E-2</v>
      </c>
      <c r="F179" s="48"/>
      <c r="G179" s="47">
        <v>39780</v>
      </c>
      <c r="H179" s="76">
        <v>80681</v>
      </c>
      <c r="I179" s="76" t="s">
        <v>27</v>
      </c>
      <c r="J179" s="11">
        <v>-0.111305</v>
      </c>
      <c r="K179" s="160">
        <v>-7.4848999999999999E-2</v>
      </c>
      <c r="L179" s="48"/>
      <c r="M179" s="65">
        <v>39843</v>
      </c>
      <c r="N179" s="11">
        <v>-0.13941400000000001</v>
      </c>
      <c r="O179" s="11">
        <v>4.6751000000000001E-2</v>
      </c>
      <c r="P179" s="160">
        <v>-8.5656999999999997E-2</v>
      </c>
    </row>
    <row r="180" spans="1:16">
      <c r="A180" s="47">
        <v>14823</v>
      </c>
      <c r="B180" s="48">
        <v>11404</v>
      </c>
      <c r="C180" s="48" t="s">
        <v>28</v>
      </c>
      <c r="D180" s="50">
        <v>4.3480000000000003E-3</v>
      </c>
      <c r="E180" s="14">
        <v>3.1061999999999999E-2</v>
      </c>
      <c r="F180" s="48"/>
      <c r="G180" s="47">
        <v>39813</v>
      </c>
      <c r="H180" s="76">
        <v>80681</v>
      </c>
      <c r="I180" s="76" t="s">
        <v>27</v>
      </c>
      <c r="J180" s="11">
        <v>-0.10061299999999999</v>
      </c>
      <c r="K180" s="160">
        <v>7.8220000000000008E-3</v>
      </c>
      <c r="L180" s="48"/>
      <c r="M180" s="65">
        <v>39871</v>
      </c>
      <c r="N180" s="11">
        <v>-0.17638200000000001</v>
      </c>
      <c r="O180" s="11">
        <v>-9.6933000000000005E-2</v>
      </c>
      <c r="P180" s="160">
        <v>-0.109931</v>
      </c>
    </row>
    <row r="181" spans="1:16">
      <c r="A181" s="47">
        <v>14854</v>
      </c>
      <c r="B181" s="48">
        <v>11404</v>
      </c>
      <c r="C181" s="48" t="s">
        <v>28</v>
      </c>
      <c r="D181" s="50">
        <v>-1.2987E-2</v>
      </c>
      <c r="E181" s="14">
        <v>2.6238999999999998E-2</v>
      </c>
      <c r="F181" s="48"/>
      <c r="G181" s="47">
        <v>39843</v>
      </c>
      <c r="H181" s="76">
        <v>80681</v>
      </c>
      <c r="I181" s="76" t="s">
        <v>27</v>
      </c>
      <c r="J181" s="11">
        <v>-0.13941400000000001</v>
      </c>
      <c r="K181" s="160">
        <v>-8.5656999999999997E-2</v>
      </c>
      <c r="L181" s="48"/>
      <c r="M181" s="65">
        <v>39903</v>
      </c>
      <c r="N181" s="11">
        <v>7.2978000000000001E-2</v>
      </c>
      <c r="O181" s="11">
        <v>9.3896999999999994E-2</v>
      </c>
      <c r="P181" s="160">
        <v>8.5404999999999995E-2</v>
      </c>
    </row>
    <row r="182" spans="1:16">
      <c r="A182" s="47">
        <v>14884</v>
      </c>
      <c r="B182" s="48">
        <v>11404</v>
      </c>
      <c r="C182" s="48" t="s">
        <v>28</v>
      </c>
      <c r="D182" s="50">
        <v>-4.9106999999999998E-2</v>
      </c>
      <c r="E182" s="14">
        <v>9.4699999999999993E-3</v>
      </c>
      <c r="F182" s="48"/>
      <c r="G182" s="47">
        <v>39871</v>
      </c>
      <c r="H182" s="76">
        <v>80681</v>
      </c>
      <c r="I182" s="76" t="s">
        <v>27</v>
      </c>
      <c r="J182" s="11">
        <v>-0.17638200000000001</v>
      </c>
      <c r="K182" s="160">
        <v>-0.109931</v>
      </c>
      <c r="L182" s="48"/>
      <c r="M182" s="65">
        <v>39933</v>
      </c>
      <c r="N182" s="11">
        <v>0.107255</v>
      </c>
      <c r="O182" s="11">
        <v>-6.2609999999999999E-2</v>
      </c>
      <c r="P182" s="160">
        <v>9.3924999999999995E-2</v>
      </c>
    </row>
    <row r="183" spans="1:16">
      <c r="A183" s="47">
        <v>14915</v>
      </c>
      <c r="B183" s="48">
        <v>11404</v>
      </c>
      <c r="C183" s="48" t="s">
        <v>28</v>
      </c>
      <c r="D183" s="50">
        <v>-4.6950000000000004E-3</v>
      </c>
      <c r="E183" s="14">
        <v>3.9399999999999998E-2</v>
      </c>
      <c r="F183" s="48"/>
      <c r="G183" s="47">
        <v>39903</v>
      </c>
      <c r="H183" s="76">
        <v>80681</v>
      </c>
      <c r="I183" s="76" t="s">
        <v>27</v>
      </c>
      <c r="J183" s="11">
        <v>7.2978000000000001E-2</v>
      </c>
      <c r="K183" s="160">
        <v>8.5404999999999995E-2</v>
      </c>
      <c r="L183" s="48"/>
      <c r="M183" s="65">
        <v>39962</v>
      </c>
      <c r="N183" s="11">
        <v>7.2452000000000003E-2</v>
      </c>
      <c r="O183" s="11">
        <v>-2.9086999999999998E-2</v>
      </c>
      <c r="P183" s="160">
        <v>5.3081000000000003E-2</v>
      </c>
    </row>
    <row r="184" spans="1:16">
      <c r="A184" s="47">
        <v>14945</v>
      </c>
      <c r="B184" s="48">
        <v>11404</v>
      </c>
      <c r="C184" s="48" t="s">
        <v>28</v>
      </c>
      <c r="D184" s="50">
        <v>-0.15565999999999999</v>
      </c>
      <c r="E184" s="14">
        <v>-4.2418999999999998E-2</v>
      </c>
      <c r="F184" s="48"/>
      <c r="G184" s="47">
        <v>39933</v>
      </c>
      <c r="H184" s="76">
        <v>80681</v>
      </c>
      <c r="I184" s="76" t="s">
        <v>27</v>
      </c>
      <c r="J184" s="11">
        <v>0.107255</v>
      </c>
      <c r="K184" s="160">
        <v>9.3924999999999995E-2</v>
      </c>
      <c r="L184" s="48"/>
      <c r="M184" s="65">
        <v>39994</v>
      </c>
      <c r="N184" s="11">
        <v>-7.0934999999999998E-2</v>
      </c>
      <c r="O184" s="11">
        <v>5.5273999999999997E-2</v>
      </c>
      <c r="P184" s="160">
        <v>1.9599999999999999E-4</v>
      </c>
    </row>
    <row r="185" spans="1:16">
      <c r="A185" s="47">
        <v>14976</v>
      </c>
      <c r="B185" s="48">
        <v>11404</v>
      </c>
      <c r="C185" s="48" t="s">
        <v>28</v>
      </c>
      <c r="D185" s="50">
        <v>2.8570999999999999E-2</v>
      </c>
      <c r="E185" s="14">
        <v>-2.8279999999999998E-3</v>
      </c>
      <c r="F185" s="48"/>
      <c r="G185" s="47">
        <v>39962</v>
      </c>
      <c r="H185" s="76">
        <v>80681</v>
      </c>
      <c r="I185" s="76" t="s">
        <v>27</v>
      </c>
      <c r="J185" s="11">
        <v>7.2452000000000003E-2</v>
      </c>
      <c r="K185" s="160">
        <v>5.3081000000000003E-2</v>
      </c>
      <c r="L185" s="48"/>
      <c r="M185" s="65">
        <v>40025</v>
      </c>
      <c r="N185" s="11">
        <v>4.4672999999999997E-2</v>
      </c>
      <c r="O185" s="11">
        <v>5.1844000000000001E-2</v>
      </c>
      <c r="P185" s="160">
        <v>7.4142E-2</v>
      </c>
    </row>
    <row r="186" spans="1:16">
      <c r="A186" s="47">
        <v>15007</v>
      </c>
      <c r="B186" s="48">
        <v>11404</v>
      </c>
      <c r="C186" s="48" t="s">
        <v>28</v>
      </c>
      <c r="D186" s="50">
        <v>-1.6667000000000001E-2</v>
      </c>
      <c r="E186" s="14">
        <v>-4.8203999999999997E-2</v>
      </c>
      <c r="F186" s="48"/>
      <c r="G186" s="47">
        <v>39994</v>
      </c>
      <c r="H186" s="76">
        <v>80681</v>
      </c>
      <c r="I186" s="76" t="s">
        <v>27</v>
      </c>
      <c r="J186" s="11">
        <v>-7.0934999999999998E-2</v>
      </c>
      <c r="K186" s="160">
        <v>1.9599999999999999E-4</v>
      </c>
      <c r="L186" s="48"/>
      <c r="M186" s="65">
        <v>40056</v>
      </c>
      <c r="N186" s="11">
        <v>0.14767</v>
      </c>
      <c r="O186" s="11">
        <v>3.6076999999999998E-2</v>
      </c>
      <c r="P186" s="160">
        <v>3.356E-2</v>
      </c>
    </row>
    <row r="187" spans="1:16">
      <c r="A187" s="47">
        <v>15035</v>
      </c>
      <c r="B187" s="48">
        <v>11404</v>
      </c>
      <c r="C187" s="48" t="s">
        <v>28</v>
      </c>
      <c r="D187" s="50">
        <v>2.2599000000000001E-2</v>
      </c>
      <c r="E187" s="14">
        <v>-1.4896E-2</v>
      </c>
      <c r="F187" s="48"/>
      <c r="G187" s="47">
        <v>40025</v>
      </c>
      <c r="H187" s="76">
        <v>80681</v>
      </c>
      <c r="I187" s="76" t="s">
        <v>27</v>
      </c>
      <c r="J187" s="11">
        <v>4.4672999999999997E-2</v>
      </c>
      <c r="K187" s="160">
        <v>7.4142E-2</v>
      </c>
      <c r="L187" s="48"/>
      <c r="M187" s="65">
        <v>40086</v>
      </c>
      <c r="N187" s="11">
        <v>8.0418000000000003E-2</v>
      </c>
      <c r="O187" s="11">
        <v>1.8661000000000001E-2</v>
      </c>
      <c r="P187" s="160">
        <v>3.5722999999999998E-2</v>
      </c>
    </row>
    <row r="188" spans="1:16">
      <c r="A188" s="47">
        <v>15066</v>
      </c>
      <c r="B188" s="48">
        <v>11404</v>
      </c>
      <c r="C188" s="48" t="s">
        <v>28</v>
      </c>
      <c r="D188" s="50">
        <v>-3.9548E-2</v>
      </c>
      <c r="E188" s="14">
        <v>4.032E-3</v>
      </c>
      <c r="F188" s="48"/>
      <c r="G188" s="47">
        <v>40056</v>
      </c>
      <c r="H188" s="76">
        <v>80681</v>
      </c>
      <c r="I188" s="76" t="s">
        <v>27</v>
      </c>
      <c r="J188" s="11">
        <v>0.14767</v>
      </c>
      <c r="K188" s="160">
        <v>3.356E-2</v>
      </c>
      <c r="L188" s="48"/>
      <c r="M188" s="65">
        <v>40116</v>
      </c>
      <c r="N188" s="11">
        <v>-5.5289999999999999E-2</v>
      </c>
      <c r="O188" s="11">
        <v>-6.3509999999999999E-3</v>
      </c>
      <c r="P188" s="160">
        <v>-1.9761999999999998E-2</v>
      </c>
    </row>
    <row r="189" spans="1:16">
      <c r="A189" s="47">
        <v>15096</v>
      </c>
      <c r="B189" s="48">
        <v>11404</v>
      </c>
      <c r="C189" s="48" t="s">
        <v>28</v>
      </c>
      <c r="D189" s="50">
        <v>-8.8234999999999994E-2</v>
      </c>
      <c r="E189" s="14">
        <v>-6.5261E-2</v>
      </c>
      <c r="F189" s="48"/>
      <c r="G189" s="47">
        <v>40086</v>
      </c>
      <c r="H189" s="76">
        <v>80681</v>
      </c>
      <c r="I189" s="76" t="s">
        <v>27</v>
      </c>
      <c r="J189" s="11">
        <v>8.0418000000000003E-2</v>
      </c>
      <c r="K189" s="160">
        <v>3.5722999999999998E-2</v>
      </c>
      <c r="L189" s="48"/>
      <c r="M189" s="65">
        <v>40147</v>
      </c>
      <c r="N189" s="11">
        <v>6.0787000000000001E-2</v>
      </c>
      <c r="O189" s="11">
        <v>6.9321999999999995E-2</v>
      </c>
      <c r="P189" s="160">
        <v>5.7363999999999998E-2</v>
      </c>
    </row>
    <row r="190" spans="1:16">
      <c r="A190" s="47">
        <v>15127</v>
      </c>
      <c r="B190" s="48">
        <v>11404</v>
      </c>
      <c r="C190" s="48" t="s">
        <v>28</v>
      </c>
      <c r="D190" s="50">
        <v>-7.0968000000000003E-2</v>
      </c>
      <c r="E190" s="14">
        <v>4.2960000000000003E-3</v>
      </c>
      <c r="F190" s="48"/>
      <c r="G190" s="47">
        <v>40116</v>
      </c>
      <c r="H190" s="76">
        <v>80681</v>
      </c>
      <c r="I190" s="76" t="s">
        <v>27</v>
      </c>
      <c r="J190" s="11">
        <v>-5.5289999999999999E-2</v>
      </c>
      <c r="K190" s="160">
        <v>-1.9761999999999998E-2</v>
      </c>
      <c r="L190" s="48"/>
      <c r="M190" s="65">
        <v>40178</v>
      </c>
      <c r="N190" s="11">
        <v>6.1817999999999998E-2</v>
      </c>
      <c r="O190" s="11">
        <v>5.8728000000000002E-2</v>
      </c>
      <c r="P190" s="160">
        <v>1.7770999999999999E-2</v>
      </c>
    </row>
    <row r="191" spans="1:16">
      <c r="A191" s="47">
        <v>15157</v>
      </c>
      <c r="B191" s="48">
        <v>11404</v>
      </c>
      <c r="C191" s="48" t="s">
        <v>28</v>
      </c>
      <c r="D191" s="50">
        <v>5.7142999999999999E-2</v>
      </c>
      <c r="E191" s="14">
        <v>5.3476000000000003E-2</v>
      </c>
      <c r="F191" s="48"/>
      <c r="G191" s="47">
        <v>40147</v>
      </c>
      <c r="H191" s="76">
        <v>80681</v>
      </c>
      <c r="I191" s="76" t="s">
        <v>27</v>
      </c>
      <c r="J191" s="11">
        <v>6.0787000000000001E-2</v>
      </c>
      <c r="K191" s="160">
        <v>5.7363999999999998E-2</v>
      </c>
      <c r="L191" s="48"/>
      <c r="M191" s="65">
        <v>40207</v>
      </c>
      <c r="N191" s="11">
        <v>-4.734E-2</v>
      </c>
      <c r="O191" s="11">
        <v>-3.7199999999999997E-2</v>
      </c>
      <c r="P191" s="160">
        <v>-3.6974E-2</v>
      </c>
    </row>
    <row r="192" spans="1:16">
      <c r="A192" s="47">
        <v>15188</v>
      </c>
      <c r="B192" s="48">
        <v>11404</v>
      </c>
      <c r="C192" s="48" t="s">
        <v>28</v>
      </c>
      <c r="D192" s="50">
        <v>2.7026999999999999E-2</v>
      </c>
      <c r="E192" s="14">
        <v>5.4822000000000003E-2</v>
      </c>
      <c r="F192" s="48"/>
      <c r="G192" s="47">
        <v>40178</v>
      </c>
      <c r="H192" s="76">
        <v>80681</v>
      </c>
      <c r="I192" s="76" t="s">
        <v>27</v>
      </c>
      <c r="J192" s="11">
        <v>6.1817999999999998E-2</v>
      </c>
      <c r="K192" s="160">
        <v>1.7770999999999999E-2</v>
      </c>
      <c r="L192" s="48"/>
      <c r="M192" s="65">
        <v>40235</v>
      </c>
      <c r="N192" s="11">
        <v>7.7926999999999996E-2</v>
      </c>
      <c r="O192" s="11">
        <v>-9.0310000000000008E-3</v>
      </c>
      <c r="P192" s="160">
        <v>2.8514000000000001E-2</v>
      </c>
    </row>
    <row r="193" spans="1:16">
      <c r="A193" s="47">
        <v>15218</v>
      </c>
      <c r="B193" s="48">
        <v>11404</v>
      </c>
      <c r="C193" s="48" t="s">
        <v>28</v>
      </c>
      <c r="D193" s="50">
        <v>-3.1579000000000003E-2</v>
      </c>
      <c r="E193" s="14">
        <v>-8.6619999999999996E-3</v>
      </c>
      <c r="F193" s="48"/>
      <c r="G193" s="47">
        <v>40207</v>
      </c>
      <c r="H193" s="76">
        <v>80681</v>
      </c>
      <c r="I193" s="76" t="s">
        <v>27</v>
      </c>
      <c r="J193" s="11">
        <v>-4.734E-2</v>
      </c>
      <c r="K193" s="160">
        <v>-3.6974E-2</v>
      </c>
      <c r="L193" s="48"/>
      <c r="M193" s="65">
        <v>40268</v>
      </c>
      <c r="N193" s="11">
        <v>5.9167999999999998E-2</v>
      </c>
      <c r="O193" s="11">
        <v>4.1870999999999998E-2</v>
      </c>
      <c r="P193" s="160">
        <v>5.8796000000000001E-2</v>
      </c>
    </row>
    <row r="194" spans="1:16">
      <c r="A194" s="47">
        <v>15249</v>
      </c>
      <c r="B194" s="48">
        <v>11404</v>
      </c>
      <c r="C194" s="48" t="s">
        <v>28</v>
      </c>
      <c r="D194" s="50">
        <v>-6.25E-2</v>
      </c>
      <c r="E194" s="14">
        <v>-9.7090000000000006E-3</v>
      </c>
      <c r="F194" s="48"/>
      <c r="G194" s="47">
        <v>40235</v>
      </c>
      <c r="H194" s="76">
        <v>80681</v>
      </c>
      <c r="I194" s="76" t="s">
        <v>27</v>
      </c>
      <c r="J194" s="11">
        <v>7.7926999999999996E-2</v>
      </c>
      <c r="K194" s="160">
        <v>2.8514000000000001E-2</v>
      </c>
      <c r="L194" s="48"/>
      <c r="M194" s="65">
        <v>40298</v>
      </c>
      <c r="N194" s="11">
        <v>0.176431</v>
      </c>
      <c r="O194" s="11">
        <v>1.4818E-2</v>
      </c>
      <c r="P194" s="160">
        <v>1.4759E-2</v>
      </c>
    </row>
    <row r="195" spans="1:16">
      <c r="A195" s="47">
        <v>15280</v>
      </c>
      <c r="B195" s="48">
        <v>11404</v>
      </c>
      <c r="C195" s="48" t="s">
        <v>28</v>
      </c>
      <c r="D195" s="50">
        <v>-6.6667000000000004E-2</v>
      </c>
      <c r="E195" s="14">
        <v>-6.8626999999999994E-2</v>
      </c>
      <c r="F195" s="48"/>
      <c r="G195" s="47">
        <v>40268</v>
      </c>
      <c r="H195" s="76">
        <v>80681</v>
      </c>
      <c r="I195" s="76" t="s">
        <v>27</v>
      </c>
      <c r="J195" s="11">
        <v>5.9167999999999998E-2</v>
      </c>
      <c r="K195" s="160">
        <v>5.8796000000000001E-2</v>
      </c>
      <c r="L195" s="48"/>
      <c r="M195" s="65">
        <v>40326</v>
      </c>
      <c r="N195" s="11">
        <v>-5.5750000000000001E-3</v>
      </c>
      <c r="O195" s="11">
        <v>-4.4580000000000002E-2</v>
      </c>
      <c r="P195" s="160">
        <v>-8.1975999999999993E-2</v>
      </c>
    </row>
    <row r="196" spans="1:16">
      <c r="A196" s="47">
        <v>15309</v>
      </c>
      <c r="B196" s="48">
        <v>11404</v>
      </c>
      <c r="C196" s="48" t="s">
        <v>28</v>
      </c>
      <c r="D196" s="50">
        <v>-0.109524</v>
      </c>
      <c r="E196" s="14">
        <v>-4.2104999999999997E-2</v>
      </c>
      <c r="F196" s="48"/>
      <c r="G196" s="47">
        <v>40298</v>
      </c>
      <c r="H196" s="76">
        <v>80681</v>
      </c>
      <c r="I196" s="76" t="s">
        <v>27</v>
      </c>
      <c r="J196" s="11">
        <v>0.176431</v>
      </c>
      <c r="K196" s="160">
        <v>1.4759E-2</v>
      </c>
      <c r="L196" s="48"/>
      <c r="M196" s="65">
        <v>40359</v>
      </c>
      <c r="N196" s="11">
        <v>-6.3266000000000003E-2</v>
      </c>
      <c r="O196" s="11">
        <v>1.1975E-2</v>
      </c>
      <c r="P196" s="160">
        <v>-5.3881999999999999E-2</v>
      </c>
    </row>
    <row r="197" spans="1:16">
      <c r="A197" s="47">
        <v>15341</v>
      </c>
      <c r="B197" s="48">
        <v>11404</v>
      </c>
      <c r="C197" s="48" t="s">
        <v>28</v>
      </c>
      <c r="D197" s="50">
        <v>-9.1743000000000005E-2</v>
      </c>
      <c r="E197" s="14">
        <v>-4.5054999999999998E-2</v>
      </c>
      <c r="F197" s="48"/>
      <c r="G197" s="47">
        <v>40326</v>
      </c>
      <c r="H197" s="76">
        <v>80681</v>
      </c>
      <c r="I197" s="76" t="s">
        <v>27</v>
      </c>
      <c r="J197" s="11">
        <v>-5.5750000000000001E-3</v>
      </c>
      <c r="K197" s="160">
        <v>-8.1975999999999993E-2</v>
      </c>
      <c r="L197" s="48"/>
      <c r="M197" s="65">
        <v>40389</v>
      </c>
      <c r="N197" s="11">
        <v>7.7608999999999997E-2</v>
      </c>
      <c r="O197" s="11">
        <v>7.0069999999999993E-2</v>
      </c>
      <c r="P197" s="160">
        <v>6.8778000000000006E-2</v>
      </c>
    </row>
    <row r="198" spans="1:16">
      <c r="A198" s="47">
        <v>15372</v>
      </c>
      <c r="B198" s="48">
        <v>11404</v>
      </c>
      <c r="C198" s="48" t="s">
        <v>28</v>
      </c>
      <c r="D198" s="50">
        <v>9.0909000000000004E-2</v>
      </c>
      <c r="E198" s="14">
        <v>1.3809E-2</v>
      </c>
      <c r="F198" s="48"/>
      <c r="G198" s="47">
        <v>40359</v>
      </c>
      <c r="H198" s="76">
        <v>80681</v>
      </c>
      <c r="I198" s="76" t="s">
        <v>27</v>
      </c>
      <c r="J198" s="11">
        <v>-6.3266000000000003E-2</v>
      </c>
      <c r="K198" s="160">
        <v>-5.3881999999999999E-2</v>
      </c>
      <c r="L198" s="48"/>
      <c r="M198" s="65">
        <v>40421</v>
      </c>
      <c r="N198" s="11">
        <v>6.2789999999999999E-3</v>
      </c>
      <c r="O198" s="11">
        <v>4.3473999999999999E-2</v>
      </c>
      <c r="P198" s="160">
        <v>-4.7448999999999998E-2</v>
      </c>
    </row>
    <row r="199" spans="1:16">
      <c r="A199" s="47">
        <v>15400</v>
      </c>
      <c r="B199" s="48">
        <v>11404</v>
      </c>
      <c r="C199" s="48" t="s">
        <v>28</v>
      </c>
      <c r="D199" s="50">
        <v>-3.5185000000000001E-2</v>
      </c>
      <c r="E199" s="14">
        <v>-2.4972000000000001E-2</v>
      </c>
      <c r="F199" s="48"/>
      <c r="G199" s="47">
        <v>40389</v>
      </c>
      <c r="H199" s="76">
        <v>80681</v>
      </c>
      <c r="I199" s="76" t="s">
        <v>27</v>
      </c>
      <c r="J199" s="11">
        <v>7.7608999999999997E-2</v>
      </c>
      <c r="K199" s="160">
        <v>6.8778000000000006E-2</v>
      </c>
      <c r="L199" s="48"/>
      <c r="M199" s="65">
        <v>40451</v>
      </c>
      <c r="N199" s="11">
        <v>4.446E-2</v>
      </c>
      <c r="O199" s="11">
        <v>1.4517E-2</v>
      </c>
      <c r="P199" s="160">
        <v>8.7551000000000004E-2</v>
      </c>
    </row>
    <row r="200" spans="1:16">
      <c r="A200" s="47">
        <v>15431</v>
      </c>
      <c r="B200" s="48">
        <v>11404</v>
      </c>
      <c r="C200" s="48" t="s">
        <v>28</v>
      </c>
      <c r="D200" s="50">
        <v>-8.9108999999999994E-2</v>
      </c>
      <c r="E200" s="14">
        <v>-6.7519999999999997E-2</v>
      </c>
      <c r="F200" s="48"/>
      <c r="G200" s="47">
        <v>40421</v>
      </c>
      <c r="H200" s="76">
        <v>80681</v>
      </c>
      <c r="I200" s="76" t="s">
        <v>27</v>
      </c>
      <c r="J200" s="11">
        <v>6.2789999999999999E-3</v>
      </c>
      <c r="K200" s="160">
        <v>-4.7448999999999998E-2</v>
      </c>
      <c r="L200" s="48"/>
      <c r="M200" s="65">
        <v>40480</v>
      </c>
      <c r="N200" s="11">
        <v>3.2163999999999998E-2</v>
      </c>
      <c r="O200" s="11">
        <v>3.1106999999999999E-2</v>
      </c>
      <c r="P200" s="160">
        <v>3.6856E-2</v>
      </c>
    </row>
    <row r="201" spans="1:16">
      <c r="A201" s="47">
        <v>15461</v>
      </c>
      <c r="B201" s="48">
        <v>11404</v>
      </c>
      <c r="C201" s="48" t="s">
        <v>28</v>
      </c>
      <c r="D201" s="50">
        <v>3.2608999999999999E-2</v>
      </c>
      <c r="E201" s="14">
        <v>-4.3694999999999998E-2</v>
      </c>
      <c r="F201" s="48"/>
      <c r="G201" s="47">
        <v>40451</v>
      </c>
      <c r="H201" s="76">
        <v>80681</v>
      </c>
      <c r="I201" s="76" t="s">
        <v>27</v>
      </c>
      <c r="J201" s="11">
        <v>4.446E-2</v>
      </c>
      <c r="K201" s="160">
        <v>8.7551000000000004E-2</v>
      </c>
      <c r="L201" s="48"/>
      <c r="M201" s="65">
        <v>40512</v>
      </c>
      <c r="N201" s="11">
        <v>-1.8768E-2</v>
      </c>
      <c r="O201" s="11">
        <v>-1.5185000000000001E-2</v>
      </c>
      <c r="P201" s="160">
        <v>-2.2899999999999999E-3</v>
      </c>
    </row>
    <row r="202" spans="1:16">
      <c r="A202" s="47">
        <v>15490</v>
      </c>
      <c r="B202" s="48">
        <v>11404</v>
      </c>
      <c r="C202" s="48" t="s">
        <v>28</v>
      </c>
      <c r="D202" s="50">
        <v>6.5263000000000002E-2</v>
      </c>
      <c r="E202" s="14">
        <v>6.3968999999999998E-2</v>
      </c>
      <c r="F202" s="48"/>
      <c r="G202" s="47">
        <v>40480</v>
      </c>
      <c r="H202" s="76">
        <v>80681</v>
      </c>
      <c r="I202" s="76" t="s">
        <v>27</v>
      </c>
      <c r="J202" s="11">
        <v>3.2163999999999998E-2</v>
      </c>
      <c r="K202" s="160">
        <v>3.6856E-2</v>
      </c>
      <c r="L202" s="48"/>
      <c r="M202" s="65">
        <v>40543</v>
      </c>
      <c r="N202" s="11">
        <v>3.9809999999999998E-2</v>
      </c>
      <c r="O202" s="11">
        <v>2.4809000000000001E-2</v>
      </c>
      <c r="P202" s="160">
        <v>6.5299999999999997E-2</v>
      </c>
    </row>
    <row r="203" spans="1:16">
      <c r="A203" s="47">
        <v>15522</v>
      </c>
      <c r="B203" s="48">
        <v>11404</v>
      </c>
      <c r="C203" s="48" t="s">
        <v>28</v>
      </c>
      <c r="D203" s="50">
        <v>8.1632999999999997E-2</v>
      </c>
      <c r="E203" s="14">
        <v>1.8405000000000001E-2</v>
      </c>
      <c r="F203" s="48"/>
      <c r="G203" s="47">
        <v>40512</v>
      </c>
      <c r="H203" s="76">
        <v>80681</v>
      </c>
      <c r="I203" s="76" t="s">
        <v>27</v>
      </c>
      <c r="J203" s="11">
        <v>-1.8768E-2</v>
      </c>
      <c r="K203" s="160">
        <v>-2.2899999999999999E-3</v>
      </c>
      <c r="L203" s="48"/>
      <c r="M203" s="65">
        <v>40574</v>
      </c>
      <c r="N203" s="11">
        <v>1.5584000000000001E-2</v>
      </c>
      <c r="O203" s="11">
        <v>6.8589999999999996E-3</v>
      </c>
      <c r="P203" s="160">
        <v>2.2645999999999999E-2</v>
      </c>
    </row>
    <row r="204" spans="1:16">
      <c r="A204" s="47">
        <v>15553</v>
      </c>
      <c r="B204" s="48">
        <v>11404</v>
      </c>
      <c r="C204" s="48" t="s">
        <v>28</v>
      </c>
      <c r="D204" s="50">
        <v>0</v>
      </c>
      <c r="E204" s="14">
        <v>3.1324999999999999E-2</v>
      </c>
      <c r="F204" s="48"/>
      <c r="G204" s="47">
        <v>40543</v>
      </c>
      <c r="H204" s="76">
        <v>80681</v>
      </c>
      <c r="I204" s="76" t="s">
        <v>27</v>
      </c>
      <c r="J204" s="11">
        <v>3.9809999999999998E-2</v>
      </c>
      <c r="K204" s="160">
        <v>6.5299999999999997E-2</v>
      </c>
      <c r="L204" s="48"/>
      <c r="M204" s="65">
        <v>40602</v>
      </c>
      <c r="N204" s="11">
        <v>6.7069000000000004E-2</v>
      </c>
      <c r="O204" s="11">
        <v>1.3424E-2</v>
      </c>
      <c r="P204" s="160">
        <v>3.1956999999999999E-2</v>
      </c>
    </row>
    <row r="205" spans="1:16">
      <c r="A205" s="47">
        <v>15584</v>
      </c>
      <c r="B205" s="48">
        <v>11404</v>
      </c>
      <c r="C205" s="48" t="s">
        <v>28</v>
      </c>
      <c r="D205" s="50">
        <v>2.0754999999999999E-2</v>
      </c>
      <c r="E205" s="14">
        <v>7.0089999999999996E-3</v>
      </c>
      <c r="F205" s="48"/>
      <c r="G205" s="47">
        <v>40574</v>
      </c>
      <c r="H205" s="76">
        <v>80681</v>
      </c>
      <c r="I205" s="76" t="s">
        <v>27</v>
      </c>
      <c r="J205" s="11">
        <v>1.5584000000000001E-2</v>
      </c>
      <c r="K205" s="160">
        <v>2.2645999999999999E-2</v>
      </c>
      <c r="L205" s="48"/>
      <c r="M205" s="65">
        <v>40633</v>
      </c>
      <c r="N205" s="11">
        <v>1.0179000000000001E-2</v>
      </c>
      <c r="O205" s="11">
        <v>1.4806E-2</v>
      </c>
      <c r="P205" s="160">
        <v>-1.047E-3</v>
      </c>
    </row>
    <row r="206" spans="1:16">
      <c r="A206" s="47">
        <v>15614</v>
      </c>
      <c r="B206" s="48">
        <v>11404</v>
      </c>
      <c r="C206" s="48" t="s">
        <v>28</v>
      </c>
      <c r="D206" s="50">
        <v>1.9047999999999999E-2</v>
      </c>
      <c r="E206" s="14">
        <v>2.6682000000000001E-2</v>
      </c>
      <c r="F206" s="48"/>
      <c r="G206" s="47">
        <v>40602</v>
      </c>
      <c r="H206" s="76">
        <v>80681</v>
      </c>
      <c r="I206" s="76" t="s">
        <v>27</v>
      </c>
      <c r="J206" s="11">
        <v>6.7069000000000004E-2</v>
      </c>
      <c r="K206" s="160">
        <v>3.1956999999999999E-2</v>
      </c>
      <c r="L206" s="48"/>
      <c r="M206" s="65">
        <v>40662</v>
      </c>
      <c r="N206" s="11">
        <v>9.2580999999999997E-2</v>
      </c>
      <c r="O206" s="11">
        <v>2.7602000000000002E-2</v>
      </c>
      <c r="P206" s="160">
        <v>2.8494999999999999E-2</v>
      </c>
    </row>
    <row r="207" spans="1:16">
      <c r="A207" s="47">
        <v>15645</v>
      </c>
      <c r="B207" s="48">
        <v>11404</v>
      </c>
      <c r="C207" s="48" t="s">
        <v>28</v>
      </c>
      <c r="D207" s="50">
        <v>0.21495300000000001</v>
      </c>
      <c r="E207" s="14">
        <v>6.4407000000000006E-2</v>
      </c>
      <c r="F207" s="48"/>
      <c r="G207" s="47">
        <v>40633</v>
      </c>
      <c r="H207" s="76">
        <v>80681</v>
      </c>
      <c r="I207" s="76" t="s">
        <v>27</v>
      </c>
      <c r="J207" s="11">
        <v>1.0179000000000001E-2</v>
      </c>
      <c r="K207" s="160">
        <v>-1.047E-3</v>
      </c>
      <c r="L207" s="48"/>
      <c r="M207" s="65">
        <v>40694</v>
      </c>
      <c r="N207" s="11">
        <v>1.5722E-2</v>
      </c>
      <c r="O207" s="11">
        <v>2.9547E-2</v>
      </c>
      <c r="P207" s="160">
        <v>-1.3501000000000001E-2</v>
      </c>
    </row>
    <row r="208" spans="1:16">
      <c r="A208" s="47">
        <v>15675</v>
      </c>
      <c r="B208" s="48">
        <v>11404</v>
      </c>
      <c r="C208" s="48" t="s">
        <v>28</v>
      </c>
      <c r="D208" s="50">
        <v>-3.6922999999999997E-2</v>
      </c>
      <c r="E208" s="14">
        <v>-1.38E-2</v>
      </c>
      <c r="F208" s="48"/>
      <c r="G208" s="47">
        <v>40662</v>
      </c>
      <c r="H208" s="76">
        <v>80681</v>
      </c>
      <c r="I208" s="76" t="s">
        <v>27</v>
      </c>
      <c r="J208" s="11">
        <v>9.2580999999999997E-2</v>
      </c>
      <c r="K208" s="160">
        <v>2.8494999999999999E-2</v>
      </c>
      <c r="L208" s="48"/>
      <c r="M208" s="65">
        <v>40724</v>
      </c>
      <c r="N208" s="11">
        <v>-9.3019999999999995E-3</v>
      </c>
      <c r="O208" s="11">
        <v>3.392E-3</v>
      </c>
      <c r="P208" s="160">
        <v>-1.8258E-2</v>
      </c>
    </row>
    <row r="209" spans="1:16">
      <c r="A209" s="47">
        <v>15706</v>
      </c>
      <c r="B209" s="48">
        <v>11404</v>
      </c>
      <c r="C209" s="48" t="s">
        <v>28</v>
      </c>
      <c r="D209" s="50">
        <v>1.6393000000000001E-2</v>
      </c>
      <c r="E209" s="14">
        <v>5.1667999999999999E-2</v>
      </c>
      <c r="F209" s="48"/>
      <c r="G209" s="47">
        <v>40694</v>
      </c>
      <c r="H209" s="76">
        <v>80681</v>
      </c>
      <c r="I209" s="76" t="s">
        <v>27</v>
      </c>
      <c r="J209" s="11">
        <v>1.5722E-2</v>
      </c>
      <c r="K209" s="160">
        <v>-1.3501000000000001E-2</v>
      </c>
      <c r="L209" s="48"/>
      <c r="M209" s="65">
        <v>40753</v>
      </c>
      <c r="N209" s="11">
        <v>3.7475000000000001E-2</v>
      </c>
      <c r="O209" s="11">
        <v>-1.2021E-2</v>
      </c>
      <c r="P209" s="160">
        <v>-2.1474E-2</v>
      </c>
    </row>
    <row r="210" spans="1:16">
      <c r="A210" s="47">
        <v>15736</v>
      </c>
      <c r="B210" s="48">
        <v>11404</v>
      </c>
      <c r="C210" s="48" t="s">
        <v>28</v>
      </c>
      <c r="D210" s="50">
        <v>0.12096800000000001</v>
      </c>
      <c r="E210" s="14">
        <v>7.1648000000000003E-2</v>
      </c>
      <c r="F210" s="48"/>
      <c r="G210" s="47">
        <v>40724</v>
      </c>
      <c r="H210" s="76">
        <v>80681</v>
      </c>
      <c r="I210" s="76" t="s">
        <v>27</v>
      </c>
      <c r="J210" s="11">
        <v>-9.3019999999999995E-3</v>
      </c>
      <c r="K210" s="160">
        <v>-1.8258E-2</v>
      </c>
      <c r="L210" s="48"/>
      <c r="M210" s="65">
        <v>40786</v>
      </c>
      <c r="N210" s="11">
        <v>2.2727000000000001E-2</v>
      </c>
      <c r="O210" s="11">
        <v>8.0037999999999998E-2</v>
      </c>
      <c r="P210" s="160">
        <v>-5.6791000000000001E-2</v>
      </c>
    </row>
    <row r="211" spans="1:16">
      <c r="A211" s="47">
        <v>15764</v>
      </c>
      <c r="B211" s="48">
        <v>11404</v>
      </c>
      <c r="C211" s="48" t="s">
        <v>28</v>
      </c>
      <c r="D211" s="50">
        <v>0.123741</v>
      </c>
      <c r="E211" s="14">
        <v>5.0620999999999999E-2</v>
      </c>
      <c r="F211" s="48"/>
      <c r="G211" s="47">
        <v>40753</v>
      </c>
      <c r="H211" s="76">
        <v>80681</v>
      </c>
      <c r="I211" s="76" t="s">
        <v>27</v>
      </c>
      <c r="J211" s="11">
        <v>3.7475000000000001E-2</v>
      </c>
      <c r="K211" s="160">
        <v>-2.1474E-2</v>
      </c>
      <c r="L211" s="48"/>
      <c r="M211" s="65">
        <v>40816</v>
      </c>
      <c r="N211" s="11">
        <v>-0.156531</v>
      </c>
      <c r="O211" s="11">
        <v>1.4409999999999999E-2</v>
      </c>
      <c r="P211" s="160">
        <v>-7.1762000000000006E-2</v>
      </c>
    </row>
    <row r="212" spans="1:16">
      <c r="A212" s="47">
        <v>15796</v>
      </c>
      <c r="B212" s="48">
        <v>11404</v>
      </c>
      <c r="C212" s="48" t="s">
        <v>28</v>
      </c>
      <c r="D212" s="50">
        <v>3.9216000000000001E-2</v>
      </c>
      <c r="E212" s="14">
        <v>5.2727000000000003E-2</v>
      </c>
      <c r="F212" s="48"/>
      <c r="G212" s="47">
        <v>40786</v>
      </c>
      <c r="H212" s="76">
        <v>80681</v>
      </c>
      <c r="I212" s="76" t="s">
        <v>27</v>
      </c>
      <c r="J212" s="11">
        <v>2.2727000000000001E-2</v>
      </c>
      <c r="K212" s="160">
        <v>-5.6791000000000001E-2</v>
      </c>
      <c r="L212" s="48"/>
      <c r="M212" s="65">
        <v>40847</v>
      </c>
      <c r="N212" s="11">
        <v>0.18926999999999999</v>
      </c>
      <c r="O212" s="11">
        <v>1.4907E-2</v>
      </c>
      <c r="P212" s="160">
        <v>0.107723</v>
      </c>
    </row>
    <row r="213" spans="1:16">
      <c r="A213" s="47">
        <v>15826</v>
      </c>
      <c r="B213" s="48">
        <v>11404</v>
      </c>
      <c r="C213" s="48" t="s">
        <v>28</v>
      </c>
      <c r="D213" s="50">
        <v>-1.2579E-2</v>
      </c>
      <c r="E213" s="14">
        <v>8.6399999999999997E-4</v>
      </c>
      <c r="F213" s="48"/>
      <c r="G213" s="47">
        <v>40816</v>
      </c>
      <c r="H213" s="76">
        <v>80681</v>
      </c>
      <c r="I213" s="76" t="s">
        <v>27</v>
      </c>
      <c r="J213" s="11">
        <v>-0.156531</v>
      </c>
      <c r="K213" s="160">
        <v>-7.1762000000000006E-2</v>
      </c>
      <c r="L213" s="48"/>
      <c r="M213" s="65">
        <v>40877</v>
      </c>
      <c r="N213" s="11">
        <v>-6.9417000000000006E-2</v>
      </c>
      <c r="O213" s="11">
        <v>3.7151999999999998E-2</v>
      </c>
      <c r="P213" s="160">
        <v>-5.0590000000000001E-3</v>
      </c>
    </row>
    <row r="214" spans="1:16">
      <c r="A214" s="47">
        <v>15855</v>
      </c>
      <c r="B214" s="48">
        <v>11404</v>
      </c>
      <c r="C214" s="48" t="s">
        <v>28</v>
      </c>
      <c r="D214" s="50">
        <v>4.5859999999999998E-2</v>
      </c>
      <c r="E214" s="14">
        <v>4.4866000000000003E-2</v>
      </c>
      <c r="F214" s="48"/>
      <c r="G214" s="47">
        <v>40847</v>
      </c>
      <c r="H214" s="76">
        <v>80681</v>
      </c>
      <c r="I214" s="76" t="s">
        <v>27</v>
      </c>
      <c r="J214" s="11">
        <v>0.18926999999999999</v>
      </c>
      <c r="K214" s="160">
        <v>0.107723</v>
      </c>
      <c r="L214" s="48"/>
      <c r="M214" s="65">
        <v>40907</v>
      </c>
      <c r="N214" s="11">
        <v>6.5487000000000004E-2</v>
      </c>
      <c r="O214" s="11">
        <v>4.3924999999999999E-2</v>
      </c>
      <c r="P214" s="160">
        <v>8.5330000000000007E-3</v>
      </c>
    </row>
    <row r="215" spans="1:16">
      <c r="A215" s="47">
        <v>15887</v>
      </c>
      <c r="B215" s="48">
        <v>11404</v>
      </c>
      <c r="C215" s="48" t="s">
        <v>28</v>
      </c>
      <c r="D215" s="50">
        <v>0.10559</v>
      </c>
      <c r="E215" s="14">
        <v>1.9817999999999999E-2</v>
      </c>
      <c r="F215" s="48"/>
      <c r="G215" s="47">
        <v>40877</v>
      </c>
      <c r="H215" s="76">
        <v>80681</v>
      </c>
      <c r="I215" s="76" t="s">
        <v>27</v>
      </c>
      <c r="J215" s="11">
        <v>-6.9417000000000006E-2</v>
      </c>
      <c r="K215" s="160">
        <v>-5.0590000000000001E-3</v>
      </c>
      <c r="L215" s="48"/>
      <c r="M215" s="65">
        <v>40939</v>
      </c>
      <c r="N215" s="11">
        <v>2.4837999999999999E-2</v>
      </c>
      <c r="O215" s="11">
        <v>-4.9492000000000001E-2</v>
      </c>
      <c r="P215" s="160">
        <v>4.3582999999999997E-2</v>
      </c>
    </row>
    <row r="216" spans="1:16">
      <c r="A216" s="47">
        <v>15918</v>
      </c>
      <c r="B216" s="48">
        <v>11404</v>
      </c>
      <c r="C216" s="48" t="s">
        <v>28</v>
      </c>
      <c r="D216" s="50">
        <v>0</v>
      </c>
      <c r="E216" s="14">
        <v>-5.4251000000000001E-2</v>
      </c>
      <c r="F216" s="48"/>
      <c r="G216" s="47">
        <v>40907</v>
      </c>
      <c r="H216" s="76">
        <v>80681</v>
      </c>
      <c r="I216" s="76" t="s">
        <v>27</v>
      </c>
      <c r="J216" s="11">
        <v>6.5487000000000004E-2</v>
      </c>
      <c r="K216" s="160">
        <v>8.5330000000000007E-3</v>
      </c>
      <c r="L216" s="48"/>
      <c r="M216" s="65">
        <v>40968</v>
      </c>
      <c r="N216" s="11">
        <v>-2.7847E-2</v>
      </c>
      <c r="O216" s="11">
        <v>-4.3249999999999999E-3</v>
      </c>
      <c r="P216" s="160">
        <v>4.0589E-2</v>
      </c>
    </row>
    <row r="217" spans="1:16">
      <c r="A217" s="47">
        <v>15949</v>
      </c>
      <c r="B217" s="48">
        <v>11404</v>
      </c>
      <c r="C217" s="48" t="s">
        <v>28</v>
      </c>
      <c r="D217" s="50">
        <v>2.9212999999999999E-2</v>
      </c>
      <c r="E217" s="14">
        <v>1.0274E-2</v>
      </c>
      <c r="F217" s="48"/>
      <c r="G217" s="47">
        <v>40939</v>
      </c>
      <c r="H217" s="76">
        <v>80681</v>
      </c>
      <c r="I217" s="76" t="s">
        <v>27</v>
      </c>
      <c r="J217" s="11">
        <v>2.4837999999999999E-2</v>
      </c>
      <c r="K217" s="160">
        <v>4.3582999999999997E-2</v>
      </c>
      <c r="L217" s="48"/>
      <c r="M217" s="65">
        <v>40998</v>
      </c>
      <c r="N217" s="11">
        <v>9.0149000000000007E-2</v>
      </c>
      <c r="O217" s="11">
        <v>5.5079999999999999E-3</v>
      </c>
      <c r="P217" s="160">
        <v>3.1331999999999999E-2</v>
      </c>
    </row>
    <row r="218" spans="1:16">
      <c r="A218" s="47">
        <v>15979</v>
      </c>
      <c r="B218" s="48">
        <v>11404</v>
      </c>
      <c r="C218" s="48" t="s">
        <v>28</v>
      </c>
      <c r="D218" s="50">
        <v>2.2221999999999999E-2</v>
      </c>
      <c r="E218" s="14">
        <v>2.3729E-2</v>
      </c>
      <c r="F218" s="48"/>
      <c r="G218" s="47">
        <v>40968</v>
      </c>
      <c r="H218" s="76">
        <v>80681</v>
      </c>
      <c r="I218" s="76" t="s">
        <v>27</v>
      </c>
      <c r="J218" s="11">
        <v>-2.7847E-2</v>
      </c>
      <c r="K218" s="160">
        <v>4.0589E-2</v>
      </c>
      <c r="L218" s="48"/>
      <c r="M218" s="65">
        <v>41029</v>
      </c>
      <c r="N218" s="11">
        <v>4.2638000000000002E-2</v>
      </c>
      <c r="O218" s="11">
        <v>1.7631000000000001E-2</v>
      </c>
      <c r="P218" s="160">
        <v>-7.4970000000000002E-3</v>
      </c>
    </row>
    <row r="219" spans="1:16">
      <c r="A219" s="47">
        <v>16009</v>
      </c>
      <c r="B219" s="48">
        <v>11404</v>
      </c>
      <c r="C219" s="48" t="s">
        <v>28</v>
      </c>
      <c r="D219" s="50">
        <v>4.3478000000000003E-2</v>
      </c>
      <c r="E219" s="14">
        <v>-1.3245E-2</v>
      </c>
      <c r="F219" s="48"/>
      <c r="G219" s="47">
        <v>40998</v>
      </c>
      <c r="H219" s="76">
        <v>80681</v>
      </c>
      <c r="I219" s="76" t="s">
        <v>27</v>
      </c>
      <c r="J219" s="11">
        <v>9.0149000000000007E-2</v>
      </c>
      <c r="K219" s="160">
        <v>3.1331999999999999E-2</v>
      </c>
      <c r="L219" s="48"/>
      <c r="M219" s="65">
        <v>41060</v>
      </c>
      <c r="N219" s="11">
        <v>-4.7541E-2</v>
      </c>
      <c r="O219" s="11">
        <v>2.5484E-2</v>
      </c>
      <c r="P219" s="160">
        <v>-6.2650999999999998E-2</v>
      </c>
    </row>
    <row r="220" spans="1:16">
      <c r="A220" s="47">
        <v>16040</v>
      </c>
      <c r="B220" s="48">
        <v>11404</v>
      </c>
      <c r="C220" s="48" t="s">
        <v>28</v>
      </c>
      <c r="D220" s="50">
        <v>-0.113542</v>
      </c>
      <c r="E220" s="14">
        <v>-7.5503000000000001E-2</v>
      </c>
      <c r="F220" s="48"/>
      <c r="G220" s="47">
        <v>41029</v>
      </c>
      <c r="H220" s="76">
        <v>80681</v>
      </c>
      <c r="I220" s="76" t="s">
        <v>27</v>
      </c>
      <c r="J220" s="11">
        <v>4.2638000000000002E-2</v>
      </c>
      <c r="K220" s="160">
        <v>-7.4970000000000002E-3</v>
      </c>
      <c r="L220" s="48"/>
      <c r="M220" s="65">
        <v>41089</v>
      </c>
      <c r="N220" s="11">
        <v>3.0307000000000001E-2</v>
      </c>
      <c r="O220" s="11">
        <v>3.0318000000000001E-2</v>
      </c>
      <c r="P220" s="160">
        <v>3.9555E-2</v>
      </c>
    </row>
    <row r="221" spans="1:16">
      <c r="A221" s="47">
        <v>16071</v>
      </c>
      <c r="B221" s="48">
        <v>11404</v>
      </c>
      <c r="C221" s="48" t="s">
        <v>28</v>
      </c>
      <c r="D221" s="50">
        <v>7.7843999999999997E-2</v>
      </c>
      <c r="E221" s="14">
        <v>5.8984000000000002E-2</v>
      </c>
      <c r="F221" s="48"/>
      <c r="G221" s="47">
        <v>41060</v>
      </c>
      <c r="H221" s="76">
        <v>80681</v>
      </c>
      <c r="I221" s="76" t="s">
        <v>27</v>
      </c>
      <c r="J221" s="11">
        <v>-4.7541E-2</v>
      </c>
      <c r="K221" s="160">
        <v>-6.2650999999999998E-2</v>
      </c>
      <c r="L221" s="48"/>
      <c r="M221" s="65">
        <v>41121</v>
      </c>
      <c r="N221" s="11">
        <v>2.2349000000000001E-2</v>
      </c>
      <c r="O221" s="11">
        <v>3.7144000000000003E-2</v>
      </c>
      <c r="P221" s="160">
        <v>1.2598E-2</v>
      </c>
    </row>
    <row r="222" spans="1:16">
      <c r="A222" s="47">
        <v>16102</v>
      </c>
      <c r="B222" s="48">
        <v>11404</v>
      </c>
      <c r="C222" s="48" t="s">
        <v>28</v>
      </c>
      <c r="D222" s="50">
        <v>-2.2221999999999999E-2</v>
      </c>
      <c r="E222" s="14">
        <v>1.5424E-2</v>
      </c>
      <c r="F222" s="48"/>
      <c r="G222" s="47">
        <v>41089</v>
      </c>
      <c r="H222" s="76">
        <v>80681</v>
      </c>
      <c r="I222" s="76" t="s">
        <v>27</v>
      </c>
      <c r="J222" s="11">
        <v>3.0307000000000001E-2</v>
      </c>
      <c r="K222" s="160">
        <v>3.9555E-2</v>
      </c>
      <c r="L222" s="48"/>
      <c r="M222" s="65">
        <v>41152</v>
      </c>
      <c r="N222" s="11">
        <v>-3.4188999999999997E-2</v>
      </c>
      <c r="O222" s="11">
        <v>-5.0775000000000001E-2</v>
      </c>
      <c r="P222" s="160">
        <v>1.9762999999999999E-2</v>
      </c>
    </row>
    <row r="223" spans="1:16">
      <c r="A223" s="47">
        <v>16131</v>
      </c>
      <c r="B223" s="48">
        <v>11404</v>
      </c>
      <c r="C223" s="48" t="s">
        <v>28</v>
      </c>
      <c r="D223" s="50">
        <v>6.8180000000000003E-3</v>
      </c>
      <c r="E223" s="14">
        <v>-2.532E-3</v>
      </c>
      <c r="F223" s="48"/>
      <c r="G223" s="47">
        <v>41121</v>
      </c>
      <c r="H223" s="76">
        <v>80681</v>
      </c>
      <c r="I223" s="76" t="s">
        <v>27</v>
      </c>
      <c r="J223" s="11">
        <v>2.2349000000000001E-2</v>
      </c>
      <c r="K223" s="160">
        <v>1.2598E-2</v>
      </c>
      <c r="L223" s="48"/>
      <c r="M223" s="65">
        <v>41180</v>
      </c>
      <c r="N223" s="11">
        <v>-1.7371000000000001E-2</v>
      </c>
      <c r="O223" s="11">
        <v>-1.2042000000000001E-2</v>
      </c>
      <c r="P223" s="160">
        <v>2.4236000000000001E-2</v>
      </c>
    </row>
    <row r="224" spans="1:16">
      <c r="A224" s="47">
        <v>16162</v>
      </c>
      <c r="B224" s="48">
        <v>11404</v>
      </c>
      <c r="C224" s="48" t="s">
        <v>28</v>
      </c>
      <c r="D224" s="50">
        <v>5.7470000000000004E-3</v>
      </c>
      <c r="E224" s="14">
        <v>1.6920000000000001E-2</v>
      </c>
      <c r="F224" s="48"/>
      <c r="G224" s="47">
        <v>41152</v>
      </c>
      <c r="H224" s="76">
        <v>80681</v>
      </c>
      <c r="I224" s="76" t="s">
        <v>27</v>
      </c>
      <c r="J224" s="11">
        <v>-3.4188999999999997E-2</v>
      </c>
      <c r="K224" s="160">
        <v>1.9762999999999999E-2</v>
      </c>
      <c r="L224" s="48"/>
      <c r="M224" s="65">
        <v>41213</v>
      </c>
      <c r="N224" s="11">
        <v>1.1873E-2</v>
      </c>
      <c r="O224" s="11">
        <v>8.182E-3</v>
      </c>
      <c r="P224" s="160">
        <v>-1.9789000000000001E-2</v>
      </c>
    </row>
    <row r="225" spans="1:16">
      <c r="A225" s="47">
        <v>16191</v>
      </c>
      <c r="B225" s="48">
        <v>11404</v>
      </c>
      <c r="C225" s="48" t="s">
        <v>28</v>
      </c>
      <c r="D225" s="50">
        <v>-1.1429E-2</v>
      </c>
      <c r="E225" s="14">
        <v>-1.2479000000000001E-2</v>
      </c>
      <c r="F225" s="48"/>
      <c r="G225" s="47">
        <v>41180</v>
      </c>
      <c r="H225" s="76">
        <v>80681</v>
      </c>
      <c r="I225" s="76" t="s">
        <v>27</v>
      </c>
      <c r="J225" s="11">
        <v>-1.7371000000000001E-2</v>
      </c>
      <c r="K225" s="160">
        <v>2.4236000000000001E-2</v>
      </c>
      <c r="L225" s="48"/>
      <c r="M225" s="65">
        <v>41243</v>
      </c>
      <c r="N225" s="11">
        <v>-6.3399999999999998E-2</v>
      </c>
      <c r="O225" s="11">
        <v>-6.5999000000000002E-2</v>
      </c>
      <c r="P225" s="160">
        <v>2.8470000000000001E-3</v>
      </c>
    </row>
    <row r="226" spans="1:16">
      <c r="A226" s="47">
        <v>16223</v>
      </c>
      <c r="B226" s="48">
        <v>11404</v>
      </c>
      <c r="C226" s="48" t="s">
        <v>28</v>
      </c>
      <c r="D226" s="50">
        <v>2.4277E-2</v>
      </c>
      <c r="E226" s="14">
        <v>4.0438000000000002E-2</v>
      </c>
      <c r="F226" s="48"/>
      <c r="G226" s="47">
        <v>41213</v>
      </c>
      <c r="H226" s="76">
        <v>80681</v>
      </c>
      <c r="I226" s="76" t="s">
        <v>27</v>
      </c>
      <c r="J226" s="11">
        <v>1.1873E-2</v>
      </c>
      <c r="K226" s="160">
        <v>-1.9789000000000001E-2</v>
      </c>
      <c r="L226" s="48"/>
      <c r="M226" s="65">
        <v>41274</v>
      </c>
      <c r="N226" s="11">
        <v>5.1676E-2</v>
      </c>
      <c r="O226" s="11">
        <v>-4.4809999999999997E-3</v>
      </c>
      <c r="P226" s="160">
        <v>7.0679999999999996E-3</v>
      </c>
    </row>
    <row r="227" spans="1:16">
      <c r="A227" s="47">
        <v>16253</v>
      </c>
      <c r="B227" s="48">
        <v>11404</v>
      </c>
      <c r="C227" s="48" t="s">
        <v>28</v>
      </c>
      <c r="D227" s="50">
        <v>0.114943</v>
      </c>
      <c r="E227" s="14">
        <v>5.1012000000000002E-2</v>
      </c>
      <c r="F227" s="48"/>
      <c r="G227" s="47">
        <v>41243</v>
      </c>
      <c r="H227" s="76">
        <v>80681</v>
      </c>
      <c r="I227" s="76" t="s">
        <v>27</v>
      </c>
      <c r="J227" s="11">
        <v>-6.3399999999999998E-2</v>
      </c>
      <c r="K227" s="160">
        <v>2.8470000000000001E-3</v>
      </c>
      <c r="L227" s="48"/>
      <c r="M227" s="65">
        <v>41305</v>
      </c>
      <c r="N227" s="11">
        <v>4.8619000000000002E-2</v>
      </c>
      <c r="O227" s="11">
        <v>2.4126999999999999E-2</v>
      </c>
      <c r="P227" s="160">
        <v>5.0428000000000001E-2</v>
      </c>
    </row>
    <row r="228" spans="1:16">
      <c r="A228" s="47">
        <v>16284</v>
      </c>
      <c r="B228" s="48">
        <v>11404</v>
      </c>
      <c r="C228" s="48" t="s">
        <v>28</v>
      </c>
      <c r="D228" s="50">
        <v>0</v>
      </c>
      <c r="E228" s="14">
        <v>-2.0801E-2</v>
      </c>
      <c r="F228" s="48"/>
      <c r="G228" s="47">
        <v>41274</v>
      </c>
      <c r="H228" s="76">
        <v>80681</v>
      </c>
      <c r="I228" s="76" t="s">
        <v>27</v>
      </c>
      <c r="J228" s="11">
        <v>5.1676E-2</v>
      </c>
      <c r="K228" s="160">
        <v>7.0679999999999996E-3</v>
      </c>
      <c r="L228" s="48"/>
      <c r="M228" s="65">
        <v>41333</v>
      </c>
      <c r="N228" s="11">
        <v>-3.1147999999999999E-2</v>
      </c>
      <c r="O228" s="11">
        <v>4.8084000000000002E-2</v>
      </c>
      <c r="P228" s="160">
        <v>1.1061E-2</v>
      </c>
    </row>
    <row r="229" spans="1:16">
      <c r="A229" s="47">
        <v>16315</v>
      </c>
      <c r="B229" s="48">
        <v>11404</v>
      </c>
      <c r="C229" s="48" t="s">
        <v>28</v>
      </c>
      <c r="D229" s="50">
        <v>3.1959000000000001E-2</v>
      </c>
      <c r="E229" s="14">
        <v>8.6549999999999995E-3</v>
      </c>
      <c r="F229" s="48"/>
      <c r="G229" s="47">
        <v>41305</v>
      </c>
      <c r="H229" s="76">
        <v>80681</v>
      </c>
      <c r="I229" s="76" t="s">
        <v>27</v>
      </c>
      <c r="J229" s="11">
        <v>4.8619000000000002E-2</v>
      </c>
      <c r="K229" s="160">
        <v>5.0428000000000001E-2</v>
      </c>
      <c r="L229" s="48"/>
      <c r="M229" s="65">
        <v>41361</v>
      </c>
      <c r="N229" s="11">
        <v>1.8793000000000001E-2</v>
      </c>
      <c r="O229" s="11">
        <v>3.4407E-2</v>
      </c>
      <c r="P229" s="160">
        <v>3.5987999999999999E-2</v>
      </c>
    </row>
    <row r="230" spans="1:16">
      <c r="A230" s="47">
        <v>16345</v>
      </c>
      <c r="B230" s="48">
        <v>11404</v>
      </c>
      <c r="C230" s="48" t="s">
        <v>28</v>
      </c>
      <c r="D230" s="50">
        <v>0</v>
      </c>
      <c r="E230" s="14">
        <v>-3.1199999999999999E-3</v>
      </c>
      <c r="F230" s="48"/>
      <c r="G230" s="47">
        <v>41333</v>
      </c>
      <c r="H230" s="76">
        <v>80681</v>
      </c>
      <c r="I230" s="76" t="s">
        <v>27</v>
      </c>
      <c r="J230" s="11">
        <v>-3.1147999999999999E-2</v>
      </c>
      <c r="K230" s="160">
        <v>1.1061E-2</v>
      </c>
      <c r="L230" s="48"/>
      <c r="M230" s="65">
        <v>41394</v>
      </c>
      <c r="N230" s="11">
        <v>4.2966999999999998E-2</v>
      </c>
      <c r="O230" s="11">
        <v>4.2930000000000003E-2</v>
      </c>
      <c r="P230" s="160">
        <v>1.8086000000000001E-2</v>
      </c>
    </row>
    <row r="231" spans="1:16">
      <c r="A231" s="47">
        <v>16376</v>
      </c>
      <c r="B231" s="48">
        <v>11404</v>
      </c>
      <c r="C231" s="48" t="s">
        <v>28</v>
      </c>
      <c r="D231" s="50">
        <v>2.0305E-2</v>
      </c>
      <c r="E231" s="14">
        <v>0</v>
      </c>
      <c r="F231" s="48"/>
      <c r="G231" s="47">
        <v>41361</v>
      </c>
      <c r="H231" s="76">
        <v>80681</v>
      </c>
      <c r="I231" s="76" t="s">
        <v>27</v>
      </c>
      <c r="J231" s="11">
        <v>1.8793000000000001E-2</v>
      </c>
      <c r="K231" s="160">
        <v>3.5987999999999999E-2</v>
      </c>
      <c r="L231" s="48"/>
      <c r="M231" s="65">
        <v>41425</v>
      </c>
      <c r="N231" s="11">
        <v>5.7300000000000005E-4</v>
      </c>
      <c r="O231" s="11">
        <v>-9.3715999999999994E-2</v>
      </c>
      <c r="P231" s="160">
        <v>2.0763E-2</v>
      </c>
    </row>
    <row r="232" spans="1:16">
      <c r="A232" s="47">
        <v>16406</v>
      </c>
      <c r="B232" s="48">
        <v>11404</v>
      </c>
      <c r="C232" s="48" t="s">
        <v>28</v>
      </c>
      <c r="D232" s="50">
        <v>-8.9549999999999994E-3</v>
      </c>
      <c r="E232" s="14">
        <v>3.9119999999999997E-3</v>
      </c>
      <c r="F232" s="48"/>
      <c r="G232" s="47">
        <v>41394</v>
      </c>
      <c r="H232" s="76">
        <v>80681</v>
      </c>
      <c r="I232" s="76" t="s">
        <v>27</v>
      </c>
      <c r="J232" s="11">
        <v>4.2966999999999998E-2</v>
      </c>
      <c r="K232" s="160">
        <v>1.8086000000000001E-2</v>
      </c>
      <c r="L232" s="48"/>
      <c r="M232" s="65">
        <v>41453</v>
      </c>
      <c r="N232" s="11">
        <v>1.9028E-2</v>
      </c>
      <c r="O232" s="11">
        <v>2.1728000000000001E-2</v>
      </c>
      <c r="P232" s="160">
        <v>-1.4999E-2</v>
      </c>
    </row>
    <row r="233" spans="1:16">
      <c r="A233" s="47">
        <v>16436</v>
      </c>
      <c r="B233" s="48">
        <v>11404</v>
      </c>
      <c r="C233" s="48" t="s">
        <v>28</v>
      </c>
      <c r="D233" s="50">
        <v>5.1019999999999998E-3</v>
      </c>
      <c r="E233" s="14">
        <v>3.5074000000000001E-2</v>
      </c>
      <c r="F233" s="48"/>
      <c r="G233" s="47">
        <v>41425</v>
      </c>
      <c r="H233" s="76">
        <v>80681</v>
      </c>
      <c r="I233" s="76" t="s">
        <v>27</v>
      </c>
      <c r="J233" s="11">
        <v>5.7300000000000005E-4</v>
      </c>
      <c r="K233" s="160">
        <v>2.0763E-2</v>
      </c>
      <c r="L233" s="48"/>
      <c r="M233" s="65">
        <v>41486</v>
      </c>
      <c r="N233" s="11">
        <v>1.4912999999999999E-2</v>
      </c>
      <c r="O233" s="11">
        <v>2.7268000000000001E-2</v>
      </c>
      <c r="P233" s="160">
        <v>4.9461999999999999E-2</v>
      </c>
    </row>
    <row r="234" spans="1:16">
      <c r="A234" s="47">
        <v>16468</v>
      </c>
      <c r="B234" s="48">
        <v>11404</v>
      </c>
      <c r="C234" s="48" t="s">
        <v>28</v>
      </c>
      <c r="D234" s="50">
        <v>5.0761000000000001E-2</v>
      </c>
      <c r="E234" s="14">
        <v>1.4307E-2</v>
      </c>
      <c r="F234" s="48"/>
      <c r="G234" s="47">
        <v>41453</v>
      </c>
      <c r="H234" s="76">
        <v>80681</v>
      </c>
      <c r="I234" s="76" t="s">
        <v>27</v>
      </c>
      <c r="J234" s="11">
        <v>1.9028E-2</v>
      </c>
      <c r="K234" s="160">
        <v>-1.4999E-2</v>
      </c>
      <c r="L234" s="48"/>
      <c r="M234" s="65">
        <v>41516</v>
      </c>
      <c r="N234" s="11">
        <v>-0.11147600000000001</v>
      </c>
      <c r="O234" s="11">
        <v>-5.1001999999999999E-2</v>
      </c>
      <c r="P234" s="160">
        <v>-3.1297999999999999E-2</v>
      </c>
    </row>
    <row r="235" spans="1:16">
      <c r="A235" s="47">
        <v>16496</v>
      </c>
      <c r="B235" s="48">
        <v>11404</v>
      </c>
      <c r="C235" s="48" t="s">
        <v>28</v>
      </c>
      <c r="D235" s="50">
        <v>5.8937000000000003E-2</v>
      </c>
      <c r="E235" s="14">
        <v>6.1617999999999999E-2</v>
      </c>
      <c r="F235" s="48"/>
      <c r="G235" s="47">
        <v>41486</v>
      </c>
      <c r="H235" s="76">
        <v>80681</v>
      </c>
      <c r="I235" s="76" t="s">
        <v>27</v>
      </c>
      <c r="J235" s="11">
        <v>1.4912999999999999E-2</v>
      </c>
      <c r="K235" s="160">
        <v>4.9461999999999999E-2</v>
      </c>
      <c r="L235" s="48"/>
      <c r="M235" s="65">
        <v>41547</v>
      </c>
      <c r="N235" s="11">
        <v>3.9076E-2</v>
      </c>
      <c r="O235" s="11">
        <v>-1.9384999999999999E-2</v>
      </c>
      <c r="P235" s="160">
        <v>2.9749000000000001E-2</v>
      </c>
    </row>
    <row r="236" spans="1:16">
      <c r="A236" s="47">
        <v>16527</v>
      </c>
      <c r="B236" s="48">
        <v>11404</v>
      </c>
      <c r="C236" s="48" t="s">
        <v>28</v>
      </c>
      <c r="D236" s="50">
        <v>-3.7037E-2</v>
      </c>
      <c r="E236" s="14">
        <v>-4.6154000000000001E-2</v>
      </c>
      <c r="F236" s="48"/>
      <c r="G236" s="47">
        <v>41516</v>
      </c>
      <c r="H236" s="76">
        <v>80681</v>
      </c>
      <c r="I236" s="76" t="s">
        <v>27</v>
      </c>
      <c r="J236" s="11">
        <v>-0.11147600000000001</v>
      </c>
      <c r="K236" s="160">
        <v>-3.1297999999999999E-2</v>
      </c>
      <c r="L236" s="48"/>
      <c r="M236" s="65">
        <v>41578</v>
      </c>
      <c r="N236" s="11">
        <v>9.0047000000000002E-2</v>
      </c>
      <c r="O236" s="11">
        <v>5.5857999999999998E-2</v>
      </c>
      <c r="P236" s="160">
        <v>4.4595999999999997E-2</v>
      </c>
    </row>
    <row r="237" spans="1:16">
      <c r="A237" s="47">
        <v>16557</v>
      </c>
      <c r="B237" s="48">
        <v>11404</v>
      </c>
      <c r="C237" s="48" t="s">
        <v>28</v>
      </c>
      <c r="D237" s="50">
        <v>0.15384600000000001</v>
      </c>
      <c r="E237" s="14">
        <v>8.7977E-2</v>
      </c>
      <c r="F237" s="48"/>
      <c r="G237" s="47">
        <v>41547</v>
      </c>
      <c r="H237" s="76">
        <v>80681</v>
      </c>
      <c r="I237" s="76" t="s">
        <v>27</v>
      </c>
      <c r="J237" s="11">
        <v>3.9076E-2</v>
      </c>
      <c r="K237" s="160">
        <v>2.9749000000000001E-2</v>
      </c>
      <c r="L237" s="48"/>
      <c r="M237" s="65">
        <v>41607</v>
      </c>
      <c r="N237" s="11">
        <v>-5.7081E-2</v>
      </c>
      <c r="O237" s="11">
        <v>-4.1137E-2</v>
      </c>
      <c r="P237" s="160">
        <v>2.8049000000000001E-2</v>
      </c>
    </row>
    <row r="238" spans="1:16">
      <c r="A238" s="47">
        <v>16588</v>
      </c>
      <c r="B238" s="48">
        <v>11404</v>
      </c>
      <c r="C238" s="48" t="s">
        <v>28</v>
      </c>
      <c r="D238" s="50">
        <v>0.03</v>
      </c>
      <c r="E238" s="14">
        <v>1.1455999999999999E-2</v>
      </c>
      <c r="F238" s="48"/>
      <c r="G238" s="47">
        <v>41578</v>
      </c>
      <c r="H238" s="76">
        <v>80681</v>
      </c>
      <c r="I238" s="76" t="s">
        <v>27</v>
      </c>
      <c r="J238" s="11">
        <v>9.0047000000000002E-2</v>
      </c>
      <c r="K238" s="160">
        <v>4.4595999999999997E-2</v>
      </c>
      <c r="L238" s="48"/>
      <c r="M238" s="65">
        <v>41639</v>
      </c>
      <c r="N238" s="11">
        <v>-4.6703000000000001E-2</v>
      </c>
      <c r="O238" s="11">
        <v>1.268E-3</v>
      </c>
      <c r="P238" s="160">
        <v>2.3563000000000001E-2</v>
      </c>
    </row>
    <row r="239" spans="1:16">
      <c r="A239" s="47">
        <v>16618</v>
      </c>
      <c r="B239" s="48">
        <v>11404</v>
      </c>
      <c r="C239" s="48" t="s">
        <v>28</v>
      </c>
      <c r="D239" s="50">
        <v>2.0492E-2</v>
      </c>
      <c r="E239" s="14">
        <v>-3.3310000000000002E-3</v>
      </c>
      <c r="F239" s="48"/>
      <c r="G239" s="47">
        <v>41607</v>
      </c>
      <c r="H239" s="76">
        <v>80681</v>
      </c>
      <c r="I239" s="76" t="s">
        <v>27</v>
      </c>
      <c r="J239" s="11">
        <v>-5.7081E-2</v>
      </c>
      <c r="K239" s="160">
        <v>2.8049000000000001E-2</v>
      </c>
      <c r="L239" s="48"/>
      <c r="M239" s="65">
        <v>41670</v>
      </c>
      <c r="N239" s="11">
        <v>0.103547</v>
      </c>
      <c r="O239" s="11">
        <v>-1.5737999999999999E-2</v>
      </c>
      <c r="P239" s="160">
        <v>-3.5582999999999997E-2</v>
      </c>
    </row>
    <row r="240" spans="1:16">
      <c r="A240" s="47">
        <v>16649</v>
      </c>
      <c r="B240" s="48">
        <v>11404</v>
      </c>
      <c r="C240" s="48" t="s">
        <v>28</v>
      </c>
      <c r="D240" s="50">
        <v>-4.0159999999999996E-3</v>
      </c>
      <c r="E240" s="14">
        <v>-2.0053000000000001E-2</v>
      </c>
      <c r="F240" s="48"/>
      <c r="G240" s="47">
        <v>41639</v>
      </c>
      <c r="H240" s="76">
        <v>80681</v>
      </c>
      <c r="I240" s="76" t="s">
        <v>27</v>
      </c>
      <c r="J240" s="11">
        <v>-4.6703000000000001E-2</v>
      </c>
      <c r="K240" s="160">
        <v>2.3563000000000001E-2</v>
      </c>
      <c r="L240" s="48"/>
      <c r="M240" s="65">
        <v>41698</v>
      </c>
      <c r="N240" s="11">
        <v>5.6071000000000003E-2</v>
      </c>
      <c r="O240" s="11">
        <v>4.172E-2</v>
      </c>
      <c r="P240" s="160">
        <v>4.3117000000000003E-2</v>
      </c>
    </row>
    <row r="241" spans="1:16">
      <c r="A241" s="47">
        <v>16680</v>
      </c>
      <c r="B241" s="48">
        <v>11404</v>
      </c>
      <c r="C241" s="48" t="s">
        <v>28</v>
      </c>
      <c r="D241" s="50">
        <v>1.2903E-2</v>
      </c>
      <c r="E241" s="14">
        <v>5.7980999999999998E-2</v>
      </c>
      <c r="F241" s="48"/>
      <c r="G241" s="47">
        <v>41670</v>
      </c>
      <c r="H241" s="76">
        <v>80681</v>
      </c>
      <c r="I241" s="76" t="s">
        <v>27</v>
      </c>
      <c r="J241" s="11">
        <v>0.103547</v>
      </c>
      <c r="K241" s="160">
        <v>-3.5582999999999997E-2</v>
      </c>
      <c r="L241" s="48"/>
      <c r="M241" s="65">
        <v>41729</v>
      </c>
      <c r="N241" s="11">
        <v>2.3976000000000001E-2</v>
      </c>
      <c r="O241" s="11">
        <v>-4.2819000000000003E-2</v>
      </c>
      <c r="P241" s="160">
        <v>6.9319999999999998E-3</v>
      </c>
    </row>
    <row r="242" spans="1:16">
      <c r="A242" s="47">
        <v>16709</v>
      </c>
      <c r="B242" s="48">
        <v>11404</v>
      </c>
      <c r="C242" s="48" t="s">
        <v>28</v>
      </c>
      <c r="D242" s="50">
        <v>5.2419E-2</v>
      </c>
      <c r="E242" s="14">
        <v>4.1908000000000001E-2</v>
      </c>
      <c r="F242" s="48"/>
      <c r="G242" s="47">
        <v>41698</v>
      </c>
      <c r="H242" s="76">
        <v>80681</v>
      </c>
      <c r="I242" s="76" t="s">
        <v>27</v>
      </c>
      <c r="J242" s="11">
        <v>5.6071000000000003E-2</v>
      </c>
      <c r="K242" s="160">
        <v>4.3117000000000003E-2</v>
      </c>
      <c r="L242" s="48"/>
      <c r="M242" s="65">
        <v>41759</v>
      </c>
      <c r="N242" s="11">
        <v>1.8877000000000001E-2</v>
      </c>
      <c r="O242" s="11">
        <v>8.1640000000000004E-2</v>
      </c>
      <c r="P242" s="160">
        <v>6.2009999999999999E-3</v>
      </c>
    </row>
    <row r="243" spans="1:16">
      <c r="A243" s="47">
        <v>16741</v>
      </c>
      <c r="B243" s="48">
        <v>11404</v>
      </c>
      <c r="C243" s="48" t="s">
        <v>28</v>
      </c>
      <c r="D243" s="50">
        <v>2.682E-2</v>
      </c>
      <c r="E243" s="14">
        <v>3.0322000000000002E-2</v>
      </c>
      <c r="F243" s="48"/>
      <c r="G243" s="47">
        <v>41729</v>
      </c>
      <c r="H243" s="76">
        <v>80681</v>
      </c>
      <c r="I243" s="76" t="s">
        <v>27</v>
      </c>
      <c r="J243" s="11">
        <v>2.3976000000000001E-2</v>
      </c>
      <c r="K243" s="160">
        <v>6.9319999999999998E-3</v>
      </c>
      <c r="L243" s="48"/>
      <c r="M243" s="65">
        <v>41789</v>
      </c>
      <c r="N243" s="11">
        <v>4.4442000000000002E-2</v>
      </c>
      <c r="O243" s="11">
        <v>-4.1186E-2</v>
      </c>
      <c r="P243" s="160">
        <v>2.103E-2</v>
      </c>
    </row>
    <row r="244" spans="1:16">
      <c r="A244" s="47">
        <v>16771</v>
      </c>
      <c r="B244" s="48">
        <v>11404</v>
      </c>
      <c r="C244" s="48" t="s">
        <v>28</v>
      </c>
      <c r="D244" s="50">
        <v>-2.9849999999999998E-3</v>
      </c>
      <c r="E244" s="14">
        <v>3.2432000000000002E-2</v>
      </c>
      <c r="F244" s="48"/>
      <c r="G244" s="47">
        <v>41759</v>
      </c>
      <c r="H244" s="76">
        <v>80681</v>
      </c>
      <c r="I244" s="76" t="s">
        <v>27</v>
      </c>
      <c r="J244" s="11">
        <v>1.8877000000000001E-2</v>
      </c>
      <c r="K244" s="160">
        <v>6.2009999999999999E-3</v>
      </c>
      <c r="L244" s="48"/>
      <c r="M244" s="65">
        <v>41820</v>
      </c>
      <c r="N244" s="11">
        <v>2.9012E-2</v>
      </c>
      <c r="O244" s="11">
        <v>4.9626999999999998E-2</v>
      </c>
      <c r="P244" s="160">
        <v>1.9057999999999999E-2</v>
      </c>
    </row>
    <row r="245" spans="1:16">
      <c r="A245" s="47">
        <v>16802</v>
      </c>
      <c r="B245" s="48">
        <v>11404</v>
      </c>
      <c r="C245" s="48" t="s">
        <v>28</v>
      </c>
      <c r="D245" s="50">
        <v>0</v>
      </c>
      <c r="E245" s="14">
        <v>9.8890000000000002E-3</v>
      </c>
      <c r="F245" s="48"/>
      <c r="G245" s="47">
        <v>41789</v>
      </c>
      <c r="H245" s="76">
        <v>80681</v>
      </c>
      <c r="I245" s="76" t="s">
        <v>27</v>
      </c>
      <c r="J245" s="11">
        <v>4.4442000000000002E-2</v>
      </c>
      <c r="K245" s="160">
        <v>2.103E-2</v>
      </c>
      <c r="L245" s="48"/>
      <c r="M245" s="65">
        <v>41851</v>
      </c>
      <c r="N245" s="11">
        <v>2.5201000000000001E-2</v>
      </c>
      <c r="O245" s="11">
        <v>-2.8576000000000001E-2</v>
      </c>
      <c r="P245" s="160">
        <v>-1.508E-2</v>
      </c>
    </row>
    <row r="246" spans="1:16">
      <c r="A246" s="47">
        <v>16833</v>
      </c>
      <c r="B246" s="48">
        <v>11404</v>
      </c>
      <c r="C246" s="48" t="s">
        <v>28</v>
      </c>
      <c r="D246" s="50">
        <v>7.1970000000000006E-2</v>
      </c>
      <c r="E246" s="14">
        <v>6.9699999999999998E-2</v>
      </c>
      <c r="F246" s="48"/>
      <c r="G246" s="47">
        <v>41820</v>
      </c>
      <c r="H246" s="76">
        <v>80681</v>
      </c>
      <c r="I246" s="76" t="s">
        <v>27</v>
      </c>
      <c r="J246" s="11">
        <v>2.9012E-2</v>
      </c>
      <c r="K246" s="160">
        <v>1.9057999999999999E-2</v>
      </c>
      <c r="L246" s="48"/>
      <c r="M246" s="65">
        <v>41880</v>
      </c>
      <c r="N246" s="11">
        <v>2.0466999999999999E-2</v>
      </c>
      <c r="O246" s="11">
        <v>4.3323E-2</v>
      </c>
      <c r="P246" s="160">
        <v>3.7655000000000001E-2</v>
      </c>
    </row>
    <row r="247" spans="1:16">
      <c r="A247" s="47">
        <v>16861</v>
      </c>
      <c r="B247" s="48">
        <v>11404</v>
      </c>
      <c r="C247" s="48" t="s">
        <v>28</v>
      </c>
      <c r="D247" s="50">
        <v>-4.8763000000000001E-2</v>
      </c>
      <c r="E247" s="14">
        <v>-6.9467000000000001E-2</v>
      </c>
      <c r="F247" s="48"/>
      <c r="G247" s="47">
        <v>41851</v>
      </c>
      <c r="H247" s="76">
        <v>80681</v>
      </c>
      <c r="I247" s="76" t="s">
        <v>27</v>
      </c>
      <c r="J247" s="11">
        <v>2.5201000000000001E-2</v>
      </c>
      <c r="K247" s="160">
        <v>-1.508E-2</v>
      </c>
      <c r="L247" s="48"/>
      <c r="M247" s="65">
        <v>41912</v>
      </c>
      <c r="N247" s="11">
        <v>-6.9268999999999997E-2</v>
      </c>
      <c r="O247" s="11">
        <v>-2.1246999999999999E-2</v>
      </c>
      <c r="P247" s="160">
        <v>-1.5514E-2</v>
      </c>
    </row>
    <row r="248" spans="1:16">
      <c r="A248" s="47">
        <v>16891</v>
      </c>
      <c r="B248" s="48">
        <v>11404</v>
      </c>
      <c r="C248" s="48" t="s">
        <v>28</v>
      </c>
      <c r="D248" s="50">
        <v>4.1353000000000001E-2</v>
      </c>
      <c r="E248" s="14">
        <v>4.6295999999999997E-2</v>
      </c>
      <c r="F248" s="48"/>
      <c r="G248" s="47">
        <v>41880</v>
      </c>
      <c r="H248" s="76">
        <v>80681</v>
      </c>
      <c r="I248" s="76" t="s">
        <v>27</v>
      </c>
      <c r="J248" s="11">
        <v>2.0466999999999999E-2</v>
      </c>
      <c r="K248" s="160">
        <v>3.7655000000000001E-2</v>
      </c>
      <c r="L248" s="48"/>
      <c r="M248" s="65">
        <v>41943</v>
      </c>
      <c r="N248" s="11">
        <v>0.12872700000000001</v>
      </c>
      <c r="O248" s="11">
        <v>0.11824900000000001</v>
      </c>
      <c r="P248" s="160">
        <v>2.3200999999999999E-2</v>
      </c>
    </row>
    <row r="249" spans="1:16">
      <c r="A249" s="47">
        <v>16922</v>
      </c>
      <c r="B249" s="48">
        <v>11404</v>
      </c>
      <c r="C249" s="48" t="s">
        <v>28</v>
      </c>
      <c r="D249" s="50">
        <v>2.5270999999999998E-2</v>
      </c>
      <c r="E249" s="14">
        <v>3.7610999999999999E-2</v>
      </c>
      <c r="F249" s="48"/>
      <c r="G249" s="47">
        <v>41912</v>
      </c>
      <c r="H249" s="76">
        <v>80681</v>
      </c>
      <c r="I249" s="76" t="s">
        <v>27</v>
      </c>
      <c r="J249" s="11">
        <v>-6.9268999999999997E-2</v>
      </c>
      <c r="K249" s="160">
        <v>-1.5514E-2</v>
      </c>
      <c r="L249" s="48"/>
      <c r="M249" s="65">
        <v>41971</v>
      </c>
      <c r="N249" s="11">
        <v>3.222E-3</v>
      </c>
      <c r="O249" s="11">
        <v>6.6290000000000003E-3</v>
      </c>
      <c r="P249" s="160">
        <v>2.4534E-2</v>
      </c>
    </row>
    <row r="250" spans="1:16">
      <c r="A250" s="47">
        <v>16953</v>
      </c>
      <c r="B250" s="48">
        <v>11404</v>
      </c>
      <c r="C250" s="48" t="s">
        <v>28</v>
      </c>
      <c r="D250" s="50">
        <v>4.2249999999999996E-3</v>
      </c>
      <c r="E250" s="14">
        <v>2.2388000000000002E-2</v>
      </c>
      <c r="F250" s="48"/>
      <c r="G250" s="47">
        <v>41943</v>
      </c>
      <c r="H250" s="76">
        <v>80681</v>
      </c>
      <c r="I250" s="76" t="s">
        <v>27</v>
      </c>
      <c r="J250" s="11">
        <v>0.12872700000000001</v>
      </c>
      <c r="K250" s="160">
        <v>2.3200999999999999E-2</v>
      </c>
      <c r="L250" s="48"/>
      <c r="M250" s="65">
        <v>42004</v>
      </c>
      <c r="N250" s="11">
        <v>2.7123000000000001E-2</v>
      </c>
      <c r="O250" s="11">
        <v>4.5289000000000003E-2</v>
      </c>
      <c r="P250" s="160">
        <v>-4.189E-3</v>
      </c>
    </row>
    <row r="251" spans="1:16">
      <c r="A251" s="47">
        <v>16981</v>
      </c>
      <c r="B251" s="48">
        <v>11404</v>
      </c>
      <c r="C251" s="48" t="s">
        <v>28</v>
      </c>
      <c r="D251" s="50">
        <v>-4.6099000000000001E-2</v>
      </c>
      <c r="E251" s="14">
        <v>-3.9102999999999999E-2</v>
      </c>
      <c r="F251" s="48"/>
      <c r="G251" s="47">
        <v>41971</v>
      </c>
      <c r="H251" s="76">
        <v>80681</v>
      </c>
      <c r="I251" s="76" t="s">
        <v>27</v>
      </c>
      <c r="J251" s="11">
        <v>3.222E-3</v>
      </c>
      <c r="K251" s="160">
        <v>2.4534E-2</v>
      </c>
      <c r="L251" s="48"/>
      <c r="M251" s="65">
        <v>42034</v>
      </c>
      <c r="N251" s="11">
        <v>9.4143000000000004E-2</v>
      </c>
      <c r="O251" s="11">
        <v>4.9537999999999999E-2</v>
      </c>
      <c r="P251" s="160">
        <v>-3.1040999999999999E-2</v>
      </c>
    </row>
    <row r="252" spans="1:16">
      <c r="A252" s="47">
        <v>17014</v>
      </c>
      <c r="B252" s="48">
        <v>11404</v>
      </c>
      <c r="C252" s="48" t="s">
        <v>28</v>
      </c>
      <c r="D252" s="50">
        <v>3.7169999999999998E-3</v>
      </c>
      <c r="E252" s="14">
        <v>-2.5502E-2</v>
      </c>
      <c r="F252" s="48"/>
      <c r="G252" s="47">
        <v>42004</v>
      </c>
      <c r="H252" s="76">
        <v>80681</v>
      </c>
      <c r="I252" s="76" t="s">
        <v>27</v>
      </c>
      <c r="J252" s="11">
        <v>2.7123000000000001E-2</v>
      </c>
      <c r="K252" s="160">
        <v>-4.189E-3</v>
      </c>
      <c r="L252" s="48"/>
      <c r="M252" s="65">
        <v>42062</v>
      </c>
      <c r="N252" s="11">
        <v>-1.6014E-2</v>
      </c>
      <c r="O252" s="11">
        <v>-7.9243999999999995E-2</v>
      </c>
      <c r="P252" s="160">
        <v>5.4892999999999997E-2</v>
      </c>
    </row>
    <row r="253" spans="1:16">
      <c r="A253" s="47">
        <v>17044</v>
      </c>
      <c r="B253" s="48">
        <v>11404</v>
      </c>
      <c r="C253" s="48" t="s">
        <v>28</v>
      </c>
      <c r="D253" s="50">
        <v>-0.11407399999999999</v>
      </c>
      <c r="E253" s="14">
        <v>-7.2940000000000005E-2</v>
      </c>
      <c r="F253" s="48"/>
      <c r="G253" s="47">
        <v>42034</v>
      </c>
      <c r="H253" s="76">
        <v>80681</v>
      </c>
      <c r="I253" s="76" t="s">
        <v>27</v>
      </c>
      <c r="J253" s="11">
        <v>9.4143000000000004E-2</v>
      </c>
      <c r="K253" s="160">
        <v>-3.1040999999999999E-2</v>
      </c>
      <c r="L253" s="48"/>
      <c r="M253" s="65">
        <v>42094</v>
      </c>
      <c r="N253" s="11">
        <v>4.0058000000000003E-2</v>
      </c>
      <c r="O253" s="11">
        <v>-3.3893E-2</v>
      </c>
      <c r="P253" s="160">
        <v>-1.7395999999999998E-2</v>
      </c>
    </row>
    <row r="254" spans="1:16">
      <c r="A254" s="47">
        <v>17075</v>
      </c>
      <c r="B254" s="48">
        <v>11404</v>
      </c>
      <c r="C254" s="48" t="s">
        <v>28</v>
      </c>
      <c r="D254" s="50">
        <v>-8.0507999999999996E-2</v>
      </c>
      <c r="E254" s="14">
        <v>-0.101502</v>
      </c>
      <c r="F254" s="48"/>
      <c r="G254" s="47">
        <v>42062</v>
      </c>
      <c r="H254" s="76">
        <v>80681</v>
      </c>
      <c r="I254" s="76" t="s">
        <v>27</v>
      </c>
      <c r="J254" s="11">
        <v>-1.6014E-2</v>
      </c>
      <c r="K254" s="160">
        <v>5.4892999999999997E-2</v>
      </c>
      <c r="L254" s="48"/>
      <c r="M254" s="65">
        <v>42124</v>
      </c>
      <c r="N254" s="11">
        <v>-3.458E-2</v>
      </c>
      <c r="O254" s="11">
        <v>9.0159999999999997E-3</v>
      </c>
      <c r="P254" s="160">
        <v>8.5210000000000008E-3</v>
      </c>
    </row>
    <row r="255" spans="1:16">
      <c r="A255" s="47">
        <v>17106</v>
      </c>
      <c r="B255" s="48">
        <v>11404</v>
      </c>
      <c r="C255" s="48" t="s">
        <v>28</v>
      </c>
      <c r="D255" s="50">
        <v>2.3040999999999999E-2</v>
      </c>
      <c r="E255" s="14">
        <v>-8.0210000000000004E-3</v>
      </c>
      <c r="F255" s="48"/>
      <c r="G255" s="47">
        <v>42094</v>
      </c>
      <c r="H255" s="76">
        <v>80681</v>
      </c>
      <c r="I255" s="76" t="s">
        <v>27</v>
      </c>
      <c r="J255" s="11">
        <v>4.0058000000000003E-2</v>
      </c>
      <c r="K255" s="160">
        <v>-1.7395999999999998E-2</v>
      </c>
      <c r="L255" s="48"/>
      <c r="M255" s="65">
        <v>42153</v>
      </c>
      <c r="N255" s="11">
        <v>3.019E-3</v>
      </c>
      <c r="O255" s="11">
        <v>1.5272000000000001E-2</v>
      </c>
      <c r="P255" s="160">
        <v>1.0491E-2</v>
      </c>
    </row>
    <row r="256" spans="1:16">
      <c r="A256" s="47">
        <v>17136</v>
      </c>
      <c r="B256" s="48">
        <v>11404</v>
      </c>
      <c r="C256" s="48" t="s">
        <v>28</v>
      </c>
      <c r="D256" s="50">
        <v>-1.2612999999999999E-2</v>
      </c>
      <c r="E256" s="14">
        <v>-1.1455999999999999E-2</v>
      </c>
      <c r="F256" s="48"/>
      <c r="G256" s="47">
        <v>42124</v>
      </c>
      <c r="H256" s="76">
        <v>80681</v>
      </c>
      <c r="I256" s="76" t="s">
        <v>27</v>
      </c>
      <c r="J256" s="11">
        <v>-3.458E-2</v>
      </c>
      <c r="K256" s="160">
        <v>8.5210000000000008E-3</v>
      </c>
      <c r="L256" s="48"/>
      <c r="M256" s="65">
        <v>42185</v>
      </c>
      <c r="N256" s="11">
        <v>-3.8989999999999997E-2</v>
      </c>
      <c r="O256" s="11">
        <v>-6.4035999999999996E-2</v>
      </c>
      <c r="P256" s="160">
        <v>-2.1011999999999999E-2</v>
      </c>
    </row>
    <row r="257" spans="1:16">
      <c r="A257" s="47">
        <v>17167</v>
      </c>
      <c r="B257" s="48">
        <v>11404</v>
      </c>
      <c r="C257" s="48" t="s">
        <v>28</v>
      </c>
      <c r="D257" s="50">
        <v>4.6299999999999996E-3</v>
      </c>
      <c r="E257" s="14">
        <v>4.2944999999999997E-2</v>
      </c>
      <c r="F257" s="48"/>
      <c r="G257" s="47">
        <v>42153</v>
      </c>
      <c r="H257" s="76">
        <v>80681</v>
      </c>
      <c r="I257" s="76" t="s">
        <v>27</v>
      </c>
      <c r="J257" s="11">
        <v>3.019E-3</v>
      </c>
      <c r="K257" s="160">
        <v>1.0491E-2</v>
      </c>
      <c r="L257" s="48"/>
      <c r="M257" s="65">
        <v>42216</v>
      </c>
      <c r="N257" s="11">
        <v>5.8400000000000001E-2</v>
      </c>
      <c r="O257" s="11">
        <v>9.8652000000000004E-2</v>
      </c>
      <c r="P257" s="160">
        <v>1.9741999999999999E-2</v>
      </c>
    </row>
    <row r="258" spans="1:16">
      <c r="A258" s="47">
        <v>17198</v>
      </c>
      <c r="B258" s="48">
        <v>11404</v>
      </c>
      <c r="C258" s="48" t="s">
        <v>28</v>
      </c>
      <c r="D258" s="50">
        <v>6.4516000000000004E-2</v>
      </c>
      <c r="E258" s="14">
        <v>2.3529000000000001E-2</v>
      </c>
      <c r="F258" s="48"/>
      <c r="G258" s="47">
        <v>42185</v>
      </c>
      <c r="H258" s="76">
        <v>80681</v>
      </c>
      <c r="I258" s="76" t="s">
        <v>27</v>
      </c>
      <c r="J258" s="11">
        <v>-3.8989999999999997E-2</v>
      </c>
      <c r="K258" s="160">
        <v>-2.1011999999999999E-2</v>
      </c>
      <c r="L258" s="48"/>
      <c r="M258" s="65">
        <v>42247</v>
      </c>
      <c r="N258" s="11">
        <v>-4.5752000000000001E-2</v>
      </c>
      <c r="O258" s="11">
        <v>-4.7199999999999998E-4</v>
      </c>
      <c r="P258" s="160">
        <v>-6.2580999999999998E-2</v>
      </c>
    </row>
    <row r="259" spans="1:16">
      <c r="A259" s="47">
        <v>17226</v>
      </c>
      <c r="B259" s="48">
        <v>11404</v>
      </c>
      <c r="C259" s="48" t="s">
        <v>28</v>
      </c>
      <c r="D259" s="50">
        <v>-3.4629999999999999E-3</v>
      </c>
      <c r="E259" s="14">
        <v>-1.4687E-2</v>
      </c>
      <c r="F259" s="48"/>
      <c r="G259" s="47">
        <v>42216</v>
      </c>
      <c r="H259" s="76">
        <v>80681</v>
      </c>
      <c r="I259" s="76" t="s">
        <v>27</v>
      </c>
      <c r="J259" s="11">
        <v>5.8400000000000001E-2</v>
      </c>
      <c r="K259" s="160">
        <v>1.9741999999999999E-2</v>
      </c>
      <c r="L259" s="48"/>
      <c r="M259" s="65">
        <v>42277</v>
      </c>
      <c r="N259" s="11">
        <v>4.7711999999999997E-2</v>
      </c>
      <c r="O259" s="11">
        <v>6.2629000000000004E-2</v>
      </c>
      <c r="P259" s="160">
        <v>-2.6443000000000001E-2</v>
      </c>
    </row>
    <row r="260" spans="1:16">
      <c r="A260" s="47">
        <v>17257</v>
      </c>
      <c r="B260" s="48">
        <v>11404</v>
      </c>
      <c r="C260" s="48" t="s">
        <v>28</v>
      </c>
      <c r="D260" s="50">
        <v>-3.9648000000000003E-2</v>
      </c>
      <c r="E260" s="14">
        <v>-1.685E-2</v>
      </c>
      <c r="F260" s="48"/>
      <c r="G260" s="47">
        <v>42247</v>
      </c>
      <c r="H260" s="76">
        <v>80681</v>
      </c>
      <c r="I260" s="76" t="s">
        <v>27</v>
      </c>
      <c r="J260" s="11">
        <v>-4.5752000000000001E-2</v>
      </c>
      <c r="K260" s="160">
        <v>-6.2580999999999998E-2</v>
      </c>
      <c r="L260" s="48"/>
      <c r="M260" s="65">
        <v>42307</v>
      </c>
      <c r="N260" s="11">
        <v>-1.3337999999999999E-2</v>
      </c>
      <c r="O260" s="11">
        <v>-1.6455000000000001E-2</v>
      </c>
      <c r="P260" s="160">
        <v>8.2983000000000001E-2</v>
      </c>
    </row>
    <row r="261" spans="1:16">
      <c r="A261" s="47">
        <v>17287</v>
      </c>
      <c r="B261" s="48">
        <v>11404</v>
      </c>
      <c r="C261" s="48" t="s">
        <v>28</v>
      </c>
      <c r="D261" s="50">
        <v>-1.8349000000000001E-2</v>
      </c>
      <c r="E261" s="14">
        <v>-3.8892999999999997E-2</v>
      </c>
      <c r="F261" s="48"/>
      <c r="G261" s="47">
        <v>42277</v>
      </c>
      <c r="H261" s="76">
        <v>80681</v>
      </c>
      <c r="I261" s="76" t="s">
        <v>27</v>
      </c>
      <c r="J261" s="11">
        <v>4.7711999999999997E-2</v>
      </c>
      <c r="K261" s="160">
        <v>-2.6443000000000001E-2</v>
      </c>
      <c r="L261" s="48"/>
      <c r="M261" s="65">
        <v>42338</v>
      </c>
      <c r="N261" s="11">
        <v>4.6952000000000001E-2</v>
      </c>
      <c r="O261" s="11">
        <v>-4.4866999999999997E-2</v>
      </c>
      <c r="P261" s="160">
        <v>5.0500000000000002E-4</v>
      </c>
    </row>
    <row r="262" spans="1:16">
      <c r="A262" s="47">
        <v>17316</v>
      </c>
      <c r="B262" s="48">
        <v>11404</v>
      </c>
      <c r="C262" s="48" t="s">
        <v>28</v>
      </c>
      <c r="D262" s="50">
        <v>-2.2429999999999999E-2</v>
      </c>
      <c r="E262" s="14">
        <v>-8.9160000000000003E-3</v>
      </c>
      <c r="F262" s="48"/>
      <c r="G262" s="47">
        <v>42307</v>
      </c>
      <c r="H262" s="76">
        <v>80681</v>
      </c>
      <c r="I262" s="76" t="s">
        <v>27</v>
      </c>
      <c r="J262" s="11">
        <v>-1.3337999999999999E-2</v>
      </c>
      <c r="K262" s="160">
        <v>8.2983000000000001E-2</v>
      </c>
      <c r="L262" s="48"/>
      <c r="M262" s="65">
        <v>42369</v>
      </c>
      <c r="N262" s="11">
        <v>4.3589000000000003E-2</v>
      </c>
      <c r="O262" s="11">
        <v>3.4111000000000002E-2</v>
      </c>
      <c r="P262" s="160">
        <v>-1.753E-2</v>
      </c>
    </row>
    <row r="263" spans="1:16">
      <c r="A263" s="47">
        <v>17348</v>
      </c>
      <c r="B263" s="48">
        <v>11404</v>
      </c>
      <c r="C263" s="48" t="s">
        <v>28</v>
      </c>
      <c r="D263" s="50">
        <v>1.9417E-2</v>
      </c>
      <c r="E263" s="14">
        <v>5.2595000000000003E-2</v>
      </c>
      <c r="F263" s="48"/>
      <c r="G263" s="47">
        <v>42338</v>
      </c>
      <c r="H263" s="76">
        <v>80681</v>
      </c>
      <c r="I263" s="76" t="s">
        <v>27</v>
      </c>
      <c r="J263" s="11">
        <v>4.6952000000000001E-2</v>
      </c>
      <c r="K263" s="160">
        <v>5.0500000000000002E-4</v>
      </c>
      <c r="L263" s="48"/>
      <c r="M263" s="65">
        <v>42398</v>
      </c>
      <c r="N263" s="11">
        <v>-0.10985300000000001</v>
      </c>
      <c r="O263" s="11">
        <v>7.9663999999999999E-2</v>
      </c>
      <c r="P263" s="160">
        <v>-5.0735000000000002E-2</v>
      </c>
    </row>
    <row r="264" spans="1:16">
      <c r="A264" s="47">
        <v>17379</v>
      </c>
      <c r="B264" s="48">
        <v>11404</v>
      </c>
      <c r="C264" s="48" t="s">
        <v>28</v>
      </c>
      <c r="D264" s="50">
        <v>4.7619999999999997E-3</v>
      </c>
      <c r="E264" s="14">
        <v>3.6159999999999998E-2</v>
      </c>
      <c r="F264" s="48"/>
      <c r="G264" s="47">
        <v>42369</v>
      </c>
      <c r="H264" s="76">
        <v>80681</v>
      </c>
      <c r="I264" s="76" t="s">
        <v>27</v>
      </c>
      <c r="J264" s="11">
        <v>4.3589000000000003E-2</v>
      </c>
      <c r="K264" s="160">
        <v>-1.753E-2</v>
      </c>
      <c r="L264" s="48"/>
      <c r="M264" s="65">
        <v>42429</v>
      </c>
      <c r="N264" s="11">
        <v>-1.7971999999999998E-2</v>
      </c>
      <c r="O264" s="11">
        <v>1.8591E-2</v>
      </c>
      <c r="P264" s="160">
        <v>-4.1279999999999997E-3</v>
      </c>
    </row>
    <row r="265" spans="1:16">
      <c r="A265" s="47">
        <v>17408</v>
      </c>
      <c r="B265" s="48">
        <v>11404</v>
      </c>
      <c r="C265" s="48" t="s">
        <v>28</v>
      </c>
      <c r="D265" s="50">
        <v>-2.7487999999999999E-2</v>
      </c>
      <c r="E265" s="14">
        <v>-2.7918999999999999E-2</v>
      </c>
      <c r="F265" s="48"/>
      <c r="G265" s="47">
        <v>42398</v>
      </c>
      <c r="H265" s="76">
        <v>80681</v>
      </c>
      <c r="I265" s="76" t="s">
        <v>27</v>
      </c>
      <c r="J265" s="11">
        <v>-0.10985300000000001</v>
      </c>
      <c r="K265" s="160">
        <v>-5.0735000000000002E-2</v>
      </c>
      <c r="L265" s="48"/>
      <c r="M265" s="65">
        <v>42460</v>
      </c>
      <c r="N265" s="11">
        <v>0.12509600000000001</v>
      </c>
      <c r="O265" s="11">
        <v>9.4414999999999999E-2</v>
      </c>
      <c r="P265" s="160">
        <v>6.5990999999999994E-2</v>
      </c>
    </row>
    <row r="266" spans="1:16">
      <c r="A266" s="47">
        <v>17440</v>
      </c>
      <c r="B266" s="48">
        <v>11404</v>
      </c>
      <c r="C266" s="48" t="s">
        <v>28</v>
      </c>
      <c r="D266" s="50">
        <v>-9.9010000000000001E-3</v>
      </c>
      <c r="E266" s="14">
        <v>-1.3708E-2</v>
      </c>
      <c r="F266" s="48"/>
      <c r="G266" s="47">
        <v>42429</v>
      </c>
      <c r="H266" s="76">
        <v>80681</v>
      </c>
      <c r="I266" s="76" t="s">
        <v>27</v>
      </c>
      <c r="J266" s="11">
        <v>-1.7971999999999998E-2</v>
      </c>
      <c r="K266" s="160">
        <v>-4.1279999999999997E-3</v>
      </c>
      <c r="L266" s="48"/>
      <c r="M266" s="65">
        <v>42489</v>
      </c>
      <c r="N266" s="11">
        <v>-5.7341999999999997E-2</v>
      </c>
      <c r="O266" s="11">
        <v>-2.6363999999999999E-2</v>
      </c>
      <c r="P266" s="160">
        <v>2.699E-3</v>
      </c>
    </row>
    <row r="267" spans="1:16">
      <c r="A267" s="47">
        <v>17471</v>
      </c>
      <c r="B267" s="48">
        <v>11404</v>
      </c>
      <c r="C267" s="48" t="s">
        <v>28</v>
      </c>
      <c r="D267" s="50">
        <v>-0.04</v>
      </c>
      <c r="E267" s="14">
        <v>2.1177999999999999E-2</v>
      </c>
      <c r="F267" s="48"/>
      <c r="G267" s="47">
        <v>42460</v>
      </c>
      <c r="H267" s="76">
        <v>80681</v>
      </c>
      <c r="I267" s="76" t="s">
        <v>27</v>
      </c>
      <c r="J267" s="11">
        <v>0.12509600000000001</v>
      </c>
      <c r="K267" s="160">
        <v>6.5990999999999994E-2</v>
      </c>
      <c r="L267" s="48"/>
      <c r="M267" s="65">
        <v>42521</v>
      </c>
      <c r="N267" s="11">
        <v>3.0755000000000001E-2</v>
      </c>
      <c r="O267" s="11">
        <v>-8.9809999999999994E-3</v>
      </c>
      <c r="P267" s="160">
        <v>1.5329000000000001E-2</v>
      </c>
    </row>
    <row r="268" spans="1:16">
      <c r="A268" s="47">
        <v>17500</v>
      </c>
      <c r="B268" s="48">
        <v>11404</v>
      </c>
      <c r="C268" s="48" t="s">
        <v>28</v>
      </c>
      <c r="D268" s="50">
        <v>-9.7917000000000004E-2</v>
      </c>
      <c r="E268" s="14">
        <v>-2.8516E-2</v>
      </c>
      <c r="F268" s="48"/>
      <c r="G268" s="47">
        <v>42489</v>
      </c>
      <c r="H268" s="76">
        <v>80681</v>
      </c>
      <c r="I268" s="76" t="s">
        <v>27</v>
      </c>
      <c r="J268" s="11">
        <v>-5.7341999999999997E-2</v>
      </c>
      <c r="K268" s="160">
        <v>2.699E-3</v>
      </c>
      <c r="L268" s="48"/>
      <c r="M268" s="65">
        <v>42551</v>
      </c>
      <c r="N268" s="11">
        <v>1.0826000000000001E-2</v>
      </c>
      <c r="O268" s="11">
        <v>9.8006999999999997E-2</v>
      </c>
      <c r="P268" s="160">
        <v>9.0600000000000001E-4</v>
      </c>
    </row>
    <row r="269" spans="1:16">
      <c r="A269" s="47">
        <v>17532</v>
      </c>
      <c r="B269" s="48">
        <v>11404</v>
      </c>
      <c r="C269" s="48" t="s">
        <v>28</v>
      </c>
      <c r="D269" s="50">
        <v>1.1764999999999999E-2</v>
      </c>
      <c r="E269" s="14">
        <v>2.068E-2</v>
      </c>
      <c r="F269" s="48"/>
      <c r="G269" s="47">
        <v>42521</v>
      </c>
      <c r="H269" s="76">
        <v>80681</v>
      </c>
      <c r="I269" s="76" t="s">
        <v>27</v>
      </c>
      <c r="J269" s="11">
        <v>3.0755000000000001E-2</v>
      </c>
      <c r="K269" s="160">
        <v>1.5329000000000001E-2</v>
      </c>
      <c r="L269" s="48"/>
      <c r="M269" s="65">
        <v>42580</v>
      </c>
      <c r="N269" s="11">
        <v>2.5385000000000001E-2</v>
      </c>
      <c r="O269" s="11">
        <v>-4.4749999999999998E-3</v>
      </c>
      <c r="P269" s="160">
        <v>3.5610000000000003E-2</v>
      </c>
    </row>
    <row r="270" spans="1:16">
      <c r="A270" s="47">
        <v>17563</v>
      </c>
      <c r="B270" s="48">
        <v>11404</v>
      </c>
      <c r="C270" s="48" t="s">
        <v>28</v>
      </c>
      <c r="D270" s="50">
        <v>2.9069999999999999E-2</v>
      </c>
      <c r="E270" s="14">
        <v>-3.9869000000000002E-2</v>
      </c>
      <c r="F270" s="48"/>
      <c r="G270" s="47">
        <v>42551</v>
      </c>
      <c r="H270" s="76">
        <v>80681</v>
      </c>
      <c r="I270" s="76" t="s">
        <v>27</v>
      </c>
      <c r="J270" s="11">
        <v>1.0826000000000001E-2</v>
      </c>
      <c r="K270" s="160">
        <v>9.0600000000000001E-4</v>
      </c>
      <c r="L270" s="48"/>
      <c r="M270" s="65">
        <v>42613</v>
      </c>
      <c r="N270" s="11">
        <v>-2.8989000000000001E-2</v>
      </c>
      <c r="O270" s="11">
        <v>-5.1948000000000001E-2</v>
      </c>
      <c r="P270" s="160">
        <v>-1.219E-3</v>
      </c>
    </row>
    <row r="271" spans="1:16">
      <c r="A271" s="47">
        <v>17591</v>
      </c>
      <c r="B271" s="48">
        <v>11404</v>
      </c>
      <c r="C271" s="48" t="s">
        <v>28</v>
      </c>
      <c r="D271" s="50">
        <v>-4.5199999999999997E-3</v>
      </c>
      <c r="E271" s="14">
        <v>-4.6970999999999999E-2</v>
      </c>
      <c r="F271" s="48"/>
      <c r="G271" s="47">
        <v>42580</v>
      </c>
      <c r="H271" s="76">
        <v>80681</v>
      </c>
      <c r="I271" s="76" t="s">
        <v>27</v>
      </c>
      <c r="J271" s="11">
        <v>2.5385000000000001E-2</v>
      </c>
      <c r="K271" s="160">
        <v>3.5610000000000003E-2</v>
      </c>
      <c r="L271" s="48"/>
      <c r="M271" s="65">
        <v>42643</v>
      </c>
      <c r="N271" s="11">
        <v>-1.2329E-2</v>
      </c>
      <c r="O271" s="11">
        <v>6.6399999999999999E-4</v>
      </c>
      <c r="P271" s="160">
        <v>-1.2340000000000001E-3</v>
      </c>
    </row>
    <row r="272" spans="1:16">
      <c r="A272" s="47">
        <v>17623</v>
      </c>
      <c r="B272" s="48">
        <v>11404</v>
      </c>
      <c r="C272" s="48" t="s">
        <v>28</v>
      </c>
      <c r="D272" s="50">
        <v>3.4681999999999998E-2</v>
      </c>
      <c r="E272" s="14">
        <v>7.7143000000000003E-2</v>
      </c>
      <c r="F272" s="48"/>
      <c r="G272" s="47">
        <v>42613</v>
      </c>
      <c r="H272" s="76">
        <v>80681</v>
      </c>
      <c r="I272" s="76" t="s">
        <v>27</v>
      </c>
      <c r="J272" s="11">
        <v>-2.8989000000000001E-2</v>
      </c>
      <c r="K272" s="160">
        <v>-1.219E-3</v>
      </c>
      <c r="L272" s="48"/>
      <c r="M272" s="65">
        <v>42674</v>
      </c>
      <c r="N272" s="11">
        <v>-3.8662000000000002E-2</v>
      </c>
      <c r="O272" s="11">
        <v>3.32E-3</v>
      </c>
      <c r="P272" s="160">
        <v>-1.9425999999999999E-2</v>
      </c>
    </row>
    <row r="273" spans="1:16">
      <c r="A273" s="47">
        <v>17653</v>
      </c>
      <c r="B273" s="48">
        <v>11404</v>
      </c>
      <c r="C273" s="48" t="s">
        <v>28</v>
      </c>
      <c r="D273" s="50">
        <v>3.9106000000000002E-2</v>
      </c>
      <c r="E273" s="14">
        <v>2.6525E-2</v>
      </c>
      <c r="F273" s="48"/>
      <c r="G273" s="47">
        <v>42643</v>
      </c>
      <c r="H273" s="76">
        <v>80681</v>
      </c>
      <c r="I273" s="76" t="s">
        <v>27</v>
      </c>
      <c r="J273" s="11">
        <v>-1.2329E-2</v>
      </c>
      <c r="K273" s="160">
        <v>-1.2340000000000001E-3</v>
      </c>
      <c r="L273" s="48"/>
      <c r="M273" s="65">
        <v>42704</v>
      </c>
      <c r="N273" s="11">
        <v>8.548E-3</v>
      </c>
      <c r="O273" s="11">
        <v>-6.7637000000000003E-2</v>
      </c>
      <c r="P273" s="160">
        <v>3.4174000000000003E-2</v>
      </c>
    </row>
    <row r="274" spans="1:16">
      <c r="A274" s="47">
        <v>17681</v>
      </c>
      <c r="B274" s="48">
        <v>11404</v>
      </c>
      <c r="C274" s="48" t="s">
        <v>28</v>
      </c>
      <c r="D274" s="50">
        <v>5.772E-2</v>
      </c>
      <c r="E274" s="14">
        <v>7.8164999999999998E-2</v>
      </c>
      <c r="F274" s="48"/>
      <c r="G274" s="47">
        <v>42674</v>
      </c>
      <c r="H274" s="76">
        <v>80681</v>
      </c>
      <c r="I274" s="76" t="s">
        <v>27</v>
      </c>
      <c r="J274" s="11">
        <v>-3.8662000000000002E-2</v>
      </c>
      <c r="K274" s="160">
        <v>-1.9425999999999999E-2</v>
      </c>
      <c r="L274" s="48"/>
      <c r="M274" s="65">
        <v>42734</v>
      </c>
      <c r="N274" s="11">
        <v>8.4197999999999995E-2</v>
      </c>
      <c r="O274" s="11">
        <v>5.6041000000000001E-2</v>
      </c>
      <c r="P274" s="160">
        <v>1.8200999999999998E-2</v>
      </c>
    </row>
    <row r="275" spans="1:16">
      <c r="A275" s="47">
        <v>17714</v>
      </c>
      <c r="B275" s="48">
        <v>11404</v>
      </c>
      <c r="C275" s="48" t="s">
        <v>28</v>
      </c>
      <c r="D275" s="50">
        <v>3.6649000000000001E-2</v>
      </c>
      <c r="E275" s="14">
        <v>2.996E-3</v>
      </c>
      <c r="F275" s="48"/>
      <c r="G275" s="47">
        <v>42704</v>
      </c>
      <c r="H275" s="76">
        <v>80681</v>
      </c>
      <c r="I275" s="76" t="s">
        <v>27</v>
      </c>
      <c r="J275" s="11">
        <v>8.548E-3</v>
      </c>
      <c r="K275" s="160">
        <v>3.4174000000000003E-2</v>
      </c>
      <c r="L275" s="48"/>
      <c r="M275" s="65">
        <v>42766</v>
      </c>
      <c r="N275" s="11">
        <v>-3.5269000000000002E-2</v>
      </c>
      <c r="O275" s="11">
        <v>9.0930000000000004E-3</v>
      </c>
      <c r="P275" s="160">
        <v>1.7884000000000001E-2</v>
      </c>
    </row>
    <row r="276" spans="1:16">
      <c r="A276" s="47">
        <v>17744</v>
      </c>
      <c r="B276" s="48">
        <v>11404</v>
      </c>
      <c r="C276" s="48" t="s">
        <v>28</v>
      </c>
      <c r="D276" s="50">
        <v>-4.0404000000000002E-2</v>
      </c>
      <c r="E276" s="14">
        <v>-5.3165999999999998E-2</v>
      </c>
      <c r="F276" s="48"/>
      <c r="G276" s="47">
        <v>42734</v>
      </c>
      <c r="H276" s="76">
        <v>80681</v>
      </c>
      <c r="I276" s="76" t="s">
        <v>27</v>
      </c>
      <c r="J276" s="11">
        <v>8.4197999999999995E-2</v>
      </c>
      <c r="K276" s="160">
        <v>1.8200999999999998E-2</v>
      </c>
      <c r="L276" s="48"/>
      <c r="M276" s="65">
        <v>42794</v>
      </c>
      <c r="N276" s="11">
        <v>4.6365999999999997E-2</v>
      </c>
      <c r="O276" s="11">
        <v>4.5461000000000001E-2</v>
      </c>
      <c r="P276" s="160">
        <v>3.7198000000000002E-2</v>
      </c>
    </row>
    <row r="277" spans="1:16">
      <c r="A277" s="47">
        <v>17776</v>
      </c>
      <c r="B277" s="48">
        <v>11404</v>
      </c>
      <c r="C277" s="48" t="s">
        <v>28</v>
      </c>
      <c r="D277" s="50">
        <v>1.1579000000000001E-2</v>
      </c>
      <c r="E277" s="14">
        <v>7.5709999999999996E-3</v>
      </c>
      <c r="F277" s="48"/>
      <c r="G277" s="47">
        <v>42766</v>
      </c>
      <c r="H277" s="76">
        <v>80681</v>
      </c>
      <c r="I277" s="76" t="s">
        <v>27</v>
      </c>
      <c r="J277" s="11">
        <v>-3.5269000000000002E-2</v>
      </c>
      <c r="K277" s="160">
        <v>1.7884000000000001E-2</v>
      </c>
      <c r="L277" s="48"/>
      <c r="M277" s="65">
        <v>42825</v>
      </c>
      <c r="N277" s="11">
        <v>-6.0499999999999998E-3</v>
      </c>
      <c r="O277" s="11">
        <v>8.0479999999999996E-3</v>
      </c>
      <c r="P277" s="160">
        <v>-3.8900000000000002E-4</v>
      </c>
    </row>
    <row r="278" spans="1:16">
      <c r="A278" s="47">
        <v>17806</v>
      </c>
      <c r="B278" s="48">
        <v>11404</v>
      </c>
      <c r="C278" s="48" t="s">
        <v>28</v>
      </c>
      <c r="D278" s="50">
        <v>-5.2909999999999997E-3</v>
      </c>
      <c r="E278" s="14">
        <v>-3.0055999999999999E-2</v>
      </c>
      <c r="F278" s="48"/>
      <c r="G278" s="47">
        <v>42794</v>
      </c>
      <c r="H278" s="76">
        <v>80681</v>
      </c>
      <c r="I278" s="76" t="s">
        <v>27</v>
      </c>
      <c r="J278" s="11">
        <v>4.6365999999999997E-2</v>
      </c>
      <c r="K278" s="160">
        <v>3.7198000000000002E-2</v>
      </c>
      <c r="L278" s="48"/>
      <c r="M278" s="65">
        <v>42853</v>
      </c>
      <c r="N278" s="11">
        <v>5.5889000000000001E-2</v>
      </c>
      <c r="O278" s="11">
        <v>2.086E-2</v>
      </c>
      <c r="P278" s="160">
        <v>9.0910000000000001E-3</v>
      </c>
    </row>
    <row r="279" spans="1:16">
      <c r="A279" s="47">
        <v>17836</v>
      </c>
      <c r="B279" s="48">
        <v>11404</v>
      </c>
      <c r="C279" s="48" t="s">
        <v>28</v>
      </c>
      <c r="D279" s="50">
        <v>3.1914999999999999E-2</v>
      </c>
      <c r="E279" s="14">
        <v>6.7785999999999999E-2</v>
      </c>
      <c r="F279" s="48"/>
      <c r="G279" s="47">
        <v>42825</v>
      </c>
      <c r="H279" s="76">
        <v>80681</v>
      </c>
      <c r="I279" s="76" t="s">
        <v>27</v>
      </c>
      <c r="J279" s="11">
        <v>-6.0499999999999998E-3</v>
      </c>
      <c r="K279" s="160">
        <v>-3.8900000000000002E-4</v>
      </c>
      <c r="L279" s="48"/>
      <c r="M279" s="65">
        <v>42886</v>
      </c>
      <c r="N279" s="11">
        <v>5.0927E-2</v>
      </c>
      <c r="O279" s="11">
        <v>5.2977000000000003E-2</v>
      </c>
      <c r="P279" s="160">
        <v>1.1575999999999999E-2</v>
      </c>
    </row>
    <row r="280" spans="1:16">
      <c r="A280" s="47">
        <v>17867</v>
      </c>
      <c r="B280" s="48">
        <v>11404</v>
      </c>
      <c r="C280" s="48" t="s">
        <v>28</v>
      </c>
      <c r="D280" s="50">
        <v>-8.1443000000000002E-2</v>
      </c>
      <c r="E280" s="14">
        <v>-0.108223</v>
      </c>
      <c r="F280" s="48"/>
      <c r="G280" s="47">
        <v>42853</v>
      </c>
      <c r="H280" s="76">
        <v>80681</v>
      </c>
      <c r="I280" s="76" t="s">
        <v>27</v>
      </c>
      <c r="J280" s="11">
        <v>5.5889000000000001E-2</v>
      </c>
      <c r="K280" s="160">
        <v>9.0910000000000001E-3</v>
      </c>
      <c r="L280" s="48"/>
      <c r="M280" s="65">
        <v>42916</v>
      </c>
      <c r="N280" s="11">
        <v>8.1740000000000007E-3</v>
      </c>
      <c r="O280" s="11">
        <v>-2.3795E-2</v>
      </c>
      <c r="P280" s="160">
        <v>4.8139999999999997E-3</v>
      </c>
    </row>
    <row r="281" spans="1:16">
      <c r="A281" s="47">
        <v>17898</v>
      </c>
      <c r="B281" s="48">
        <v>11404</v>
      </c>
      <c r="C281" s="48" t="s">
        <v>28</v>
      </c>
      <c r="D281" s="50">
        <v>0</v>
      </c>
      <c r="E281" s="14">
        <v>3.0508E-2</v>
      </c>
      <c r="F281" s="48"/>
      <c r="G281" s="47">
        <v>42886</v>
      </c>
      <c r="H281" s="76">
        <v>80681</v>
      </c>
      <c r="I281" s="76" t="s">
        <v>27</v>
      </c>
      <c r="J281" s="11">
        <v>5.0927E-2</v>
      </c>
      <c r="K281" s="160">
        <v>1.1575999999999999E-2</v>
      </c>
      <c r="L281" s="48"/>
      <c r="M281" s="65">
        <v>42947</v>
      </c>
      <c r="N281" s="11">
        <v>1.7219000000000002E-2</v>
      </c>
      <c r="O281" s="11">
        <v>2.5241E-2</v>
      </c>
      <c r="P281" s="160">
        <v>1.9349000000000002E-2</v>
      </c>
    </row>
    <row r="282" spans="1:16">
      <c r="A282" s="47">
        <v>17929</v>
      </c>
      <c r="B282" s="48">
        <v>11404</v>
      </c>
      <c r="C282" s="48" t="s">
        <v>28</v>
      </c>
      <c r="D282" s="50">
        <v>4.5713999999999998E-2</v>
      </c>
      <c r="E282" s="14">
        <v>1.3159999999999999E-3</v>
      </c>
      <c r="F282" s="48"/>
      <c r="G282" s="47">
        <v>42916</v>
      </c>
      <c r="H282" s="76">
        <v>80681</v>
      </c>
      <c r="I282" s="76" t="s">
        <v>27</v>
      </c>
      <c r="J282" s="11">
        <v>8.1740000000000007E-3</v>
      </c>
      <c r="K282" s="160">
        <v>4.8139999999999997E-3</v>
      </c>
      <c r="L282" s="48"/>
      <c r="M282" s="65">
        <v>42978</v>
      </c>
      <c r="N282" s="11">
        <v>1.6316000000000001E-2</v>
      </c>
      <c r="O282" s="11">
        <v>2.5343999999999998E-2</v>
      </c>
      <c r="P282" s="160">
        <v>5.4600000000000004E-4</v>
      </c>
    </row>
    <row r="283" spans="1:16">
      <c r="A283" s="47">
        <v>17957</v>
      </c>
      <c r="B283" s="48">
        <v>11404</v>
      </c>
      <c r="C283" s="48" t="s">
        <v>28</v>
      </c>
      <c r="D283" s="50">
        <v>-2.0764999999999999E-2</v>
      </c>
      <c r="E283" s="14">
        <v>-3.9421999999999999E-2</v>
      </c>
      <c r="F283" s="48"/>
      <c r="G283" s="47">
        <v>42947</v>
      </c>
      <c r="H283" s="76">
        <v>80681</v>
      </c>
      <c r="I283" s="76" t="s">
        <v>27</v>
      </c>
      <c r="J283" s="11">
        <v>1.7219000000000002E-2</v>
      </c>
      <c r="K283" s="160">
        <v>1.9349000000000002E-2</v>
      </c>
      <c r="L283" s="48"/>
      <c r="M283" s="65">
        <v>43007</v>
      </c>
      <c r="N283" s="11">
        <v>-3.8313E-2</v>
      </c>
      <c r="O283" s="11">
        <v>-4.2601E-2</v>
      </c>
      <c r="P283" s="160">
        <v>1.9303000000000001E-2</v>
      </c>
    </row>
    <row r="284" spans="1:16">
      <c r="A284" s="47">
        <v>17988</v>
      </c>
      <c r="B284" s="48">
        <v>11404</v>
      </c>
      <c r="C284" s="48" t="s">
        <v>28</v>
      </c>
      <c r="D284" s="50">
        <v>4.5455000000000002E-2</v>
      </c>
      <c r="E284" s="14">
        <v>3.0096000000000001E-2</v>
      </c>
      <c r="F284" s="48"/>
      <c r="G284" s="47">
        <v>42978</v>
      </c>
      <c r="H284" s="76">
        <v>80681</v>
      </c>
      <c r="I284" s="76" t="s">
        <v>27</v>
      </c>
      <c r="J284" s="11">
        <v>1.6316000000000001E-2</v>
      </c>
      <c r="K284" s="160">
        <v>5.4600000000000004E-4</v>
      </c>
      <c r="L284" s="48"/>
      <c r="M284" s="65">
        <v>43039</v>
      </c>
      <c r="N284" s="11">
        <v>3.3066999999999999E-2</v>
      </c>
      <c r="O284" s="11">
        <v>6.6558999999999993E-2</v>
      </c>
      <c r="P284" s="160">
        <v>2.2187999999999999E-2</v>
      </c>
    </row>
    <row r="285" spans="1:16">
      <c r="A285" s="47">
        <v>18018</v>
      </c>
      <c r="B285" s="48">
        <v>11404</v>
      </c>
      <c r="C285" s="48" t="s">
        <v>28</v>
      </c>
      <c r="D285" s="50">
        <v>1.0869999999999999E-2</v>
      </c>
      <c r="E285" s="14">
        <v>-2.1248E-2</v>
      </c>
      <c r="F285" s="48"/>
      <c r="G285" s="47">
        <v>43007</v>
      </c>
      <c r="H285" s="76">
        <v>80681</v>
      </c>
      <c r="I285" s="76" t="s">
        <v>27</v>
      </c>
      <c r="J285" s="11">
        <v>-3.8313E-2</v>
      </c>
      <c r="K285" s="160">
        <v>1.9303000000000001E-2</v>
      </c>
      <c r="L285" s="48"/>
      <c r="M285" s="65">
        <v>43069</v>
      </c>
      <c r="N285" s="11">
        <v>-5.8834999999999998E-2</v>
      </c>
      <c r="O285" s="11">
        <v>4.2765999999999998E-2</v>
      </c>
      <c r="P285" s="160">
        <v>2.8083E-2</v>
      </c>
    </row>
    <row r="286" spans="1:16">
      <c r="A286" s="47">
        <v>18049</v>
      </c>
      <c r="B286" s="48">
        <v>11404</v>
      </c>
      <c r="C286" s="48" t="s">
        <v>28</v>
      </c>
      <c r="D286" s="50">
        <v>-3.6559000000000001E-2</v>
      </c>
      <c r="E286" s="14">
        <v>-3.7312999999999999E-2</v>
      </c>
      <c r="F286" s="48"/>
      <c r="G286" s="47">
        <v>43039</v>
      </c>
      <c r="H286" s="76">
        <v>80681</v>
      </c>
      <c r="I286" s="76" t="s">
        <v>27</v>
      </c>
      <c r="J286" s="11">
        <v>3.3066999999999999E-2</v>
      </c>
      <c r="K286" s="160">
        <v>2.2187999999999999E-2</v>
      </c>
      <c r="L286" s="48"/>
      <c r="M286" s="65">
        <v>43098</v>
      </c>
      <c r="N286" s="11">
        <v>-1.5668999999999999E-2</v>
      </c>
      <c r="O286" s="11">
        <v>-4.5934000000000003E-2</v>
      </c>
      <c r="P286" s="160">
        <v>9.8320000000000005E-3</v>
      </c>
    </row>
    <row r="287" spans="1:16">
      <c r="A287" s="47">
        <v>18079</v>
      </c>
      <c r="B287" s="48">
        <v>11404</v>
      </c>
      <c r="C287" s="48" t="s">
        <v>28</v>
      </c>
      <c r="D287" s="50">
        <v>3.4091000000000003E-2</v>
      </c>
      <c r="E287" s="14">
        <v>-2.114E-3</v>
      </c>
      <c r="F287" s="48"/>
      <c r="G287" s="47">
        <v>43069</v>
      </c>
      <c r="H287" s="76">
        <v>80681</v>
      </c>
      <c r="I287" s="76" t="s">
        <v>27</v>
      </c>
      <c r="J287" s="11">
        <v>-5.8834999999999998E-2</v>
      </c>
      <c r="K287" s="160">
        <v>2.8083E-2</v>
      </c>
      <c r="L287" s="48"/>
      <c r="M287" s="65">
        <v>43131</v>
      </c>
      <c r="N287" s="11">
        <v>-3.4759999999999999E-2</v>
      </c>
      <c r="O287" s="11">
        <v>-5.4031999999999997E-2</v>
      </c>
      <c r="P287" s="160">
        <v>5.6179E-2</v>
      </c>
    </row>
    <row r="288" spans="1:16">
      <c r="A288" s="47">
        <v>18108</v>
      </c>
      <c r="B288" s="48">
        <v>11404</v>
      </c>
      <c r="C288" s="48" t="s">
        <v>28</v>
      </c>
      <c r="D288" s="50">
        <v>4.3956000000000002E-2</v>
      </c>
      <c r="E288" s="14">
        <v>6.2147000000000001E-2</v>
      </c>
      <c r="F288" s="48"/>
      <c r="G288" s="47">
        <v>43098</v>
      </c>
      <c r="H288" s="76">
        <v>80681</v>
      </c>
      <c r="I288" s="76" t="s">
        <v>27</v>
      </c>
      <c r="J288" s="11">
        <v>-1.5668999999999999E-2</v>
      </c>
      <c r="K288" s="160">
        <v>9.8320000000000005E-3</v>
      </c>
      <c r="L288" s="48"/>
      <c r="M288" s="65">
        <v>43159</v>
      </c>
      <c r="N288" s="11">
        <v>-3.9274000000000003E-2</v>
      </c>
      <c r="O288" s="11">
        <v>-5.9171000000000001E-2</v>
      </c>
      <c r="P288" s="160">
        <v>-3.8947000000000002E-2</v>
      </c>
    </row>
    <row r="289" spans="1:16">
      <c r="A289" s="47">
        <v>18141</v>
      </c>
      <c r="B289" s="48">
        <v>11404</v>
      </c>
      <c r="C289" s="48" t="s">
        <v>28</v>
      </c>
      <c r="D289" s="50">
        <v>6.9473999999999994E-2</v>
      </c>
      <c r="E289" s="14">
        <v>1.1967999999999999E-2</v>
      </c>
      <c r="F289" s="48"/>
      <c r="G289" s="47">
        <v>43131</v>
      </c>
      <c r="H289" s="76">
        <v>80681</v>
      </c>
      <c r="I289" s="76" t="s">
        <v>27</v>
      </c>
      <c r="J289" s="11">
        <v>-3.4759999999999999E-2</v>
      </c>
      <c r="K289" s="160">
        <v>5.6179E-2</v>
      </c>
      <c r="L289" s="48"/>
      <c r="M289" s="65">
        <v>43188</v>
      </c>
      <c r="N289" s="11">
        <v>8.3589999999999998E-2</v>
      </c>
      <c r="O289" s="11">
        <v>4.0725999999999998E-2</v>
      </c>
      <c r="P289" s="160">
        <v>-2.6884999999999999E-2</v>
      </c>
    </row>
    <row r="290" spans="1:16">
      <c r="A290" s="47">
        <v>18171</v>
      </c>
      <c r="B290" s="48">
        <v>11404</v>
      </c>
      <c r="C290" s="48" t="s">
        <v>28</v>
      </c>
      <c r="D290" s="50">
        <v>8.5000000000000006E-2</v>
      </c>
      <c r="E290" s="14">
        <v>2.3653E-2</v>
      </c>
      <c r="F290" s="48"/>
      <c r="G290" s="47">
        <v>43159</v>
      </c>
      <c r="H290" s="76">
        <v>80681</v>
      </c>
      <c r="I290" s="76" t="s">
        <v>27</v>
      </c>
      <c r="J290" s="11">
        <v>-3.9274000000000003E-2</v>
      </c>
      <c r="K290" s="160">
        <v>-3.8947000000000002E-2</v>
      </c>
      <c r="L290" s="48"/>
      <c r="M290" s="65">
        <v>43220</v>
      </c>
      <c r="N290" s="11">
        <v>-4.1130000000000003E-3</v>
      </c>
      <c r="O290" s="11">
        <v>2.8098000000000001E-2</v>
      </c>
      <c r="P290" s="160">
        <v>2.7190000000000001E-3</v>
      </c>
    </row>
    <row r="291" spans="1:16">
      <c r="A291" s="47">
        <v>18202</v>
      </c>
      <c r="B291" s="48">
        <v>11404</v>
      </c>
      <c r="C291" s="48" t="s">
        <v>28</v>
      </c>
      <c r="D291" s="50">
        <v>-4.6080000000000001E-3</v>
      </c>
      <c r="E291" s="14">
        <v>2.9524999999999999E-2</v>
      </c>
      <c r="F291" s="48"/>
      <c r="G291" s="47">
        <v>43188</v>
      </c>
      <c r="H291" s="76">
        <v>80681</v>
      </c>
      <c r="I291" s="76" t="s">
        <v>27</v>
      </c>
      <c r="J291" s="11">
        <v>8.3589999999999998E-2</v>
      </c>
      <c r="K291" s="160">
        <v>-2.6884999999999999E-2</v>
      </c>
      <c r="L291" s="48"/>
      <c r="M291" s="65">
        <v>43251</v>
      </c>
      <c r="N291" s="11">
        <v>-2.7539999999999999E-3</v>
      </c>
      <c r="O291" s="11">
        <v>-3.3508000000000003E-2</v>
      </c>
      <c r="P291" s="160">
        <v>2.1607999999999999E-2</v>
      </c>
    </row>
    <row r="292" spans="1:16">
      <c r="A292" s="47">
        <v>18232</v>
      </c>
      <c r="B292" s="48">
        <v>11404</v>
      </c>
      <c r="C292" s="48" t="s">
        <v>28</v>
      </c>
      <c r="D292" s="50">
        <v>-1.2963000000000001E-2</v>
      </c>
      <c r="E292" s="14">
        <v>1.2470000000000001E-3</v>
      </c>
      <c r="F292" s="48"/>
      <c r="G292" s="47">
        <v>43220</v>
      </c>
      <c r="H292" s="76">
        <v>80681</v>
      </c>
      <c r="I292" s="76" t="s">
        <v>27</v>
      </c>
      <c r="J292" s="11">
        <v>-4.1130000000000003E-3</v>
      </c>
      <c r="K292" s="160">
        <v>2.7190000000000001E-3</v>
      </c>
      <c r="L292" s="48"/>
      <c r="M292" s="65">
        <v>43280</v>
      </c>
      <c r="N292" s="11">
        <v>7.9489999999999995E-3</v>
      </c>
      <c r="O292" s="11">
        <v>1.6291E-2</v>
      </c>
      <c r="P292" s="160">
        <v>4.8419999999999999E-3</v>
      </c>
    </row>
    <row r="293" spans="1:16">
      <c r="A293" s="47">
        <v>18263</v>
      </c>
      <c r="B293" s="48">
        <v>11404</v>
      </c>
      <c r="C293" s="48" t="s">
        <v>28</v>
      </c>
      <c r="D293" s="50">
        <v>5.2380999999999997E-2</v>
      </c>
      <c r="E293" s="14">
        <v>4.3587000000000001E-2</v>
      </c>
      <c r="F293" s="48"/>
      <c r="G293" s="47">
        <v>43251</v>
      </c>
      <c r="H293" s="76">
        <v>80681</v>
      </c>
      <c r="I293" s="76" t="s">
        <v>27</v>
      </c>
      <c r="J293" s="11">
        <v>-2.7539999999999999E-3</v>
      </c>
      <c r="K293" s="160">
        <v>2.1607999999999999E-2</v>
      </c>
      <c r="L293" s="48"/>
      <c r="M293" s="65">
        <v>43312</v>
      </c>
      <c r="N293" s="11">
        <v>5.7720000000000002E-3</v>
      </c>
      <c r="O293" s="11">
        <v>1.2182999999999999E-2</v>
      </c>
      <c r="P293" s="160">
        <v>3.6021999999999998E-2</v>
      </c>
    </row>
    <row r="294" spans="1:16">
      <c r="A294" s="47">
        <v>18294</v>
      </c>
      <c r="B294" s="48">
        <v>11404</v>
      </c>
      <c r="C294" s="48" t="s">
        <v>28</v>
      </c>
      <c r="D294" s="50">
        <v>8.1448000000000007E-2</v>
      </c>
      <c r="E294" s="14">
        <v>1.7302999999999999E-2</v>
      </c>
      <c r="F294" s="48"/>
      <c r="G294" s="47">
        <v>43280</v>
      </c>
      <c r="H294" s="76">
        <v>80681</v>
      </c>
      <c r="I294" s="76" t="s">
        <v>27</v>
      </c>
      <c r="J294" s="11">
        <v>7.9489999999999995E-3</v>
      </c>
      <c r="K294" s="160">
        <v>4.8419999999999999E-3</v>
      </c>
      <c r="L294" s="48"/>
      <c r="M294" s="65">
        <v>43343</v>
      </c>
      <c r="N294" s="11">
        <v>2.4246E-2</v>
      </c>
      <c r="O294" s="11">
        <v>9.0589999999999993E-3</v>
      </c>
      <c r="P294" s="160">
        <v>3.0263000000000002E-2</v>
      </c>
    </row>
    <row r="295" spans="1:16">
      <c r="A295" s="47">
        <v>18322</v>
      </c>
      <c r="B295" s="48">
        <v>11404</v>
      </c>
      <c r="C295" s="48" t="s">
        <v>28</v>
      </c>
      <c r="D295" s="50">
        <v>1.7572999999999998E-2</v>
      </c>
      <c r="E295" s="14">
        <v>9.9710000000000007E-3</v>
      </c>
      <c r="F295" s="48"/>
      <c r="G295" s="47">
        <v>43312</v>
      </c>
      <c r="H295" s="76">
        <v>80681</v>
      </c>
      <c r="I295" s="76" t="s">
        <v>27</v>
      </c>
      <c r="J295" s="11">
        <v>5.7720000000000002E-3</v>
      </c>
      <c r="K295" s="160">
        <v>3.6021999999999998E-2</v>
      </c>
      <c r="L295" s="48"/>
      <c r="M295" s="65">
        <v>43371</v>
      </c>
      <c r="N295" s="11">
        <v>9.2980000000000007E-3</v>
      </c>
      <c r="O295" s="11">
        <v>-3.4714000000000002E-2</v>
      </c>
      <c r="P295" s="160">
        <v>4.2940000000000001E-3</v>
      </c>
    </row>
    <row r="296" spans="1:16">
      <c r="A296" s="47">
        <v>18353</v>
      </c>
      <c r="B296" s="48">
        <v>11404</v>
      </c>
      <c r="C296" s="48" t="s">
        <v>28</v>
      </c>
      <c r="D296" s="50">
        <v>6.25E-2</v>
      </c>
      <c r="E296" s="14">
        <v>4.065E-3</v>
      </c>
      <c r="F296" s="48"/>
      <c r="G296" s="47">
        <v>43343</v>
      </c>
      <c r="H296" s="76">
        <v>80681</v>
      </c>
      <c r="I296" s="76" t="s">
        <v>27</v>
      </c>
      <c r="J296" s="11">
        <v>2.4246E-2</v>
      </c>
      <c r="K296" s="160">
        <v>3.0263000000000002E-2</v>
      </c>
      <c r="L296" s="48"/>
      <c r="M296" s="65">
        <v>43404</v>
      </c>
      <c r="N296" s="11">
        <v>1.6497000000000001E-2</v>
      </c>
      <c r="O296" s="11">
        <v>-2.4940000000000001E-3</v>
      </c>
      <c r="P296" s="160">
        <v>-6.9403000000000006E-2</v>
      </c>
    </row>
    <row r="297" spans="1:16">
      <c r="A297" s="47">
        <v>18382</v>
      </c>
      <c r="B297" s="48">
        <v>11404</v>
      </c>
      <c r="C297" s="48" t="s">
        <v>28</v>
      </c>
      <c r="D297" s="50">
        <v>-3.9220000000000001E-3</v>
      </c>
      <c r="E297" s="14">
        <v>4.5113E-2</v>
      </c>
      <c r="F297" s="48"/>
      <c r="G297" s="47">
        <v>43371</v>
      </c>
      <c r="H297" s="76">
        <v>80681</v>
      </c>
      <c r="I297" s="76" t="s">
        <v>27</v>
      </c>
      <c r="J297" s="11">
        <v>9.2980000000000007E-3</v>
      </c>
      <c r="K297" s="160">
        <v>4.2940000000000001E-3</v>
      </c>
      <c r="L297" s="48"/>
      <c r="M297" s="65">
        <v>43434</v>
      </c>
      <c r="N297" s="11">
        <v>4.6774000000000003E-2</v>
      </c>
      <c r="O297" s="11">
        <v>6.6644999999999996E-2</v>
      </c>
      <c r="P297" s="160">
        <v>1.7859E-2</v>
      </c>
    </row>
    <row r="298" spans="1:16">
      <c r="A298" s="47">
        <v>18414</v>
      </c>
      <c r="B298" s="48">
        <v>11404</v>
      </c>
      <c r="C298" s="48" t="s">
        <v>28</v>
      </c>
      <c r="D298" s="50">
        <v>4.0156999999999998E-2</v>
      </c>
      <c r="E298" s="14">
        <v>3.9292000000000001E-2</v>
      </c>
      <c r="F298" s="48"/>
      <c r="G298" s="47">
        <v>43404</v>
      </c>
      <c r="H298" s="76">
        <v>80681</v>
      </c>
      <c r="I298" s="76" t="s">
        <v>27</v>
      </c>
      <c r="J298" s="11">
        <v>1.6497000000000001E-2</v>
      </c>
      <c r="K298" s="160">
        <v>-6.9403000000000006E-2</v>
      </c>
      <c r="L298" s="48"/>
      <c r="M298" s="65">
        <v>43465</v>
      </c>
      <c r="N298" s="11">
        <v>-5.8817000000000001E-2</v>
      </c>
      <c r="O298" s="11">
        <v>-4.8412999999999998E-2</v>
      </c>
      <c r="P298" s="160">
        <v>-9.1776999999999997E-2</v>
      </c>
    </row>
    <row r="299" spans="1:16">
      <c r="A299" s="47">
        <v>18444</v>
      </c>
      <c r="B299" s="48">
        <v>11404</v>
      </c>
      <c r="C299" s="48" t="s">
        <v>28</v>
      </c>
      <c r="D299" s="50">
        <v>-0.111111</v>
      </c>
      <c r="E299" s="14">
        <v>-5.8040000000000001E-2</v>
      </c>
      <c r="F299" s="48"/>
      <c r="G299" s="47">
        <v>43434</v>
      </c>
      <c r="H299" s="76">
        <v>80681</v>
      </c>
      <c r="I299" s="76" t="s">
        <v>27</v>
      </c>
      <c r="J299" s="11">
        <v>4.6774000000000003E-2</v>
      </c>
      <c r="K299" s="160">
        <v>1.7859E-2</v>
      </c>
      <c r="L299" s="48"/>
      <c r="M299" s="65">
        <v>43496</v>
      </c>
      <c r="N299" s="11">
        <v>0.105991</v>
      </c>
      <c r="O299" s="11">
        <v>1.5564E-2</v>
      </c>
      <c r="P299" s="160">
        <v>7.8684000000000004E-2</v>
      </c>
    </row>
    <row r="300" spans="1:16">
      <c r="A300" s="47">
        <v>18475</v>
      </c>
      <c r="B300" s="48">
        <v>11404</v>
      </c>
      <c r="C300" s="48" t="s">
        <v>28</v>
      </c>
      <c r="D300" s="50">
        <v>-4.3103000000000002E-2</v>
      </c>
      <c r="E300" s="14">
        <v>8.4790000000000004E-3</v>
      </c>
      <c r="F300" s="48"/>
      <c r="G300" s="47">
        <v>43465</v>
      </c>
      <c r="H300" s="76">
        <v>80681</v>
      </c>
      <c r="I300" s="76" t="s">
        <v>27</v>
      </c>
      <c r="J300" s="11">
        <v>-5.8817000000000001E-2</v>
      </c>
      <c r="K300" s="160">
        <v>-9.1776999999999997E-2</v>
      </c>
      <c r="L300" s="48"/>
      <c r="M300" s="65">
        <v>43524</v>
      </c>
      <c r="N300" s="11">
        <v>3.1857999999999997E-2</v>
      </c>
      <c r="O300" s="11">
        <v>7.1346000000000007E-2</v>
      </c>
      <c r="P300" s="160">
        <v>2.9728999999999998E-2</v>
      </c>
    </row>
    <row r="301" spans="1:16">
      <c r="A301" s="47">
        <v>18506</v>
      </c>
      <c r="B301" s="48">
        <v>11404</v>
      </c>
      <c r="C301" s="48" t="s">
        <v>28</v>
      </c>
      <c r="D301" s="50">
        <v>1.4414E-2</v>
      </c>
      <c r="E301" s="14">
        <v>3.2510999999999998E-2</v>
      </c>
      <c r="F301" s="48"/>
      <c r="G301" s="47">
        <v>43496</v>
      </c>
      <c r="H301" s="76">
        <v>80681</v>
      </c>
      <c r="I301" s="76" t="s">
        <v>27</v>
      </c>
      <c r="J301" s="11">
        <v>0.105991</v>
      </c>
      <c r="K301" s="160">
        <v>7.8684000000000004E-2</v>
      </c>
      <c r="L301" s="48"/>
      <c r="M301" s="65">
        <v>43553</v>
      </c>
      <c r="N301" s="11">
        <v>4.0558999999999998E-2</v>
      </c>
      <c r="O301" s="11">
        <v>2.8622999999999999E-2</v>
      </c>
      <c r="P301" s="160">
        <v>1.7923999999999999E-2</v>
      </c>
    </row>
    <row r="302" spans="1:16">
      <c r="A302" s="47">
        <v>18535</v>
      </c>
      <c r="B302" s="48">
        <v>11404</v>
      </c>
      <c r="C302" s="48" t="s">
        <v>28</v>
      </c>
      <c r="D302" s="50">
        <v>5.8559E-2</v>
      </c>
      <c r="E302" s="14">
        <v>5.5917000000000001E-2</v>
      </c>
      <c r="F302" s="48"/>
      <c r="G302" s="47">
        <v>43524</v>
      </c>
      <c r="H302" s="76">
        <v>80681</v>
      </c>
      <c r="I302" s="76" t="s">
        <v>27</v>
      </c>
      <c r="J302" s="11">
        <v>3.1857999999999997E-2</v>
      </c>
      <c r="K302" s="160">
        <v>2.9728999999999998E-2</v>
      </c>
      <c r="L302" s="48"/>
      <c r="M302" s="65">
        <v>43585</v>
      </c>
      <c r="N302" s="11">
        <v>-2.3302E-2</v>
      </c>
      <c r="O302" s="11">
        <v>1.5918000000000002E-2</v>
      </c>
      <c r="P302" s="160">
        <v>3.9313000000000001E-2</v>
      </c>
    </row>
    <row r="303" spans="1:16">
      <c r="A303" s="47">
        <v>18567</v>
      </c>
      <c r="B303" s="48">
        <v>11404</v>
      </c>
      <c r="C303" s="48" t="s">
        <v>28</v>
      </c>
      <c r="D303" s="50">
        <v>2.5531999999999999E-2</v>
      </c>
      <c r="E303" s="14">
        <v>4.1130000000000003E-3</v>
      </c>
      <c r="F303" s="48"/>
      <c r="G303" s="47">
        <v>43553</v>
      </c>
      <c r="H303" s="76">
        <v>80681</v>
      </c>
      <c r="I303" s="76" t="s">
        <v>27</v>
      </c>
      <c r="J303" s="11">
        <v>4.0558999999999998E-2</v>
      </c>
      <c r="K303" s="160">
        <v>1.7923999999999999E-2</v>
      </c>
      <c r="L303" s="48"/>
      <c r="M303" s="65">
        <v>43616</v>
      </c>
      <c r="N303" s="11">
        <v>3.2708000000000001E-2</v>
      </c>
      <c r="O303" s="11">
        <v>1.0214000000000001E-2</v>
      </c>
      <c r="P303" s="160">
        <v>-6.5778000000000003E-2</v>
      </c>
    </row>
    <row r="304" spans="1:16">
      <c r="A304" s="47">
        <v>18597</v>
      </c>
      <c r="B304" s="48">
        <v>11404</v>
      </c>
      <c r="C304" s="48" t="s">
        <v>28</v>
      </c>
      <c r="D304" s="50">
        <v>-2.0747000000000002E-2</v>
      </c>
      <c r="E304" s="14">
        <v>-1.024E-3</v>
      </c>
      <c r="F304" s="48"/>
      <c r="G304" s="47">
        <v>43585</v>
      </c>
      <c r="H304" s="76">
        <v>80681</v>
      </c>
      <c r="I304" s="76" t="s">
        <v>27</v>
      </c>
      <c r="J304" s="11">
        <v>-2.3302E-2</v>
      </c>
      <c r="K304" s="160">
        <v>3.9313000000000001E-2</v>
      </c>
      <c r="L304" s="48"/>
      <c r="M304" s="65">
        <v>43644</v>
      </c>
      <c r="N304" s="11">
        <v>7.3350000000000004E-3</v>
      </c>
      <c r="O304" s="11">
        <v>1.5990999999999998E-2</v>
      </c>
      <c r="P304" s="160">
        <v>6.8930000000000005E-2</v>
      </c>
    </row>
    <row r="305" spans="1:16">
      <c r="A305" s="47">
        <v>18627</v>
      </c>
      <c r="B305" s="48">
        <v>11404</v>
      </c>
      <c r="C305" s="48" t="s">
        <v>28</v>
      </c>
      <c r="D305" s="50">
        <v>3.3897999999999998E-2</v>
      </c>
      <c r="E305" s="14">
        <v>4.6129999999999997E-2</v>
      </c>
      <c r="F305" s="48"/>
      <c r="G305" s="47">
        <v>43616</v>
      </c>
      <c r="H305" s="76">
        <v>80681</v>
      </c>
      <c r="I305" s="76" t="s">
        <v>27</v>
      </c>
      <c r="J305" s="11">
        <v>3.2708000000000001E-2</v>
      </c>
      <c r="K305" s="160">
        <v>-6.5778000000000003E-2</v>
      </c>
      <c r="L305" s="48"/>
      <c r="M305" s="65">
        <v>43677</v>
      </c>
      <c r="N305" s="11">
        <v>3.5248000000000002E-2</v>
      </c>
      <c r="O305" s="11">
        <v>-3.1022000000000001E-2</v>
      </c>
      <c r="P305" s="160">
        <v>1.3128000000000001E-2</v>
      </c>
    </row>
    <row r="306" spans="1:16">
      <c r="A306" s="47">
        <v>18659</v>
      </c>
      <c r="B306" s="48">
        <v>11404</v>
      </c>
      <c r="C306" s="48" t="s">
        <v>28</v>
      </c>
      <c r="D306" s="50">
        <v>1.6667000000000001E-2</v>
      </c>
      <c r="E306" s="14">
        <v>6.1244E-2</v>
      </c>
      <c r="F306" s="48"/>
      <c r="G306" s="47">
        <v>43644</v>
      </c>
      <c r="H306" s="76">
        <v>80681</v>
      </c>
      <c r="I306" s="76" t="s">
        <v>27</v>
      </c>
      <c r="J306" s="11">
        <v>7.3350000000000004E-3</v>
      </c>
      <c r="K306" s="160">
        <v>6.8930000000000005E-2</v>
      </c>
      <c r="L306" s="48"/>
      <c r="M306" s="65">
        <v>43707</v>
      </c>
      <c r="N306" s="11">
        <v>6.3E-2</v>
      </c>
      <c r="O306" s="11">
        <v>5.5085000000000002E-2</v>
      </c>
      <c r="P306" s="160">
        <v>-1.8092E-2</v>
      </c>
    </row>
    <row r="307" spans="1:16">
      <c r="A307" s="47">
        <v>18687</v>
      </c>
      <c r="B307" s="48">
        <v>11404</v>
      </c>
      <c r="C307" s="48" t="s">
        <v>28</v>
      </c>
      <c r="D307" s="50">
        <v>4.9180000000000001E-2</v>
      </c>
      <c r="E307" s="14">
        <v>6.4640000000000001E-3</v>
      </c>
      <c r="F307" s="48"/>
      <c r="G307" s="47">
        <v>43677</v>
      </c>
      <c r="H307" s="76">
        <v>80681</v>
      </c>
      <c r="I307" s="76" t="s">
        <v>27</v>
      </c>
      <c r="J307" s="11">
        <v>3.5248000000000002E-2</v>
      </c>
      <c r="K307" s="160">
        <v>1.3128000000000001E-2</v>
      </c>
      <c r="L307" s="48"/>
      <c r="M307" s="65">
        <v>43738</v>
      </c>
      <c r="N307" s="11">
        <v>2.2846999999999999E-2</v>
      </c>
      <c r="O307" s="11">
        <v>6.2655000000000002E-2</v>
      </c>
      <c r="P307" s="160">
        <v>1.7180999999999998E-2</v>
      </c>
    </row>
    <row r="308" spans="1:16">
      <c r="A308" s="47">
        <v>18718</v>
      </c>
      <c r="B308" s="48">
        <v>11404</v>
      </c>
      <c r="C308" s="48" t="s">
        <v>28</v>
      </c>
      <c r="D308" s="50">
        <v>-3.9683000000000003E-2</v>
      </c>
      <c r="E308" s="14">
        <v>-1.8349000000000001E-2</v>
      </c>
      <c r="F308" s="48"/>
      <c r="G308" s="47">
        <v>43707</v>
      </c>
      <c r="H308" s="76">
        <v>80681</v>
      </c>
      <c r="I308" s="76" t="s">
        <v>27</v>
      </c>
      <c r="J308" s="11">
        <v>6.3E-2</v>
      </c>
      <c r="K308" s="160">
        <v>-1.8092E-2</v>
      </c>
      <c r="L308" s="48"/>
      <c r="M308" s="65">
        <v>43769</v>
      </c>
      <c r="N308" s="11">
        <v>1.469E-3</v>
      </c>
      <c r="O308" s="11">
        <v>-2.3817000000000001E-2</v>
      </c>
      <c r="P308" s="160">
        <v>2.0431999999999999E-2</v>
      </c>
    </row>
    <row r="309" spans="1:16">
      <c r="A309" s="47">
        <v>18748</v>
      </c>
      <c r="B309" s="48">
        <v>11404</v>
      </c>
      <c r="C309" s="48" t="s">
        <v>28</v>
      </c>
      <c r="D309" s="50">
        <v>1.2397E-2</v>
      </c>
      <c r="E309" s="14">
        <v>4.8131E-2</v>
      </c>
      <c r="F309" s="48"/>
      <c r="G309" s="47">
        <v>43738</v>
      </c>
      <c r="H309" s="76">
        <v>80681</v>
      </c>
      <c r="I309" s="76" t="s">
        <v>27</v>
      </c>
      <c r="J309" s="11">
        <v>2.2846999999999999E-2</v>
      </c>
      <c r="K309" s="160">
        <v>1.7180999999999998E-2</v>
      </c>
      <c r="L309" s="48"/>
      <c r="M309" s="65">
        <v>43798</v>
      </c>
      <c r="N309" s="11">
        <v>-4.5700999999999999E-2</v>
      </c>
      <c r="O309" s="11">
        <v>-4.9771999999999997E-2</v>
      </c>
      <c r="P309" s="160">
        <v>3.4047000000000001E-2</v>
      </c>
    </row>
    <row r="310" spans="1:16">
      <c r="A310" s="47">
        <v>18779</v>
      </c>
      <c r="B310" s="48">
        <v>11404</v>
      </c>
      <c r="C310" s="48" t="s">
        <v>28</v>
      </c>
      <c r="D310" s="50">
        <v>1.6327000000000001E-2</v>
      </c>
      <c r="E310" s="14">
        <v>-4.0571000000000003E-2</v>
      </c>
      <c r="F310" s="48"/>
      <c r="G310" s="47">
        <v>43769</v>
      </c>
      <c r="H310" s="76">
        <v>80681</v>
      </c>
      <c r="I310" s="76" t="s">
        <v>27</v>
      </c>
      <c r="J310" s="11">
        <v>1.469E-3</v>
      </c>
      <c r="K310" s="160">
        <v>2.0431999999999999E-2</v>
      </c>
      <c r="L310" s="48"/>
      <c r="M310" s="65">
        <v>43830</v>
      </c>
      <c r="N310" s="11">
        <v>-3.0015E-2</v>
      </c>
      <c r="O310" s="11">
        <v>4.1202000000000003E-2</v>
      </c>
      <c r="P310" s="160">
        <v>2.8590000000000001E-2</v>
      </c>
    </row>
    <row r="311" spans="1:16">
      <c r="A311" s="47">
        <v>18808</v>
      </c>
      <c r="B311" s="48">
        <v>11404</v>
      </c>
      <c r="C311" s="48" t="s">
        <v>28</v>
      </c>
      <c r="D311" s="50">
        <v>-4.0159999999999996E-3</v>
      </c>
      <c r="E311" s="14">
        <v>-2.6022E-2</v>
      </c>
      <c r="F311" s="48"/>
      <c r="G311" s="47">
        <v>43798</v>
      </c>
      <c r="H311" s="76">
        <v>80681</v>
      </c>
      <c r="I311" s="76" t="s">
        <v>27</v>
      </c>
      <c r="J311" s="11">
        <v>-4.5700999999999999E-2</v>
      </c>
      <c r="K311" s="160">
        <v>3.4047000000000001E-2</v>
      </c>
      <c r="L311" s="48"/>
      <c r="M311" s="65">
        <v>43861</v>
      </c>
      <c r="N311" s="11">
        <v>2.9582000000000001E-2</v>
      </c>
      <c r="O311" s="11">
        <v>3.9017999999999997E-2</v>
      </c>
      <c r="P311" s="160">
        <v>-1.6280000000000001E-3</v>
      </c>
    </row>
    <row r="312" spans="1:16">
      <c r="A312" s="47">
        <v>18840</v>
      </c>
      <c r="B312" s="48">
        <v>11404</v>
      </c>
      <c r="C312" s="48" t="s">
        <v>28</v>
      </c>
      <c r="D312" s="50">
        <v>2.4590000000000001E-2</v>
      </c>
      <c r="E312" s="14">
        <v>6.8701999999999999E-2</v>
      </c>
      <c r="F312" s="48"/>
      <c r="G312" s="47">
        <v>43830</v>
      </c>
      <c r="H312" s="76">
        <v>80681</v>
      </c>
      <c r="I312" s="76" t="s">
        <v>27</v>
      </c>
      <c r="J312" s="11">
        <v>-3.0015E-2</v>
      </c>
      <c r="K312" s="160">
        <v>2.8590000000000001E-2</v>
      </c>
      <c r="L312" s="48"/>
      <c r="M312" s="65">
        <v>43889</v>
      </c>
      <c r="N312" s="11">
        <v>-8.5226999999999997E-2</v>
      </c>
      <c r="O312" s="11">
        <v>-0.15335099999999999</v>
      </c>
      <c r="P312" s="160">
        <v>-8.4110000000000004E-2</v>
      </c>
    </row>
    <row r="313" spans="1:16">
      <c r="A313" s="47">
        <v>18871</v>
      </c>
      <c r="B313" s="48">
        <v>11404</v>
      </c>
      <c r="C313" s="48" t="s">
        <v>28</v>
      </c>
      <c r="D313" s="50">
        <v>8.0000000000000002E-3</v>
      </c>
      <c r="E313" s="14">
        <v>3.9286000000000001E-2</v>
      </c>
      <c r="F313" s="48"/>
      <c r="G313" s="47">
        <v>43861</v>
      </c>
      <c r="H313" s="76">
        <v>80681</v>
      </c>
      <c r="I313" s="76" t="s">
        <v>27</v>
      </c>
      <c r="J313" s="11">
        <v>2.9582000000000001E-2</v>
      </c>
      <c r="K313" s="160">
        <v>-1.6280000000000001E-3</v>
      </c>
      <c r="L313" s="48"/>
      <c r="M313" s="65">
        <v>43921</v>
      </c>
      <c r="N313" s="11">
        <v>-0.215424</v>
      </c>
      <c r="O313" s="11">
        <v>-1.0403000000000001E-2</v>
      </c>
      <c r="P313" s="160">
        <v>-0.12511900000000001</v>
      </c>
    </row>
    <row r="314" spans="1:16">
      <c r="A314" s="47">
        <v>18899</v>
      </c>
      <c r="B314" s="48">
        <v>11404</v>
      </c>
      <c r="C314" s="48" t="s">
        <v>28</v>
      </c>
      <c r="D314" s="50">
        <v>1.2097E-2</v>
      </c>
      <c r="E314" s="14">
        <v>-8.5899999999999995E-4</v>
      </c>
      <c r="F314" s="48"/>
      <c r="G314" s="47">
        <v>43889</v>
      </c>
      <c r="H314" s="76">
        <v>80681</v>
      </c>
      <c r="I314" s="76" t="s">
        <v>27</v>
      </c>
      <c r="J314" s="11">
        <v>-8.5226999999999997E-2</v>
      </c>
      <c r="K314" s="160">
        <v>-8.4110000000000004E-2</v>
      </c>
      <c r="L314" s="48"/>
      <c r="M314" s="65">
        <v>43951</v>
      </c>
      <c r="N314" s="11">
        <v>0.108336</v>
      </c>
      <c r="O314" s="11">
        <v>1.0255999999999999E-2</v>
      </c>
      <c r="P314" s="160">
        <v>0.12684400000000001</v>
      </c>
    </row>
    <row r="315" spans="1:16">
      <c r="A315" s="47">
        <v>18932</v>
      </c>
      <c r="B315" s="48">
        <v>11404</v>
      </c>
      <c r="C315" s="48" t="s">
        <v>28</v>
      </c>
      <c r="D315" s="50">
        <v>0</v>
      </c>
      <c r="E315" s="14">
        <v>-1.3757999999999999E-2</v>
      </c>
      <c r="F315" s="48"/>
      <c r="G315" s="47">
        <v>43921</v>
      </c>
      <c r="H315" s="76">
        <v>80681</v>
      </c>
      <c r="I315" s="76" t="s">
        <v>27</v>
      </c>
      <c r="J315" s="11">
        <v>-0.215424</v>
      </c>
      <c r="K315" s="160">
        <v>-0.12511900000000001</v>
      </c>
      <c r="L315" s="48"/>
      <c r="M315" s="65">
        <v>43980</v>
      </c>
      <c r="N315" s="11">
        <v>-5.4489999999999999E-3</v>
      </c>
      <c r="O315" s="11">
        <v>-3.7754000000000003E-2</v>
      </c>
      <c r="P315" s="160">
        <v>4.5282000000000003E-2</v>
      </c>
    </row>
    <row r="316" spans="1:16">
      <c r="A316" s="47">
        <v>18962</v>
      </c>
      <c r="B316" s="48">
        <v>11404</v>
      </c>
      <c r="C316" s="48" t="s">
        <v>28</v>
      </c>
      <c r="D316" s="50">
        <v>1.5935999999999999E-2</v>
      </c>
      <c r="E316" s="14">
        <v>-2.6159999999999998E-3</v>
      </c>
      <c r="F316" s="48"/>
      <c r="G316" s="47">
        <v>43951</v>
      </c>
      <c r="H316" s="76">
        <v>80681</v>
      </c>
      <c r="I316" s="76" t="s">
        <v>27</v>
      </c>
      <c r="J316" s="11">
        <v>0.108336</v>
      </c>
      <c r="K316" s="160">
        <v>0.12684400000000001</v>
      </c>
      <c r="L316" s="48"/>
      <c r="M316" s="65">
        <v>44012</v>
      </c>
      <c r="N316" s="11">
        <v>-4.7462999999999998E-2</v>
      </c>
      <c r="O316" s="11">
        <v>-4.1700000000000001E-2</v>
      </c>
      <c r="P316" s="160">
        <v>1.8388000000000002E-2</v>
      </c>
    </row>
    <row r="317" spans="1:16">
      <c r="A317" s="47">
        <v>18993</v>
      </c>
      <c r="B317" s="48">
        <v>11404</v>
      </c>
      <c r="C317" s="48" t="s">
        <v>28</v>
      </c>
      <c r="D317" s="50">
        <v>7.0587999999999998E-2</v>
      </c>
      <c r="E317" s="14">
        <v>3.8899000000000003E-2</v>
      </c>
      <c r="F317" s="48"/>
      <c r="G317" s="47">
        <v>43980</v>
      </c>
      <c r="H317" s="76">
        <v>80681</v>
      </c>
      <c r="I317" s="76" t="s">
        <v>27</v>
      </c>
      <c r="J317" s="11">
        <v>-5.4489999999999999E-3</v>
      </c>
      <c r="K317" s="160">
        <v>4.5282000000000003E-2</v>
      </c>
      <c r="L317" s="48"/>
      <c r="M317" s="65">
        <v>44043</v>
      </c>
      <c r="N317" s="11">
        <v>-3.6784999999999998E-2</v>
      </c>
      <c r="O317" s="11">
        <v>6.8122000000000002E-2</v>
      </c>
      <c r="P317" s="160">
        <v>5.5100999999999997E-2</v>
      </c>
    </row>
    <row r="318" spans="1:16">
      <c r="A318" s="47">
        <v>19024</v>
      </c>
      <c r="B318" s="48">
        <v>11404</v>
      </c>
      <c r="C318" s="48" t="s">
        <v>28</v>
      </c>
      <c r="D318" s="50">
        <v>-3.7169999999999998E-3</v>
      </c>
      <c r="E318" s="14">
        <v>1.5566E-2</v>
      </c>
      <c r="F318" s="48"/>
      <c r="G318" s="47">
        <v>44012</v>
      </c>
      <c r="H318" s="76">
        <v>80681</v>
      </c>
      <c r="I318" s="76" t="s">
        <v>27</v>
      </c>
      <c r="J318" s="11">
        <v>-4.7462999999999998E-2</v>
      </c>
      <c r="K318" s="160">
        <v>1.8388000000000002E-2</v>
      </c>
      <c r="L318" s="48"/>
      <c r="M318" s="65">
        <v>44074</v>
      </c>
      <c r="N318" s="11">
        <v>-1.9162999999999999E-2</v>
      </c>
      <c r="O318" s="11">
        <v>-6.1498999999999998E-2</v>
      </c>
      <c r="P318" s="160">
        <v>7.0065000000000002E-2</v>
      </c>
    </row>
    <row r="319" spans="1:16">
      <c r="A319" s="47">
        <v>19053</v>
      </c>
      <c r="B319" s="48">
        <v>11404</v>
      </c>
      <c r="C319" s="48" t="s">
        <v>28</v>
      </c>
      <c r="D319" s="50">
        <v>1.8657E-2</v>
      </c>
      <c r="E319" s="14">
        <v>-3.6454E-2</v>
      </c>
      <c r="F319" s="48"/>
      <c r="G319" s="47">
        <v>44043</v>
      </c>
      <c r="H319" s="76">
        <v>80681</v>
      </c>
      <c r="I319" s="76" t="s">
        <v>27</v>
      </c>
      <c r="J319" s="11">
        <v>-3.6784999999999998E-2</v>
      </c>
      <c r="K319" s="160">
        <v>5.5100999999999997E-2</v>
      </c>
      <c r="L319" s="48"/>
      <c r="M319" s="65">
        <v>44104</v>
      </c>
      <c r="N319" s="11">
        <v>-6.3010999999999998E-2</v>
      </c>
      <c r="O319" s="11">
        <v>9.0551999999999994E-2</v>
      </c>
      <c r="P319" s="160">
        <v>-3.9227999999999999E-2</v>
      </c>
    </row>
    <row r="320" spans="1:16">
      <c r="A320" s="47">
        <v>19084</v>
      </c>
      <c r="B320" s="48">
        <v>11404</v>
      </c>
      <c r="C320" s="48" t="s">
        <v>28</v>
      </c>
      <c r="D320" s="50">
        <v>7.4349999999999998E-3</v>
      </c>
      <c r="E320" s="14">
        <v>4.7721E-2</v>
      </c>
      <c r="F320" s="48"/>
      <c r="G320" s="47">
        <v>44074</v>
      </c>
      <c r="H320" s="76">
        <v>80681</v>
      </c>
      <c r="I320" s="76" t="s">
        <v>27</v>
      </c>
      <c r="J320" s="11">
        <v>-1.9162999999999999E-2</v>
      </c>
      <c r="K320" s="160">
        <v>7.0065000000000002E-2</v>
      </c>
      <c r="L320" s="48"/>
      <c r="M320" s="65">
        <v>44134</v>
      </c>
      <c r="N320" s="11">
        <v>1.8925000000000001E-2</v>
      </c>
      <c r="O320" s="11">
        <v>8.8690000000000001E-3</v>
      </c>
      <c r="P320" s="160">
        <v>-2.7666E-2</v>
      </c>
    </row>
    <row r="321" spans="1:16">
      <c r="A321" s="47">
        <v>19114</v>
      </c>
      <c r="B321" s="48">
        <v>11404</v>
      </c>
      <c r="C321" s="48" t="s">
        <v>28</v>
      </c>
      <c r="D321" s="50">
        <v>1.8450000000000001E-2</v>
      </c>
      <c r="E321" s="14">
        <v>-4.3085999999999999E-2</v>
      </c>
      <c r="F321" s="48"/>
      <c r="G321" s="47">
        <v>44104</v>
      </c>
      <c r="H321" s="76">
        <v>80681</v>
      </c>
      <c r="I321" s="76" t="s">
        <v>27</v>
      </c>
      <c r="J321" s="11">
        <v>-6.3010999999999998E-2</v>
      </c>
      <c r="K321" s="160">
        <v>-3.9227999999999999E-2</v>
      </c>
      <c r="L321" s="48"/>
      <c r="M321" s="65">
        <v>44165</v>
      </c>
      <c r="N321" s="11">
        <v>0.201818</v>
      </c>
      <c r="O321" s="11">
        <v>-1.8792E-2</v>
      </c>
      <c r="P321" s="160">
        <v>0.107546</v>
      </c>
    </row>
    <row r="322" spans="1:16">
      <c r="A322" s="47">
        <v>19143</v>
      </c>
      <c r="B322" s="48">
        <v>11404</v>
      </c>
      <c r="C322" s="48" t="s">
        <v>28</v>
      </c>
      <c r="D322" s="50">
        <v>2.1739000000000001E-2</v>
      </c>
      <c r="E322" s="14">
        <v>2.3156E-2</v>
      </c>
      <c r="F322" s="48"/>
      <c r="G322" s="47">
        <v>44134</v>
      </c>
      <c r="H322" s="76">
        <v>80681</v>
      </c>
      <c r="I322" s="76" t="s">
        <v>27</v>
      </c>
      <c r="J322" s="11">
        <v>1.8925000000000001E-2</v>
      </c>
      <c r="K322" s="160">
        <v>-2.7666E-2</v>
      </c>
      <c r="L322" s="48"/>
      <c r="M322" s="65">
        <v>44196</v>
      </c>
      <c r="N322" s="11">
        <v>-2.5957999999999998E-2</v>
      </c>
      <c r="O322" s="11">
        <v>-5.2197E-2</v>
      </c>
      <c r="P322" s="160">
        <v>3.7121000000000001E-2</v>
      </c>
    </row>
    <row r="323" spans="1:16">
      <c r="A323" s="47">
        <v>19175</v>
      </c>
      <c r="B323" s="48">
        <v>11404</v>
      </c>
      <c r="C323" s="48" t="s">
        <v>28</v>
      </c>
      <c r="D323" s="50">
        <v>0</v>
      </c>
      <c r="E323" s="14">
        <v>4.6101999999999997E-2</v>
      </c>
      <c r="F323" s="48"/>
      <c r="G323" s="47">
        <v>44165</v>
      </c>
      <c r="H323" s="76">
        <v>80681</v>
      </c>
      <c r="I323" s="76" t="s">
        <v>27</v>
      </c>
      <c r="J323" s="11">
        <v>0.201818</v>
      </c>
      <c r="K323" s="160">
        <v>0.107546</v>
      </c>
      <c r="L323" s="48"/>
      <c r="M323" s="65">
        <v>44225</v>
      </c>
      <c r="N323" s="11">
        <v>9.2239999999999996E-3</v>
      </c>
      <c r="O323" s="11">
        <v>-2.0617E-2</v>
      </c>
      <c r="P323" s="160">
        <v>-1.1136999999999999E-2</v>
      </c>
    </row>
    <row r="324" spans="1:16">
      <c r="A324" s="47">
        <v>19206</v>
      </c>
      <c r="B324" s="48">
        <v>11404</v>
      </c>
      <c r="C324" s="48" t="s">
        <v>28</v>
      </c>
      <c r="D324" s="50">
        <v>7.1939999999999999E-3</v>
      </c>
      <c r="E324" s="14">
        <v>1.7628000000000001E-2</v>
      </c>
      <c r="F324" s="48"/>
      <c r="G324" s="47">
        <v>44196</v>
      </c>
      <c r="H324" s="76">
        <v>80681</v>
      </c>
      <c r="I324" s="76" t="s">
        <v>27</v>
      </c>
      <c r="J324" s="11">
        <v>-2.5957999999999998E-2</v>
      </c>
      <c r="K324" s="160">
        <v>3.7121000000000001E-2</v>
      </c>
      <c r="L324" s="48"/>
      <c r="M324" s="65">
        <v>44253</v>
      </c>
      <c r="N324" s="11">
        <v>6.3353000000000007E-2</v>
      </c>
      <c r="O324" s="11">
        <v>-6.1529E-2</v>
      </c>
      <c r="P324" s="160">
        <v>2.6091E-2</v>
      </c>
    </row>
    <row r="325" spans="1:16">
      <c r="A325" s="47">
        <v>19235</v>
      </c>
      <c r="B325" s="48">
        <v>11404</v>
      </c>
      <c r="C325" s="48" t="s">
        <v>28</v>
      </c>
      <c r="D325" s="50">
        <v>3.9286000000000001E-2</v>
      </c>
      <c r="E325" s="14">
        <v>-1.4567E-2</v>
      </c>
      <c r="F325" s="48"/>
      <c r="G325" s="47">
        <v>44225</v>
      </c>
      <c r="H325" s="76">
        <v>80681</v>
      </c>
      <c r="I325" s="76" t="s">
        <v>27</v>
      </c>
      <c r="J325" s="11">
        <v>9.2239999999999996E-3</v>
      </c>
      <c r="K325" s="160">
        <v>-1.1136999999999999E-2</v>
      </c>
      <c r="L325" s="48"/>
      <c r="M325" s="65">
        <v>44286</v>
      </c>
      <c r="N325" s="11">
        <v>7.5120999999999993E-2</v>
      </c>
      <c r="O325" s="11">
        <v>0.139376</v>
      </c>
      <c r="P325" s="160">
        <v>4.2438999999999998E-2</v>
      </c>
    </row>
    <row r="326" spans="1:16">
      <c r="A326" s="47">
        <v>19267</v>
      </c>
      <c r="B326" s="48">
        <v>11404</v>
      </c>
      <c r="C326" s="48" t="s">
        <v>28</v>
      </c>
      <c r="D326" s="50">
        <v>3.1358999999999998E-2</v>
      </c>
      <c r="E326" s="14">
        <v>-1.9577000000000001E-2</v>
      </c>
      <c r="F326" s="48"/>
      <c r="G326" s="47">
        <v>44253</v>
      </c>
      <c r="H326" s="76">
        <v>80681</v>
      </c>
      <c r="I326" s="76" t="s">
        <v>27</v>
      </c>
      <c r="J326" s="11">
        <v>6.3353000000000007E-2</v>
      </c>
      <c r="K326" s="160">
        <v>2.6091E-2</v>
      </c>
      <c r="L326" s="48"/>
      <c r="M326" s="65">
        <v>44316</v>
      </c>
      <c r="N326" s="11">
        <v>6.8717E-2</v>
      </c>
      <c r="O326" s="11">
        <v>3.4893E-2</v>
      </c>
      <c r="P326" s="160">
        <v>5.2424999999999999E-2</v>
      </c>
    </row>
    <row r="327" spans="1:16">
      <c r="A327" s="47">
        <v>19298</v>
      </c>
      <c r="B327" s="48">
        <v>11404</v>
      </c>
      <c r="C327" s="48" t="s">
        <v>28</v>
      </c>
      <c r="D327" s="50">
        <v>0</v>
      </c>
      <c r="E327" s="14">
        <v>-8.1499999999999997E-4</v>
      </c>
      <c r="F327" s="48"/>
      <c r="G327" s="47">
        <v>44286</v>
      </c>
      <c r="H327" s="76">
        <v>80681</v>
      </c>
      <c r="I327" s="76" t="s">
        <v>27</v>
      </c>
      <c r="J327" s="11">
        <v>7.5120999999999993E-2</v>
      </c>
      <c r="K327" s="160">
        <v>4.2438999999999998E-2</v>
      </c>
      <c r="L327" s="48"/>
      <c r="M327" s="65">
        <v>44344</v>
      </c>
      <c r="N327" s="11">
        <v>1.6419E-2</v>
      </c>
      <c r="O327" s="11">
        <v>7.8150000000000008E-3</v>
      </c>
      <c r="P327" s="160">
        <v>5.4869999999999997E-3</v>
      </c>
    </row>
    <row r="328" spans="1:16">
      <c r="A328" s="47">
        <v>19326</v>
      </c>
      <c r="B328" s="48">
        <v>11404</v>
      </c>
      <c r="C328" s="48" t="s">
        <v>28</v>
      </c>
      <c r="D328" s="50">
        <v>4.7296999999999999E-2</v>
      </c>
      <c r="E328" s="14">
        <v>4.6493E-2</v>
      </c>
      <c r="F328" s="48"/>
      <c r="G328" s="47">
        <v>44316</v>
      </c>
      <c r="H328" s="76">
        <v>80681</v>
      </c>
      <c r="I328" s="76" t="s">
        <v>27</v>
      </c>
      <c r="J328" s="11">
        <v>6.8717E-2</v>
      </c>
      <c r="K328" s="160">
        <v>5.2424999999999999E-2</v>
      </c>
      <c r="L328" s="48"/>
      <c r="M328" s="65">
        <v>44377</v>
      </c>
      <c r="N328" s="11">
        <v>2.3061999999999999E-2</v>
      </c>
      <c r="O328" s="11">
        <v>-7.1466000000000002E-2</v>
      </c>
      <c r="P328" s="160">
        <v>2.2214000000000001E-2</v>
      </c>
    </row>
    <row r="329" spans="1:16">
      <c r="A329" s="47">
        <v>19359</v>
      </c>
      <c r="B329" s="48">
        <v>11404</v>
      </c>
      <c r="C329" s="48" t="s">
        <v>28</v>
      </c>
      <c r="D329" s="50">
        <v>9.8040000000000002E-3</v>
      </c>
      <c r="E329" s="14">
        <v>3.5464000000000002E-2</v>
      </c>
      <c r="F329" s="48"/>
      <c r="G329" s="47">
        <v>44344</v>
      </c>
      <c r="H329" s="76">
        <v>80681</v>
      </c>
      <c r="I329" s="76" t="s">
        <v>27</v>
      </c>
      <c r="J329" s="11">
        <v>1.6419E-2</v>
      </c>
      <c r="K329" s="160">
        <v>5.4869999999999997E-3</v>
      </c>
      <c r="L329" s="48"/>
      <c r="M329" s="65">
        <v>44407</v>
      </c>
      <c r="N329" s="11">
        <v>9.3630000000000005E-2</v>
      </c>
      <c r="O329" s="11">
        <v>2.8583000000000001E-2</v>
      </c>
      <c r="P329" s="160">
        <v>2.2748000000000001E-2</v>
      </c>
    </row>
    <row r="330" spans="1:16">
      <c r="A330" s="47">
        <v>19389</v>
      </c>
      <c r="B330" s="48">
        <v>11404</v>
      </c>
      <c r="C330" s="48" t="s">
        <v>28</v>
      </c>
      <c r="D330" s="50">
        <v>3.5598999999999999E-2</v>
      </c>
      <c r="E330" s="14">
        <v>-7.1510000000000002E-3</v>
      </c>
      <c r="F330" s="48"/>
      <c r="G330" s="47">
        <v>44377</v>
      </c>
      <c r="H330" s="76">
        <v>80681</v>
      </c>
      <c r="I330" s="76" t="s">
        <v>27</v>
      </c>
      <c r="J330" s="11">
        <v>2.3061999999999999E-2</v>
      </c>
      <c r="K330" s="160">
        <v>2.2214000000000001E-2</v>
      </c>
      <c r="L330" s="48"/>
      <c r="M330" s="65">
        <v>44439</v>
      </c>
      <c r="N330" s="11">
        <v>8.0459999999999993E-3</v>
      </c>
      <c r="O330" s="11">
        <v>3.3279000000000003E-2</v>
      </c>
      <c r="P330" s="160">
        <v>2.8989999999999998E-2</v>
      </c>
    </row>
    <row r="331" spans="1:16">
      <c r="A331" s="47">
        <v>19417</v>
      </c>
      <c r="B331" s="48">
        <v>11404</v>
      </c>
      <c r="C331" s="48" t="s">
        <v>28</v>
      </c>
      <c r="D331" s="50">
        <v>-1.125E-2</v>
      </c>
      <c r="E331" s="14">
        <v>-1.8196E-2</v>
      </c>
      <c r="F331" s="48"/>
      <c r="G331" s="47">
        <v>44407</v>
      </c>
      <c r="H331" s="76">
        <v>80681</v>
      </c>
      <c r="I331" s="76" t="s">
        <v>27</v>
      </c>
      <c r="J331" s="11">
        <v>9.3630000000000005E-2</v>
      </c>
      <c r="K331" s="160">
        <v>2.2748000000000001E-2</v>
      </c>
      <c r="L331" s="48"/>
      <c r="M331" s="65">
        <v>44469</v>
      </c>
      <c r="N331" s="11">
        <v>-2.6939999999999999E-2</v>
      </c>
      <c r="O331" s="11">
        <v>-3.7906000000000002E-2</v>
      </c>
      <c r="P331" s="160">
        <v>-4.7569E-2</v>
      </c>
    </row>
    <row r="332" spans="1:16">
      <c r="A332" s="47">
        <v>19449</v>
      </c>
      <c r="B332" s="48">
        <v>11404</v>
      </c>
      <c r="C332" s="48" t="s">
        <v>28</v>
      </c>
      <c r="D332" s="50">
        <v>-9.6150000000000003E-3</v>
      </c>
      <c r="E332" s="14">
        <v>-2.3552E-2</v>
      </c>
      <c r="F332" s="48"/>
      <c r="G332" s="47">
        <v>44439</v>
      </c>
      <c r="H332" s="76">
        <v>80681</v>
      </c>
      <c r="I332" s="76" t="s">
        <v>27</v>
      </c>
      <c r="J332" s="11">
        <v>8.0459999999999993E-3</v>
      </c>
      <c r="K332" s="160">
        <v>2.8989999999999998E-2</v>
      </c>
      <c r="L332" s="48"/>
      <c r="M332" s="65">
        <v>44498</v>
      </c>
      <c r="N332" s="11">
        <v>6.3145000000000007E-2</v>
      </c>
      <c r="O332" s="11">
        <v>3.8711000000000002E-2</v>
      </c>
      <c r="P332" s="160">
        <v>6.9143999999999997E-2</v>
      </c>
    </row>
    <row r="333" spans="1:16">
      <c r="A333" s="47">
        <v>19479</v>
      </c>
      <c r="B333" s="48">
        <v>11404</v>
      </c>
      <c r="C333" s="48" t="s">
        <v>28</v>
      </c>
      <c r="D333" s="50">
        <v>9.7090000000000006E-3</v>
      </c>
      <c r="E333" s="14">
        <v>-2.6492999999999999E-2</v>
      </c>
      <c r="F333" s="48"/>
      <c r="G333" s="47">
        <v>44469</v>
      </c>
      <c r="H333" s="76">
        <v>80681</v>
      </c>
      <c r="I333" s="76" t="s">
        <v>27</v>
      </c>
      <c r="J333" s="11">
        <v>-2.6939999999999999E-2</v>
      </c>
      <c r="K333" s="160">
        <v>-4.7569E-2</v>
      </c>
      <c r="L333" s="48"/>
      <c r="M333" s="65">
        <v>44530</v>
      </c>
      <c r="N333" s="11">
        <v>-1.441E-3</v>
      </c>
      <c r="O333" s="11">
        <v>3.9987000000000002E-2</v>
      </c>
      <c r="P333" s="160">
        <v>-8.3339999999999994E-3</v>
      </c>
    </row>
    <row r="334" spans="1:16">
      <c r="A334" s="47">
        <v>19508</v>
      </c>
      <c r="B334" s="48">
        <v>11404</v>
      </c>
      <c r="C334" s="48" t="s">
        <v>28</v>
      </c>
      <c r="D334" s="50">
        <v>7.6920000000000001E-3</v>
      </c>
      <c r="E334" s="14">
        <v>-3.2490000000000002E-3</v>
      </c>
      <c r="F334" s="48"/>
      <c r="G334" s="47">
        <v>44498</v>
      </c>
      <c r="H334" s="76">
        <v>80681</v>
      </c>
      <c r="I334" s="76" t="s">
        <v>27</v>
      </c>
      <c r="J334" s="11">
        <v>6.3145000000000007E-2</v>
      </c>
      <c r="K334" s="160">
        <v>6.9143999999999997E-2</v>
      </c>
      <c r="L334" s="48"/>
      <c r="M334" s="65">
        <v>44561</v>
      </c>
      <c r="N334" s="11">
        <v>4.3837000000000001E-2</v>
      </c>
      <c r="O334" s="11">
        <v>9.8918000000000006E-2</v>
      </c>
      <c r="P334" s="160">
        <v>4.3612999999999999E-2</v>
      </c>
    </row>
    <row r="335" spans="1:16">
      <c r="A335" s="47">
        <v>19540</v>
      </c>
      <c r="B335" s="48">
        <v>11404</v>
      </c>
      <c r="C335" s="48" t="s">
        <v>28</v>
      </c>
      <c r="D335" s="50">
        <v>-2.2581E-2</v>
      </c>
      <c r="E335" s="14">
        <v>-1.6299999999999999E-2</v>
      </c>
      <c r="F335" s="48"/>
      <c r="G335" s="47">
        <v>44530</v>
      </c>
      <c r="H335" s="76">
        <v>80681</v>
      </c>
      <c r="I335" s="76" t="s">
        <v>27</v>
      </c>
      <c r="J335" s="11">
        <v>-1.441E-3</v>
      </c>
      <c r="K335" s="160">
        <v>-8.3339999999999994E-3</v>
      </c>
      <c r="L335" s="48"/>
      <c r="M335" s="65">
        <v>44592</v>
      </c>
      <c r="N335" s="11">
        <v>-5.6015000000000002E-2</v>
      </c>
      <c r="O335" s="11">
        <v>1.3244000000000001E-2</v>
      </c>
      <c r="P335" s="160">
        <v>-5.2585E-2</v>
      </c>
    </row>
    <row r="336" spans="1:16">
      <c r="A336" s="47">
        <v>19571</v>
      </c>
      <c r="B336" s="48">
        <v>11404</v>
      </c>
      <c r="C336" s="48" t="s">
        <v>28</v>
      </c>
      <c r="D336" s="50">
        <v>2.3102000000000001E-2</v>
      </c>
      <c r="E336" s="14">
        <v>2.5269E-2</v>
      </c>
      <c r="F336" s="48"/>
      <c r="G336" s="47">
        <v>44561</v>
      </c>
      <c r="H336" s="76">
        <v>80681</v>
      </c>
      <c r="I336" s="76" t="s">
        <v>27</v>
      </c>
      <c r="J336" s="11">
        <v>4.3837000000000001E-2</v>
      </c>
      <c r="K336" s="160">
        <v>4.3612999999999999E-2</v>
      </c>
      <c r="L336" s="48"/>
      <c r="M336" s="65">
        <v>44620</v>
      </c>
      <c r="N336" s="11">
        <v>-4.6105E-2</v>
      </c>
      <c r="O336" s="11">
        <v>1.2719999999999999E-3</v>
      </c>
      <c r="P336" s="160">
        <v>-3.1361E-2</v>
      </c>
    </row>
    <row r="337" spans="1:16">
      <c r="A337" s="47">
        <v>19602</v>
      </c>
      <c r="B337" s="48">
        <v>11404</v>
      </c>
      <c r="C337" s="48" t="s">
        <v>28</v>
      </c>
      <c r="D337" s="50">
        <v>2.8386999999999999E-2</v>
      </c>
      <c r="E337" s="14">
        <v>-5.7778000000000003E-2</v>
      </c>
      <c r="F337" s="48"/>
      <c r="G337" s="47">
        <v>44592</v>
      </c>
      <c r="H337" s="76">
        <v>80681</v>
      </c>
      <c r="I337" s="76" t="s">
        <v>27</v>
      </c>
      <c r="J337" s="11">
        <v>-5.6015000000000002E-2</v>
      </c>
      <c r="K337" s="160">
        <v>-5.2585E-2</v>
      </c>
      <c r="L337" s="48"/>
      <c r="M337" s="65">
        <v>44651</v>
      </c>
      <c r="N337" s="11">
        <v>9.6194000000000002E-2</v>
      </c>
      <c r="O337" s="11">
        <v>0.103883</v>
      </c>
      <c r="P337" s="160">
        <v>3.5772999999999999E-2</v>
      </c>
    </row>
    <row r="338" spans="1:16">
      <c r="A338" s="47">
        <v>19632</v>
      </c>
      <c r="B338" s="48">
        <v>11404</v>
      </c>
      <c r="C338" s="48" t="s">
        <v>28</v>
      </c>
      <c r="D338" s="50">
        <v>1.9108E-2</v>
      </c>
      <c r="E338" s="14">
        <v>1.286E-3</v>
      </c>
      <c r="F338" s="48"/>
      <c r="G338" s="47">
        <v>44620</v>
      </c>
      <c r="H338" s="76">
        <v>80681</v>
      </c>
      <c r="I338" s="76" t="s">
        <v>27</v>
      </c>
      <c r="J338" s="11">
        <v>-4.6105E-2</v>
      </c>
      <c r="K338" s="160">
        <v>-3.1361E-2</v>
      </c>
      <c r="L338" s="48"/>
      <c r="M338" s="65">
        <v>44680</v>
      </c>
      <c r="N338" s="11">
        <v>-4.6920000000000003E-2</v>
      </c>
      <c r="O338" s="11">
        <v>-2.0490000000000001E-2</v>
      </c>
      <c r="P338" s="160">
        <v>-8.7956999999999994E-2</v>
      </c>
    </row>
    <row r="339" spans="1:16">
      <c r="A339" s="47">
        <v>19662</v>
      </c>
      <c r="B339" s="48">
        <v>11404</v>
      </c>
      <c r="C339" s="48" t="s">
        <v>28</v>
      </c>
      <c r="D339" s="50">
        <v>2.1874999999999999E-2</v>
      </c>
      <c r="E339" s="14">
        <v>5.0964000000000002E-2</v>
      </c>
      <c r="F339" s="48"/>
      <c r="G339" s="47">
        <v>44651</v>
      </c>
      <c r="H339" s="76">
        <v>80681</v>
      </c>
      <c r="I339" s="76" t="s">
        <v>27</v>
      </c>
      <c r="J339" s="11">
        <v>9.6194000000000002E-2</v>
      </c>
      <c r="K339" s="160">
        <v>3.5772999999999999E-2</v>
      </c>
      <c r="L339" s="48"/>
      <c r="M339" s="65">
        <v>44712</v>
      </c>
      <c r="N339" s="11">
        <v>-0.13794200000000001</v>
      </c>
      <c r="O339" s="11">
        <v>7.8823000000000004E-2</v>
      </c>
      <c r="P339" s="160">
        <v>5.3000000000000001E-5</v>
      </c>
    </row>
    <row r="340" spans="1:16">
      <c r="A340" s="47">
        <v>19693</v>
      </c>
      <c r="B340" s="48">
        <v>11404</v>
      </c>
      <c r="C340" s="48" t="s">
        <v>28</v>
      </c>
      <c r="D340" s="50">
        <v>4.2202000000000003E-2</v>
      </c>
      <c r="E340" s="14">
        <v>8.9650000000000007E-3</v>
      </c>
      <c r="F340" s="48"/>
      <c r="G340" s="47">
        <v>44680</v>
      </c>
      <c r="H340" s="76">
        <v>80681</v>
      </c>
      <c r="I340" s="76" t="s">
        <v>27</v>
      </c>
      <c r="J340" s="11">
        <v>-4.6920000000000003E-2</v>
      </c>
      <c r="K340" s="160">
        <v>-8.7956999999999994E-2</v>
      </c>
      <c r="L340" s="48"/>
      <c r="M340" s="65">
        <v>44742</v>
      </c>
      <c r="N340" s="11">
        <v>-7.0953000000000002E-2</v>
      </c>
      <c r="O340" s="11">
        <v>-4.1910000000000003E-2</v>
      </c>
      <c r="P340" s="160">
        <v>-8.3919999999999995E-2</v>
      </c>
    </row>
    <row r="341" spans="1:16">
      <c r="A341" s="47">
        <v>19724</v>
      </c>
      <c r="B341" s="48">
        <v>11404</v>
      </c>
      <c r="C341" s="48" t="s">
        <v>28</v>
      </c>
      <c r="D341" s="50">
        <v>-2.6786000000000001E-2</v>
      </c>
      <c r="E341" s="14">
        <v>2.019E-3</v>
      </c>
      <c r="F341" s="48"/>
      <c r="G341" s="47">
        <v>44712</v>
      </c>
      <c r="H341" s="76">
        <v>80681</v>
      </c>
      <c r="I341" s="76" t="s">
        <v>27</v>
      </c>
      <c r="J341" s="11">
        <v>-0.13794200000000001</v>
      </c>
      <c r="K341" s="160">
        <v>5.3000000000000001E-5</v>
      </c>
      <c r="L341" s="48"/>
      <c r="M341" s="65">
        <v>44771</v>
      </c>
      <c r="N341" s="11">
        <v>9.5674999999999996E-2</v>
      </c>
      <c r="O341" s="11">
        <v>4.3848999999999999E-2</v>
      </c>
      <c r="P341" s="160">
        <v>9.1116000000000003E-2</v>
      </c>
    </row>
    <row r="342" spans="1:16">
      <c r="A342" s="47">
        <v>19753</v>
      </c>
      <c r="B342" s="48">
        <v>11404</v>
      </c>
      <c r="C342" s="48" t="s">
        <v>28</v>
      </c>
      <c r="D342" s="50">
        <v>5.8104000000000003E-2</v>
      </c>
      <c r="E342" s="14">
        <v>5.1188999999999998E-2</v>
      </c>
      <c r="F342" s="48"/>
      <c r="G342" s="47">
        <v>44742</v>
      </c>
      <c r="H342" s="76">
        <v>80681</v>
      </c>
      <c r="I342" s="76" t="s">
        <v>27</v>
      </c>
      <c r="J342" s="11">
        <v>-7.0953000000000002E-2</v>
      </c>
      <c r="K342" s="160">
        <v>-8.3919999999999995E-2</v>
      </c>
      <c r="L342" s="48"/>
      <c r="M342" s="65">
        <v>44804</v>
      </c>
      <c r="N342" s="11">
        <v>-7.4930999999999998E-2</v>
      </c>
      <c r="O342" s="11">
        <v>-7.4539999999999997E-3</v>
      </c>
      <c r="P342" s="160">
        <v>-4.2439999999999999E-2</v>
      </c>
    </row>
    <row r="343" spans="1:16">
      <c r="A343" s="47">
        <v>19781</v>
      </c>
      <c r="B343" s="48">
        <v>11404</v>
      </c>
      <c r="C343" s="48" t="s">
        <v>28</v>
      </c>
      <c r="D343" s="50">
        <v>5.202E-3</v>
      </c>
      <c r="E343" s="14">
        <v>2.6840000000000002E-3</v>
      </c>
      <c r="F343" s="48"/>
      <c r="G343" s="47">
        <v>44771</v>
      </c>
      <c r="H343" s="76">
        <v>80681</v>
      </c>
      <c r="I343" s="76" t="s">
        <v>27</v>
      </c>
      <c r="J343" s="11">
        <v>9.5674999999999996E-2</v>
      </c>
      <c r="K343" s="160">
        <v>9.1116000000000003E-2</v>
      </c>
      <c r="L343" s="48"/>
      <c r="M343" s="65">
        <v>44834</v>
      </c>
      <c r="N343" s="11">
        <v>-7.7830999999999997E-2</v>
      </c>
      <c r="O343" s="11">
        <v>-0.12257</v>
      </c>
      <c r="P343" s="160">
        <v>-9.3396000000000007E-2</v>
      </c>
    </row>
    <row r="344" spans="1:16">
      <c r="A344" s="47">
        <v>19814</v>
      </c>
      <c r="B344" s="48">
        <v>11404</v>
      </c>
      <c r="C344" s="48" t="s">
        <v>28</v>
      </c>
      <c r="D344" s="50">
        <v>5.8310000000000002E-3</v>
      </c>
      <c r="E344" s="14">
        <v>3.0210000000000001E-2</v>
      </c>
      <c r="F344" s="48"/>
      <c r="G344" s="47">
        <v>44804</v>
      </c>
      <c r="H344" s="76">
        <v>80681</v>
      </c>
      <c r="I344" s="76" t="s">
        <v>27</v>
      </c>
      <c r="J344" s="11">
        <v>-7.4930999999999998E-2</v>
      </c>
      <c r="K344" s="160">
        <v>-4.2439999999999999E-2</v>
      </c>
      <c r="L344" s="48"/>
      <c r="M344" s="65">
        <v>44865</v>
      </c>
      <c r="N344" s="11">
        <v>-8.2525000000000001E-2</v>
      </c>
      <c r="O344" s="11">
        <v>2.5652999999999999E-2</v>
      </c>
      <c r="P344" s="160">
        <v>7.9863000000000003E-2</v>
      </c>
    </row>
    <row r="345" spans="1:16">
      <c r="A345" s="47">
        <v>19844</v>
      </c>
      <c r="B345" s="48">
        <v>11404</v>
      </c>
      <c r="C345" s="48" t="s">
        <v>28</v>
      </c>
      <c r="D345" s="50">
        <v>1.1594E-2</v>
      </c>
      <c r="E345" s="14">
        <v>4.8998E-2</v>
      </c>
      <c r="F345" s="48"/>
      <c r="G345" s="47">
        <v>44834</v>
      </c>
      <c r="H345" s="76">
        <v>80681</v>
      </c>
      <c r="I345" s="76" t="s">
        <v>27</v>
      </c>
      <c r="J345" s="11">
        <v>-7.7830999999999997E-2</v>
      </c>
      <c r="K345" s="160">
        <v>-9.3396000000000007E-2</v>
      </c>
      <c r="L345" s="48"/>
      <c r="M345" s="65">
        <v>44895</v>
      </c>
      <c r="N345" s="11">
        <v>-8.3689999999999997E-3</v>
      </c>
      <c r="O345" s="11">
        <v>0.12357899999999999</v>
      </c>
      <c r="P345" s="160">
        <v>5.3753000000000002E-2</v>
      </c>
    </row>
    <row r="346" spans="1:16">
      <c r="A346" s="47">
        <v>19872</v>
      </c>
      <c r="B346" s="48">
        <v>11404</v>
      </c>
      <c r="C346" s="48" t="s">
        <v>28</v>
      </c>
      <c r="D346" s="50">
        <v>1.9484000000000001E-2</v>
      </c>
      <c r="E346" s="14">
        <v>3.2909000000000001E-2</v>
      </c>
      <c r="F346" s="48"/>
      <c r="G346" s="47">
        <v>44865</v>
      </c>
      <c r="H346" s="76">
        <v>80681</v>
      </c>
      <c r="I346" s="76" t="s">
        <v>27</v>
      </c>
      <c r="J346" s="11">
        <v>-8.2525000000000001E-2</v>
      </c>
      <c r="K346" s="160">
        <v>7.9863000000000003E-2</v>
      </c>
      <c r="L346" s="48"/>
      <c r="M346" s="65">
        <v>44925</v>
      </c>
      <c r="N346" s="11">
        <v>-2.8406000000000001E-2</v>
      </c>
      <c r="O346" s="11">
        <v>-2.7845999999999999E-2</v>
      </c>
      <c r="P346" s="160">
        <v>-5.8971000000000003E-2</v>
      </c>
    </row>
    <row r="347" spans="1:16">
      <c r="A347" s="47">
        <v>19905</v>
      </c>
      <c r="B347" s="48">
        <v>11404</v>
      </c>
      <c r="C347" s="48" t="s">
        <v>28</v>
      </c>
      <c r="D347" s="50">
        <v>8.5470000000000008E-3</v>
      </c>
      <c r="E347" s="14">
        <v>6.8499999999999995E-4</v>
      </c>
      <c r="F347" s="48"/>
      <c r="G347" s="47">
        <v>44895</v>
      </c>
      <c r="H347" s="76">
        <v>80681</v>
      </c>
      <c r="I347" s="76" t="s">
        <v>27</v>
      </c>
      <c r="J347" s="11">
        <v>-8.3689999999999997E-3</v>
      </c>
      <c r="K347" s="160">
        <v>5.3753000000000002E-2</v>
      </c>
      <c r="L347" s="48"/>
      <c r="M347" s="65">
        <v>44957</v>
      </c>
      <c r="N347" s="11">
        <v>6.6770999999999997E-2</v>
      </c>
      <c r="O347" s="11">
        <v>0</v>
      </c>
      <c r="P347" s="160">
        <v>6.1753000000000002E-2</v>
      </c>
    </row>
    <row r="348" spans="1:16">
      <c r="A348" s="47">
        <v>19935</v>
      </c>
      <c r="B348" s="48">
        <v>11404</v>
      </c>
      <c r="C348" s="48" t="s">
        <v>28</v>
      </c>
      <c r="D348" s="50">
        <v>5.3671999999999997E-2</v>
      </c>
      <c r="E348" s="14">
        <v>5.7172000000000001E-2</v>
      </c>
      <c r="F348" s="48"/>
      <c r="G348" s="47">
        <v>44925</v>
      </c>
      <c r="H348" s="76">
        <v>80681</v>
      </c>
      <c r="I348" s="76" t="s">
        <v>27</v>
      </c>
      <c r="J348" s="11">
        <v>-2.8406000000000001E-2</v>
      </c>
      <c r="K348" s="160">
        <v>-5.8971000000000003E-2</v>
      </c>
      <c r="L348" s="48"/>
      <c r="M348" s="65">
        <v>44985</v>
      </c>
      <c r="N348" s="11">
        <v>8.8030000000000001E-3</v>
      </c>
      <c r="O348" s="11">
        <v>-5.4033999999999999E-2</v>
      </c>
      <c r="P348" s="160">
        <v>-2.6112E-2</v>
      </c>
    </row>
    <row r="349" spans="1:16">
      <c r="A349" s="47">
        <v>19967</v>
      </c>
      <c r="B349" s="48">
        <v>11404</v>
      </c>
      <c r="C349" s="48" t="s">
        <v>28</v>
      </c>
      <c r="D349" s="50">
        <v>-3.5388999999999997E-2</v>
      </c>
      <c r="E349" s="14">
        <v>-3.4002999999999999E-2</v>
      </c>
      <c r="F349" s="48"/>
      <c r="G349" s="47">
        <v>44957</v>
      </c>
      <c r="H349" s="76">
        <v>80681</v>
      </c>
      <c r="I349" s="76" t="s">
        <v>27</v>
      </c>
      <c r="J349" s="11">
        <v>6.6770999999999997E-2</v>
      </c>
      <c r="K349" s="160">
        <v>6.1753000000000002E-2</v>
      </c>
      <c r="L349" s="48"/>
      <c r="M349" s="65">
        <v>45016</v>
      </c>
      <c r="N349" s="11">
        <v>-7.2831999999999994E-2</v>
      </c>
      <c r="O349" s="11">
        <v>7.0733000000000004E-2</v>
      </c>
      <c r="P349" s="160">
        <v>3.5052E-2</v>
      </c>
    </row>
    <row r="350" spans="1:16">
      <c r="A350" s="47">
        <v>19997</v>
      </c>
      <c r="B350" s="48">
        <v>11404</v>
      </c>
      <c r="C350" s="48" t="s">
        <v>28</v>
      </c>
      <c r="D350" s="50">
        <v>3.3803E-2</v>
      </c>
      <c r="E350" s="14">
        <v>8.3138000000000004E-2</v>
      </c>
      <c r="F350" s="48"/>
      <c r="G350" s="47">
        <v>44985</v>
      </c>
      <c r="H350" s="76">
        <v>80681</v>
      </c>
      <c r="I350" s="76" t="s">
        <v>27</v>
      </c>
      <c r="J350" s="11">
        <v>8.8030000000000001E-3</v>
      </c>
      <c r="K350" s="160">
        <v>-2.6112E-2</v>
      </c>
      <c r="L350" s="48"/>
      <c r="M350" s="65">
        <v>45044</v>
      </c>
      <c r="N350" s="11">
        <v>5.0636E-2</v>
      </c>
      <c r="O350" s="11">
        <v>2.9267000000000001E-2</v>
      </c>
      <c r="P350" s="160">
        <v>1.4642000000000001E-2</v>
      </c>
    </row>
    <row r="351" spans="1:16">
      <c r="A351" s="47">
        <v>20026</v>
      </c>
      <c r="B351" s="48">
        <v>11404</v>
      </c>
      <c r="C351" s="48" t="s">
        <v>28</v>
      </c>
      <c r="D351" s="50">
        <v>-4.6322000000000002E-2</v>
      </c>
      <c r="E351" s="14">
        <v>-1.9498999999999999E-2</v>
      </c>
      <c r="F351" s="48"/>
      <c r="G351" s="47">
        <v>45016</v>
      </c>
      <c r="H351" s="76">
        <v>80681</v>
      </c>
      <c r="I351" s="76" t="s">
        <v>27</v>
      </c>
      <c r="J351" s="11">
        <v>-7.2831999999999994E-2</v>
      </c>
      <c r="K351" s="160">
        <v>3.5052E-2</v>
      </c>
      <c r="L351" s="48"/>
      <c r="M351" s="65">
        <v>45077</v>
      </c>
      <c r="N351" s="11">
        <v>-1.6702000000000002E-2</v>
      </c>
      <c r="O351" s="11">
        <v>-4.4276999999999997E-2</v>
      </c>
      <c r="P351" s="160">
        <v>2.4819999999999998E-3</v>
      </c>
    </row>
    <row r="352" spans="1:16">
      <c r="A352" s="47">
        <v>20058</v>
      </c>
      <c r="B352" s="48">
        <v>11404</v>
      </c>
      <c r="C352" s="48" t="s">
        <v>28</v>
      </c>
      <c r="D352" s="50">
        <v>4.5143000000000003E-2</v>
      </c>
      <c r="E352" s="14">
        <v>8.0808000000000005E-2</v>
      </c>
      <c r="F352" s="48"/>
      <c r="G352" s="47">
        <v>45044</v>
      </c>
      <c r="H352" s="76">
        <v>80681</v>
      </c>
      <c r="I352" s="76" t="s">
        <v>27</v>
      </c>
      <c r="J352" s="11">
        <v>5.0636E-2</v>
      </c>
      <c r="K352" s="160">
        <v>1.4642000000000001E-2</v>
      </c>
      <c r="L352" s="48"/>
      <c r="M352" s="65">
        <v>45107</v>
      </c>
      <c r="N352" s="11">
        <v>9.5113000000000003E-2</v>
      </c>
      <c r="O352" s="11">
        <v>-3.1083E-2</v>
      </c>
      <c r="P352" s="160">
        <v>6.4727999999999994E-2</v>
      </c>
    </row>
    <row r="353" spans="1:16">
      <c r="A353" s="47">
        <v>20089</v>
      </c>
      <c r="B353" s="48">
        <v>11404</v>
      </c>
      <c r="C353" s="48" t="s">
        <v>28</v>
      </c>
      <c r="D353" s="50">
        <v>2.4930999999999998E-2</v>
      </c>
      <c r="E353" s="14">
        <v>5.0818000000000002E-2</v>
      </c>
      <c r="F353" s="48"/>
      <c r="G353" s="47">
        <v>45077</v>
      </c>
      <c r="H353" s="76">
        <v>80681</v>
      </c>
      <c r="I353" s="76" t="s">
        <v>27</v>
      </c>
      <c r="J353" s="11">
        <v>-1.6702000000000002E-2</v>
      </c>
      <c r="K353" s="160">
        <v>2.4819999999999998E-3</v>
      </c>
      <c r="L353" s="48"/>
      <c r="M353" s="65">
        <v>45138</v>
      </c>
      <c r="N353" s="11">
        <v>3.9479E-2</v>
      </c>
      <c r="O353" s="11">
        <v>4.9335999999999998E-2</v>
      </c>
      <c r="P353" s="160">
        <v>3.1139E-2</v>
      </c>
    </row>
    <row r="354" spans="1:16">
      <c r="A354" s="47">
        <v>20120</v>
      </c>
      <c r="B354" s="48">
        <v>11404</v>
      </c>
      <c r="C354" s="48" t="s">
        <v>28</v>
      </c>
      <c r="D354" s="50">
        <v>1.6216000000000001E-2</v>
      </c>
      <c r="E354" s="14">
        <v>1.8065999999999999E-2</v>
      </c>
      <c r="F354" s="48"/>
      <c r="G354" s="47">
        <v>45107</v>
      </c>
      <c r="H354" s="76">
        <v>80681</v>
      </c>
      <c r="I354" s="76" t="s">
        <v>27</v>
      </c>
      <c r="J354" s="11">
        <v>9.5113000000000003E-2</v>
      </c>
      <c r="K354" s="160">
        <v>6.4727999999999994E-2</v>
      </c>
      <c r="L354" s="48"/>
      <c r="M354" s="65">
        <v>45169</v>
      </c>
      <c r="N354" s="11">
        <v>-2.1187000000000001E-2</v>
      </c>
      <c r="O354" s="11">
        <v>-5.3657999999999997E-2</v>
      </c>
      <c r="P354" s="160">
        <v>-1.7715999999999999E-2</v>
      </c>
    </row>
    <row r="355" spans="1:16">
      <c r="A355" s="47">
        <v>20148</v>
      </c>
      <c r="B355" s="48">
        <v>11404</v>
      </c>
      <c r="C355" s="48" t="s">
        <v>28</v>
      </c>
      <c r="D355" s="50">
        <v>5.2659999999999998E-2</v>
      </c>
      <c r="E355" s="14">
        <v>3.5490000000000001E-3</v>
      </c>
      <c r="F355" s="48"/>
      <c r="G355" s="47">
        <v>45138</v>
      </c>
      <c r="H355" s="76">
        <v>80681</v>
      </c>
      <c r="I355" s="76" t="s">
        <v>27</v>
      </c>
      <c r="J355" s="11">
        <v>3.9479E-2</v>
      </c>
      <c r="K355" s="160">
        <v>3.1139E-2</v>
      </c>
      <c r="L355" s="48"/>
      <c r="M355" s="65">
        <v>45198</v>
      </c>
      <c r="N355" s="11">
        <v>-0.100633</v>
      </c>
      <c r="O355" s="11">
        <v>-3.8557000000000001E-2</v>
      </c>
      <c r="P355" s="160">
        <v>-4.8718999999999998E-2</v>
      </c>
    </row>
    <row r="356" spans="1:16">
      <c r="A356" s="47">
        <v>20179</v>
      </c>
      <c r="B356" s="48">
        <v>11404</v>
      </c>
      <c r="C356" s="48" t="s">
        <v>28</v>
      </c>
      <c r="D356" s="50">
        <v>1.023E-2</v>
      </c>
      <c r="E356" s="14">
        <v>-4.8970000000000003E-3</v>
      </c>
      <c r="F356" s="48"/>
      <c r="G356" s="47">
        <v>45169</v>
      </c>
      <c r="H356" s="76">
        <v>80681</v>
      </c>
      <c r="I356" s="76" t="s">
        <v>27</v>
      </c>
      <c r="J356" s="11">
        <v>-2.1187000000000001E-2</v>
      </c>
      <c r="K356" s="160">
        <v>-1.7715999999999999E-2</v>
      </c>
      <c r="L356" s="48"/>
      <c r="M356" s="65">
        <v>45230</v>
      </c>
      <c r="N356" s="11">
        <v>8.6280000000000003E-3</v>
      </c>
      <c r="O356" s="11">
        <v>2.6424E-2</v>
      </c>
      <c r="P356" s="160">
        <v>-2.198E-2</v>
      </c>
    </row>
    <row r="357" spans="1:16">
      <c r="A357" s="47">
        <v>20208</v>
      </c>
      <c r="B357" s="48">
        <v>11404</v>
      </c>
      <c r="C357" s="48" t="s">
        <v>28</v>
      </c>
      <c r="D357" s="50">
        <v>1.0127000000000001E-2</v>
      </c>
      <c r="E357" s="14">
        <v>3.7726000000000003E-2</v>
      </c>
      <c r="F357" s="48"/>
      <c r="G357" s="47">
        <v>45198</v>
      </c>
      <c r="H357" s="76">
        <v>80681</v>
      </c>
      <c r="I357" s="76" t="s">
        <v>27</v>
      </c>
      <c r="J357" s="11">
        <v>-0.100633</v>
      </c>
      <c r="K357" s="160">
        <v>-4.8718999999999998E-2</v>
      </c>
      <c r="L357" s="48"/>
      <c r="M357" s="65">
        <v>45260</v>
      </c>
      <c r="N357" s="11">
        <v>-2.15E-3</v>
      </c>
      <c r="O357" s="11">
        <v>3.5652999999999997E-2</v>
      </c>
      <c r="P357" s="160">
        <v>8.9178999999999994E-2</v>
      </c>
    </row>
    <row r="358" spans="1:16">
      <c r="A358" s="47">
        <v>20240</v>
      </c>
      <c r="B358" s="48">
        <v>11404</v>
      </c>
      <c r="C358" s="48" t="s">
        <v>28</v>
      </c>
      <c r="D358" s="50">
        <v>4.5110000000000003E-3</v>
      </c>
      <c r="E358" s="14">
        <v>-1.317E-3</v>
      </c>
      <c r="F358" s="48"/>
      <c r="G358" s="47">
        <v>45230</v>
      </c>
      <c r="H358" s="76">
        <v>80681</v>
      </c>
      <c r="I358" s="76" t="s">
        <v>27</v>
      </c>
      <c r="J358" s="11">
        <v>8.6280000000000003E-3</v>
      </c>
      <c r="K358" s="160">
        <v>-2.198E-2</v>
      </c>
      <c r="L358" s="48"/>
      <c r="M358" s="65">
        <v>45289</v>
      </c>
      <c r="N358" s="11">
        <v>0.172351</v>
      </c>
      <c r="O358" s="11">
        <v>9.5440000000000004E-3</v>
      </c>
      <c r="P358" s="160">
        <v>4.4228999999999997E-2</v>
      </c>
    </row>
    <row r="359" spans="1:16">
      <c r="A359" s="47">
        <v>20270</v>
      </c>
      <c r="B359" s="48">
        <v>11404</v>
      </c>
      <c r="C359" s="48" t="s">
        <v>28</v>
      </c>
      <c r="D359" s="50">
        <v>-1.0101000000000001E-2</v>
      </c>
      <c r="E359" s="14">
        <v>8.2299999999999998E-2</v>
      </c>
      <c r="F359" s="48"/>
      <c r="G359" s="47">
        <v>45260</v>
      </c>
      <c r="H359" s="76">
        <v>80681</v>
      </c>
      <c r="I359" s="76" t="s">
        <v>27</v>
      </c>
      <c r="J359" s="11">
        <v>-2.15E-3</v>
      </c>
      <c r="K359" s="160">
        <v>8.9178999999999994E-2</v>
      </c>
      <c r="L359" s="48"/>
      <c r="M359" s="47"/>
      <c r="N359" s="48"/>
      <c r="O359" s="48"/>
      <c r="P359" s="48"/>
    </row>
    <row r="360" spans="1:16">
      <c r="A360" s="47">
        <v>20299</v>
      </c>
      <c r="B360" s="48">
        <v>11404</v>
      </c>
      <c r="C360" s="48" t="s">
        <v>28</v>
      </c>
      <c r="D360" s="50">
        <v>4.3367000000000003E-2</v>
      </c>
      <c r="E360" s="14">
        <v>6.0686999999999998E-2</v>
      </c>
      <c r="F360" s="48"/>
      <c r="G360" s="47">
        <v>45289</v>
      </c>
      <c r="H360" s="76">
        <v>80681</v>
      </c>
      <c r="I360" s="76" t="s">
        <v>27</v>
      </c>
      <c r="J360" s="11">
        <v>0.172351</v>
      </c>
      <c r="K360" s="160">
        <v>4.4228999999999997E-2</v>
      </c>
      <c r="L360" s="48"/>
      <c r="M360" s="47"/>
      <c r="N360" s="48"/>
      <c r="O360" s="48"/>
      <c r="P360" s="48"/>
    </row>
    <row r="361" spans="1:16">
      <c r="A361" s="47">
        <v>20332</v>
      </c>
      <c r="B361" s="48">
        <v>11404</v>
      </c>
      <c r="C361" s="48" t="s">
        <v>28</v>
      </c>
      <c r="D361" s="50">
        <v>2.3961E-2</v>
      </c>
      <c r="E361" s="14">
        <v>-7.8130000000000005E-3</v>
      </c>
      <c r="F361" s="48"/>
      <c r="G361" s="47"/>
      <c r="H361" s="48"/>
      <c r="I361" s="48"/>
      <c r="J361" s="50"/>
      <c r="K361" s="50"/>
      <c r="L361" s="48"/>
      <c r="M361" s="47"/>
      <c r="N361" s="48"/>
      <c r="O361" s="48"/>
      <c r="P361" s="48"/>
    </row>
    <row r="362" spans="1:16">
      <c r="A362" s="47">
        <v>20362</v>
      </c>
      <c r="B362" s="48">
        <v>11404</v>
      </c>
      <c r="C362" s="48" t="s">
        <v>28</v>
      </c>
      <c r="D362" s="50">
        <v>-4.5893999999999997E-2</v>
      </c>
      <c r="E362" s="14">
        <v>1.1348E-2</v>
      </c>
      <c r="F362" s="48"/>
      <c r="G362" s="47"/>
      <c r="H362" s="48"/>
      <c r="I362" s="48"/>
      <c r="J362" s="50"/>
      <c r="K362" s="50"/>
      <c r="L362" s="48"/>
      <c r="M362" s="47"/>
      <c r="N362" s="48"/>
      <c r="O362" s="48"/>
      <c r="P362" s="48"/>
    </row>
    <row r="363" spans="1:16">
      <c r="A363" s="47">
        <v>20393</v>
      </c>
      <c r="B363" s="48">
        <v>11404</v>
      </c>
      <c r="C363" s="48" t="s">
        <v>28</v>
      </c>
      <c r="D363" s="50">
        <v>-1.7722000000000002E-2</v>
      </c>
      <c r="E363" s="14">
        <v>-3.0456E-2</v>
      </c>
      <c r="F363" s="48"/>
      <c r="G363" s="47"/>
      <c r="H363" s="48"/>
      <c r="I363" s="48"/>
      <c r="J363" s="50"/>
      <c r="K363" s="50"/>
      <c r="L363" s="48"/>
      <c r="M363" s="47"/>
      <c r="N363" s="48"/>
      <c r="O363" s="48"/>
      <c r="P363" s="48"/>
    </row>
    <row r="364" spans="1:16">
      <c r="A364" s="47">
        <v>20423</v>
      </c>
      <c r="B364" s="48">
        <v>11404</v>
      </c>
      <c r="C364" s="48" t="s">
        <v>28</v>
      </c>
      <c r="D364" s="50">
        <v>2.062E-3</v>
      </c>
      <c r="E364" s="14">
        <v>7.4870000000000006E-2</v>
      </c>
      <c r="F364" s="48"/>
      <c r="G364" s="47"/>
      <c r="H364" s="48"/>
      <c r="I364" s="48"/>
      <c r="J364" s="50"/>
      <c r="K364" s="50"/>
      <c r="L364" s="48"/>
      <c r="M364" s="47"/>
      <c r="N364" s="48"/>
      <c r="O364" s="48"/>
      <c r="P364" s="48"/>
    </row>
    <row r="365" spans="1:16">
      <c r="A365" s="47">
        <v>20453</v>
      </c>
      <c r="B365" s="48">
        <v>11404</v>
      </c>
      <c r="C365" s="48" t="s">
        <v>28</v>
      </c>
      <c r="D365" s="50">
        <v>-1.3021E-2</v>
      </c>
      <c r="E365" s="14">
        <v>-6.5899999999999997E-4</v>
      </c>
      <c r="F365" s="48"/>
      <c r="G365" s="47"/>
      <c r="H365" s="48"/>
      <c r="I365" s="48"/>
      <c r="J365" s="50"/>
      <c r="K365" s="50"/>
      <c r="L365" s="48"/>
      <c r="M365" s="47"/>
      <c r="N365" s="48"/>
      <c r="O365" s="48"/>
      <c r="P365" s="48"/>
    </row>
    <row r="366" spans="1:16">
      <c r="A366" s="47">
        <v>20485</v>
      </c>
      <c r="B366" s="48">
        <v>11404</v>
      </c>
      <c r="C366" s="48" t="s">
        <v>28</v>
      </c>
      <c r="D366" s="50">
        <v>1.847E-2</v>
      </c>
      <c r="E366" s="14">
        <v>-3.6499999999999998E-2</v>
      </c>
      <c r="F366" s="48"/>
      <c r="G366" s="47"/>
      <c r="H366" s="48"/>
      <c r="I366" s="48"/>
      <c r="J366" s="50"/>
      <c r="K366" s="50"/>
      <c r="L366" s="48"/>
      <c r="M366" s="47"/>
      <c r="N366" s="48"/>
      <c r="O366" s="48"/>
      <c r="P366" s="48"/>
    </row>
    <row r="367" spans="1:16">
      <c r="A367" s="47">
        <v>20514</v>
      </c>
      <c r="B367" s="48">
        <v>11404</v>
      </c>
      <c r="C367" s="48" t="s">
        <v>28</v>
      </c>
      <c r="D367" s="50">
        <v>4.6629999999999996E-3</v>
      </c>
      <c r="E367" s="14">
        <v>3.4687000000000003E-2</v>
      </c>
      <c r="F367" s="48"/>
      <c r="G367" s="47"/>
      <c r="H367" s="48"/>
      <c r="I367" s="48"/>
      <c r="J367" s="50"/>
      <c r="K367" s="50"/>
      <c r="L367" s="48"/>
      <c r="M367" s="47"/>
      <c r="N367" s="48"/>
      <c r="O367" s="48"/>
      <c r="P367" s="48"/>
    </row>
    <row r="368" spans="1:16">
      <c r="A368" s="47">
        <v>20543</v>
      </c>
      <c r="B368" s="48">
        <v>11404</v>
      </c>
      <c r="C368" s="48" t="s">
        <v>28</v>
      </c>
      <c r="D368" s="50">
        <v>7.8329999999999997E-3</v>
      </c>
      <c r="E368" s="14">
        <v>6.9254999999999997E-2</v>
      </c>
      <c r="F368" s="48"/>
      <c r="G368" s="47"/>
      <c r="H368" s="48"/>
      <c r="I368" s="48"/>
      <c r="J368" s="50"/>
      <c r="K368" s="50"/>
      <c r="L368" s="48"/>
      <c r="M368" s="47"/>
      <c r="N368" s="48"/>
      <c r="O368" s="48"/>
      <c r="P368" s="48"/>
    </row>
    <row r="369" spans="1:16">
      <c r="A369" s="47">
        <v>20575</v>
      </c>
      <c r="B369" s="48">
        <v>11404</v>
      </c>
      <c r="C369" s="48" t="s">
        <v>28</v>
      </c>
      <c r="D369" s="50">
        <v>-2.8497000000000001E-2</v>
      </c>
      <c r="E369" s="14">
        <v>-2.0630000000000002E-3</v>
      </c>
      <c r="F369" s="48"/>
      <c r="G369" s="47"/>
      <c r="H369" s="48"/>
      <c r="I369" s="48"/>
      <c r="J369" s="50"/>
      <c r="K369" s="50"/>
      <c r="L369" s="48"/>
      <c r="M369" s="47"/>
      <c r="N369" s="48"/>
      <c r="O369" s="48"/>
      <c r="P369" s="48"/>
    </row>
    <row r="370" spans="1:16">
      <c r="A370" s="47">
        <v>20606</v>
      </c>
      <c r="B370" s="48">
        <v>11404</v>
      </c>
      <c r="C370" s="48" t="s">
        <v>28</v>
      </c>
      <c r="D370" s="50">
        <v>-3.2000000000000002E-3</v>
      </c>
      <c r="E370" s="14">
        <v>-6.5729999999999997E-2</v>
      </c>
      <c r="F370" s="48"/>
      <c r="G370" s="47"/>
      <c r="H370" s="48"/>
      <c r="I370" s="48"/>
      <c r="J370" s="50"/>
      <c r="K370" s="50"/>
      <c r="L370" s="48"/>
      <c r="M370" s="47"/>
      <c r="N370" s="48"/>
      <c r="O370" s="48"/>
      <c r="P370" s="48"/>
    </row>
    <row r="371" spans="1:16">
      <c r="A371" s="47">
        <v>20635</v>
      </c>
      <c r="B371" s="48">
        <v>11404</v>
      </c>
      <c r="C371" s="48" t="s">
        <v>28</v>
      </c>
      <c r="D371" s="50">
        <v>-2.7100000000000002E-3</v>
      </c>
      <c r="E371" s="14">
        <v>3.9158999999999999E-2</v>
      </c>
      <c r="F371" s="48"/>
      <c r="G371" s="47"/>
      <c r="H371" s="48"/>
      <c r="I371" s="48"/>
      <c r="J371" s="50"/>
      <c r="K371" s="50"/>
      <c r="L371" s="48"/>
      <c r="M371" s="47"/>
      <c r="N371" s="48"/>
      <c r="O371" s="48"/>
      <c r="P371" s="48"/>
    </row>
    <row r="372" spans="1:16">
      <c r="A372" s="47">
        <v>20667</v>
      </c>
      <c r="B372" s="48">
        <v>11404</v>
      </c>
      <c r="C372" s="48" t="s">
        <v>28</v>
      </c>
      <c r="D372" s="50">
        <v>5.7064999999999998E-2</v>
      </c>
      <c r="E372" s="14">
        <v>5.1521999999999998E-2</v>
      </c>
      <c r="F372" s="48"/>
      <c r="G372" s="47"/>
      <c r="H372" s="48"/>
      <c r="I372" s="48"/>
      <c r="J372" s="50"/>
      <c r="K372" s="50"/>
      <c r="L372" s="48"/>
      <c r="M372" s="47"/>
      <c r="N372" s="48"/>
      <c r="O372" s="48"/>
      <c r="P372" s="48"/>
    </row>
    <row r="373" spans="1:16">
      <c r="A373" s="47">
        <v>20698</v>
      </c>
      <c r="B373" s="48">
        <v>11404</v>
      </c>
      <c r="C373" s="48" t="s">
        <v>28</v>
      </c>
      <c r="D373" s="50">
        <v>-3.6504000000000002E-2</v>
      </c>
      <c r="E373" s="14">
        <v>-3.8064000000000001E-2</v>
      </c>
      <c r="F373" s="48"/>
      <c r="G373" s="47"/>
      <c r="H373" s="48"/>
      <c r="I373" s="48"/>
      <c r="J373" s="50"/>
      <c r="K373" s="50"/>
      <c r="L373" s="48"/>
      <c r="M373" s="47"/>
      <c r="N373" s="48"/>
      <c r="O373" s="48"/>
      <c r="P373" s="48"/>
    </row>
    <row r="374" spans="1:16">
      <c r="A374" s="47">
        <v>20726</v>
      </c>
      <c r="B374" s="48">
        <v>11404</v>
      </c>
      <c r="C374" s="48" t="s">
        <v>28</v>
      </c>
      <c r="D374" s="50">
        <v>-3.2432000000000002E-2</v>
      </c>
      <c r="E374" s="14">
        <v>-4.5463999999999997E-2</v>
      </c>
      <c r="F374" s="48"/>
      <c r="G374" s="47"/>
      <c r="H374" s="48"/>
      <c r="I374" s="48"/>
      <c r="J374" s="50"/>
      <c r="K374" s="50"/>
      <c r="L374" s="48"/>
      <c r="M374" s="47"/>
      <c r="N374" s="48"/>
      <c r="O374" s="48"/>
      <c r="P374" s="48"/>
    </row>
    <row r="375" spans="1:16">
      <c r="A375" s="47">
        <v>20759</v>
      </c>
      <c r="B375" s="48">
        <v>11404</v>
      </c>
      <c r="C375" s="48" t="s">
        <v>28</v>
      </c>
      <c r="D375" s="50">
        <v>5.587E-3</v>
      </c>
      <c r="E375" s="14">
        <v>5.0720000000000001E-3</v>
      </c>
      <c r="F375" s="48"/>
      <c r="G375" s="47"/>
      <c r="H375" s="48"/>
      <c r="I375" s="48"/>
      <c r="J375" s="50"/>
      <c r="K375" s="50"/>
      <c r="L375" s="48"/>
      <c r="M375" s="47"/>
      <c r="N375" s="48"/>
      <c r="O375" s="48"/>
      <c r="P375" s="48"/>
    </row>
    <row r="376" spans="1:16">
      <c r="A376" s="47">
        <v>20789</v>
      </c>
      <c r="B376" s="48">
        <v>11404</v>
      </c>
      <c r="C376" s="48" t="s">
        <v>28</v>
      </c>
      <c r="D376" s="50">
        <v>2.222E-3</v>
      </c>
      <c r="E376" s="14">
        <v>-1.0970000000000001E-2</v>
      </c>
      <c r="F376" s="48"/>
      <c r="G376" s="47"/>
      <c r="H376" s="48"/>
      <c r="I376" s="48"/>
      <c r="J376" s="50"/>
      <c r="K376" s="50"/>
      <c r="L376" s="48"/>
      <c r="M376" s="47"/>
      <c r="N376" s="48"/>
      <c r="O376" s="48"/>
      <c r="P376" s="48"/>
    </row>
    <row r="377" spans="1:16">
      <c r="A377" s="47">
        <v>20820</v>
      </c>
      <c r="B377" s="48">
        <v>11404</v>
      </c>
      <c r="C377" s="48" t="s">
        <v>28</v>
      </c>
      <c r="D377" s="50">
        <v>1.1235999999999999E-2</v>
      </c>
      <c r="E377" s="14">
        <v>3.5270999999999997E-2</v>
      </c>
      <c r="F377" s="48"/>
      <c r="G377" s="47"/>
      <c r="H377" s="48"/>
      <c r="I377" s="48"/>
      <c r="J377" s="50"/>
      <c r="K377" s="50"/>
      <c r="L377" s="48"/>
      <c r="M377" s="47"/>
      <c r="N377" s="48"/>
      <c r="O377" s="48"/>
      <c r="P377" s="48"/>
    </row>
    <row r="378" spans="1:16">
      <c r="A378" s="47">
        <v>20851</v>
      </c>
      <c r="B378" s="48">
        <v>11404</v>
      </c>
      <c r="C378" s="48" t="s">
        <v>28</v>
      </c>
      <c r="D378" s="50">
        <v>5.5560000000000002E-3</v>
      </c>
      <c r="E378" s="14">
        <v>-4.1783000000000001E-2</v>
      </c>
      <c r="F378" s="48"/>
      <c r="G378" s="47"/>
      <c r="H378" s="48"/>
      <c r="I378" s="48"/>
      <c r="J378" s="50"/>
      <c r="K378" s="50"/>
      <c r="L378" s="48"/>
      <c r="M378" s="47"/>
      <c r="N378" s="48"/>
      <c r="O378" s="48"/>
      <c r="P378" s="48"/>
    </row>
    <row r="379" spans="1:16">
      <c r="A379" s="47">
        <v>20879</v>
      </c>
      <c r="B379" s="48">
        <v>11404</v>
      </c>
      <c r="C379" s="48" t="s">
        <v>28</v>
      </c>
      <c r="D379" s="50">
        <v>-6.9410000000000001E-3</v>
      </c>
      <c r="E379" s="14">
        <v>-3.2648000000000003E-2</v>
      </c>
      <c r="F379" s="48"/>
      <c r="G379" s="47"/>
      <c r="H379" s="48"/>
      <c r="I379" s="48"/>
      <c r="J379" s="50"/>
      <c r="K379" s="50"/>
      <c r="L379" s="48"/>
      <c r="M379" s="47"/>
      <c r="N379" s="48"/>
      <c r="O379" s="48"/>
      <c r="P379" s="48"/>
    </row>
    <row r="380" spans="1:16">
      <c r="A380" s="47">
        <v>20908</v>
      </c>
      <c r="B380" s="48">
        <v>11404</v>
      </c>
      <c r="C380" s="48" t="s">
        <v>28</v>
      </c>
      <c r="D380" s="50">
        <v>8.5229999999999993E-3</v>
      </c>
      <c r="E380" s="14">
        <v>1.9649E-2</v>
      </c>
      <c r="F380" s="48"/>
      <c r="G380" s="47"/>
      <c r="H380" s="48"/>
      <c r="I380" s="48"/>
      <c r="J380" s="50"/>
      <c r="K380" s="50"/>
      <c r="L380" s="48"/>
      <c r="M380" s="47"/>
      <c r="N380" s="48"/>
      <c r="O380" s="48"/>
      <c r="P380" s="48"/>
    </row>
    <row r="381" spans="1:16">
      <c r="A381" s="47">
        <v>20940</v>
      </c>
      <c r="B381" s="48">
        <v>11404</v>
      </c>
      <c r="C381" s="48" t="s">
        <v>28</v>
      </c>
      <c r="D381" s="50">
        <v>2.8170000000000001E-3</v>
      </c>
      <c r="E381" s="14">
        <v>3.6953E-2</v>
      </c>
      <c r="F381" s="48"/>
      <c r="G381" s="47"/>
      <c r="H381" s="48"/>
      <c r="I381" s="48"/>
      <c r="J381" s="50"/>
      <c r="K381" s="50"/>
      <c r="L381" s="48"/>
      <c r="M381" s="47"/>
      <c r="N381" s="48"/>
      <c r="O381" s="48"/>
      <c r="P381" s="48"/>
    </row>
    <row r="382" spans="1:16">
      <c r="A382" s="47">
        <v>20971</v>
      </c>
      <c r="B382" s="48">
        <v>11404</v>
      </c>
      <c r="C382" s="48" t="s">
        <v>28</v>
      </c>
      <c r="D382" s="50">
        <v>-1.4607E-2</v>
      </c>
      <c r="E382" s="14">
        <v>3.6948000000000002E-2</v>
      </c>
      <c r="F382" s="48"/>
      <c r="G382" s="47"/>
      <c r="H382" s="48"/>
      <c r="I382" s="48"/>
      <c r="J382" s="50"/>
      <c r="K382" s="50"/>
      <c r="L382" s="48"/>
      <c r="M382" s="47"/>
      <c r="N382" s="48"/>
      <c r="O382" s="48"/>
      <c r="P382" s="48"/>
    </row>
    <row r="383" spans="1:16">
      <c r="A383" s="47">
        <v>20999</v>
      </c>
      <c r="B383" s="48">
        <v>11404</v>
      </c>
      <c r="C383" s="48" t="s">
        <v>28</v>
      </c>
      <c r="D383" s="50">
        <v>-2.0230999999999999E-2</v>
      </c>
      <c r="E383" s="14">
        <v>-1.2650000000000001E-3</v>
      </c>
      <c r="F383" s="48"/>
      <c r="G383" s="47"/>
      <c r="H383" s="48"/>
      <c r="I383" s="48"/>
      <c r="J383" s="50"/>
      <c r="K383" s="50"/>
      <c r="L383" s="48"/>
      <c r="M383" s="47"/>
      <c r="N383" s="48"/>
      <c r="O383" s="48"/>
      <c r="P383" s="48"/>
    </row>
    <row r="384" spans="1:16">
      <c r="A384" s="47">
        <v>21032</v>
      </c>
      <c r="B384" s="48">
        <v>11404</v>
      </c>
      <c r="C384" s="48" t="s">
        <v>28</v>
      </c>
      <c r="D384" s="50">
        <v>8.8500000000000002E-3</v>
      </c>
      <c r="E384" s="14">
        <v>1.14E-2</v>
      </c>
      <c r="F384" s="48"/>
      <c r="G384" s="47"/>
      <c r="H384" s="48"/>
      <c r="I384" s="48"/>
      <c r="J384" s="50"/>
      <c r="K384" s="50"/>
      <c r="L384" s="48"/>
      <c r="M384" s="47"/>
      <c r="N384" s="48"/>
      <c r="O384" s="48"/>
      <c r="P384" s="48"/>
    </row>
    <row r="385" spans="1:16">
      <c r="A385" s="47">
        <v>21062</v>
      </c>
      <c r="B385" s="48">
        <v>11404</v>
      </c>
      <c r="C385" s="48" t="s">
        <v>28</v>
      </c>
      <c r="D385" s="50">
        <v>-3.509E-3</v>
      </c>
      <c r="E385" s="14">
        <v>-5.6147000000000002E-2</v>
      </c>
      <c r="F385" s="48"/>
      <c r="G385" s="47"/>
      <c r="H385" s="48"/>
      <c r="I385" s="48"/>
      <c r="J385" s="50"/>
      <c r="K385" s="50"/>
      <c r="L385" s="48"/>
      <c r="M385" s="47"/>
      <c r="N385" s="48"/>
      <c r="O385" s="48"/>
      <c r="P385" s="48"/>
    </row>
    <row r="386" spans="1:16">
      <c r="A386" s="47">
        <v>21093</v>
      </c>
      <c r="B386" s="48">
        <v>11404</v>
      </c>
      <c r="C386" s="48" t="s">
        <v>28</v>
      </c>
      <c r="D386" s="50">
        <v>0</v>
      </c>
      <c r="E386" s="14">
        <v>-6.1920000000000003E-2</v>
      </c>
      <c r="F386" s="48"/>
      <c r="G386" s="47"/>
      <c r="H386" s="48"/>
      <c r="I386" s="48"/>
      <c r="J386" s="50"/>
      <c r="K386" s="50"/>
      <c r="L386" s="48"/>
      <c r="M386" s="47"/>
      <c r="N386" s="48"/>
      <c r="O386" s="48"/>
      <c r="P386" s="48"/>
    </row>
    <row r="387" spans="1:16">
      <c r="A387" s="47">
        <v>21124</v>
      </c>
      <c r="B387" s="48">
        <v>11404</v>
      </c>
      <c r="C387" s="48" t="s">
        <v>28</v>
      </c>
      <c r="D387" s="50">
        <v>0</v>
      </c>
      <c r="E387" s="14">
        <v>-3.2059999999999998E-2</v>
      </c>
      <c r="F387" s="48"/>
      <c r="G387" s="47"/>
      <c r="H387" s="48"/>
      <c r="I387" s="48"/>
      <c r="J387" s="50"/>
      <c r="K387" s="50"/>
      <c r="L387" s="48"/>
      <c r="M387" s="47"/>
      <c r="N387" s="48"/>
      <c r="O387" s="48"/>
      <c r="P387" s="48"/>
    </row>
    <row r="388" spans="1:16">
      <c r="A388" s="47">
        <v>21153</v>
      </c>
      <c r="B388" s="48">
        <v>11404</v>
      </c>
      <c r="C388" s="48" t="s">
        <v>28</v>
      </c>
      <c r="D388" s="50">
        <v>2.6190000000000001E-2</v>
      </c>
      <c r="E388" s="14">
        <v>1.6074000000000001E-2</v>
      </c>
      <c r="F388" s="48"/>
      <c r="G388" s="47"/>
      <c r="H388" s="48"/>
      <c r="I388" s="48"/>
      <c r="J388" s="50"/>
      <c r="K388" s="50"/>
      <c r="L388" s="48"/>
      <c r="M388" s="47"/>
      <c r="N388" s="48"/>
      <c r="O388" s="48"/>
      <c r="P388" s="48"/>
    </row>
    <row r="389" spans="1:16">
      <c r="A389" s="47">
        <v>21185</v>
      </c>
      <c r="B389" s="48">
        <v>11404</v>
      </c>
      <c r="C389" s="48" t="s">
        <v>28</v>
      </c>
      <c r="D389" s="50">
        <v>4.4117999999999997E-2</v>
      </c>
      <c r="E389" s="14">
        <v>-4.1466999999999997E-2</v>
      </c>
      <c r="F389" s="48"/>
      <c r="G389" s="47"/>
      <c r="H389" s="48"/>
      <c r="I389" s="48"/>
      <c r="J389" s="50"/>
      <c r="K389" s="50"/>
      <c r="L389" s="48"/>
      <c r="M389" s="47"/>
      <c r="N389" s="48"/>
      <c r="O389" s="48"/>
      <c r="P389" s="48"/>
    </row>
    <row r="390" spans="1:16">
      <c r="A390" s="47">
        <v>21216</v>
      </c>
      <c r="B390" s="48">
        <v>11404</v>
      </c>
      <c r="C390" s="48" t="s">
        <v>28</v>
      </c>
      <c r="D390" s="50">
        <v>9.0140999999999999E-2</v>
      </c>
      <c r="E390" s="14">
        <v>4.2761E-2</v>
      </c>
      <c r="F390" s="48"/>
      <c r="G390" s="47"/>
      <c r="H390" s="48"/>
      <c r="I390" s="48"/>
      <c r="J390" s="50"/>
      <c r="K390" s="50"/>
      <c r="L390" s="48"/>
      <c r="M390" s="47"/>
      <c r="N390" s="48"/>
      <c r="O390" s="48"/>
      <c r="P390" s="48"/>
    </row>
    <row r="391" spans="1:16">
      <c r="A391" s="47">
        <v>21244</v>
      </c>
      <c r="B391" s="48">
        <v>11404</v>
      </c>
      <c r="C391" s="48" t="s">
        <v>28</v>
      </c>
      <c r="D391" s="50">
        <v>1.7571E-2</v>
      </c>
      <c r="E391" s="14">
        <v>-2.0624E-2</v>
      </c>
      <c r="F391" s="48"/>
      <c r="G391" s="47"/>
      <c r="H391" s="48"/>
      <c r="I391" s="48"/>
      <c r="J391" s="50"/>
      <c r="K391" s="50"/>
      <c r="L391" s="48"/>
      <c r="M391" s="47"/>
      <c r="N391" s="48"/>
      <c r="O391" s="48"/>
      <c r="P391" s="48"/>
    </row>
    <row r="392" spans="1:16">
      <c r="A392" s="47">
        <v>21275</v>
      </c>
      <c r="B392" s="48">
        <v>11404</v>
      </c>
      <c r="C392" s="48" t="s">
        <v>28</v>
      </c>
      <c r="D392" s="50">
        <v>1.5424E-2</v>
      </c>
      <c r="E392" s="14">
        <v>3.0852000000000001E-2</v>
      </c>
      <c r="F392" s="48"/>
      <c r="G392" s="47"/>
      <c r="H392" s="48"/>
      <c r="I392" s="48"/>
      <c r="J392" s="50"/>
      <c r="K392" s="50"/>
      <c r="L392" s="48"/>
      <c r="M392" s="47"/>
      <c r="N392" s="48"/>
      <c r="O392" s="48"/>
      <c r="P392" s="48"/>
    </row>
    <row r="393" spans="1:16">
      <c r="A393" s="47">
        <v>21305</v>
      </c>
      <c r="B393" s="48">
        <v>11404</v>
      </c>
      <c r="C393" s="48" t="s">
        <v>28</v>
      </c>
      <c r="D393" s="50">
        <v>9.3671000000000004E-2</v>
      </c>
      <c r="E393" s="14">
        <v>3.1829000000000003E-2</v>
      </c>
      <c r="F393" s="48"/>
      <c r="G393" s="47"/>
      <c r="H393" s="48"/>
      <c r="I393" s="48"/>
      <c r="J393" s="50"/>
      <c r="K393" s="50"/>
      <c r="L393" s="48"/>
      <c r="M393" s="47"/>
      <c r="N393" s="48"/>
      <c r="O393" s="48"/>
      <c r="P393" s="48"/>
    </row>
    <row r="394" spans="1:16">
      <c r="A394" s="47">
        <v>21334</v>
      </c>
      <c r="B394" s="48">
        <v>11404</v>
      </c>
      <c r="C394" s="48" t="s">
        <v>28</v>
      </c>
      <c r="D394" s="50">
        <v>3.1481000000000002E-2</v>
      </c>
      <c r="E394" s="14">
        <v>1.4963000000000001E-2</v>
      </c>
      <c r="F394" s="48"/>
      <c r="G394" s="47"/>
      <c r="H394" s="48"/>
      <c r="I394" s="48"/>
      <c r="J394" s="50"/>
      <c r="K394" s="50"/>
      <c r="L394" s="48"/>
      <c r="M394" s="47"/>
      <c r="N394" s="48"/>
      <c r="O394" s="48"/>
      <c r="P394" s="48"/>
    </row>
    <row r="395" spans="1:16">
      <c r="A395" s="47">
        <v>21366</v>
      </c>
      <c r="B395" s="48">
        <v>11404</v>
      </c>
      <c r="C395" s="48" t="s">
        <v>28</v>
      </c>
      <c r="D395" s="50">
        <v>6.8180000000000003E-3</v>
      </c>
      <c r="E395" s="14">
        <v>2.6082999999999999E-2</v>
      </c>
      <c r="F395" s="48"/>
      <c r="G395" s="47"/>
      <c r="H395" s="48"/>
      <c r="I395" s="48"/>
      <c r="J395" s="50"/>
      <c r="K395" s="50"/>
      <c r="L395" s="48"/>
      <c r="M395" s="47"/>
      <c r="N395" s="48"/>
      <c r="O395" s="48"/>
      <c r="P395" s="48"/>
    </row>
    <row r="396" spans="1:16">
      <c r="A396" s="47">
        <v>21397</v>
      </c>
      <c r="B396" s="48">
        <v>11404</v>
      </c>
      <c r="C396" s="48" t="s">
        <v>28</v>
      </c>
      <c r="D396" s="50">
        <v>-9.0290000000000006E-3</v>
      </c>
      <c r="E396" s="14">
        <v>4.3103000000000002E-2</v>
      </c>
      <c r="F396" s="48"/>
      <c r="G396" s="47"/>
      <c r="H396" s="48"/>
      <c r="I396" s="48"/>
      <c r="J396" s="50"/>
      <c r="K396" s="50"/>
      <c r="L396" s="48"/>
      <c r="M396" s="47"/>
      <c r="N396" s="48"/>
      <c r="O396" s="48"/>
      <c r="P396" s="48"/>
    </row>
    <row r="397" spans="1:16">
      <c r="A397" s="47">
        <v>21426</v>
      </c>
      <c r="B397" s="48">
        <v>11404</v>
      </c>
      <c r="C397" s="48" t="s">
        <v>28</v>
      </c>
      <c r="D397" s="50">
        <v>-2.5968000000000001E-2</v>
      </c>
      <c r="E397" s="14">
        <v>1.1867000000000001E-2</v>
      </c>
      <c r="F397" s="48"/>
      <c r="G397" s="47"/>
      <c r="H397" s="48"/>
      <c r="I397" s="48"/>
      <c r="J397" s="50"/>
      <c r="K397" s="50"/>
      <c r="L397" s="48"/>
      <c r="M397" s="47"/>
      <c r="N397" s="48"/>
      <c r="O397" s="48"/>
      <c r="P397" s="48"/>
    </row>
    <row r="398" spans="1:16">
      <c r="A398" s="47">
        <v>21458</v>
      </c>
      <c r="B398" s="48">
        <v>11404</v>
      </c>
      <c r="C398" s="48" t="s">
        <v>28</v>
      </c>
      <c r="D398" s="50">
        <v>4.7392999999999998E-2</v>
      </c>
      <c r="E398" s="14">
        <v>4.8377000000000003E-2</v>
      </c>
      <c r="F398" s="48"/>
      <c r="G398" s="47"/>
      <c r="H398" s="48"/>
      <c r="I398" s="48"/>
      <c r="J398" s="50"/>
      <c r="K398" s="50"/>
      <c r="L398" s="48"/>
      <c r="M398" s="47"/>
      <c r="N398" s="48"/>
      <c r="O398" s="48"/>
      <c r="P398" s="48"/>
    </row>
    <row r="399" spans="1:16">
      <c r="A399" s="47">
        <v>21489</v>
      </c>
      <c r="B399" s="48">
        <v>11404</v>
      </c>
      <c r="C399" s="48" t="s">
        <v>28</v>
      </c>
      <c r="D399" s="50">
        <v>6.7873000000000003E-2</v>
      </c>
      <c r="E399" s="14">
        <v>2.537E-2</v>
      </c>
      <c r="F399" s="48"/>
      <c r="G399" s="47"/>
      <c r="H399" s="48"/>
      <c r="I399" s="48"/>
      <c r="J399" s="50"/>
      <c r="K399" s="50"/>
      <c r="L399" s="48"/>
      <c r="M399" s="47"/>
      <c r="N399" s="48"/>
      <c r="O399" s="48"/>
      <c r="P399" s="48"/>
    </row>
    <row r="400" spans="1:16">
      <c r="A400" s="47">
        <v>21517</v>
      </c>
      <c r="B400" s="48">
        <v>11404</v>
      </c>
      <c r="C400" s="48" t="s">
        <v>28</v>
      </c>
      <c r="D400" s="50">
        <v>-2.9659999999999999E-3</v>
      </c>
      <c r="E400" s="14">
        <v>2.2404E-2</v>
      </c>
      <c r="F400" s="48"/>
      <c r="G400" s="47"/>
      <c r="H400" s="48"/>
      <c r="I400" s="48"/>
      <c r="J400" s="50"/>
      <c r="K400" s="50"/>
      <c r="L400" s="48"/>
      <c r="M400" s="47"/>
      <c r="N400" s="48"/>
      <c r="O400" s="48"/>
      <c r="P400" s="48"/>
    </row>
    <row r="401" spans="1:16">
      <c r="A401" s="47">
        <v>21550</v>
      </c>
      <c r="B401" s="48">
        <v>11404</v>
      </c>
      <c r="C401" s="48" t="s">
        <v>28</v>
      </c>
      <c r="D401" s="50">
        <v>0.11828</v>
      </c>
      <c r="E401" s="14">
        <v>5.2019999999999997E-2</v>
      </c>
      <c r="F401" s="48"/>
      <c r="G401" s="47"/>
      <c r="H401" s="48"/>
      <c r="I401" s="48"/>
      <c r="J401" s="50"/>
      <c r="K401" s="50"/>
      <c r="L401" s="48"/>
      <c r="M401" s="47"/>
      <c r="N401" s="48"/>
      <c r="O401" s="48"/>
      <c r="P401" s="48"/>
    </row>
    <row r="402" spans="1:16">
      <c r="A402" s="47">
        <v>21580</v>
      </c>
      <c r="B402" s="48">
        <v>11404</v>
      </c>
      <c r="C402" s="48" t="s">
        <v>28</v>
      </c>
      <c r="D402" s="50">
        <v>2.2967999999999999E-2</v>
      </c>
      <c r="E402" s="14">
        <v>3.8040000000000001E-3</v>
      </c>
      <c r="F402" s="48"/>
      <c r="G402" s="47"/>
      <c r="H402" s="48"/>
      <c r="I402" s="48"/>
      <c r="J402" s="50"/>
      <c r="K402" s="50"/>
      <c r="L402" s="48"/>
      <c r="M402" s="47"/>
      <c r="N402" s="48"/>
      <c r="O402" s="48"/>
      <c r="P402" s="48"/>
    </row>
    <row r="403" spans="1:16">
      <c r="A403" s="47">
        <v>21608</v>
      </c>
      <c r="B403" s="48">
        <v>11404</v>
      </c>
      <c r="C403" s="48" t="s">
        <v>28</v>
      </c>
      <c r="D403" s="50">
        <v>1.2571000000000001E-2</v>
      </c>
      <c r="E403" s="14">
        <v>-1.8000000000000001E-4</v>
      </c>
      <c r="F403" s="48"/>
      <c r="G403" s="47"/>
      <c r="H403" s="48"/>
      <c r="I403" s="48"/>
      <c r="J403" s="50"/>
      <c r="K403" s="50"/>
      <c r="L403" s="48"/>
      <c r="M403" s="47"/>
      <c r="N403" s="48"/>
      <c r="O403" s="48"/>
      <c r="P403" s="48"/>
    </row>
    <row r="404" spans="1:16">
      <c r="A404" s="47">
        <v>21640</v>
      </c>
      <c r="B404" s="48">
        <v>11404</v>
      </c>
      <c r="C404" s="48" t="s">
        <v>28</v>
      </c>
      <c r="D404" s="50">
        <v>-4.5627000000000001E-2</v>
      </c>
      <c r="E404" s="14">
        <v>5.4100000000000003E-4</v>
      </c>
      <c r="F404" s="48"/>
      <c r="G404" s="47"/>
      <c r="H404" s="48"/>
      <c r="I404" s="48"/>
      <c r="J404" s="50"/>
      <c r="K404" s="50"/>
      <c r="L404" s="48"/>
      <c r="M404" s="47"/>
      <c r="N404" s="48"/>
      <c r="O404" s="48"/>
      <c r="P404" s="48"/>
    </row>
    <row r="405" spans="1:16">
      <c r="A405" s="47">
        <v>21670</v>
      </c>
      <c r="B405" s="48">
        <v>11404</v>
      </c>
      <c r="C405" s="48" t="s">
        <v>28</v>
      </c>
      <c r="D405" s="50">
        <v>2.1912000000000001E-2</v>
      </c>
      <c r="E405" s="14">
        <v>3.8781000000000003E-2</v>
      </c>
      <c r="F405" s="48"/>
      <c r="G405" s="47"/>
      <c r="H405" s="48"/>
      <c r="I405" s="48"/>
      <c r="J405" s="50"/>
      <c r="K405" s="50"/>
      <c r="L405" s="48"/>
      <c r="M405" s="47"/>
      <c r="N405" s="48"/>
      <c r="O405" s="48"/>
      <c r="P405" s="48"/>
    </row>
    <row r="406" spans="1:16">
      <c r="A406" s="47">
        <v>21699</v>
      </c>
      <c r="B406" s="48">
        <v>11404</v>
      </c>
      <c r="C406" s="48" t="s">
        <v>28</v>
      </c>
      <c r="D406" s="50">
        <v>8.9669999999999993E-3</v>
      </c>
      <c r="E406" s="14">
        <v>1.8926999999999999E-2</v>
      </c>
      <c r="F406" s="48"/>
      <c r="G406" s="47"/>
      <c r="H406" s="48"/>
      <c r="I406" s="48"/>
      <c r="J406" s="50"/>
      <c r="K406" s="50"/>
      <c r="L406" s="48"/>
      <c r="M406" s="47"/>
      <c r="N406" s="48"/>
      <c r="O406" s="48"/>
      <c r="P406" s="48"/>
    </row>
    <row r="407" spans="1:16">
      <c r="A407" s="47">
        <v>21731</v>
      </c>
      <c r="B407" s="48">
        <v>11404</v>
      </c>
      <c r="C407" s="48" t="s">
        <v>28</v>
      </c>
      <c r="D407" s="50">
        <v>-2.5391E-2</v>
      </c>
      <c r="E407" s="14">
        <v>-3.5790000000000001E-3</v>
      </c>
      <c r="F407" s="48"/>
      <c r="G407" s="47"/>
      <c r="H407" s="48"/>
      <c r="I407" s="48"/>
      <c r="J407" s="50"/>
      <c r="K407" s="50"/>
      <c r="L407" s="48"/>
      <c r="M407" s="47"/>
      <c r="N407" s="48"/>
      <c r="O407" s="48"/>
      <c r="P407" s="48"/>
    </row>
    <row r="408" spans="1:16">
      <c r="A408" s="47">
        <v>21762</v>
      </c>
      <c r="B408" s="48">
        <v>11404</v>
      </c>
      <c r="C408" s="48" t="s">
        <v>28</v>
      </c>
      <c r="D408" s="50">
        <v>3.6072E-2</v>
      </c>
      <c r="E408" s="14">
        <v>3.4889999999999997E-2</v>
      </c>
      <c r="F408" s="48"/>
      <c r="G408" s="47"/>
      <c r="H408" s="48"/>
      <c r="I408" s="48"/>
      <c r="J408" s="50"/>
      <c r="K408" s="50"/>
      <c r="L408" s="48"/>
      <c r="M408" s="47"/>
      <c r="N408" s="48"/>
      <c r="O408" s="48"/>
      <c r="P408" s="48"/>
    </row>
    <row r="409" spans="1:16">
      <c r="A409" s="47">
        <v>21793</v>
      </c>
      <c r="B409" s="48">
        <v>11404</v>
      </c>
      <c r="C409" s="48" t="s">
        <v>28</v>
      </c>
      <c r="D409" s="50">
        <v>-1.2378999999999999E-2</v>
      </c>
      <c r="E409" s="14">
        <v>-1.5039E-2</v>
      </c>
      <c r="F409" s="48"/>
      <c r="G409" s="47"/>
      <c r="H409" s="48"/>
      <c r="I409" s="48"/>
      <c r="J409" s="50"/>
      <c r="K409" s="50"/>
      <c r="L409" s="48"/>
      <c r="M409" s="47"/>
      <c r="N409" s="48"/>
      <c r="O409" s="48"/>
      <c r="P409" s="48"/>
    </row>
    <row r="410" spans="1:16">
      <c r="A410" s="47">
        <v>21823</v>
      </c>
      <c r="B410" s="48">
        <v>11404</v>
      </c>
      <c r="C410" s="48" t="s">
        <v>28</v>
      </c>
      <c r="D410" s="50">
        <v>-1.3861E-2</v>
      </c>
      <c r="E410" s="14">
        <v>-4.5637999999999998E-2</v>
      </c>
      <c r="F410" s="48"/>
      <c r="G410" s="47"/>
      <c r="H410" s="48"/>
      <c r="I410" s="48"/>
      <c r="J410" s="50"/>
      <c r="K410" s="50"/>
      <c r="L410" s="48"/>
      <c r="M410" s="47"/>
      <c r="N410" s="48"/>
      <c r="O410" s="48"/>
      <c r="P410" s="48"/>
    </row>
    <row r="411" spans="1:16">
      <c r="A411" s="47">
        <v>21853</v>
      </c>
      <c r="B411" s="48">
        <v>11404</v>
      </c>
      <c r="C411" s="48" t="s">
        <v>28</v>
      </c>
      <c r="D411" s="50">
        <v>2.0079999999999998E-3</v>
      </c>
      <c r="E411" s="14">
        <v>1.1252E-2</v>
      </c>
      <c r="F411" s="48"/>
      <c r="G411" s="47"/>
      <c r="H411" s="48"/>
      <c r="I411" s="48"/>
      <c r="J411" s="50"/>
      <c r="K411" s="50"/>
      <c r="L411" s="48"/>
      <c r="M411" s="47"/>
      <c r="N411" s="48"/>
      <c r="O411" s="48"/>
      <c r="P411" s="48"/>
    </row>
    <row r="412" spans="1:16">
      <c r="A412" s="47">
        <v>21884</v>
      </c>
      <c r="B412" s="48">
        <v>11404</v>
      </c>
      <c r="C412" s="48" t="s">
        <v>28</v>
      </c>
      <c r="D412" s="50">
        <v>-3.0862000000000001E-2</v>
      </c>
      <c r="E412" s="14">
        <v>1.3213000000000001E-2</v>
      </c>
      <c r="F412" s="48"/>
      <c r="G412" s="47"/>
      <c r="H412" s="48"/>
      <c r="I412" s="48"/>
      <c r="J412" s="50"/>
      <c r="K412" s="50"/>
      <c r="L412" s="48"/>
      <c r="M412" s="47"/>
      <c r="N412" s="48"/>
      <c r="O412" s="48"/>
      <c r="P412" s="48"/>
    </row>
    <row r="413" spans="1:16">
      <c r="A413" s="47">
        <v>21915</v>
      </c>
      <c r="B413" s="48">
        <v>11404</v>
      </c>
      <c r="C413" s="48" t="s">
        <v>28</v>
      </c>
      <c r="D413" s="50">
        <v>-1.8828000000000001E-2</v>
      </c>
      <c r="E413" s="14">
        <v>2.7625E-2</v>
      </c>
      <c r="F413" s="48"/>
      <c r="G413" s="47"/>
      <c r="H413" s="48"/>
      <c r="I413" s="48"/>
      <c r="J413" s="50"/>
      <c r="K413" s="50"/>
      <c r="L413" s="48"/>
      <c r="M413" s="47"/>
      <c r="N413" s="48"/>
      <c r="O413" s="48"/>
      <c r="P413" s="48"/>
    </row>
    <row r="414" spans="1:16">
      <c r="A414" s="47">
        <v>21944</v>
      </c>
      <c r="B414" s="48">
        <v>11404</v>
      </c>
      <c r="C414" s="48" t="s">
        <v>28</v>
      </c>
      <c r="D414" s="50">
        <v>8.1022999999999998E-2</v>
      </c>
      <c r="E414" s="14">
        <v>-7.1464E-2</v>
      </c>
      <c r="F414" s="48"/>
      <c r="G414" s="47"/>
      <c r="H414" s="48"/>
      <c r="I414" s="48"/>
      <c r="J414" s="50"/>
      <c r="K414" s="50"/>
      <c r="L414" s="48"/>
      <c r="M414" s="47"/>
      <c r="N414" s="48"/>
      <c r="O414" s="48"/>
      <c r="P414" s="48"/>
    </row>
    <row r="415" spans="1:16">
      <c r="A415" s="47">
        <v>21975</v>
      </c>
      <c r="B415" s="48">
        <v>11404</v>
      </c>
      <c r="C415" s="48" t="s">
        <v>28</v>
      </c>
      <c r="D415" s="50">
        <v>-9.8619999999999992E-3</v>
      </c>
      <c r="E415" s="14">
        <v>9.1710000000000003E-3</v>
      </c>
      <c r="F415" s="48"/>
      <c r="G415" s="47"/>
      <c r="H415" s="48"/>
      <c r="I415" s="48"/>
      <c r="J415" s="50"/>
      <c r="K415" s="50"/>
      <c r="L415" s="48"/>
      <c r="M415" s="47"/>
      <c r="N415" s="48"/>
      <c r="O415" s="48"/>
      <c r="P415" s="48"/>
    </row>
    <row r="416" spans="1:16">
      <c r="A416" s="47">
        <v>22006</v>
      </c>
      <c r="B416" s="48">
        <v>11404</v>
      </c>
      <c r="C416" s="48" t="s">
        <v>28</v>
      </c>
      <c r="D416" s="50">
        <v>1.8145000000000001E-2</v>
      </c>
      <c r="E416" s="14">
        <v>-1.3899E-2</v>
      </c>
      <c r="F416" s="48"/>
      <c r="G416" s="47"/>
      <c r="H416" s="48"/>
      <c r="I416" s="48"/>
      <c r="J416" s="50"/>
      <c r="K416" s="50"/>
      <c r="L416" s="48"/>
      <c r="M416" s="47"/>
      <c r="N416" s="48"/>
      <c r="O416" s="48"/>
      <c r="P416" s="48"/>
    </row>
    <row r="417" spans="1:16">
      <c r="A417" s="47">
        <v>22035</v>
      </c>
      <c r="B417" s="48">
        <v>11404</v>
      </c>
      <c r="C417" s="48" t="s">
        <v>28</v>
      </c>
      <c r="D417" s="50">
        <v>-3.96E-3</v>
      </c>
      <c r="E417" s="14">
        <v>-1.7527999999999998E-2</v>
      </c>
      <c r="F417" s="48"/>
      <c r="G417" s="47"/>
      <c r="H417" s="48"/>
      <c r="I417" s="48"/>
      <c r="J417" s="50"/>
      <c r="K417" s="50"/>
      <c r="L417" s="48"/>
      <c r="M417" s="47"/>
      <c r="N417" s="48"/>
      <c r="O417" s="48"/>
      <c r="P417" s="48"/>
    </row>
    <row r="418" spans="1:16">
      <c r="A418" s="47">
        <v>22067</v>
      </c>
      <c r="B418" s="48">
        <v>11404</v>
      </c>
      <c r="C418" s="48" t="s">
        <v>28</v>
      </c>
      <c r="D418" s="50">
        <v>3.9760000000000004E-3</v>
      </c>
      <c r="E418" s="14">
        <v>2.6852999999999998E-2</v>
      </c>
      <c r="F418" s="48"/>
      <c r="G418" s="47"/>
      <c r="H418" s="48"/>
      <c r="I418" s="48"/>
      <c r="J418" s="50"/>
      <c r="K418" s="50"/>
      <c r="L418" s="48"/>
      <c r="M418" s="47"/>
      <c r="N418" s="48"/>
      <c r="O418" s="48"/>
      <c r="P418" s="48"/>
    </row>
    <row r="419" spans="1:16">
      <c r="A419" s="47">
        <v>22097</v>
      </c>
      <c r="B419" s="48">
        <v>11404</v>
      </c>
      <c r="C419" s="48" t="s">
        <v>28</v>
      </c>
      <c r="D419" s="50">
        <v>5.4108000000000003E-2</v>
      </c>
      <c r="E419" s="14">
        <v>1.9524E-2</v>
      </c>
      <c r="F419" s="48"/>
      <c r="G419" s="47"/>
      <c r="H419" s="48"/>
      <c r="I419" s="48"/>
      <c r="J419" s="50"/>
      <c r="K419" s="50"/>
      <c r="L419" s="48"/>
      <c r="M419" s="47"/>
      <c r="N419" s="48"/>
      <c r="O419" s="48"/>
      <c r="P419" s="48"/>
    </row>
    <row r="420" spans="1:16">
      <c r="A420" s="47">
        <v>22126</v>
      </c>
      <c r="B420" s="48">
        <v>11404</v>
      </c>
      <c r="C420" s="48" t="s">
        <v>28</v>
      </c>
      <c r="D420" s="50">
        <v>-1.711E-2</v>
      </c>
      <c r="E420" s="14">
        <v>-2.4771999999999999E-2</v>
      </c>
      <c r="F420" s="48"/>
      <c r="G420" s="47"/>
      <c r="H420" s="48"/>
      <c r="I420" s="48"/>
      <c r="J420" s="50"/>
      <c r="K420" s="50"/>
      <c r="L420" s="48"/>
      <c r="M420" s="47"/>
      <c r="N420" s="48"/>
      <c r="O420" s="48"/>
      <c r="P420" s="48"/>
    </row>
    <row r="421" spans="1:16">
      <c r="A421" s="47">
        <v>22159</v>
      </c>
      <c r="B421" s="48">
        <v>11404</v>
      </c>
      <c r="C421" s="48" t="s">
        <v>28</v>
      </c>
      <c r="D421" s="50">
        <v>3.8679999999999999E-3</v>
      </c>
      <c r="E421" s="14">
        <v>2.6120999999999998E-2</v>
      </c>
      <c r="F421" s="48"/>
      <c r="G421" s="47"/>
      <c r="H421" s="48"/>
      <c r="I421" s="48"/>
      <c r="J421" s="50"/>
      <c r="K421" s="50"/>
      <c r="L421" s="48"/>
      <c r="M421" s="47"/>
      <c r="N421" s="48"/>
      <c r="O421" s="48"/>
      <c r="P421" s="48"/>
    </row>
    <row r="422" spans="1:16">
      <c r="A422" s="47">
        <v>22189</v>
      </c>
      <c r="B422" s="48">
        <v>11404</v>
      </c>
      <c r="C422" s="48" t="s">
        <v>28</v>
      </c>
      <c r="D422" s="50">
        <v>-3.1189000000000001E-2</v>
      </c>
      <c r="E422" s="14">
        <v>-6.0393000000000002E-2</v>
      </c>
      <c r="F422" s="48"/>
      <c r="G422" s="47"/>
      <c r="H422" s="48"/>
      <c r="I422" s="48"/>
      <c r="J422" s="50"/>
      <c r="K422" s="50"/>
      <c r="L422" s="48"/>
      <c r="M422" s="47"/>
      <c r="N422" s="48"/>
      <c r="O422" s="48"/>
      <c r="P422" s="48"/>
    </row>
    <row r="423" spans="1:16">
      <c r="A423" s="47">
        <v>22220</v>
      </c>
      <c r="B423" s="48">
        <v>11404</v>
      </c>
      <c r="C423" s="48" t="s">
        <v>28</v>
      </c>
      <c r="D423" s="50">
        <v>3.0180999999999999E-2</v>
      </c>
      <c r="E423" s="14">
        <v>-2.4290000000000002E-3</v>
      </c>
      <c r="F423" s="48"/>
      <c r="G423" s="47"/>
      <c r="H423" s="48"/>
      <c r="I423" s="48"/>
      <c r="J423" s="50"/>
      <c r="K423" s="50"/>
      <c r="L423" s="48"/>
      <c r="M423" s="47"/>
      <c r="N423" s="48"/>
      <c r="O423" s="48"/>
      <c r="P423" s="48"/>
    </row>
    <row r="424" spans="1:16">
      <c r="A424" s="47">
        <v>22250</v>
      </c>
      <c r="B424" s="48">
        <v>11404</v>
      </c>
      <c r="C424" s="48" t="s">
        <v>28</v>
      </c>
      <c r="D424" s="50">
        <v>5.8589999999999996E-3</v>
      </c>
      <c r="E424" s="14">
        <v>4.027E-2</v>
      </c>
      <c r="F424" s="48"/>
      <c r="G424" s="47"/>
      <c r="H424" s="48"/>
      <c r="I424" s="48"/>
      <c r="J424" s="50"/>
      <c r="K424" s="50"/>
      <c r="L424" s="48"/>
      <c r="M424" s="47"/>
      <c r="N424" s="48"/>
      <c r="O424" s="48"/>
      <c r="P424" s="48"/>
    </row>
    <row r="425" spans="1:16">
      <c r="A425" s="47">
        <v>22280</v>
      </c>
      <c r="B425" s="48">
        <v>11404</v>
      </c>
      <c r="C425" s="48" t="s">
        <v>28</v>
      </c>
      <c r="D425" s="50">
        <v>8.0549999999999997E-2</v>
      </c>
      <c r="E425" s="14">
        <v>4.6273000000000002E-2</v>
      </c>
      <c r="F425" s="48"/>
      <c r="G425" s="47"/>
      <c r="H425" s="48"/>
      <c r="I425" s="48"/>
      <c r="J425" s="50"/>
      <c r="K425" s="50"/>
      <c r="L425" s="48"/>
      <c r="M425" s="47"/>
      <c r="N425" s="48"/>
      <c r="O425" s="48"/>
      <c r="P425" s="48"/>
    </row>
    <row r="426" spans="1:16">
      <c r="A426" s="47">
        <v>22312</v>
      </c>
      <c r="B426" s="48">
        <v>11404</v>
      </c>
      <c r="C426" s="48" t="s">
        <v>28</v>
      </c>
      <c r="D426" s="50">
        <v>-0.02</v>
      </c>
      <c r="E426" s="14">
        <v>6.3156000000000004E-2</v>
      </c>
      <c r="F426" s="48"/>
      <c r="G426" s="47"/>
      <c r="H426" s="48"/>
      <c r="I426" s="48"/>
      <c r="J426" s="50"/>
      <c r="K426" s="50"/>
      <c r="L426" s="48"/>
      <c r="M426" s="47"/>
      <c r="N426" s="48"/>
      <c r="O426" s="48"/>
      <c r="P426" s="48"/>
    </row>
    <row r="427" spans="1:16">
      <c r="A427" s="47">
        <v>22340</v>
      </c>
      <c r="B427" s="48">
        <v>11404</v>
      </c>
      <c r="C427" s="48" t="s">
        <v>28</v>
      </c>
      <c r="D427" s="50">
        <v>8.2552E-2</v>
      </c>
      <c r="E427" s="14">
        <v>2.6870000000000002E-2</v>
      </c>
      <c r="F427" s="48"/>
      <c r="G427" s="47"/>
      <c r="H427" s="48"/>
      <c r="I427" s="48"/>
      <c r="J427" s="50"/>
      <c r="K427" s="50"/>
      <c r="L427" s="48"/>
      <c r="M427" s="47"/>
      <c r="N427" s="48"/>
      <c r="O427" s="48"/>
      <c r="P427" s="48"/>
    </row>
    <row r="428" spans="1:16">
      <c r="A428" s="47">
        <v>22370</v>
      </c>
      <c r="B428" s="48">
        <v>11404</v>
      </c>
      <c r="C428" s="48" t="s">
        <v>28</v>
      </c>
      <c r="D428" s="50">
        <v>9.3588000000000005E-2</v>
      </c>
      <c r="E428" s="14">
        <v>2.5536E-2</v>
      </c>
      <c r="F428" s="48"/>
      <c r="G428" s="47"/>
      <c r="H428" s="48"/>
      <c r="I428" s="48"/>
      <c r="J428" s="50"/>
      <c r="K428" s="50"/>
      <c r="L428" s="48"/>
      <c r="M428" s="47"/>
      <c r="N428" s="48"/>
      <c r="O428" s="48"/>
      <c r="P428" s="48"/>
    </row>
    <row r="429" spans="1:16">
      <c r="A429" s="47">
        <v>22399</v>
      </c>
      <c r="B429" s="48">
        <v>11404</v>
      </c>
      <c r="C429" s="48" t="s">
        <v>28</v>
      </c>
      <c r="D429" s="50">
        <v>-4.7540000000000004E-3</v>
      </c>
      <c r="E429" s="14">
        <v>3.8430000000000001E-3</v>
      </c>
      <c r="F429" s="48"/>
      <c r="G429" s="47"/>
      <c r="H429" s="48"/>
      <c r="I429" s="48"/>
      <c r="J429" s="50"/>
      <c r="K429" s="50"/>
      <c r="L429" s="48"/>
      <c r="M429" s="47"/>
      <c r="N429" s="48"/>
      <c r="O429" s="48"/>
      <c r="P429" s="48"/>
    </row>
    <row r="430" spans="1:16">
      <c r="A430" s="47">
        <v>22432</v>
      </c>
      <c r="B430" s="48">
        <v>11404</v>
      </c>
      <c r="C430" s="48" t="s">
        <v>28</v>
      </c>
      <c r="D430" s="50">
        <v>4.6177999999999997E-2</v>
      </c>
      <c r="E430" s="14">
        <v>1.9139E-2</v>
      </c>
      <c r="F430" s="48"/>
      <c r="G430" s="47"/>
      <c r="H430" s="48"/>
      <c r="I430" s="48"/>
      <c r="J430" s="50"/>
      <c r="K430" s="50"/>
      <c r="L430" s="48"/>
      <c r="M430" s="47"/>
      <c r="N430" s="48"/>
      <c r="O430" s="48"/>
      <c r="P430" s="48"/>
    </row>
    <row r="431" spans="1:16">
      <c r="A431" s="47">
        <v>22462</v>
      </c>
      <c r="B431" s="48">
        <v>11404</v>
      </c>
      <c r="C431" s="48" t="s">
        <v>28</v>
      </c>
      <c r="D431" s="50">
        <v>-5.8372E-2</v>
      </c>
      <c r="E431" s="14">
        <v>-2.8846E-2</v>
      </c>
      <c r="F431" s="48"/>
      <c r="G431" s="47"/>
      <c r="H431" s="48"/>
      <c r="I431" s="48"/>
      <c r="J431" s="50"/>
      <c r="K431" s="50"/>
      <c r="L431" s="48"/>
      <c r="M431" s="47"/>
      <c r="N431" s="48"/>
      <c r="O431" s="48"/>
      <c r="P431" s="48"/>
    </row>
    <row r="432" spans="1:16">
      <c r="A432" s="47">
        <v>22493</v>
      </c>
      <c r="B432" s="48">
        <v>11404</v>
      </c>
      <c r="C432" s="48" t="s">
        <v>28</v>
      </c>
      <c r="D432" s="50">
        <v>-4.8939999999999999E-3</v>
      </c>
      <c r="E432" s="14">
        <v>3.2797E-2</v>
      </c>
      <c r="F432" s="48"/>
      <c r="G432" s="47"/>
      <c r="H432" s="48"/>
      <c r="I432" s="48"/>
      <c r="J432" s="50"/>
      <c r="K432" s="50"/>
      <c r="L432" s="48"/>
      <c r="M432" s="47"/>
      <c r="N432" s="48"/>
      <c r="O432" s="48"/>
      <c r="P432" s="48"/>
    </row>
    <row r="433" spans="1:16">
      <c r="A433" s="47">
        <v>22524</v>
      </c>
      <c r="B433" s="48">
        <v>11404</v>
      </c>
      <c r="C433" s="48" t="s">
        <v>28</v>
      </c>
      <c r="D433" s="50">
        <v>-6.5570000000000003E-3</v>
      </c>
      <c r="E433" s="14">
        <v>1.9623000000000002E-2</v>
      </c>
      <c r="F433" s="48"/>
      <c r="G433" s="47"/>
      <c r="H433" s="48"/>
      <c r="I433" s="48"/>
      <c r="J433" s="50"/>
      <c r="K433" s="50"/>
      <c r="L433" s="48"/>
      <c r="M433" s="47"/>
      <c r="N433" s="48"/>
      <c r="O433" s="48"/>
      <c r="P433" s="48"/>
    </row>
    <row r="434" spans="1:16">
      <c r="A434" s="47">
        <v>22553</v>
      </c>
      <c r="B434" s="48">
        <v>11404</v>
      </c>
      <c r="C434" s="48" t="s">
        <v>28</v>
      </c>
      <c r="D434" s="50">
        <v>0.03</v>
      </c>
      <c r="E434" s="14">
        <v>-1.9685999999999999E-2</v>
      </c>
      <c r="F434" s="48"/>
      <c r="G434" s="47"/>
      <c r="H434" s="48"/>
      <c r="I434" s="48"/>
      <c r="J434" s="50"/>
      <c r="K434" s="50"/>
      <c r="L434" s="48"/>
      <c r="M434" s="47"/>
      <c r="N434" s="48"/>
      <c r="O434" s="48"/>
      <c r="P434" s="48"/>
    </row>
    <row r="435" spans="1:16">
      <c r="A435" s="47">
        <v>22585</v>
      </c>
      <c r="B435" s="48">
        <v>11404</v>
      </c>
      <c r="C435" s="48" t="s">
        <v>28</v>
      </c>
      <c r="D435" s="50">
        <v>8.2524E-2</v>
      </c>
      <c r="E435" s="14">
        <v>2.8323000000000001E-2</v>
      </c>
      <c r="F435" s="48"/>
      <c r="G435" s="47"/>
      <c r="H435" s="48"/>
      <c r="I435" s="48"/>
      <c r="J435" s="50"/>
      <c r="K435" s="50"/>
      <c r="L435" s="48"/>
      <c r="M435" s="47"/>
      <c r="N435" s="48"/>
      <c r="O435" s="48"/>
      <c r="P435" s="48"/>
    </row>
    <row r="436" spans="1:16">
      <c r="A436" s="47">
        <v>22615</v>
      </c>
      <c r="B436" s="48">
        <v>11404</v>
      </c>
      <c r="C436" s="48" t="s">
        <v>28</v>
      </c>
      <c r="D436" s="50">
        <v>4.0724000000000003E-2</v>
      </c>
      <c r="E436" s="14">
        <v>3.9347E-2</v>
      </c>
      <c r="F436" s="48"/>
      <c r="G436" s="47"/>
      <c r="H436" s="48"/>
      <c r="I436" s="48"/>
      <c r="J436" s="50"/>
      <c r="K436" s="50"/>
      <c r="L436" s="48"/>
      <c r="M436" s="47"/>
      <c r="N436" s="48"/>
      <c r="O436" s="48"/>
      <c r="P436" s="48"/>
    </row>
    <row r="437" spans="1:16">
      <c r="A437" s="47">
        <v>22644</v>
      </c>
      <c r="B437" s="48">
        <v>11404</v>
      </c>
      <c r="C437" s="48" t="s">
        <v>28</v>
      </c>
      <c r="D437" s="50">
        <v>-4.7826E-2</v>
      </c>
      <c r="E437" s="14">
        <v>3.225E-3</v>
      </c>
      <c r="F437" s="48"/>
      <c r="G437" s="47"/>
      <c r="H437" s="48"/>
      <c r="I437" s="48"/>
      <c r="J437" s="50"/>
      <c r="K437" s="50"/>
      <c r="L437" s="48"/>
      <c r="M437" s="47"/>
      <c r="N437" s="48"/>
      <c r="O437" s="48"/>
      <c r="P437" s="48"/>
    </row>
    <row r="438" spans="1:16">
      <c r="A438" s="47">
        <v>22677</v>
      </c>
      <c r="B438" s="48">
        <v>11404</v>
      </c>
      <c r="C438" s="48" t="s">
        <v>28</v>
      </c>
      <c r="D438" s="50">
        <v>-5.6316999999999999E-2</v>
      </c>
      <c r="E438" s="14">
        <v>-3.7876E-2</v>
      </c>
      <c r="F438" s="48"/>
      <c r="G438" s="47"/>
      <c r="H438" s="48"/>
      <c r="I438" s="48"/>
      <c r="J438" s="50"/>
      <c r="K438" s="50"/>
      <c r="L438" s="48"/>
      <c r="M438" s="47"/>
      <c r="N438" s="48"/>
      <c r="O438" s="48"/>
      <c r="P438" s="48"/>
    </row>
    <row r="439" spans="1:16">
      <c r="A439" s="47">
        <v>22705</v>
      </c>
      <c r="B439" s="48">
        <v>11404</v>
      </c>
      <c r="C439" s="48" t="s">
        <v>28</v>
      </c>
      <c r="D439" s="50">
        <v>1.6286999999999999E-2</v>
      </c>
      <c r="E439" s="14">
        <v>1.627E-2</v>
      </c>
      <c r="F439" s="48"/>
      <c r="G439" s="47"/>
      <c r="H439" s="48"/>
      <c r="I439" s="48"/>
      <c r="J439" s="50"/>
      <c r="K439" s="50"/>
      <c r="L439" s="48"/>
      <c r="M439" s="47"/>
      <c r="N439" s="48"/>
      <c r="O439" s="48"/>
      <c r="P439" s="48"/>
    </row>
    <row r="440" spans="1:16">
      <c r="A440" s="47">
        <v>22735</v>
      </c>
      <c r="B440" s="48">
        <v>11404</v>
      </c>
      <c r="C440" s="48" t="s">
        <v>28</v>
      </c>
      <c r="D440" s="50">
        <v>3.8462000000000003E-2</v>
      </c>
      <c r="E440" s="14">
        <v>-5.8599999999999998E-3</v>
      </c>
      <c r="F440" s="48"/>
      <c r="G440" s="47"/>
      <c r="H440" s="48"/>
      <c r="I440" s="48"/>
      <c r="J440" s="50"/>
      <c r="K440" s="50"/>
      <c r="L440" s="48"/>
      <c r="M440" s="47"/>
      <c r="N440" s="48"/>
      <c r="O440" s="48"/>
      <c r="P440" s="48"/>
    </row>
    <row r="441" spans="1:16">
      <c r="A441" s="47">
        <v>22766</v>
      </c>
      <c r="B441" s="48">
        <v>11404</v>
      </c>
      <c r="C441" s="48" t="s">
        <v>28</v>
      </c>
      <c r="D441" s="50">
        <v>-2.0802999999999999E-2</v>
      </c>
      <c r="E441" s="14">
        <v>-6.1969999999999997E-2</v>
      </c>
      <c r="F441" s="48"/>
      <c r="G441" s="47"/>
      <c r="H441" s="48"/>
      <c r="I441" s="48"/>
      <c r="J441" s="50"/>
      <c r="K441" s="50"/>
      <c r="L441" s="48"/>
      <c r="M441" s="47"/>
      <c r="N441" s="48"/>
      <c r="O441" s="48"/>
      <c r="P441" s="48"/>
    </row>
    <row r="442" spans="1:16">
      <c r="A442" s="47">
        <v>22797</v>
      </c>
      <c r="B442" s="48">
        <v>11404</v>
      </c>
      <c r="C442" s="48" t="s">
        <v>28</v>
      </c>
      <c r="D442" s="50">
        <v>-6.8362000000000006E-2</v>
      </c>
      <c r="E442" s="14">
        <v>-8.5989999999999997E-2</v>
      </c>
      <c r="F442" s="48"/>
      <c r="G442" s="47"/>
      <c r="H442" s="48"/>
      <c r="I442" s="48"/>
      <c r="J442" s="50"/>
      <c r="K442" s="50"/>
      <c r="L442" s="48"/>
      <c r="M442" s="47"/>
      <c r="N442" s="48"/>
      <c r="O442" s="48"/>
      <c r="P442" s="48"/>
    </row>
    <row r="443" spans="1:16">
      <c r="A443" s="47">
        <v>22826</v>
      </c>
      <c r="B443" s="48">
        <v>11404</v>
      </c>
      <c r="C443" s="48" t="s">
        <v>28</v>
      </c>
      <c r="D443" s="50">
        <v>-3.6207000000000003E-2</v>
      </c>
      <c r="E443" s="14">
        <v>-8.1837999999999994E-2</v>
      </c>
      <c r="F443" s="48"/>
      <c r="G443" s="47"/>
      <c r="H443" s="48"/>
      <c r="I443" s="48"/>
      <c r="J443" s="50"/>
      <c r="K443" s="50"/>
      <c r="L443" s="48"/>
      <c r="M443" s="47"/>
      <c r="N443" s="48"/>
      <c r="O443" s="48"/>
      <c r="P443" s="48"/>
    </row>
    <row r="444" spans="1:16">
      <c r="A444" s="47">
        <v>22858</v>
      </c>
      <c r="B444" s="48">
        <v>11404</v>
      </c>
      <c r="C444" s="48" t="s">
        <v>28</v>
      </c>
      <c r="D444" s="50">
        <v>7.5134000000000006E-2</v>
      </c>
      <c r="E444" s="14">
        <v>6.3561999999999994E-2</v>
      </c>
      <c r="F444" s="48"/>
      <c r="G444" s="47"/>
      <c r="H444" s="48"/>
      <c r="I444" s="48"/>
      <c r="J444" s="50"/>
      <c r="K444" s="50"/>
      <c r="L444" s="48"/>
      <c r="M444" s="47"/>
      <c r="N444" s="48"/>
      <c r="O444" s="48"/>
      <c r="P444" s="48"/>
    </row>
    <row r="445" spans="1:16">
      <c r="A445" s="47">
        <v>22889</v>
      </c>
      <c r="B445" s="48">
        <v>11404</v>
      </c>
      <c r="C445" s="48" t="s">
        <v>28</v>
      </c>
      <c r="D445" s="50">
        <v>2.0167999999999998E-2</v>
      </c>
      <c r="E445" s="14">
        <v>1.5284000000000001E-2</v>
      </c>
      <c r="F445" s="48"/>
      <c r="G445" s="47"/>
      <c r="H445" s="48"/>
      <c r="I445" s="48"/>
      <c r="J445" s="50"/>
      <c r="K445" s="50"/>
      <c r="L445" s="48"/>
      <c r="M445" s="47"/>
      <c r="N445" s="48"/>
      <c r="O445" s="48"/>
      <c r="P445" s="48"/>
    </row>
    <row r="446" spans="1:16">
      <c r="A446" s="47">
        <v>22917</v>
      </c>
      <c r="B446" s="48">
        <v>11404</v>
      </c>
      <c r="C446" s="48" t="s">
        <v>28</v>
      </c>
      <c r="D446" s="50">
        <v>-1.9768999999999998E-2</v>
      </c>
      <c r="E446" s="14">
        <v>-4.8207E-2</v>
      </c>
      <c r="F446" s="48"/>
      <c r="G446" s="47"/>
      <c r="H446" s="48"/>
      <c r="I446" s="48"/>
      <c r="J446" s="50"/>
      <c r="K446" s="50"/>
      <c r="L446" s="48"/>
      <c r="M446" s="47"/>
      <c r="N446" s="48"/>
      <c r="O446" s="48"/>
      <c r="P446" s="48"/>
    </row>
    <row r="447" spans="1:16">
      <c r="A447" s="47">
        <v>22950</v>
      </c>
      <c r="B447" s="48">
        <v>11404</v>
      </c>
      <c r="C447" s="48" t="s">
        <v>28</v>
      </c>
      <c r="D447" s="50">
        <v>-1.3445E-2</v>
      </c>
      <c r="E447" s="14">
        <v>4.4429999999999999E-3</v>
      </c>
      <c r="F447" s="48"/>
      <c r="G447" s="47"/>
      <c r="H447" s="48"/>
      <c r="I447" s="48"/>
      <c r="J447" s="50"/>
      <c r="K447" s="50"/>
      <c r="L447" s="48"/>
      <c r="M447" s="47"/>
      <c r="N447" s="48"/>
      <c r="O447" s="48"/>
      <c r="P447" s="48"/>
    </row>
    <row r="448" spans="1:16">
      <c r="A448" s="47">
        <v>22980</v>
      </c>
      <c r="B448" s="48">
        <v>11404</v>
      </c>
      <c r="C448" s="48" t="s">
        <v>28</v>
      </c>
      <c r="D448" s="50">
        <v>9.4663999999999998E-2</v>
      </c>
      <c r="E448" s="14">
        <v>0.10155699999999999</v>
      </c>
      <c r="F448" s="48"/>
      <c r="G448" s="47"/>
      <c r="H448" s="48"/>
      <c r="I448" s="48"/>
      <c r="J448" s="50"/>
      <c r="K448" s="50"/>
      <c r="L448" s="48"/>
      <c r="M448" s="47"/>
      <c r="N448" s="48"/>
      <c r="O448" s="48"/>
      <c r="P448" s="48"/>
    </row>
    <row r="449" spans="1:16">
      <c r="A449" s="47">
        <v>23011</v>
      </c>
      <c r="B449" s="48">
        <v>11404</v>
      </c>
      <c r="C449" s="48" t="s">
        <v>28</v>
      </c>
      <c r="D449" s="50">
        <v>5.3459E-2</v>
      </c>
      <c r="E449" s="14">
        <v>1.3492000000000001E-2</v>
      </c>
      <c r="F449" s="48"/>
      <c r="G449" s="47"/>
      <c r="H449" s="48"/>
      <c r="I449" s="48"/>
      <c r="J449" s="50"/>
      <c r="K449" s="50"/>
      <c r="L449" s="48"/>
      <c r="M449" s="47"/>
      <c r="N449" s="48"/>
      <c r="O449" s="48"/>
      <c r="P449" s="48"/>
    </row>
    <row r="450" spans="1:16">
      <c r="A450" s="47">
        <v>23042</v>
      </c>
      <c r="B450" s="48">
        <v>11404</v>
      </c>
      <c r="C450" s="48" t="s">
        <v>28</v>
      </c>
      <c r="D450" s="50">
        <v>4.0299000000000001E-2</v>
      </c>
      <c r="E450" s="14">
        <v>4.9127999999999998E-2</v>
      </c>
      <c r="F450" s="48"/>
      <c r="G450" s="47"/>
      <c r="H450" s="48"/>
      <c r="I450" s="48"/>
      <c r="J450" s="50"/>
      <c r="K450" s="50"/>
      <c r="L450" s="48"/>
      <c r="M450" s="47"/>
      <c r="N450" s="48"/>
      <c r="O450" s="48"/>
      <c r="P450" s="48"/>
    </row>
    <row r="451" spans="1:16">
      <c r="A451" s="47">
        <v>23070</v>
      </c>
      <c r="B451" s="48">
        <v>11404</v>
      </c>
      <c r="C451" s="48" t="s">
        <v>28</v>
      </c>
      <c r="D451" s="50">
        <v>-2.4601999999999999E-2</v>
      </c>
      <c r="E451" s="14">
        <v>-2.8851999999999999E-2</v>
      </c>
      <c r="F451" s="48"/>
      <c r="G451" s="47"/>
      <c r="H451" s="48"/>
      <c r="I451" s="48"/>
      <c r="J451" s="50"/>
      <c r="K451" s="50"/>
      <c r="L451" s="48"/>
      <c r="M451" s="47"/>
      <c r="N451" s="48"/>
      <c r="O451" s="48"/>
      <c r="P451" s="48"/>
    </row>
    <row r="452" spans="1:16">
      <c r="A452" s="47">
        <v>23099</v>
      </c>
      <c r="B452" s="48">
        <v>11404</v>
      </c>
      <c r="C452" s="48" t="s">
        <v>28</v>
      </c>
      <c r="D452" s="50">
        <v>1.3275E-2</v>
      </c>
      <c r="E452" s="14">
        <v>3.5464000000000002E-2</v>
      </c>
      <c r="F452" s="48"/>
      <c r="G452" s="47"/>
      <c r="H452" s="48"/>
      <c r="I452" s="48"/>
      <c r="J452" s="50"/>
      <c r="K452" s="50"/>
      <c r="L452" s="48"/>
      <c r="M452" s="47"/>
      <c r="N452" s="48"/>
      <c r="O452" s="48"/>
      <c r="P452" s="48"/>
    </row>
    <row r="453" spans="1:16">
      <c r="A453" s="47">
        <v>23131</v>
      </c>
      <c r="B453" s="48">
        <v>11404</v>
      </c>
      <c r="C453" s="48" t="s">
        <v>28</v>
      </c>
      <c r="D453" s="50">
        <v>3.0339000000000001E-2</v>
      </c>
      <c r="E453" s="14">
        <v>4.8520000000000001E-2</v>
      </c>
      <c r="F453" s="48"/>
      <c r="G453" s="47"/>
      <c r="H453" s="48"/>
      <c r="I453" s="48"/>
      <c r="J453" s="50"/>
      <c r="K453" s="50"/>
      <c r="L453" s="48"/>
      <c r="M453" s="47"/>
      <c r="N453" s="48"/>
      <c r="O453" s="48"/>
      <c r="P453" s="48"/>
    </row>
    <row r="454" spans="1:16">
      <c r="A454" s="47">
        <v>23162</v>
      </c>
      <c r="B454" s="48">
        <v>11404</v>
      </c>
      <c r="C454" s="48" t="s">
        <v>28</v>
      </c>
      <c r="D454" s="50">
        <v>-1.4430000000000001E-3</v>
      </c>
      <c r="E454" s="14">
        <v>1.4326999999999999E-2</v>
      </c>
      <c r="F454" s="48"/>
      <c r="G454" s="47"/>
      <c r="H454" s="48"/>
      <c r="I454" s="48"/>
      <c r="J454" s="50"/>
      <c r="K454" s="50"/>
      <c r="L454" s="48"/>
      <c r="M454" s="47"/>
      <c r="N454" s="48"/>
      <c r="O454" s="48"/>
      <c r="P454" s="48"/>
    </row>
    <row r="455" spans="1:16">
      <c r="A455" s="47">
        <v>23190</v>
      </c>
      <c r="B455" s="48">
        <v>11404</v>
      </c>
      <c r="C455" s="48" t="s">
        <v>28</v>
      </c>
      <c r="D455" s="50">
        <v>-3.0346999999999999E-2</v>
      </c>
      <c r="E455" s="14">
        <v>-2.0198000000000001E-2</v>
      </c>
      <c r="F455" s="48"/>
      <c r="G455" s="47"/>
      <c r="H455" s="48"/>
      <c r="I455" s="48"/>
      <c r="J455" s="50"/>
      <c r="K455" s="50"/>
      <c r="L455" s="48"/>
      <c r="M455" s="47"/>
      <c r="N455" s="48"/>
      <c r="O455" s="48"/>
      <c r="P455" s="48"/>
    </row>
    <row r="456" spans="1:16">
      <c r="A456" s="47">
        <v>23223</v>
      </c>
      <c r="B456" s="48">
        <v>11404</v>
      </c>
      <c r="C456" s="48" t="s">
        <v>28</v>
      </c>
      <c r="D456" s="50">
        <v>4.5603999999999999E-2</v>
      </c>
      <c r="E456" s="14">
        <v>-3.46E-3</v>
      </c>
      <c r="F456" s="48"/>
      <c r="G456" s="47"/>
      <c r="H456" s="48"/>
      <c r="I456" s="48"/>
      <c r="J456" s="50"/>
      <c r="K456" s="50"/>
      <c r="L456" s="48"/>
      <c r="M456" s="47"/>
      <c r="N456" s="48"/>
      <c r="O456" s="48"/>
      <c r="P456" s="48"/>
    </row>
    <row r="457" spans="1:16">
      <c r="A457" s="47">
        <v>23253</v>
      </c>
      <c r="B457" s="48">
        <v>11404</v>
      </c>
      <c r="C457" s="48" t="s">
        <v>28</v>
      </c>
      <c r="D457" s="50">
        <v>2.7338000000000001E-2</v>
      </c>
      <c r="E457" s="14">
        <v>4.8749000000000001E-2</v>
      </c>
      <c r="F457" s="48"/>
      <c r="G457" s="47"/>
      <c r="H457" s="48"/>
      <c r="I457" s="48"/>
      <c r="J457" s="50"/>
      <c r="K457" s="50"/>
      <c r="L457" s="48"/>
      <c r="M457" s="47"/>
      <c r="N457" s="48"/>
      <c r="O457" s="48"/>
      <c r="P457" s="48"/>
    </row>
    <row r="458" spans="1:16">
      <c r="A458" s="47">
        <v>23284</v>
      </c>
      <c r="B458" s="48">
        <v>11404</v>
      </c>
      <c r="C458" s="48" t="s">
        <v>28</v>
      </c>
      <c r="D458" s="50">
        <v>-2.521E-2</v>
      </c>
      <c r="E458" s="14">
        <v>-1.1034E-2</v>
      </c>
      <c r="F458" s="48"/>
      <c r="G458" s="47"/>
      <c r="H458" s="48"/>
      <c r="I458" s="48"/>
      <c r="J458" s="50"/>
      <c r="K458" s="50"/>
      <c r="L458" s="48"/>
      <c r="M458" s="47"/>
      <c r="N458" s="48"/>
      <c r="O458" s="48"/>
      <c r="P458" s="48"/>
    </row>
    <row r="459" spans="1:16">
      <c r="A459" s="47">
        <v>23315</v>
      </c>
      <c r="B459" s="48">
        <v>11404</v>
      </c>
      <c r="C459" s="48" t="s">
        <v>28</v>
      </c>
      <c r="D459" s="50">
        <v>-2.0110000000000002E-3</v>
      </c>
      <c r="E459" s="14">
        <v>3.2217999999999997E-2</v>
      </c>
      <c r="F459" s="48"/>
      <c r="G459" s="47"/>
      <c r="H459" s="48"/>
      <c r="I459" s="48"/>
      <c r="J459" s="50"/>
      <c r="K459" s="50"/>
      <c r="L459" s="48"/>
      <c r="M459" s="47"/>
      <c r="N459" s="48"/>
      <c r="O459" s="48"/>
      <c r="P459" s="48"/>
    </row>
    <row r="460" spans="1:16">
      <c r="A460" s="47">
        <v>23344</v>
      </c>
      <c r="B460" s="48">
        <v>11404</v>
      </c>
      <c r="C460" s="48" t="s">
        <v>28</v>
      </c>
      <c r="D460" s="50">
        <v>-7.267E-3</v>
      </c>
      <c r="E460" s="14">
        <v>-1.0539E-2</v>
      </c>
      <c r="F460" s="48"/>
      <c r="G460" s="47"/>
      <c r="H460" s="48"/>
      <c r="I460" s="48"/>
      <c r="J460" s="50"/>
      <c r="K460" s="50"/>
      <c r="L460" s="48"/>
      <c r="M460" s="47"/>
      <c r="N460" s="48"/>
      <c r="O460" s="48"/>
      <c r="P460" s="48"/>
    </row>
    <row r="461" spans="1:16">
      <c r="A461" s="47">
        <v>23376</v>
      </c>
      <c r="B461" s="48">
        <v>11404</v>
      </c>
      <c r="C461" s="48" t="s">
        <v>28</v>
      </c>
      <c r="D461" s="50">
        <v>-1.6105000000000001E-2</v>
      </c>
      <c r="E461" s="14">
        <v>2.4444E-2</v>
      </c>
      <c r="F461" s="48"/>
      <c r="G461" s="47"/>
      <c r="H461" s="48"/>
      <c r="I461" s="48"/>
      <c r="J461" s="50"/>
      <c r="K461" s="50"/>
      <c r="L461" s="48"/>
      <c r="M461" s="47"/>
      <c r="N461" s="48"/>
      <c r="O461" s="48"/>
      <c r="P461" s="48"/>
    </row>
    <row r="462" spans="1:16">
      <c r="A462" s="47">
        <v>23407</v>
      </c>
      <c r="B462" s="48">
        <v>11404</v>
      </c>
      <c r="C462" s="48" t="s">
        <v>28</v>
      </c>
      <c r="D462" s="50">
        <v>1.488E-3</v>
      </c>
      <c r="E462" s="14">
        <v>2.6925999999999999E-2</v>
      </c>
      <c r="F462" s="48"/>
      <c r="G462" s="47"/>
      <c r="H462" s="48"/>
      <c r="I462" s="48"/>
      <c r="J462" s="50"/>
      <c r="K462" s="50"/>
      <c r="L462" s="48"/>
      <c r="M462" s="47"/>
      <c r="N462" s="48"/>
      <c r="O462" s="48"/>
      <c r="P462" s="48"/>
    </row>
    <row r="463" spans="1:16">
      <c r="A463" s="47">
        <v>23435</v>
      </c>
      <c r="B463" s="48">
        <v>11404</v>
      </c>
      <c r="C463" s="48" t="s">
        <v>28</v>
      </c>
      <c r="D463" s="50">
        <v>1.8721999999999999E-2</v>
      </c>
      <c r="E463" s="14">
        <v>9.8650000000000005E-3</v>
      </c>
      <c r="F463" s="48"/>
      <c r="G463" s="47"/>
      <c r="H463" s="48"/>
      <c r="I463" s="48"/>
      <c r="J463" s="50"/>
      <c r="K463" s="50"/>
      <c r="L463" s="48"/>
      <c r="M463" s="47"/>
      <c r="N463" s="48"/>
      <c r="O463" s="48"/>
      <c r="P463" s="48"/>
    </row>
    <row r="464" spans="1:16">
      <c r="A464" s="47">
        <v>23467</v>
      </c>
      <c r="B464" s="48">
        <v>11404</v>
      </c>
      <c r="C464" s="48" t="s">
        <v>28</v>
      </c>
      <c r="D464" s="50">
        <v>1.4728E-2</v>
      </c>
      <c r="E464" s="14">
        <v>1.5167E-2</v>
      </c>
      <c r="F464" s="48"/>
      <c r="G464" s="47"/>
      <c r="H464" s="48"/>
      <c r="I464" s="48"/>
      <c r="J464" s="50"/>
      <c r="K464" s="50"/>
      <c r="L464" s="48"/>
      <c r="M464" s="47"/>
      <c r="N464" s="48"/>
      <c r="O464" s="48"/>
      <c r="P464" s="48"/>
    </row>
    <row r="465" spans="1:16">
      <c r="A465" s="47">
        <v>23497</v>
      </c>
      <c r="B465" s="48">
        <v>11404</v>
      </c>
      <c r="C465" s="48" t="s">
        <v>28</v>
      </c>
      <c r="D465" s="50">
        <v>-1.3062000000000001E-2</v>
      </c>
      <c r="E465" s="14">
        <v>6.0769999999999999E-3</v>
      </c>
      <c r="F465" s="48"/>
      <c r="G465" s="47"/>
      <c r="H465" s="48"/>
      <c r="I465" s="48"/>
      <c r="J465" s="50"/>
      <c r="K465" s="50"/>
      <c r="L465" s="48"/>
      <c r="M465" s="47"/>
      <c r="N465" s="48"/>
      <c r="O465" s="48"/>
      <c r="P465" s="48"/>
    </row>
    <row r="466" spans="1:16">
      <c r="A466" s="47">
        <v>23525</v>
      </c>
      <c r="B466" s="48">
        <v>11404</v>
      </c>
      <c r="C466" s="48" t="s">
        <v>28</v>
      </c>
      <c r="D466" s="50">
        <v>2.3530000000000001E-3</v>
      </c>
      <c r="E466" s="14">
        <v>1.1452E-2</v>
      </c>
      <c r="F466" s="48"/>
      <c r="G466" s="47"/>
      <c r="H466" s="48"/>
      <c r="I466" s="48"/>
      <c r="J466" s="50"/>
      <c r="K466" s="50"/>
      <c r="L466" s="48"/>
      <c r="M466" s="47"/>
      <c r="N466" s="48"/>
      <c r="O466" s="48"/>
      <c r="P466" s="48"/>
    </row>
    <row r="467" spans="1:16">
      <c r="A467" s="47">
        <v>23558</v>
      </c>
      <c r="B467" s="48">
        <v>11404</v>
      </c>
      <c r="C467" s="48" t="s">
        <v>28</v>
      </c>
      <c r="D467" s="50">
        <v>5.6295999999999999E-2</v>
      </c>
      <c r="E467" s="14">
        <v>1.6424000000000001E-2</v>
      </c>
      <c r="F467" s="48"/>
      <c r="G467" s="47"/>
      <c r="H467" s="48"/>
      <c r="I467" s="48"/>
      <c r="J467" s="50"/>
      <c r="K467" s="50"/>
      <c r="L467" s="48"/>
      <c r="M467" s="47"/>
      <c r="N467" s="48"/>
      <c r="O467" s="48"/>
      <c r="P467" s="48"/>
    </row>
    <row r="468" spans="1:16">
      <c r="A468" s="47">
        <v>23589</v>
      </c>
      <c r="B468" s="48">
        <v>11404</v>
      </c>
      <c r="C468" s="48" t="s">
        <v>28</v>
      </c>
      <c r="D468" s="50">
        <v>3.9271E-2</v>
      </c>
      <c r="E468" s="14">
        <v>1.8239999999999999E-2</v>
      </c>
      <c r="F468" s="48"/>
      <c r="G468" s="47"/>
      <c r="H468" s="48"/>
      <c r="I468" s="48"/>
      <c r="J468" s="50"/>
      <c r="K468" s="50"/>
      <c r="L468" s="48"/>
      <c r="M468" s="47"/>
      <c r="N468" s="48"/>
      <c r="O468" s="48"/>
      <c r="P468" s="48"/>
    </row>
    <row r="469" spans="1:16">
      <c r="A469" s="47">
        <v>23620</v>
      </c>
      <c r="B469" s="48">
        <v>11404</v>
      </c>
      <c r="C469" s="48" t="s">
        <v>28</v>
      </c>
      <c r="D469" s="50">
        <v>-2.7529999999999999E-2</v>
      </c>
      <c r="E469" s="14">
        <v>-1.6230000000000001E-2</v>
      </c>
      <c r="F469" s="48"/>
      <c r="G469" s="47"/>
      <c r="H469" s="48"/>
      <c r="I469" s="48"/>
      <c r="J469" s="50"/>
      <c r="K469" s="50"/>
      <c r="L469" s="48"/>
      <c r="M469" s="47"/>
      <c r="N469" s="48"/>
      <c r="O469" s="48"/>
      <c r="P469" s="48"/>
    </row>
    <row r="470" spans="1:16">
      <c r="A470" s="47">
        <v>23650</v>
      </c>
      <c r="B470" s="48">
        <v>11404</v>
      </c>
      <c r="C470" s="48" t="s">
        <v>28</v>
      </c>
      <c r="D470" s="50">
        <v>7.1429000000000006E-2</v>
      </c>
      <c r="E470" s="14">
        <v>2.8718E-2</v>
      </c>
      <c r="F470" s="48"/>
      <c r="G470" s="47"/>
      <c r="H470" s="48"/>
      <c r="I470" s="48"/>
      <c r="J470" s="50"/>
      <c r="K470" s="50"/>
      <c r="L470" s="48"/>
      <c r="M470" s="47"/>
      <c r="N470" s="48"/>
      <c r="O470" s="48"/>
      <c r="P470" s="48"/>
    </row>
    <row r="471" spans="1:16">
      <c r="A471" s="47">
        <v>23680</v>
      </c>
      <c r="B471" s="48">
        <v>11404</v>
      </c>
      <c r="C471" s="48" t="s">
        <v>28</v>
      </c>
      <c r="D471" s="50">
        <v>-1.9608E-2</v>
      </c>
      <c r="E471" s="14">
        <v>8.0780000000000001E-3</v>
      </c>
      <c r="F471" s="48"/>
      <c r="G471" s="47"/>
      <c r="H471" s="48"/>
      <c r="I471" s="48"/>
      <c r="J471" s="50"/>
      <c r="K471" s="50"/>
      <c r="L471" s="48"/>
      <c r="M471" s="47"/>
      <c r="N471" s="48"/>
      <c r="O471" s="48"/>
      <c r="P471" s="48"/>
    </row>
    <row r="472" spans="1:16">
      <c r="A472" s="47">
        <v>23711</v>
      </c>
      <c r="B472" s="48">
        <v>11404</v>
      </c>
      <c r="C472" s="48" t="s">
        <v>28</v>
      </c>
      <c r="D472" s="50">
        <v>-1.12E-2</v>
      </c>
      <c r="E472" s="14">
        <v>-5.1850000000000004E-3</v>
      </c>
      <c r="F472" s="48"/>
      <c r="G472" s="47"/>
      <c r="H472" s="48"/>
      <c r="I472" s="48"/>
      <c r="J472" s="50"/>
      <c r="K472" s="50"/>
      <c r="L472" s="48"/>
      <c r="M472" s="47"/>
      <c r="N472" s="48"/>
      <c r="O472" s="48"/>
      <c r="P472" s="48"/>
    </row>
    <row r="473" spans="1:16">
      <c r="A473" s="47">
        <v>23742</v>
      </c>
      <c r="B473" s="48">
        <v>11404</v>
      </c>
      <c r="C473" s="48" t="s">
        <v>28</v>
      </c>
      <c r="D473" s="50">
        <v>5.0340000000000003E-2</v>
      </c>
      <c r="E473" s="14">
        <v>3.9090000000000001E-3</v>
      </c>
      <c r="F473" s="48"/>
      <c r="G473" s="47"/>
      <c r="H473" s="48"/>
      <c r="I473" s="48"/>
      <c r="J473" s="50"/>
      <c r="K473" s="50"/>
      <c r="L473" s="48"/>
      <c r="M473" s="47"/>
      <c r="N473" s="48"/>
      <c r="O473" s="48"/>
      <c r="P473" s="48"/>
    </row>
    <row r="474" spans="1:16">
      <c r="A474" s="47">
        <v>23771</v>
      </c>
      <c r="B474" s="48">
        <v>11404</v>
      </c>
      <c r="C474" s="48" t="s">
        <v>28</v>
      </c>
      <c r="D474" s="50">
        <v>1.4249E-2</v>
      </c>
      <c r="E474" s="14">
        <v>3.3155999999999998E-2</v>
      </c>
      <c r="F474" s="48"/>
      <c r="G474" s="47"/>
      <c r="H474" s="48"/>
      <c r="I474" s="48"/>
      <c r="J474" s="50"/>
      <c r="K474" s="50"/>
      <c r="L474" s="48"/>
      <c r="M474" s="47"/>
      <c r="N474" s="48"/>
      <c r="O474" s="48"/>
      <c r="P474" s="48"/>
    </row>
    <row r="475" spans="1:16">
      <c r="A475" s="47">
        <v>23799</v>
      </c>
      <c r="B475" s="48">
        <v>11404</v>
      </c>
      <c r="C475" s="48" t="s">
        <v>28</v>
      </c>
      <c r="D475" s="50">
        <v>-2.7845999999999999E-2</v>
      </c>
      <c r="E475" s="14">
        <v>-1.485E-3</v>
      </c>
      <c r="F475" s="48"/>
      <c r="G475" s="47"/>
      <c r="H475" s="48"/>
      <c r="I475" s="48"/>
      <c r="J475" s="50"/>
      <c r="K475" s="50"/>
      <c r="L475" s="48"/>
      <c r="M475" s="47"/>
      <c r="N475" s="48"/>
      <c r="O475" s="48"/>
      <c r="P475" s="48"/>
    </row>
    <row r="476" spans="1:16">
      <c r="A476" s="47">
        <v>23832</v>
      </c>
      <c r="B476" s="48">
        <v>11404</v>
      </c>
      <c r="C476" s="48" t="s">
        <v>28</v>
      </c>
      <c r="D476" s="50">
        <v>-1.061E-2</v>
      </c>
      <c r="E476" s="14">
        <v>-1.4526000000000001E-2</v>
      </c>
      <c r="F476" s="48"/>
      <c r="G476" s="47"/>
      <c r="H476" s="48"/>
      <c r="I476" s="48"/>
      <c r="J476" s="50"/>
      <c r="K476" s="50"/>
      <c r="L476" s="48"/>
      <c r="M476" s="47"/>
      <c r="N476" s="48"/>
      <c r="O476" s="48"/>
      <c r="P476" s="48"/>
    </row>
    <row r="477" spans="1:16">
      <c r="A477" s="47">
        <v>23862</v>
      </c>
      <c r="B477" s="48">
        <v>11404</v>
      </c>
      <c r="C477" s="48" t="s">
        <v>28</v>
      </c>
      <c r="D477" s="50">
        <v>0</v>
      </c>
      <c r="E477" s="14">
        <v>3.4238999999999999E-2</v>
      </c>
      <c r="F477" s="48"/>
      <c r="G477" s="47"/>
      <c r="H477" s="48"/>
      <c r="I477" s="48"/>
      <c r="J477" s="50"/>
      <c r="K477" s="50"/>
      <c r="L477" s="48"/>
      <c r="M477" s="47"/>
      <c r="N477" s="48"/>
      <c r="O477" s="48"/>
      <c r="P477" s="48"/>
    </row>
    <row r="478" spans="1:16">
      <c r="A478" s="47">
        <v>23890</v>
      </c>
      <c r="B478" s="48">
        <v>11404</v>
      </c>
      <c r="C478" s="48" t="s">
        <v>28</v>
      </c>
      <c r="D478" s="50">
        <v>-1.7158E-2</v>
      </c>
      <c r="E478" s="14">
        <v>-7.7429999999999999E-3</v>
      </c>
      <c r="F478" s="48"/>
      <c r="G478" s="47"/>
      <c r="H478" s="48"/>
      <c r="I478" s="48"/>
      <c r="J478" s="50"/>
      <c r="K478" s="50"/>
      <c r="L478" s="48"/>
      <c r="M478" s="47"/>
      <c r="N478" s="48"/>
      <c r="O478" s="48"/>
      <c r="P478" s="48"/>
    </row>
    <row r="479" spans="1:16">
      <c r="A479" s="47">
        <v>23923</v>
      </c>
      <c r="B479" s="48">
        <v>11404</v>
      </c>
      <c r="C479" s="48" t="s">
        <v>28</v>
      </c>
      <c r="D479" s="50">
        <v>-2.2039E-2</v>
      </c>
      <c r="E479" s="14">
        <v>-4.8632000000000002E-2</v>
      </c>
      <c r="F479" s="48"/>
      <c r="G479" s="47"/>
      <c r="H479" s="48"/>
      <c r="I479" s="48"/>
      <c r="J479" s="50"/>
      <c r="K479" s="50"/>
      <c r="L479" s="48"/>
      <c r="M479" s="47"/>
      <c r="N479" s="48"/>
      <c r="O479" s="48"/>
      <c r="P479" s="48"/>
    </row>
    <row r="480" spans="1:16">
      <c r="A480" s="47">
        <v>23953</v>
      </c>
      <c r="B480" s="48">
        <v>11404</v>
      </c>
      <c r="C480" s="48" t="s">
        <v>28</v>
      </c>
      <c r="D480" s="50">
        <v>-1.1268E-2</v>
      </c>
      <c r="E480" s="14">
        <v>1.3433E-2</v>
      </c>
      <c r="F480" s="48"/>
      <c r="G480" s="47"/>
      <c r="H480" s="48"/>
      <c r="I480" s="48"/>
      <c r="J480" s="50"/>
      <c r="K480" s="50"/>
      <c r="L480" s="48"/>
      <c r="M480" s="47"/>
      <c r="N480" s="48"/>
      <c r="O480" s="48"/>
      <c r="P480" s="48"/>
    </row>
    <row r="481" spans="1:16">
      <c r="A481" s="47">
        <v>23985</v>
      </c>
      <c r="B481" s="48">
        <v>11404</v>
      </c>
      <c r="C481" s="48" t="s">
        <v>28</v>
      </c>
      <c r="D481" s="50">
        <v>3.0199E-2</v>
      </c>
      <c r="E481" s="14">
        <v>2.2522E-2</v>
      </c>
      <c r="F481" s="48"/>
      <c r="G481" s="47"/>
      <c r="H481" s="48"/>
      <c r="I481" s="48"/>
      <c r="J481" s="50"/>
      <c r="K481" s="50"/>
      <c r="L481" s="48"/>
      <c r="M481" s="47"/>
      <c r="N481" s="48"/>
      <c r="O481" s="48"/>
      <c r="P481" s="48"/>
    </row>
    <row r="482" spans="1:16">
      <c r="A482" s="47">
        <v>24015</v>
      </c>
      <c r="B482" s="48">
        <v>11404</v>
      </c>
      <c r="C482" s="48" t="s">
        <v>28</v>
      </c>
      <c r="D482" s="50">
        <v>-1.6760000000000001E-2</v>
      </c>
      <c r="E482" s="14">
        <v>3.2006E-2</v>
      </c>
      <c r="F482" s="48"/>
      <c r="G482" s="47"/>
      <c r="H482" s="48"/>
      <c r="I482" s="48"/>
      <c r="J482" s="50"/>
      <c r="K482" s="50"/>
      <c r="L482" s="48"/>
      <c r="M482" s="47"/>
      <c r="N482" s="48"/>
      <c r="O482" s="48"/>
      <c r="P482" s="48"/>
    </row>
    <row r="483" spans="1:16">
      <c r="A483" s="47">
        <v>24044</v>
      </c>
      <c r="B483" s="48">
        <v>11404</v>
      </c>
      <c r="C483" s="48" t="s">
        <v>28</v>
      </c>
      <c r="D483" s="50">
        <v>3.9773000000000003E-2</v>
      </c>
      <c r="E483" s="14">
        <v>2.7345000000000001E-2</v>
      </c>
      <c r="F483" s="48"/>
      <c r="G483" s="47"/>
      <c r="H483" s="48"/>
      <c r="I483" s="48"/>
      <c r="J483" s="50"/>
      <c r="K483" s="50"/>
      <c r="L483" s="48"/>
      <c r="M483" s="47"/>
      <c r="N483" s="48"/>
      <c r="O483" s="48"/>
      <c r="P483" s="48"/>
    </row>
    <row r="484" spans="1:16">
      <c r="A484" s="47">
        <v>24076</v>
      </c>
      <c r="B484" s="48">
        <v>11404</v>
      </c>
      <c r="C484" s="48" t="s">
        <v>28</v>
      </c>
      <c r="D484" s="50">
        <v>-7.7595999999999998E-2</v>
      </c>
      <c r="E484" s="14">
        <v>-8.7639999999999992E-3</v>
      </c>
      <c r="F484" s="48"/>
      <c r="G484" s="47"/>
      <c r="H484" s="48"/>
      <c r="I484" s="48"/>
      <c r="J484" s="50"/>
      <c r="K484" s="50"/>
      <c r="L484" s="48"/>
      <c r="M484" s="47"/>
      <c r="N484" s="48"/>
      <c r="O484" s="48"/>
      <c r="P484" s="48"/>
    </row>
    <row r="485" spans="1:16">
      <c r="A485" s="47">
        <v>24107</v>
      </c>
      <c r="B485" s="48">
        <v>11404</v>
      </c>
      <c r="C485" s="48" t="s">
        <v>28</v>
      </c>
      <c r="D485" s="50">
        <v>1.1976000000000001E-2</v>
      </c>
      <c r="E485" s="14">
        <v>8.9510000000000006E-3</v>
      </c>
      <c r="F485" s="48"/>
      <c r="G485" s="47"/>
      <c r="H485" s="48"/>
      <c r="I485" s="48"/>
      <c r="J485" s="50"/>
      <c r="K485" s="50"/>
      <c r="L485" s="48"/>
      <c r="M485" s="47"/>
      <c r="N485" s="48"/>
      <c r="O485" s="48"/>
      <c r="P485" s="48"/>
    </row>
    <row r="486" spans="1:16">
      <c r="A486" s="47">
        <v>24138</v>
      </c>
      <c r="B486" s="48">
        <v>11404</v>
      </c>
      <c r="C486" s="48" t="s">
        <v>28</v>
      </c>
      <c r="D486" s="50">
        <v>-1.7750999999999999E-2</v>
      </c>
      <c r="E486" s="14">
        <v>4.8690000000000001E-3</v>
      </c>
      <c r="F486" s="48"/>
      <c r="G486" s="47"/>
      <c r="H486" s="48"/>
      <c r="I486" s="48"/>
      <c r="J486" s="50"/>
      <c r="K486" s="50"/>
      <c r="L486" s="48"/>
      <c r="M486" s="47"/>
      <c r="N486" s="48"/>
      <c r="O486" s="48"/>
      <c r="P486" s="48"/>
    </row>
    <row r="487" spans="1:16">
      <c r="A487" s="47">
        <v>24166</v>
      </c>
      <c r="B487" s="48">
        <v>11404</v>
      </c>
      <c r="C487" s="48" t="s">
        <v>28</v>
      </c>
      <c r="D487" s="50">
        <v>-2.2289E-2</v>
      </c>
      <c r="E487" s="14">
        <v>-1.7873E-2</v>
      </c>
      <c r="F487" s="48"/>
      <c r="G487" s="47"/>
      <c r="H487" s="48"/>
      <c r="I487" s="48"/>
      <c r="J487" s="50"/>
      <c r="K487" s="50"/>
      <c r="L487" s="48"/>
      <c r="M487" s="47"/>
      <c r="N487" s="48"/>
      <c r="O487" s="48"/>
      <c r="P487" s="48"/>
    </row>
    <row r="488" spans="1:16">
      <c r="A488" s="47">
        <v>24197</v>
      </c>
      <c r="B488" s="48">
        <v>11404</v>
      </c>
      <c r="C488" s="48" t="s">
        <v>28</v>
      </c>
      <c r="D488" s="50">
        <v>-3.1153E-2</v>
      </c>
      <c r="E488" s="14">
        <v>-2.1815000000000001E-2</v>
      </c>
      <c r="F488" s="48"/>
      <c r="G488" s="47"/>
      <c r="H488" s="48"/>
      <c r="I488" s="48"/>
      <c r="J488" s="50"/>
      <c r="K488" s="50"/>
      <c r="L488" s="48"/>
      <c r="M488" s="47"/>
      <c r="N488" s="48"/>
      <c r="O488" s="48"/>
      <c r="P488" s="48"/>
    </row>
    <row r="489" spans="1:16">
      <c r="A489" s="47">
        <v>24226</v>
      </c>
      <c r="B489" s="48">
        <v>11404</v>
      </c>
      <c r="C489" s="48" t="s">
        <v>28</v>
      </c>
      <c r="D489" s="50">
        <v>-1.2862E-2</v>
      </c>
      <c r="E489" s="14">
        <v>2.0508999999999999E-2</v>
      </c>
      <c r="F489" s="48"/>
      <c r="G489" s="47"/>
      <c r="H489" s="48"/>
      <c r="I489" s="48"/>
      <c r="J489" s="50"/>
      <c r="K489" s="50"/>
      <c r="L489" s="48"/>
      <c r="M489" s="47"/>
      <c r="N489" s="48"/>
      <c r="O489" s="48"/>
      <c r="P489" s="48"/>
    </row>
    <row r="490" spans="1:16">
      <c r="A490" s="47">
        <v>24258</v>
      </c>
      <c r="B490" s="48">
        <v>11404</v>
      </c>
      <c r="C490" s="48" t="s">
        <v>28</v>
      </c>
      <c r="D490" s="50">
        <v>-4.3647999999999999E-2</v>
      </c>
      <c r="E490" s="14">
        <v>-5.4140000000000001E-2</v>
      </c>
      <c r="F490" s="48"/>
      <c r="G490" s="47"/>
      <c r="H490" s="48"/>
      <c r="I490" s="48"/>
      <c r="J490" s="50"/>
      <c r="K490" s="50"/>
      <c r="L490" s="48"/>
      <c r="M490" s="47"/>
      <c r="N490" s="48"/>
      <c r="O490" s="48"/>
      <c r="P490" s="48"/>
    </row>
    <row r="491" spans="1:16">
      <c r="A491" s="47">
        <v>24288</v>
      </c>
      <c r="B491" s="48">
        <v>11404</v>
      </c>
      <c r="C491" s="48" t="s">
        <v>28</v>
      </c>
      <c r="D491" s="50">
        <v>-1.0345E-2</v>
      </c>
      <c r="E491" s="14">
        <v>-1.6138E-2</v>
      </c>
      <c r="F491" s="48"/>
      <c r="G491" s="47"/>
      <c r="H491" s="48"/>
      <c r="I491" s="48"/>
      <c r="J491" s="50"/>
      <c r="K491" s="50"/>
      <c r="L491" s="48"/>
      <c r="M491" s="47"/>
      <c r="N491" s="48"/>
      <c r="O491" s="48"/>
      <c r="P491" s="48"/>
    </row>
    <row r="492" spans="1:16">
      <c r="A492" s="47">
        <v>24317</v>
      </c>
      <c r="B492" s="48">
        <v>11404</v>
      </c>
      <c r="C492" s="48" t="s">
        <v>28</v>
      </c>
      <c r="D492" s="50">
        <v>-3.4840000000000001E-3</v>
      </c>
      <c r="E492" s="14">
        <v>-1.3453E-2</v>
      </c>
      <c r="F492" s="48"/>
      <c r="G492" s="47"/>
      <c r="H492" s="48"/>
      <c r="I492" s="48"/>
      <c r="J492" s="50"/>
      <c r="K492" s="50"/>
      <c r="L492" s="48"/>
      <c r="M492" s="47"/>
      <c r="N492" s="48"/>
      <c r="O492" s="48"/>
      <c r="P492" s="48"/>
    </row>
    <row r="493" spans="1:16">
      <c r="A493" s="47">
        <v>24350</v>
      </c>
      <c r="B493" s="48">
        <v>11404</v>
      </c>
      <c r="C493" s="48" t="s">
        <v>28</v>
      </c>
      <c r="D493" s="50">
        <v>-6.7832000000000003E-2</v>
      </c>
      <c r="E493" s="14">
        <v>-7.7751000000000001E-2</v>
      </c>
      <c r="F493" s="48"/>
      <c r="G493" s="47"/>
      <c r="H493" s="48"/>
      <c r="I493" s="48"/>
      <c r="J493" s="50"/>
      <c r="K493" s="50"/>
      <c r="L493" s="48"/>
      <c r="M493" s="47"/>
      <c r="N493" s="48"/>
      <c r="O493" s="48"/>
      <c r="P493" s="48"/>
    </row>
    <row r="494" spans="1:16">
      <c r="A494" s="47">
        <v>24380</v>
      </c>
      <c r="B494" s="48">
        <v>11404</v>
      </c>
      <c r="C494" s="48" t="s">
        <v>28</v>
      </c>
      <c r="D494" s="50">
        <v>-7.6049999999999998E-3</v>
      </c>
      <c r="E494" s="14">
        <v>-7.0039999999999998E-3</v>
      </c>
      <c r="F494" s="48"/>
      <c r="G494" s="47"/>
      <c r="H494" s="48"/>
      <c r="I494" s="48"/>
      <c r="J494" s="50"/>
      <c r="K494" s="50"/>
      <c r="L494" s="48"/>
      <c r="M494" s="47"/>
      <c r="N494" s="48"/>
      <c r="O494" s="48"/>
      <c r="P494" s="48"/>
    </row>
    <row r="495" spans="1:16">
      <c r="A495" s="47">
        <v>24411</v>
      </c>
      <c r="B495" s="48">
        <v>11404</v>
      </c>
      <c r="C495" s="48" t="s">
        <v>28</v>
      </c>
      <c r="D495" s="50">
        <v>4.2146000000000003E-2</v>
      </c>
      <c r="E495" s="14">
        <v>4.7544000000000003E-2</v>
      </c>
      <c r="F495" s="48"/>
      <c r="G495" s="47"/>
      <c r="H495" s="48"/>
      <c r="I495" s="48"/>
      <c r="J495" s="50"/>
      <c r="K495" s="50"/>
      <c r="L495" s="48"/>
      <c r="M495" s="47"/>
      <c r="N495" s="48"/>
      <c r="O495" s="48"/>
      <c r="P495" s="48"/>
    </row>
    <row r="496" spans="1:16">
      <c r="A496" s="47">
        <v>24441</v>
      </c>
      <c r="B496" s="48">
        <v>11404</v>
      </c>
      <c r="C496" s="48" t="s">
        <v>28</v>
      </c>
      <c r="D496" s="50">
        <v>-2.3529000000000001E-2</v>
      </c>
      <c r="E496" s="14">
        <v>3.117E-3</v>
      </c>
      <c r="F496" s="48"/>
      <c r="G496" s="47"/>
      <c r="H496" s="48"/>
      <c r="I496" s="48"/>
      <c r="J496" s="50"/>
      <c r="K496" s="50"/>
      <c r="L496" s="48"/>
      <c r="M496" s="47"/>
      <c r="N496" s="48"/>
      <c r="O496" s="48"/>
      <c r="P496" s="48"/>
    </row>
    <row r="497" spans="1:16">
      <c r="A497" s="47">
        <v>24471</v>
      </c>
      <c r="B497" s="48">
        <v>11404</v>
      </c>
      <c r="C497" s="48" t="s">
        <v>28</v>
      </c>
      <c r="D497" s="50">
        <v>-3.4351E-2</v>
      </c>
      <c r="E497" s="14">
        <v>-1.4920000000000001E-3</v>
      </c>
      <c r="F497" s="48"/>
      <c r="G497" s="47"/>
      <c r="H497" s="48"/>
      <c r="I497" s="48"/>
      <c r="J497" s="50"/>
      <c r="K497" s="50"/>
      <c r="L497" s="48"/>
      <c r="M497" s="47"/>
      <c r="N497" s="48"/>
      <c r="O497" s="48"/>
      <c r="P497" s="48"/>
    </row>
    <row r="498" spans="1:16">
      <c r="A498" s="47">
        <v>24503</v>
      </c>
      <c r="B498" s="48">
        <v>11404</v>
      </c>
      <c r="C498" s="48" t="s">
        <v>28</v>
      </c>
      <c r="D498" s="50">
        <v>0.10909099999999999</v>
      </c>
      <c r="E498" s="14">
        <v>7.8177999999999997E-2</v>
      </c>
      <c r="F498" s="48"/>
      <c r="G498" s="47"/>
      <c r="H498" s="48"/>
      <c r="I498" s="48"/>
      <c r="J498" s="50"/>
      <c r="K498" s="50"/>
      <c r="L498" s="48"/>
      <c r="M498" s="47"/>
      <c r="N498" s="48"/>
      <c r="O498" s="48"/>
      <c r="P498" s="48"/>
    </row>
    <row r="499" spans="1:16">
      <c r="A499" s="47">
        <v>24531</v>
      </c>
      <c r="B499" s="48">
        <v>11404</v>
      </c>
      <c r="C499" s="48" t="s">
        <v>28</v>
      </c>
      <c r="D499" s="50">
        <v>-1.0829999999999999E-2</v>
      </c>
      <c r="E499" s="14">
        <v>1.9629999999999999E-3</v>
      </c>
      <c r="F499" s="48"/>
      <c r="G499" s="47"/>
      <c r="H499" s="48"/>
      <c r="I499" s="48"/>
      <c r="J499" s="50"/>
      <c r="K499" s="50"/>
      <c r="L499" s="48"/>
      <c r="M499" s="47"/>
      <c r="N499" s="48"/>
      <c r="O499" s="48"/>
      <c r="P499" s="48"/>
    </row>
    <row r="500" spans="1:16">
      <c r="A500" s="47">
        <v>24562</v>
      </c>
      <c r="B500" s="48">
        <v>11404</v>
      </c>
      <c r="C500" s="48" t="s">
        <v>28</v>
      </c>
      <c r="D500" s="50">
        <v>4.3796000000000002E-2</v>
      </c>
      <c r="E500" s="14">
        <v>3.9410000000000001E-2</v>
      </c>
      <c r="F500" s="48"/>
      <c r="G500" s="47"/>
      <c r="H500" s="48"/>
      <c r="I500" s="48"/>
      <c r="J500" s="50"/>
      <c r="K500" s="50"/>
      <c r="L500" s="48"/>
      <c r="M500" s="47"/>
      <c r="N500" s="48"/>
      <c r="O500" s="48"/>
      <c r="P500" s="48"/>
    </row>
    <row r="501" spans="1:16">
      <c r="A501" s="47">
        <v>24590</v>
      </c>
      <c r="B501" s="48">
        <v>11404</v>
      </c>
      <c r="C501" s="48" t="s">
        <v>28</v>
      </c>
      <c r="D501" s="50">
        <v>-3.4970000000000001E-3</v>
      </c>
      <c r="E501" s="14">
        <v>4.2238999999999999E-2</v>
      </c>
      <c r="F501" s="48"/>
      <c r="G501" s="47"/>
      <c r="H501" s="48"/>
      <c r="I501" s="48"/>
      <c r="J501" s="50"/>
      <c r="K501" s="50"/>
      <c r="L501" s="48"/>
      <c r="M501" s="47"/>
      <c r="N501" s="48"/>
      <c r="O501" s="48"/>
      <c r="P501" s="48"/>
    </row>
    <row r="502" spans="1:16">
      <c r="A502" s="47">
        <v>24623</v>
      </c>
      <c r="B502" s="48">
        <v>11404</v>
      </c>
      <c r="C502" s="48" t="s">
        <v>28</v>
      </c>
      <c r="D502" s="50">
        <v>-2.9474E-2</v>
      </c>
      <c r="E502" s="14">
        <v>-5.2441000000000002E-2</v>
      </c>
      <c r="F502" s="48"/>
      <c r="G502" s="47"/>
      <c r="H502" s="48"/>
      <c r="I502" s="48"/>
      <c r="J502" s="50"/>
      <c r="K502" s="50"/>
      <c r="L502" s="48"/>
      <c r="M502" s="47"/>
      <c r="N502" s="48"/>
      <c r="O502" s="48"/>
      <c r="P502" s="48"/>
    </row>
    <row r="503" spans="1:16">
      <c r="A503" s="47">
        <v>24653</v>
      </c>
      <c r="B503" s="48">
        <v>11404</v>
      </c>
      <c r="C503" s="48" t="s">
        <v>28</v>
      </c>
      <c r="D503" s="50">
        <v>-1.4652E-2</v>
      </c>
      <c r="E503" s="14">
        <v>1.7512E-2</v>
      </c>
      <c r="F503" s="48"/>
      <c r="G503" s="47"/>
      <c r="H503" s="48"/>
      <c r="I503" s="48"/>
      <c r="J503" s="50"/>
      <c r="K503" s="50"/>
      <c r="L503" s="48"/>
      <c r="M503" s="47"/>
      <c r="N503" s="48"/>
      <c r="O503" s="48"/>
      <c r="P503" s="48"/>
    </row>
    <row r="504" spans="1:16">
      <c r="A504" s="47">
        <v>24684</v>
      </c>
      <c r="B504" s="48">
        <v>11404</v>
      </c>
      <c r="C504" s="48" t="s">
        <v>28</v>
      </c>
      <c r="D504" s="50">
        <v>2.9739999999999999E-2</v>
      </c>
      <c r="E504" s="14">
        <v>4.5344000000000002E-2</v>
      </c>
      <c r="F504" s="48"/>
      <c r="G504" s="47"/>
      <c r="H504" s="48"/>
      <c r="I504" s="48"/>
      <c r="J504" s="50"/>
      <c r="K504" s="50"/>
      <c r="L504" s="48"/>
      <c r="M504" s="47"/>
      <c r="N504" s="48"/>
      <c r="O504" s="48"/>
      <c r="P504" s="48"/>
    </row>
    <row r="505" spans="1:16">
      <c r="A505" s="47">
        <v>24715</v>
      </c>
      <c r="B505" s="48">
        <v>11404</v>
      </c>
      <c r="C505" s="48" t="s">
        <v>28</v>
      </c>
      <c r="D505" s="50">
        <v>-1.2274E-2</v>
      </c>
      <c r="E505" s="14">
        <v>-1.1715E-2</v>
      </c>
      <c r="F505" s="48"/>
      <c r="G505" s="47"/>
      <c r="H505" s="48"/>
      <c r="I505" s="48"/>
      <c r="J505" s="50"/>
      <c r="K505" s="50"/>
      <c r="L505" s="48"/>
      <c r="M505" s="47"/>
      <c r="N505" s="48"/>
      <c r="O505" s="48"/>
      <c r="P505" s="48"/>
    </row>
    <row r="506" spans="1:16">
      <c r="A506" s="47">
        <v>24744</v>
      </c>
      <c r="B506" s="48">
        <v>11404</v>
      </c>
      <c r="C506" s="48" t="s">
        <v>28</v>
      </c>
      <c r="D506" s="50">
        <v>0</v>
      </c>
      <c r="E506" s="14">
        <v>3.2785000000000002E-2</v>
      </c>
      <c r="F506" s="48"/>
      <c r="G506" s="47"/>
      <c r="H506" s="48"/>
      <c r="I506" s="48"/>
      <c r="J506" s="50"/>
      <c r="K506" s="50"/>
      <c r="L506" s="48"/>
      <c r="M506" s="47"/>
      <c r="N506" s="48"/>
      <c r="O506" s="48"/>
      <c r="P506" s="48"/>
    </row>
    <row r="507" spans="1:16">
      <c r="A507" s="47">
        <v>24776</v>
      </c>
      <c r="B507" s="48">
        <v>11404</v>
      </c>
      <c r="C507" s="48" t="s">
        <v>28</v>
      </c>
      <c r="D507" s="50">
        <v>-8.8889999999999993E-3</v>
      </c>
      <c r="E507" s="14">
        <v>-2.9055999999999998E-2</v>
      </c>
      <c r="F507" s="48"/>
      <c r="G507" s="47"/>
      <c r="H507" s="48"/>
      <c r="I507" s="48"/>
      <c r="J507" s="50"/>
      <c r="K507" s="50"/>
      <c r="L507" s="48"/>
      <c r="M507" s="47"/>
      <c r="N507" s="48"/>
      <c r="O507" s="48"/>
      <c r="P507" s="48"/>
    </row>
    <row r="508" spans="1:16">
      <c r="A508" s="47">
        <v>24806</v>
      </c>
      <c r="B508" s="48">
        <v>11404</v>
      </c>
      <c r="C508" s="48" t="s">
        <v>28</v>
      </c>
      <c r="D508" s="50">
        <v>-3.0303E-2</v>
      </c>
      <c r="E508" s="14">
        <v>1.065E-3</v>
      </c>
      <c r="F508" s="48"/>
      <c r="G508" s="47"/>
      <c r="H508" s="48"/>
      <c r="I508" s="48"/>
      <c r="J508" s="50"/>
      <c r="K508" s="50"/>
      <c r="L508" s="48"/>
      <c r="M508" s="47"/>
      <c r="N508" s="48"/>
      <c r="O508" s="48"/>
      <c r="P508" s="48"/>
    </row>
    <row r="509" spans="1:16">
      <c r="A509" s="47">
        <v>24835</v>
      </c>
      <c r="B509" s="48">
        <v>11404</v>
      </c>
      <c r="C509" s="48" t="s">
        <v>28</v>
      </c>
      <c r="D509" s="50">
        <v>-1.9531E-2</v>
      </c>
      <c r="E509" s="14">
        <v>2.6276999999999998E-2</v>
      </c>
      <c r="F509" s="48"/>
      <c r="G509" s="47"/>
      <c r="H509" s="48"/>
      <c r="I509" s="48"/>
      <c r="J509" s="50"/>
      <c r="K509" s="50"/>
      <c r="L509" s="48"/>
      <c r="M509" s="47"/>
      <c r="N509" s="48"/>
      <c r="O509" s="48"/>
      <c r="P509" s="48"/>
    </row>
    <row r="510" spans="1:16">
      <c r="A510" s="47">
        <v>24868</v>
      </c>
      <c r="B510" s="48">
        <v>11404</v>
      </c>
      <c r="C510" s="48" t="s">
        <v>28</v>
      </c>
      <c r="D510" s="50">
        <v>0.105976</v>
      </c>
      <c r="E510" s="14">
        <v>-4.3847999999999998E-2</v>
      </c>
      <c r="F510" s="48"/>
      <c r="G510" s="47"/>
      <c r="H510" s="48"/>
      <c r="I510" s="48"/>
      <c r="J510" s="50"/>
      <c r="K510" s="50"/>
      <c r="L510" s="48"/>
      <c r="M510" s="47"/>
      <c r="N510" s="48"/>
      <c r="O510" s="48"/>
      <c r="P510" s="48"/>
    </row>
    <row r="511" spans="1:16">
      <c r="A511" s="47">
        <v>24897</v>
      </c>
      <c r="B511" s="48">
        <v>11404</v>
      </c>
      <c r="C511" s="48" t="s">
        <v>28</v>
      </c>
      <c r="D511" s="50">
        <v>-1.8248E-2</v>
      </c>
      <c r="E511" s="14">
        <v>-3.1223000000000001E-2</v>
      </c>
      <c r="F511" s="48"/>
      <c r="G511" s="47"/>
      <c r="H511" s="48"/>
      <c r="I511" s="48"/>
      <c r="J511" s="50"/>
      <c r="K511" s="50"/>
      <c r="L511" s="48"/>
      <c r="M511" s="47"/>
      <c r="N511" s="48"/>
      <c r="O511" s="48"/>
      <c r="P511" s="48"/>
    </row>
    <row r="512" spans="1:16">
      <c r="A512" s="47">
        <v>24926</v>
      </c>
      <c r="B512" s="48">
        <v>11404</v>
      </c>
      <c r="C512" s="48" t="s">
        <v>28</v>
      </c>
      <c r="D512" s="50">
        <v>-2.8156E-2</v>
      </c>
      <c r="E512" s="14">
        <v>9.4000000000000004E-3</v>
      </c>
      <c r="F512" s="48"/>
      <c r="G512" s="47"/>
      <c r="H512" s="48"/>
      <c r="I512" s="48"/>
      <c r="J512" s="50"/>
      <c r="K512" s="50"/>
      <c r="L512" s="48"/>
      <c r="M512" s="47"/>
      <c r="N512" s="48"/>
      <c r="O512" s="48"/>
      <c r="P512" s="48"/>
    </row>
    <row r="513" spans="1:16">
      <c r="A513" s="47">
        <v>24958</v>
      </c>
      <c r="B513" s="48">
        <v>11404</v>
      </c>
      <c r="C513" s="48" t="s">
        <v>28</v>
      </c>
      <c r="D513" s="50">
        <v>4.4443999999999997E-2</v>
      </c>
      <c r="E513" s="14">
        <v>8.1929000000000002E-2</v>
      </c>
      <c r="F513" s="48"/>
      <c r="G513" s="47"/>
      <c r="H513" s="48"/>
      <c r="I513" s="48"/>
      <c r="J513" s="50"/>
      <c r="K513" s="50"/>
      <c r="L513" s="48"/>
      <c r="M513" s="47"/>
      <c r="N513" s="48"/>
      <c r="O513" s="48"/>
      <c r="P513" s="48"/>
    </row>
    <row r="514" spans="1:16">
      <c r="A514" s="47">
        <v>24989</v>
      </c>
      <c r="B514" s="48">
        <v>11404</v>
      </c>
      <c r="C514" s="48" t="s">
        <v>28</v>
      </c>
      <c r="D514" s="50">
        <v>-4.0891999999999998E-2</v>
      </c>
      <c r="E514" s="14">
        <v>1.1169E-2</v>
      </c>
      <c r="F514" s="48"/>
      <c r="G514" s="47"/>
      <c r="H514" s="48"/>
      <c r="I514" s="48"/>
      <c r="J514" s="50"/>
      <c r="K514" s="50"/>
      <c r="L514" s="48"/>
      <c r="M514" s="47"/>
      <c r="N514" s="48"/>
      <c r="O514" s="48"/>
      <c r="P514" s="48"/>
    </row>
    <row r="515" spans="1:16">
      <c r="A515" s="47">
        <v>25017</v>
      </c>
      <c r="B515" s="48">
        <v>11404</v>
      </c>
      <c r="C515" s="48" t="s">
        <v>28</v>
      </c>
      <c r="D515" s="50">
        <v>5.0388000000000002E-2</v>
      </c>
      <c r="E515" s="14">
        <v>9.1199999999999996E-3</v>
      </c>
      <c r="F515" s="48"/>
      <c r="G515" s="47"/>
      <c r="H515" s="48"/>
      <c r="I515" s="48"/>
      <c r="J515" s="50"/>
      <c r="K515" s="50"/>
      <c r="L515" s="48"/>
      <c r="M515" s="47"/>
      <c r="N515" s="48"/>
      <c r="O515" s="48"/>
      <c r="P515" s="48"/>
    </row>
    <row r="516" spans="1:16">
      <c r="A516" s="47">
        <v>25049</v>
      </c>
      <c r="B516" s="48">
        <v>11404</v>
      </c>
      <c r="C516" s="48" t="s">
        <v>28</v>
      </c>
      <c r="D516" s="50">
        <v>3.1733999999999998E-2</v>
      </c>
      <c r="E516" s="14">
        <v>-1.8478000000000001E-2</v>
      </c>
      <c r="F516" s="48"/>
      <c r="G516" s="47"/>
      <c r="H516" s="48"/>
      <c r="I516" s="48"/>
      <c r="J516" s="50"/>
      <c r="K516" s="50"/>
      <c r="L516" s="48"/>
      <c r="M516" s="47"/>
      <c r="N516" s="48"/>
      <c r="O516" s="48"/>
      <c r="P516" s="48"/>
    </row>
    <row r="517" spans="1:16">
      <c r="A517" s="47">
        <v>25080</v>
      </c>
      <c r="B517" s="48">
        <v>11404</v>
      </c>
      <c r="C517" s="48" t="s">
        <v>28</v>
      </c>
      <c r="D517" s="50">
        <v>-2.5361999999999999E-2</v>
      </c>
      <c r="E517" s="14">
        <v>1.1459E-2</v>
      </c>
      <c r="F517" s="48"/>
      <c r="G517" s="47"/>
      <c r="H517" s="48"/>
      <c r="I517" s="48"/>
      <c r="J517" s="50"/>
      <c r="K517" s="50"/>
      <c r="L517" s="48"/>
      <c r="M517" s="47"/>
      <c r="N517" s="48"/>
      <c r="O517" s="48"/>
      <c r="P517" s="48"/>
    </row>
    <row r="518" spans="1:16">
      <c r="A518" s="47">
        <v>25111</v>
      </c>
      <c r="B518" s="48">
        <v>11404</v>
      </c>
      <c r="C518" s="48" t="s">
        <v>28</v>
      </c>
      <c r="D518" s="50">
        <v>-7.4349999999999998E-3</v>
      </c>
      <c r="E518" s="14">
        <v>3.8538999999999997E-2</v>
      </c>
      <c r="F518" s="48"/>
      <c r="G518" s="47"/>
      <c r="H518" s="48"/>
      <c r="I518" s="48"/>
      <c r="J518" s="50"/>
      <c r="K518" s="50"/>
      <c r="L518" s="48"/>
      <c r="M518" s="47"/>
      <c r="N518" s="48"/>
      <c r="O518" s="48"/>
      <c r="P518" s="48"/>
    </row>
    <row r="519" spans="1:16">
      <c r="A519" s="47">
        <v>25142</v>
      </c>
      <c r="B519" s="48">
        <v>11404</v>
      </c>
      <c r="C519" s="48" t="s">
        <v>28</v>
      </c>
      <c r="D519" s="50">
        <v>2.2469999999999999E-3</v>
      </c>
      <c r="E519" s="14">
        <v>7.208E-3</v>
      </c>
      <c r="F519" s="48"/>
      <c r="G519" s="47"/>
      <c r="H519" s="48"/>
      <c r="I519" s="48"/>
      <c r="J519" s="50"/>
      <c r="K519" s="50"/>
      <c r="L519" s="48"/>
      <c r="M519" s="47"/>
      <c r="N519" s="48"/>
      <c r="O519" s="48"/>
      <c r="P519" s="48"/>
    </row>
    <row r="520" spans="1:16">
      <c r="A520" s="47">
        <v>25171</v>
      </c>
      <c r="B520" s="48">
        <v>11404</v>
      </c>
      <c r="C520" s="48" t="s">
        <v>28</v>
      </c>
      <c r="D520" s="50">
        <v>3.0303E-2</v>
      </c>
      <c r="E520" s="14">
        <v>4.7964E-2</v>
      </c>
      <c r="F520" s="48"/>
      <c r="G520" s="47"/>
      <c r="H520" s="48"/>
      <c r="I520" s="48"/>
      <c r="J520" s="50"/>
      <c r="K520" s="50"/>
      <c r="L520" s="48"/>
      <c r="M520" s="47"/>
      <c r="N520" s="48"/>
      <c r="O520" s="48"/>
      <c r="P520" s="48"/>
    </row>
    <row r="521" spans="1:16">
      <c r="A521" s="47">
        <v>25203</v>
      </c>
      <c r="B521" s="48">
        <v>11404</v>
      </c>
      <c r="C521" s="48" t="s">
        <v>28</v>
      </c>
      <c r="D521" s="50">
        <v>-2.2058999999999999E-2</v>
      </c>
      <c r="E521" s="14">
        <v>-4.1617000000000001E-2</v>
      </c>
      <c r="F521" s="48"/>
      <c r="G521" s="47"/>
      <c r="H521" s="48"/>
      <c r="I521" s="48"/>
      <c r="J521" s="50"/>
      <c r="K521" s="50"/>
      <c r="L521" s="48"/>
      <c r="M521" s="47"/>
      <c r="N521" s="48"/>
      <c r="O521" s="48"/>
      <c r="P521" s="48"/>
    </row>
    <row r="522" spans="1:16">
      <c r="A522" s="47">
        <v>25234</v>
      </c>
      <c r="B522" s="48">
        <v>11404</v>
      </c>
      <c r="C522" s="48" t="s">
        <v>28</v>
      </c>
      <c r="D522" s="50">
        <v>6.3909999999999995E-2</v>
      </c>
      <c r="E522" s="14">
        <v>-8.1840000000000003E-3</v>
      </c>
      <c r="F522" s="48"/>
      <c r="G522" s="47"/>
      <c r="H522" s="48"/>
      <c r="I522" s="48"/>
      <c r="J522" s="50"/>
      <c r="K522" s="50"/>
      <c r="L522" s="48"/>
      <c r="M522" s="47"/>
      <c r="N522" s="48"/>
      <c r="O522" s="48"/>
      <c r="P522" s="48"/>
    </row>
    <row r="523" spans="1:16">
      <c r="A523" s="47">
        <v>25262</v>
      </c>
      <c r="B523" s="48">
        <v>11404</v>
      </c>
      <c r="C523" s="48" t="s">
        <v>28</v>
      </c>
      <c r="D523" s="50">
        <v>-3.3216000000000002E-2</v>
      </c>
      <c r="E523" s="14">
        <v>-4.7373999999999999E-2</v>
      </c>
      <c r="F523" s="48"/>
      <c r="G523" s="47"/>
      <c r="H523" s="48"/>
      <c r="I523" s="48"/>
      <c r="J523" s="50"/>
      <c r="K523" s="50"/>
      <c r="L523" s="48"/>
      <c r="M523" s="47"/>
      <c r="N523" s="48"/>
      <c r="O523" s="48"/>
      <c r="P523" s="48"/>
    </row>
    <row r="524" spans="1:16">
      <c r="A524" s="47">
        <v>25290</v>
      </c>
      <c r="B524" s="48">
        <v>11404</v>
      </c>
      <c r="C524" s="48" t="s">
        <v>28</v>
      </c>
      <c r="D524" s="50">
        <v>-3.7039999999999998E-3</v>
      </c>
      <c r="E524" s="14">
        <v>3.4444000000000002E-2</v>
      </c>
      <c r="F524" s="48"/>
      <c r="G524" s="47"/>
      <c r="H524" s="48"/>
      <c r="I524" s="48"/>
      <c r="J524" s="50"/>
      <c r="K524" s="50"/>
      <c r="L524" s="48"/>
      <c r="M524" s="47"/>
      <c r="N524" s="48"/>
      <c r="O524" s="48"/>
      <c r="P524" s="48"/>
    </row>
    <row r="525" spans="1:16">
      <c r="A525" s="47">
        <v>25323</v>
      </c>
      <c r="B525" s="48">
        <v>11404</v>
      </c>
      <c r="C525" s="48" t="s">
        <v>28</v>
      </c>
      <c r="D525" s="50">
        <v>1.3383000000000001E-2</v>
      </c>
      <c r="E525" s="14">
        <v>2.1475999999999999E-2</v>
      </c>
      <c r="F525" s="48"/>
      <c r="G525" s="47"/>
      <c r="H525" s="48"/>
      <c r="I525" s="48"/>
      <c r="J525" s="50"/>
      <c r="K525" s="50"/>
      <c r="L525" s="48"/>
      <c r="M525" s="47"/>
      <c r="N525" s="48"/>
      <c r="O525" s="48"/>
      <c r="P525" s="48"/>
    </row>
    <row r="526" spans="1:16">
      <c r="A526" s="47">
        <v>25352</v>
      </c>
      <c r="B526" s="48">
        <v>11404</v>
      </c>
      <c r="C526" s="48" t="s">
        <v>28</v>
      </c>
      <c r="D526" s="50">
        <v>-2.2304999999999998E-2</v>
      </c>
      <c r="E526" s="14">
        <v>-2.2179999999999999E-3</v>
      </c>
      <c r="F526" s="48"/>
      <c r="G526" s="47"/>
      <c r="H526" s="48"/>
      <c r="I526" s="48"/>
      <c r="J526" s="50"/>
      <c r="K526" s="50"/>
      <c r="L526" s="48"/>
      <c r="M526" s="47"/>
      <c r="N526" s="48"/>
      <c r="O526" s="48"/>
      <c r="P526" s="48"/>
    </row>
    <row r="527" spans="1:16">
      <c r="A527" s="47">
        <v>25384</v>
      </c>
      <c r="B527" s="48">
        <v>11404</v>
      </c>
      <c r="C527" s="48" t="s">
        <v>28</v>
      </c>
      <c r="D527" s="50">
        <v>-2.6616000000000001E-2</v>
      </c>
      <c r="E527" s="14">
        <v>-5.5577000000000001E-2</v>
      </c>
      <c r="F527" s="48"/>
      <c r="G527" s="47"/>
      <c r="H527" s="48"/>
      <c r="I527" s="48"/>
      <c r="J527" s="50"/>
      <c r="K527" s="50"/>
      <c r="L527" s="48"/>
      <c r="M527" s="47"/>
      <c r="N527" s="48"/>
      <c r="O527" s="48"/>
      <c r="P527" s="48"/>
    </row>
    <row r="528" spans="1:16">
      <c r="A528" s="47">
        <v>25415</v>
      </c>
      <c r="B528" s="48">
        <v>11404</v>
      </c>
      <c r="C528" s="48" t="s">
        <v>28</v>
      </c>
      <c r="D528" s="50">
        <v>-1.7187999999999998E-2</v>
      </c>
      <c r="E528" s="14">
        <v>-6.0178000000000002E-2</v>
      </c>
      <c r="F528" s="48"/>
      <c r="G528" s="47"/>
      <c r="H528" s="48"/>
      <c r="I528" s="48"/>
      <c r="J528" s="50"/>
      <c r="K528" s="50"/>
      <c r="L528" s="48"/>
      <c r="M528" s="47"/>
      <c r="N528" s="48"/>
      <c r="O528" s="48"/>
      <c r="P528" s="48"/>
    </row>
    <row r="529" spans="1:16">
      <c r="A529" s="47">
        <v>25444</v>
      </c>
      <c r="B529" s="48">
        <v>11404</v>
      </c>
      <c r="C529" s="48" t="s">
        <v>28</v>
      </c>
      <c r="D529" s="50">
        <v>-8.0644999999999994E-2</v>
      </c>
      <c r="E529" s="14">
        <v>4.0073999999999999E-2</v>
      </c>
      <c r="F529" s="48"/>
      <c r="G529" s="47"/>
      <c r="H529" s="48"/>
      <c r="I529" s="48"/>
      <c r="J529" s="50"/>
      <c r="K529" s="50"/>
      <c r="L529" s="48"/>
      <c r="M529" s="47"/>
      <c r="N529" s="48"/>
      <c r="O529" s="48"/>
      <c r="P529" s="48"/>
    </row>
    <row r="530" spans="1:16">
      <c r="A530" s="47">
        <v>25476</v>
      </c>
      <c r="B530" s="48">
        <v>11404</v>
      </c>
      <c r="C530" s="48" t="s">
        <v>28</v>
      </c>
      <c r="D530" s="50">
        <v>-6.7982000000000001E-2</v>
      </c>
      <c r="E530" s="14">
        <v>-2.5024000000000001E-2</v>
      </c>
      <c r="F530" s="48"/>
      <c r="G530" s="47"/>
      <c r="H530" s="48"/>
      <c r="I530" s="48"/>
      <c r="J530" s="50"/>
      <c r="K530" s="50"/>
      <c r="L530" s="48"/>
      <c r="M530" s="47"/>
      <c r="N530" s="48"/>
      <c r="O530" s="48"/>
      <c r="P530" s="48"/>
    </row>
    <row r="531" spans="1:16">
      <c r="A531" s="47">
        <v>25507</v>
      </c>
      <c r="B531" s="48">
        <v>11404</v>
      </c>
      <c r="C531" s="48" t="s">
        <v>28</v>
      </c>
      <c r="D531" s="50">
        <v>6.4151E-2</v>
      </c>
      <c r="E531" s="14">
        <v>4.4243999999999999E-2</v>
      </c>
      <c r="F531" s="48"/>
      <c r="G531" s="47"/>
      <c r="H531" s="48"/>
      <c r="I531" s="48"/>
      <c r="J531" s="50"/>
      <c r="K531" s="50"/>
      <c r="L531" s="48"/>
      <c r="M531" s="47"/>
      <c r="N531" s="48"/>
      <c r="O531" s="48"/>
      <c r="P531" s="48"/>
    </row>
    <row r="532" spans="1:16">
      <c r="A532" s="47">
        <v>25535</v>
      </c>
      <c r="B532" s="48">
        <v>11404</v>
      </c>
      <c r="C532" s="48" t="s">
        <v>28</v>
      </c>
      <c r="D532" s="50">
        <v>-5.4053999999999998E-2</v>
      </c>
      <c r="E532" s="14">
        <v>-3.5274E-2</v>
      </c>
      <c r="F532" s="48"/>
      <c r="G532" s="47"/>
      <c r="H532" s="48"/>
      <c r="I532" s="48"/>
      <c r="J532" s="50"/>
      <c r="K532" s="50"/>
      <c r="L532" s="48"/>
      <c r="M532" s="47"/>
      <c r="N532" s="48"/>
      <c r="O532" s="48"/>
      <c r="P532" s="48"/>
    </row>
    <row r="533" spans="1:16">
      <c r="A533" s="47">
        <v>25568</v>
      </c>
      <c r="B533" s="48">
        <v>11404</v>
      </c>
      <c r="C533" s="48" t="s">
        <v>28</v>
      </c>
      <c r="D533" s="50">
        <v>-2.8570999999999999E-2</v>
      </c>
      <c r="E533" s="14">
        <v>-1.8655000000000001E-2</v>
      </c>
      <c r="F533" s="48"/>
      <c r="G533" s="47"/>
      <c r="H533" s="48"/>
      <c r="I533" s="48"/>
      <c r="J533" s="50"/>
      <c r="K533" s="50"/>
      <c r="L533" s="48"/>
      <c r="M533" s="47"/>
      <c r="N533" s="48"/>
      <c r="O533" s="48"/>
      <c r="P533" s="48"/>
    </row>
    <row r="534" spans="1:16">
      <c r="A534" s="47">
        <v>25598</v>
      </c>
      <c r="B534" s="48">
        <v>11404</v>
      </c>
      <c r="C534" s="48" t="s">
        <v>28</v>
      </c>
      <c r="D534" s="50">
        <v>5.8824000000000001E-2</v>
      </c>
      <c r="E534" s="14">
        <v>-7.6471999999999998E-2</v>
      </c>
      <c r="F534" s="48"/>
      <c r="G534" s="47"/>
      <c r="H534" s="48"/>
      <c r="I534" s="48"/>
      <c r="J534" s="50"/>
      <c r="K534" s="50"/>
      <c r="L534" s="48"/>
      <c r="M534" s="47"/>
      <c r="N534" s="48"/>
      <c r="O534" s="48"/>
      <c r="P534" s="48"/>
    </row>
    <row r="535" spans="1:16">
      <c r="A535" s="47">
        <v>25626</v>
      </c>
      <c r="B535" s="48">
        <v>11404</v>
      </c>
      <c r="C535" s="48" t="s">
        <v>28</v>
      </c>
      <c r="D535" s="50">
        <v>3.5185000000000001E-2</v>
      </c>
      <c r="E535" s="14">
        <v>5.2692999999999997E-2</v>
      </c>
      <c r="F535" s="48"/>
      <c r="G535" s="47"/>
      <c r="H535" s="48"/>
      <c r="I535" s="48"/>
      <c r="J535" s="50"/>
      <c r="K535" s="50"/>
      <c r="L535" s="48"/>
      <c r="M535" s="47"/>
      <c r="N535" s="48"/>
      <c r="O535" s="48"/>
      <c r="P535" s="48"/>
    </row>
    <row r="536" spans="1:16">
      <c r="A536" s="47">
        <v>25658</v>
      </c>
      <c r="B536" s="48">
        <v>11404</v>
      </c>
      <c r="C536" s="48" t="s">
        <v>28</v>
      </c>
      <c r="D536" s="50">
        <v>9.0910000000000001E-3</v>
      </c>
      <c r="E536" s="14">
        <v>1.4530000000000001E-3</v>
      </c>
      <c r="F536" s="48"/>
      <c r="G536" s="47"/>
      <c r="H536" s="48"/>
      <c r="I536" s="48"/>
      <c r="J536" s="50"/>
      <c r="K536" s="50"/>
      <c r="L536" s="48"/>
      <c r="M536" s="47"/>
      <c r="N536" s="48"/>
      <c r="O536" s="48"/>
      <c r="P536" s="48"/>
    </row>
    <row r="537" spans="1:16">
      <c r="A537" s="47">
        <v>25688</v>
      </c>
      <c r="B537" s="48">
        <v>11404</v>
      </c>
      <c r="C537" s="48" t="s">
        <v>28</v>
      </c>
      <c r="D537" s="50">
        <v>-4.0541000000000001E-2</v>
      </c>
      <c r="E537" s="14">
        <v>-9.0482999999999994E-2</v>
      </c>
      <c r="F537" s="48"/>
      <c r="G537" s="47"/>
      <c r="H537" s="48"/>
      <c r="I537" s="48"/>
      <c r="J537" s="50"/>
      <c r="K537" s="50"/>
      <c r="L537" s="48"/>
      <c r="M537" s="47"/>
      <c r="N537" s="48"/>
      <c r="O537" s="48"/>
      <c r="P537" s="48"/>
    </row>
    <row r="538" spans="1:16">
      <c r="A538" s="47">
        <v>25717</v>
      </c>
      <c r="B538" s="48">
        <v>11404</v>
      </c>
      <c r="C538" s="48" t="s">
        <v>28</v>
      </c>
      <c r="D538" s="50">
        <v>-0.113387</v>
      </c>
      <c r="E538" s="14">
        <v>-6.0967E-2</v>
      </c>
      <c r="F538" s="48"/>
      <c r="G538" s="47"/>
      <c r="H538" s="48"/>
      <c r="I538" s="48"/>
      <c r="J538" s="50"/>
      <c r="K538" s="50"/>
      <c r="L538" s="48"/>
      <c r="M538" s="47"/>
      <c r="N538" s="48"/>
      <c r="O538" s="48"/>
      <c r="P538" s="48"/>
    </row>
    <row r="539" spans="1:16">
      <c r="A539" s="47">
        <v>25749</v>
      </c>
      <c r="B539" s="48">
        <v>11404</v>
      </c>
      <c r="C539" s="48" t="s">
        <v>28</v>
      </c>
      <c r="D539" s="50">
        <v>-5.4050000000000001E-3</v>
      </c>
      <c r="E539" s="14">
        <v>-5.0033000000000001E-2</v>
      </c>
      <c r="F539" s="48"/>
      <c r="G539" s="47"/>
      <c r="H539" s="48"/>
      <c r="I539" s="48"/>
      <c r="J539" s="50"/>
      <c r="K539" s="50"/>
      <c r="L539" s="48"/>
      <c r="M539" s="47"/>
      <c r="N539" s="48"/>
      <c r="O539" s="48"/>
      <c r="P539" s="48"/>
    </row>
    <row r="540" spans="1:16">
      <c r="A540" s="47">
        <v>25780</v>
      </c>
      <c r="B540" s="48">
        <v>11404</v>
      </c>
      <c r="C540" s="48" t="s">
        <v>28</v>
      </c>
      <c r="D540" s="50">
        <v>1.6303999999999999E-2</v>
      </c>
      <c r="E540" s="14">
        <v>7.3294999999999999E-2</v>
      </c>
      <c r="F540" s="48"/>
      <c r="G540" s="47"/>
      <c r="H540" s="48"/>
      <c r="I540" s="48"/>
      <c r="J540" s="50"/>
      <c r="K540" s="50"/>
      <c r="L540" s="48"/>
      <c r="M540" s="47"/>
      <c r="N540" s="48"/>
      <c r="O540" s="48"/>
      <c r="P540" s="48"/>
    </row>
    <row r="541" spans="1:16">
      <c r="A541" s="47">
        <v>25811</v>
      </c>
      <c r="B541" s="48">
        <v>11404</v>
      </c>
      <c r="C541" s="48" t="s">
        <v>28</v>
      </c>
      <c r="D541" s="50">
        <v>8.5559999999999994E-3</v>
      </c>
      <c r="E541" s="14">
        <v>4.4458999999999999E-2</v>
      </c>
      <c r="F541" s="48"/>
      <c r="G541" s="47"/>
      <c r="H541" s="48"/>
      <c r="I541" s="48"/>
      <c r="J541" s="50"/>
      <c r="K541" s="50"/>
      <c r="L541" s="48"/>
      <c r="M541" s="47"/>
      <c r="N541" s="48"/>
      <c r="O541" s="48"/>
      <c r="P541" s="48"/>
    </row>
    <row r="542" spans="1:16">
      <c r="A542" s="47">
        <v>25841</v>
      </c>
      <c r="B542" s="48">
        <v>11404</v>
      </c>
      <c r="C542" s="48" t="s">
        <v>28</v>
      </c>
      <c r="D542" s="50">
        <v>0</v>
      </c>
      <c r="E542" s="14">
        <v>3.2998E-2</v>
      </c>
      <c r="F542" s="48"/>
      <c r="G542" s="47"/>
      <c r="H542" s="48"/>
      <c r="I542" s="48"/>
      <c r="J542" s="50"/>
      <c r="K542" s="50"/>
      <c r="L542" s="48"/>
      <c r="M542" s="47"/>
      <c r="N542" s="48"/>
      <c r="O542" s="48"/>
      <c r="P542" s="48"/>
    </row>
    <row r="543" spans="1:16">
      <c r="A543" s="47">
        <v>25871</v>
      </c>
      <c r="B543" s="48">
        <v>11404</v>
      </c>
      <c r="C543" s="48" t="s">
        <v>28</v>
      </c>
      <c r="D543" s="50">
        <v>-1.0810999999999999E-2</v>
      </c>
      <c r="E543" s="14">
        <v>-1.14E-2</v>
      </c>
      <c r="F543" s="48"/>
      <c r="G543" s="47"/>
      <c r="H543" s="48"/>
      <c r="I543" s="48"/>
      <c r="J543" s="50"/>
      <c r="K543" s="50"/>
      <c r="L543" s="48"/>
      <c r="M543" s="47"/>
      <c r="N543" s="48"/>
      <c r="O543" s="48"/>
      <c r="P543" s="48"/>
    </row>
    <row r="544" spans="1:16">
      <c r="A544" s="47">
        <v>25902</v>
      </c>
      <c r="B544" s="48">
        <v>11404</v>
      </c>
      <c r="C544" s="48" t="s">
        <v>28</v>
      </c>
      <c r="D544" s="50">
        <v>2.5137E-2</v>
      </c>
      <c r="E544" s="14">
        <v>4.7447000000000003E-2</v>
      </c>
      <c r="F544" s="48"/>
      <c r="G544" s="47"/>
      <c r="H544" s="48"/>
      <c r="I544" s="48"/>
      <c r="J544" s="50"/>
      <c r="K544" s="50"/>
      <c r="L544" s="48"/>
      <c r="M544" s="47"/>
      <c r="N544" s="48"/>
      <c r="O544" s="48"/>
      <c r="P544" s="48"/>
    </row>
    <row r="545" spans="1:16">
      <c r="A545" s="47">
        <v>25933</v>
      </c>
      <c r="B545" s="48">
        <v>11404</v>
      </c>
      <c r="C545" s="48" t="s">
        <v>28</v>
      </c>
      <c r="D545" s="50">
        <v>0.16304399999999999</v>
      </c>
      <c r="E545" s="14">
        <v>5.6765999999999997E-2</v>
      </c>
      <c r="F545" s="48"/>
      <c r="G545" s="47"/>
      <c r="H545" s="48"/>
      <c r="I545" s="48"/>
      <c r="J545" s="50"/>
      <c r="K545" s="50"/>
      <c r="L545" s="48"/>
      <c r="M545" s="47"/>
      <c r="N545" s="48"/>
      <c r="O545" s="48"/>
      <c r="P545" s="48"/>
    </row>
    <row r="546" spans="1:16">
      <c r="A546" s="47">
        <v>25962</v>
      </c>
      <c r="B546" s="48">
        <v>11404</v>
      </c>
      <c r="C546" s="48" t="s">
        <v>28</v>
      </c>
      <c r="D546" s="50">
        <v>6.5421000000000007E-2</v>
      </c>
      <c r="E546" s="14">
        <v>4.0476999999999999E-2</v>
      </c>
      <c r="F546" s="48"/>
      <c r="G546" s="47"/>
      <c r="H546" s="48"/>
      <c r="I546" s="48"/>
      <c r="J546" s="50"/>
      <c r="K546" s="50"/>
      <c r="L546" s="48"/>
      <c r="M546" s="47"/>
      <c r="N546" s="48"/>
      <c r="O546" s="48"/>
      <c r="P546" s="48"/>
    </row>
    <row r="547" spans="1:16">
      <c r="A547" s="47">
        <v>25990</v>
      </c>
      <c r="B547" s="48">
        <v>11404</v>
      </c>
      <c r="C547" s="48" t="s">
        <v>28</v>
      </c>
      <c r="D547" s="50">
        <v>-7.6379000000000002E-2</v>
      </c>
      <c r="E547" s="14">
        <v>9.0740000000000005E-3</v>
      </c>
      <c r="F547" s="48"/>
      <c r="G547" s="47"/>
      <c r="H547" s="48"/>
      <c r="I547" s="48"/>
      <c r="J547" s="50"/>
      <c r="K547" s="50"/>
      <c r="L547" s="48"/>
      <c r="M547" s="47"/>
      <c r="N547" s="48"/>
      <c r="O547" s="48"/>
      <c r="P547" s="48"/>
    </row>
    <row r="548" spans="1:16">
      <c r="A548" s="47">
        <v>26023</v>
      </c>
      <c r="B548" s="48">
        <v>11404</v>
      </c>
      <c r="C548" s="48" t="s">
        <v>28</v>
      </c>
      <c r="D548" s="50">
        <v>4.3688999999999999E-2</v>
      </c>
      <c r="E548" s="14">
        <v>3.6796000000000002E-2</v>
      </c>
      <c r="F548" s="48"/>
      <c r="G548" s="47"/>
      <c r="H548" s="48"/>
      <c r="I548" s="48"/>
      <c r="J548" s="50"/>
      <c r="K548" s="50"/>
      <c r="L548" s="48"/>
      <c r="M548" s="47"/>
      <c r="N548" s="48"/>
      <c r="O548" s="48"/>
      <c r="P548" s="48"/>
    </row>
    <row r="549" spans="1:16">
      <c r="A549" s="47">
        <v>26053</v>
      </c>
      <c r="B549" s="48">
        <v>11404</v>
      </c>
      <c r="C549" s="48" t="s">
        <v>28</v>
      </c>
      <c r="D549" s="50">
        <v>1.3953E-2</v>
      </c>
      <c r="E549" s="14">
        <v>3.6288000000000001E-2</v>
      </c>
      <c r="F549" s="48"/>
      <c r="G549" s="47"/>
      <c r="H549" s="48"/>
      <c r="I549" s="48"/>
      <c r="J549" s="50"/>
      <c r="K549" s="50"/>
      <c r="L549" s="48"/>
      <c r="M549" s="47"/>
      <c r="N549" s="48"/>
      <c r="O549" s="48"/>
      <c r="P549" s="48"/>
    </row>
    <row r="550" spans="1:16">
      <c r="A550" s="47">
        <v>26081</v>
      </c>
      <c r="B550" s="48">
        <v>11404</v>
      </c>
      <c r="C550" s="48" t="s">
        <v>28</v>
      </c>
      <c r="D550" s="50">
        <v>-6.6055000000000003E-2</v>
      </c>
      <c r="E550" s="14">
        <v>-4.1557999999999998E-2</v>
      </c>
      <c r="F550" s="48"/>
      <c r="G550" s="47"/>
      <c r="H550" s="48"/>
      <c r="I550" s="48"/>
      <c r="J550" s="50"/>
      <c r="K550" s="50"/>
      <c r="L550" s="48"/>
      <c r="M550" s="47"/>
      <c r="N550" s="48"/>
      <c r="O550" s="48"/>
      <c r="P550" s="48"/>
    </row>
    <row r="551" spans="1:16">
      <c r="A551" s="47">
        <v>26114</v>
      </c>
      <c r="B551" s="48">
        <v>11404</v>
      </c>
      <c r="C551" s="48" t="s">
        <v>28</v>
      </c>
      <c r="D551" s="50">
        <v>3.5000000000000003E-2</v>
      </c>
      <c r="E551" s="14">
        <v>7.0299999999999996E-4</v>
      </c>
      <c r="F551" s="48"/>
      <c r="G551" s="47"/>
      <c r="H551" s="48"/>
      <c r="I551" s="48"/>
      <c r="J551" s="50"/>
      <c r="K551" s="50"/>
      <c r="L551" s="48"/>
      <c r="M551" s="47"/>
      <c r="N551" s="48"/>
      <c r="O551" s="48"/>
      <c r="P551" s="48"/>
    </row>
    <row r="552" spans="1:16">
      <c r="A552" s="47">
        <v>26144</v>
      </c>
      <c r="B552" s="48">
        <v>11404</v>
      </c>
      <c r="C552" s="48" t="s">
        <v>28</v>
      </c>
      <c r="D552" s="50">
        <v>4.8310000000000002E-3</v>
      </c>
      <c r="E552" s="14">
        <v>-4.1324E-2</v>
      </c>
      <c r="F552" s="48"/>
      <c r="G552" s="47"/>
      <c r="H552" s="48"/>
      <c r="I552" s="48"/>
      <c r="J552" s="50"/>
      <c r="K552" s="50"/>
      <c r="L552" s="48"/>
      <c r="M552" s="47"/>
      <c r="N552" s="48"/>
      <c r="O552" s="48"/>
      <c r="P552" s="48"/>
    </row>
    <row r="553" spans="1:16">
      <c r="A553" s="47">
        <v>26176</v>
      </c>
      <c r="B553" s="48">
        <v>11404</v>
      </c>
      <c r="C553" s="48" t="s">
        <v>28</v>
      </c>
      <c r="D553" s="50">
        <v>-6.731E-3</v>
      </c>
      <c r="E553" s="14">
        <v>3.6095000000000002E-2</v>
      </c>
      <c r="F553" s="48"/>
      <c r="G553" s="47"/>
      <c r="H553" s="48"/>
      <c r="I553" s="48"/>
      <c r="J553" s="50"/>
      <c r="K553" s="50"/>
      <c r="L553" s="48"/>
      <c r="M553" s="47"/>
      <c r="N553" s="48"/>
      <c r="O553" s="48"/>
      <c r="P553" s="48"/>
    </row>
    <row r="554" spans="1:16">
      <c r="A554" s="47">
        <v>26206</v>
      </c>
      <c r="B554" s="48">
        <v>11404</v>
      </c>
      <c r="C554" s="48" t="s">
        <v>28</v>
      </c>
      <c r="D554" s="50">
        <v>-3.9409E-2</v>
      </c>
      <c r="E554" s="14">
        <v>-6.9680000000000002E-3</v>
      </c>
      <c r="F554" s="48"/>
      <c r="G554" s="47"/>
      <c r="H554" s="48"/>
      <c r="I554" s="48"/>
      <c r="J554" s="50"/>
      <c r="K554" s="50"/>
      <c r="L554" s="48"/>
      <c r="M554" s="47"/>
      <c r="N554" s="48"/>
      <c r="O554" s="48"/>
      <c r="P554" s="48"/>
    </row>
    <row r="555" spans="1:16">
      <c r="A555" s="47">
        <v>26235</v>
      </c>
      <c r="B555" s="48">
        <v>11404</v>
      </c>
      <c r="C555" s="48" t="s">
        <v>28</v>
      </c>
      <c r="D555" s="50">
        <v>6.9744E-2</v>
      </c>
      <c r="E555" s="14">
        <v>-4.1793999999999998E-2</v>
      </c>
      <c r="F555" s="48"/>
      <c r="G555" s="47"/>
      <c r="H555" s="48"/>
      <c r="I555" s="48"/>
      <c r="J555" s="50"/>
      <c r="K555" s="50"/>
      <c r="L555" s="48"/>
      <c r="M555" s="47"/>
      <c r="N555" s="48"/>
      <c r="O555" s="48"/>
      <c r="P555" s="48"/>
    </row>
    <row r="556" spans="1:16">
      <c r="A556" s="47">
        <v>26267</v>
      </c>
      <c r="B556" s="48">
        <v>11404</v>
      </c>
      <c r="C556" s="48" t="s">
        <v>28</v>
      </c>
      <c r="D556" s="50">
        <v>-1.4633999999999999E-2</v>
      </c>
      <c r="E556" s="14">
        <v>-2.5469999999999998E-3</v>
      </c>
      <c r="F556" s="48"/>
      <c r="G556" s="47"/>
      <c r="H556" s="48"/>
      <c r="I556" s="48"/>
      <c r="J556" s="50"/>
      <c r="K556" s="50"/>
      <c r="L556" s="48"/>
      <c r="M556" s="47"/>
      <c r="N556" s="48"/>
      <c r="O556" s="48"/>
      <c r="P556" s="48"/>
    </row>
    <row r="557" spans="1:16">
      <c r="A557" s="47">
        <v>26298</v>
      </c>
      <c r="B557" s="48">
        <v>11404</v>
      </c>
      <c r="C557" s="48" t="s">
        <v>28</v>
      </c>
      <c r="D557" s="50">
        <v>2.4752E-2</v>
      </c>
      <c r="E557" s="14">
        <v>8.6179000000000006E-2</v>
      </c>
      <c r="F557" s="48"/>
      <c r="G557" s="47"/>
      <c r="H557" s="48"/>
      <c r="I557" s="48"/>
      <c r="J557" s="50"/>
      <c r="K557" s="50"/>
      <c r="L557" s="48"/>
      <c r="M557" s="47"/>
      <c r="N557" s="48"/>
      <c r="O557" s="48"/>
      <c r="P557" s="48"/>
    </row>
    <row r="558" spans="1:16">
      <c r="A558" s="47">
        <v>26329</v>
      </c>
      <c r="B558" s="48">
        <v>11404</v>
      </c>
      <c r="C558" s="48" t="s">
        <v>28</v>
      </c>
      <c r="D558" s="50">
        <v>4.6377000000000002E-2</v>
      </c>
      <c r="E558" s="14">
        <v>1.8121000000000002E-2</v>
      </c>
      <c r="F558" s="48"/>
      <c r="G558" s="47"/>
      <c r="H558" s="48"/>
      <c r="I558" s="48"/>
      <c r="J558" s="50"/>
      <c r="K558" s="50"/>
      <c r="L558" s="48"/>
      <c r="M558" s="47"/>
      <c r="N558" s="48"/>
      <c r="O558" s="48"/>
      <c r="P558" s="48"/>
    </row>
    <row r="559" spans="1:16">
      <c r="A559" s="47">
        <v>26358</v>
      </c>
      <c r="B559" s="48">
        <v>11404</v>
      </c>
      <c r="C559" s="48" t="s">
        <v>28</v>
      </c>
      <c r="D559" s="50">
        <v>-1.8779000000000001E-2</v>
      </c>
      <c r="E559" s="14">
        <v>2.5302999999999999E-2</v>
      </c>
      <c r="F559" s="48"/>
      <c r="G559" s="47"/>
      <c r="H559" s="48"/>
      <c r="I559" s="48"/>
      <c r="J559" s="50"/>
      <c r="K559" s="50"/>
      <c r="L559" s="48"/>
      <c r="M559" s="47"/>
      <c r="N559" s="48"/>
      <c r="O559" s="48"/>
      <c r="P559" s="48"/>
    </row>
    <row r="560" spans="1:16">
      <c r="A560" s="47">
        <v>26388</v>
      </c>
      <c r="B560" s="48">
        <v>11404</v>
      </c>
      <c r="C560" s="48" t="s">
        <v>28</v>
      </c>
      <c r="D560" s="50">
        <v>0</v>
      </c>
      <c r="E560" s="14">
        <v>5.9119999999999997E-3</v>
      </c>
      <c r="F560" s="48"/>
      <c r="G560" s="47"/>
      <c r="H560" s="48"/>
      <c r="I560" s="48"/>
      <c r="J560" s="50"/>
      <c r="K560" s="50"/>
      <c r="L560" s="48"/>
      <c r="M560" s="47"/>
      <c r="N560" s="48"/>
      <c r="O560" s="48"/>
      <c r="P560" s="48"/>
    </row>
    <row r="561" spans="1:16">
      <c r="A561" s="47">
        <v>26417</v>
      </c>
      <c r="B561" s="48">
        <v>11404</v>
      </c>
      <c r="C561" s="48" t="s">
        <v>28</v>
      </c>
      <c r="D561" s="50">
        <v>-9.5689999999999994E-3</v>
      </c>
      <c r="E561" s="14">
        <v>4.3839999999999999E-3</v>
      </c>
      <c r="F561" s="48"/>
      <c r="G561" s="47"/>
      <c r="H561" s="48"/>
      <c r="I561" s="48"/>
      <c r="J561" s="50"/>
      <c r="K561" s="50"/>
      <c r="L561" s="48"/>
      <c r="M561" s="47"/>
      <c r="N561" s="48"/>
      <c r="O561" s="48"/>
      <c r="P561" s="48"/>
    </row>
    <row r="562" spans="1:16">
      <c r="A562" s="47">
        <v>26450</v>
      </c>
      <c r="B562" s="48">
        <v>11404</v>
      </c>
      <c r="C562" s="48" t="s">
        <v>28</v>
      </c>
      <c r="D562" s="50">
        <v>-4.5411E-2</v>
      </c>
      <c r="E562" s="14">
        <v>1.7274999999999999E-2</v>
      </c>
      <c r="F562" s="48"/>
      <c r="G562" s="47"/>
      <c r="H562" s="48"/>
      <c r="I562" s="48"/>
      <c r="J562" s="50"/>
      <c r="K562" s="50"/>
      <c r="L562" s="48"/>
      <c r="M562" s="47"/>
      <c r="N562" s="48"/>
      <c r="O562" s="48"/>
      <c r="P562" s="48"/>
    </row>
    <row r="563" spans="1:16">
      <c r="A563" s="47">
        <v>26480</v>
      </c>
      <c r="B563" s="48">
        <v>11404</v>
      </c>
      <c r="C563" s="48" t="s">
        <v>28</v>
      </c>
      <c r="D563" s="50">
        <v>2.5773000000000001E-2</v>
      </c>
      <c r="E563" s="14">
        <v>-2.1821E-2</v>
      </c>
      <c r="F563" s="48"/>
      <c r="G563" s="47"/>
      <c r="H563" s="48"/>
      <c r="I563" s="48"/>
      <c r="J563" s="50"/>
      <c r="K563" s="50"/>
      <c r="L563" s="48"/>
      <c r="M563" s="47"/>
      <c r="N563" s="48"/>
      <c r="O563" s="48"/>
      <c r="P563" s="48"/>
    </row>
    <row r="564" spans="1:16">
      <c r="A564" s="47">
        <v>26511</v>
      </c>
      <c r="B564" s="48">
        <v>11404</v>
      </c>
      <c r="C564" s="48" t="s">
        <v>28</v>
      </c>
      <c r="D564" s="50">
        <v>1.3065E-2</v>
      </c>
      <c r="E564" s="14">
        <v>2.333E-3</v>
      </c>
      <c r="F564" s="48"/>
      <c r="G564" s="47"/>
      <c r="H564" s="48"/>
      <c r="I564" s="48"/>
      <c r="J564" s="50"/>
      <c r="K564" s="50"/>
      <c r="L564" s="48"/>
      <c r="M564" s="47"/>
      <c r="N564" s="48"/>
      <c r="O564" s="48"/>
      <c r="P564" s="48"/>
    </row>
    <row r="565" spans="1:16">
      <c r="A565" s="47">
        <v>26542</v>
      </c>
      <c r="B565" s="48">
        <v>11404</v>
      </c>
      <c r="C565" s="48" t="s">
        <v>28</v>
      </c>
      <c r="D565" s="50">
        <v>5.0509999999999999E-3</v>
      </c>
      <c r="E565" s="14">
        <v>3.4453999999999999E-2</v>
      </c>
      <c r="F565" s="48"/>
      <c r="G565" s="47"/>
      <c r="H565" s="48"/>
      <c r="I565" s="48"/>
      <c r="J565" s="50"/>
      <c r="K565" s="50"/>
      <c r="L565" s="48"/>
      <c r="M565" s="47"/>
      <c r="N565" s="48"/>
      <c r="O565" s="48"/>
      <c r="P565" s="48"/>
    </row>
    <row r="566" spans="1:16">
      <c r="A566" s="47">
        <v>26571</v>
      </c>
      <c r="B566" s="48">
        <v>11404</v>
      </c>
      <c r="C566" s="48" t="s">
        <v>28</v>
      </c>
      <c r="D566" s="50">
        <v>0</v>
      </c>
      <c r="E566" s="14">
        <v>-4.8609999999999999E-3</v>
      </c>
      <c r="F566" s="48"/>
      <c r="G566" s="47"/>
      <c r="H566" s="48"/>
      <c r="I566" s="48"/>
      <c r="J566" s="50"/>
      <c r="K566" s="50"/>
      <c r="L566" s="48"/>
      <c r="M566" s="47"/>
      <c r="N566" s="48"/>
      <c r="O566" s="48"/>
      <c r="P566" s="48"/>
    </row>
    <row r="567" spans="1:16">
      <c r="A567" s="47">
        <v>26603</v>
      </c>
      <c r="B567" s="48">
        <v>11404</v>
      </c>
      <c r="C567" s="48" t="s">
        <v>28</v>
      </c>
      <c r="D567" s="50">
        <v>1.8089999999999998E-2</v>
      </c>
      <c r="E567" s="14">
        <v>9.3170000000000006E-3</v>
      </c>
      <c r="F567" s="48"/>
      <c r="G567" s="47"/>
      <c r="H567" s="48"/>
      <c r="I567" s="48"/>
      <c r="J567" s="50"/>
      <c r="K567" s="50"/>
      <c r="L567" s="48"/>
      <c r="M567" s="47"/>
      <c r="N567" s="48"/>
      <c r="O567" s="48"/>
      <c r="P567" s="48"/>
    </row>
    <row r="568" spans="1:16">
      <c r="A568" s="47">
        <v>26633</v>
      </c>
      <c r="B568" s="48">
        <v>11404</v>
      </c>
      <c r="C568" s="48" t="s">
        <v>28</v>
      </c>
      <c r="D568" s="50">
        <v>2.5125999999999999E-2</v>
      </c>
      <c r="E568" s="14">
        <v>4.5616999999999998E-2</v>
      </c>
      <c r="F568" s="48"/>
      <c r="G568" s="47"/>
      <c r="H568" s="48"/>
      <c r="I568" s="48"/>
      <c r="J568" s="50"/>
      <c r="K568" s="50"/>
      <c r="L568" s="48"/>
      <c r="M568" s="47"/>
      <c r="N568" s="48"/>
      <c r="O568" s="48"/>
      <c r="P568" s="48"/>
    </row>
    <row r="569" spans="1:16">
      <c r="A569" s="47">
        <v>26662</v>
      </c>
      <c r="B569" s="48">
        <v>11404</v>
      </c>
      <c r="C569" s="48" t="s">
        <v>28</v>
      </c>
      <c r="D569" s="50">
        <v>-1.9608E-2</v>
      </c>
      <c r="E569" s="14">
        <v>1.1828E-2</v>
      </c>
      <c r="F569" s="48"/>
      <c r="G569" s="47"/>
      <c r="H569" s="48"/>
      <c r="I569" s="48"/>
      <c r="J569" s="50"/>
      <c r="K569" s="50"/>
      <c r="L569" s="48"/>
      <c r="M569" s="47"/>
      <c r="N569" s="48"/>
      <c r="O569" s="48"/>
      <c r="P569" s="48"/>
    </row>
    <row r="570" spans="1:16">
      <c r="A570" s="47">
        <v>26695</v>
      </c>
      <c r="B570" s="48">
        <v>11404</v>
      </c>
      <c r="C570" s="48" t="s">
        <v>28</v>
      </c>
      <c r="D570" s="50">
        <v>0.02</v>
      </c>
      <c r="E570" s="14">
        <v>-1.7111000000000001E-2</v>
      </c>
      <c r="F570" s="48"/>
      <c r="G570" s="47"/>
      <c r="H570" s="48"/>
      <c r="I570" s="48"/>
      <c r="J570" s="50"/>
      <c r="K570" s="50"/>
      <c r="L570" s="48"/>
      <c r="M570" s="47"/>
      <c r="N570" s="48"/>
      <c r="O570" s="48"/>
      <c r="P570" s="48"/>
    </row>
    <row r="571" spans="1:16">
      <c r="A571" s="47">
        <v>26723</v>
      </c>
      <c r="B571" s="48">
        <v>11404</v>
      </c>
      <c r="C571" s="48" t="s">
        <v>28</v>
      </c>
      <c r="D571" s="50">
        <v>-1.6667000000000001E-2</v>
      </c>
      <c r="E571" s="14">
        <v>-3.7490000000000002E-2</v>
      </c>
      <c r="F571" s="48"/>
      <c r="G571" s="47"/>
      <c r="H571" s="48"/>
      <c r="I571" s="48"/>
      <c r="J571" s="50"/>
      <c r="K571" s="50"/>
      <c r="L571" s="48"/>
      <c r="M571" s="47"/>
      <c r="N571" s="48"/>
      <c r="O571" s="48"/>
      <c r="P571" s="48"/>
    </row>
    <row r="572" spans="1:16">
      <c r="A572" s="47">
        <v>26753</v>
      </c>
      <c r="B572" s="48">
        <v>11404</v>
      </c>
      <c r="C572" s="48" t="s">
        <v>28</v>
      </c>
      <c r="D572" s="50">
        <v>-2.5381000000000001E-2</v>
      </c>
      <c r="E572" s="14">
        <v>-1.433E-3</v>
      </c>
      <c r="F572" s="48"/>
      <c r="G572" s="47"/>
      <c r="H572" s="48"/>
      <c r="I572" s="48"/>
      <c r="J572" s="50"/>
      <c r="K572" s="50"/>
      <c r="L572" s="48"/>
      <c r="M572" s="47"/>
      <c r="N572" s="48"/>
      <c r="O572" s="48"/>
      <c r="P572" s="48"/>
    </row>
    <row r="573" spans="1:16">
      <c r="A573" s="47">
        <v>26784</v>
      </c>
      <c r="B573" s="48">
        <v>11404</v>
      </c>
      <c r="C573" s="48" t="s">
        <v>28</v>
      </c>
      <c r="D573" s="50">
        <v>3.125E-2</v>
      </c>
      <c r="E573" s="14">
        <v>-4.0800000000000003E-2</v>
      </c>
      <c r="F573" s="48"/>
      <c r="G573" s="47"/>
      <c r="H573" s="48"/>
      <c r="I573" s="48"/>
      <c r="J573" s="50"/>
      <c r="K573" s="50"/>
      <c r="L573" s="48"/>
      <c r="M573" s="47"/>
      <c r="N573" s="48"/>
      <c r="O573" s="48"/>
      <c r="P573" s="48"/>
    </row>
    <row r="574" spans="1:16">
      <c r="A574" s="47">
        <v>26815</v>
      </c>
      <c r="B574" s="48">
        <v>11404</v>
      </c>
      <c r="C574" s="48" t="s">
        <v>28</v>
      </c>
      <c r="D574" s="50">
        <v>-3.2322999999999998E-2</v>
      </c>
      <c r="E574" s="14">
        <v>-1.8884000000000001E-2</v>
      </c>
      <c r="F574" s="48"/>
      <c r="G574" s="47"/>
      <c r="H574" s="48"/>
      <c r="I574" s="48"/>
      <c r="J574" s="50"/>
      <c r="K574" s="50"/>
      <c r="L574" s="48"/>
      <c r="M574" s="47"/>
      <c r="N574" s="48"/>
      <c r="O574" s="48"/>
      <c r="P574" s="48"/>
    </row>
    <row r="575" spans="1:16">
      <c r="A575" s="47">
        <v>26844</v>
      </c>
      <c r="B575" s="48">
        <v>11404</v>
      </c>
      <c r="C575" s="48" t="s">
        <v>28</v>
      </c>
      <c r="D575" s="50">
        <v>-1.5956999999999999E-2</v>
      </c>
      <c r="E575" s="14">
        <v>-6.5750000000000001E-3</v>
      </c>
      <c r="F575" s="48"/>
      <c r="G575" s="47"/>
      <c r="H575" s="48"/>
      <c r="I575" s="48"/>
      <c r="J575" s="50"/>
      <c r="K575" s="50"/>
      <c r="L575" s="48"/>
      <c r="M575" s="47"/>
      <c r="N575" s="48"/>
      <c r="O575" s="48"/>
      <c r="P575" s="48"/>
    </row>
    <row r="576" spans="1:16">
      <c r="A576" s="47">
        <v>26876</v>
      </c>
      <c r="B576" s="48">
        <v>11404</v>
      </c>
      <c r="C576" s="48" t="s">
        <v>28</v>
      </c>
      <c r="D576" s="50">
        <v>-1.6216000000000001E-2</v>
      </c>
      <c r="E576" s="14">
        <v>3.7982000000000002E-2</v>
      </c>
      <c r="F576" s="48"/>
      <c r="G576" s="47"/>
      <c r="H576" s="48"/>
      <c r="I576" s="48"/>
      <c r="J576" s="50"/>
      <c r="K576" s="50"/>
      <c r="L576" s="48"/>
      <c r="M576" s="47"/>
      <c r="N576" s="48"/>
      <c r="O576" s="48"/>
      <c r="P576" s="48"/>
    </row>
    <row r="577" spans="1:16">
      <c r="A577" s="47">
        <v>26907</v>
      </c>
      <c r="B577" s="48">
        <v>11404</v>
      </c>
      <c r="C577" s="48" t="s">
        <v>28</v>
      </c>
      <c r="D577" s="50">
        <v>-2.4176E-2</v>
      </c>
      <c r="E577" s="14">
        <v>-3.6685000000000002E-2</v>
      </c>
      <c r="F577" s="48"/>
      <c r="G577" s="47"/>
      <c r="H577" s="48"/>
      <c r="I577" s="48"/>
      <c r="J577" s="50"/>
      <c r="K577" s="50"/>
      <c r="L577" s="48"/>
      <c r="M577" s="47"/>
      <c r="N577" s="48"/>
      <c r="O577" s="48"/>
      <c r="P577" s="48"/>
    </row>
    <row r="578" spans="1:16">
      <c r="A578" s="47">
        <v>26935</v>
      </c>
      <c r="B578" s="48">
        <v>11404</v>
      </c>
      <c r="C578" s="48" t="s">
        <v>28</v>
      </c>
      <c r="D578" s="50">
        <v>3.4483E-2</v>
      </c>
      <c r="E578" s="14">
        <v>4.0096E-2</v>
      </c>
      <c r="F578" s="48"/>
      <c r="G578" s="47"/>
      <c r="H578" s="48"/>
      <c r="I578" s="48"/>
      <c r="J578" s="50"/>
      <c r="K578" s="50"/>
      <c r="L578" s="48"/>
      <c r="M578" s="47"/>
      <c r="N578" s="48"/>
      <c r="O578" s="48"/>
      <c r="P578" s="48"/>
    </row>
    <row r="579" spans="1:16">
      <c r="A579" s="47">
        <v>26968</v>
      </c>
      <c r="B579" s="48">
        <v>11404</v>
      </c>
      <c r="C579" s="48" t="s">
        <v>28</v>
      </c>
      <c r="D579" s="50">
        <v>8.8889999999999993E-3</v>
      </c>
      <c r="E579" s="14">
        <v>-1.291E-3</v>
      </c>
      <c r="F579" s="48"/>
      <c r="G579" s="47"/>
      <c r="H579" s="48"/>
      <c r="I579" s="48"/>
      <c r="J579" s="50"/>
      <c r="K579" s="50"/>
      <c r="L579" s="48"/>
      <c r="M579" s="47"/>
      <c r="N579" s="48"/>
      <c r="O579" s="48"/>
      <c r="P579" s="48"/>
    </row>
    <row r="580" spans="1:16">
      <c r="A580" s="47">
        <v>26998</v>
      </c>
      <c r="B580" s="48">
        <v>11404</v>
      </c>
      <c r="C580" s="48" t="s">
        <v>28</v>
      </c>
      <c r="D580" s="50">
        <v>-0.10112400000000001</v>
      </c>
      <c r="E580" s="14">
        <v>-0.113861</v>
      </c>
      <c r="F580" s="48"/>
      <c r="G580" s="47"/>
      <c r="H580" s="48"/>
      <c r="I580" s="48"/>
      <c r="J580" s="50"/>
      <c r="K580" s="50"/>
      <c r="L580" s="48"/>
      <c r="M580" s="47"/>
      <c r="N580" s="48"/>
      <c r="O580" s="48"/>
      <c r="P580" s="48"/>
    </row>
    <row r="581" spans="1:16">
      <c r="A581" s="47">
        <v>27029</v>
      </c>
      <c r="B581" s="48">
        <v>11404</v>
      </c>
      <c r="C581" s="48" t="s">
        <v>28</v>
      </c>
      <c r="D581" s="50">
        <v>-6.25E-2</v>
      </c>
      <c r="E581" s="14">
        <v>1.6569E-2</v>
      </c>
      <c r="F581" s="48"/>
      <c r="G581" s="47"/>
      <c r="H581" s="48"/>
      <c r="I581" s="48"/>
      <c r="J581" s="50"/>
      <c r="K581" s="50"/>
      <c r="L581" s="48"/>
      <c r="M581" s="47"/>
      <c r="N581" s="48"/>
      <c r="O581" s="48"/>
      <c r="P581" s="48"/>
    </row>
    <row r="582" spans="1:16">
      <c r="A582" s="47">
        <v>27060</v>
      </c>
      <c r="B582" s="48">
        <v>11404</v>
      </c>
      <c r="C582" s="48" t="s">
        <v>28</v>
      </c>
      <c r="D582" s="50">
        <v>0.104</v>
      </c>
      <c r="E582" s="14">
        <v>-1.0045999999999999E-2</v>
      </c>
      <c r="F582" s="48"/>
      <c r="G582" s="47"/>
      <c r="H582" s="48"/>
      <c r="I582" s="48"/>
      <c r="J582" s="50"/>
      <c r="K582" s="50"/>
      <c r="L582" s="48"/>
      <c r="M582" s="47"/>
      <c r="N582" s="48"/>
      <c r="O582" s="48"/>
      <c r="P582" s="48"/>
    </row>
    <row r="583" spans="1:16">
      <c r="A583" s="47">
        <v>27088</v>
      </c>
      <c r="B583" s="48">
        <v>11404</v>
      </c>
      <c r="C583" s="48" t="s">
        <v>28</v>
      </c>
      <c r="D583" s="50">
        <v>4.9383000000000003E-2</v>
      </c>
      <c r="E583" s="14">
        <v>-3.6240000000000001E-3</v>
      </c>
      <c r="F583" s="48"/>
      <c r="G583" s="47"/>
      <c r="H583" s="48"/>
      <c r="I583" s="48"/>
      <c r="J583" s="50"/>
      <c r="K583" s="50"/>
      <c r="L583" s="48"/>
      <c r="M583" s="47"/>
      <c r="N583" s="48"/>
      <c r="O583" s="48"/>
      <c r="P583" s="48"/>
    </row>
    <row r="584" spans="1:16">
      <c r="A584" s="47">
        <v>27117</v>
      </c>
      <c r="B584" s="48">
        <v>11404</v>
      </c>
      <c r="C584" s="48" t="s">
        <v>28</v>
      </c>
      <c r="D584" s="50">
        <v>-5.8824000000000001E-2</v>
      </c>
      <c r="E584" s="14">
        <v>-2.3279999999999999E-2</v>
      </c>
      <c r="F584" s="48"/>
      <c r="G584" s="47"/>
      <c r="H584" s="48"/>
      <c r="I584" s="48"/>
      <c r="J584" s="50"/>
      <c r="K584" s="50"/>
      <c r="L584" s="48"/>
      <c r="M584" s="47"/>
      <c r="N584" s="48"/>
      <c r="O584" s="48"/>
      <c r="P584" s="48"/>
    </row>
    <row r="585" spans="1:16">
      <c r="A585" s="47">
        <v>27149</v>
      </c>
      <c r="B585" s="48">
        <v>11404</v>
      </c>
      <c r="C585" s="48" t="s">
        <v>28</v>
      </c>
      <c r="D585" s="50">
        <v>-0.52500000000000002</v>
      </c>
      <c r="E585" s="14">
        <v>-3.9051000000000002E-2</v>
      </c>
      <c r="F585" s="48"/>
      <c r="G585" s="47"/>
      <c r="H585" s="48"/>
      <c r="I585" s="48"/>
      <c r="J585" s="50"/>
      <c r="K585" s="50"/>
      <c r="L585" s="48"/>
      <c r="M585" s="47"/>
      <c r="N585" s="48"/>
      <c r="O585" s="48"/>
      <c r="P585" s="48"/>
    </row>
    <row r="586" spans="1:16">
      <c r="A586" s="47">
        <v>27180</v>
      </c>
      <c r="B586" s="48">
        <v>11404</v>
      </c>
      <c r="C586" s="48" t="s">
        <v>28</v>
      </c>
      <c r="D586" s="50">
        <v>-0.21052599999999999</v>
      </c>
      <c r="E586" s="14">
        <v>-3.3550999999999997E-2</v>
      </c>
      <c r="F586" s="48"/>
      <c r="G586" s="47"/>
      <c r="H586" s="48"/>
      <c r="I586" s="48"/>
      <c r="J586" s="50"/>
      <c r="K586" s="50"/>
      <c r="L586" s="48"/>
      <c r="M586" s="47"/>
      <c r="N586" s="48"/>
      <c r="O586" s="48"/>
      <c r="P586" s="48"/>
    </row>
    <row r="587" spans="1:16">
      <c r="A587" s="47">
        <v>27208</v>
      </c>
      <c r="B587" s="48">
        <v>11404</v>
      </c>
      <c r="C587" s="48" t="s">
        <v>28</v>
      </c>
      <c r="D587" s="50">
        <v>-0.16666700000000001</v>
      </c>
      <c r="E587" s="14">
        <v>-1.4664999999999999E-2</v>
      </c>
      <c r="F587" s="48"/>
      <c r="G587" s="47"/>
      <c r="H587" s="48"/>
      <c r="I587" s="48"/>
      <c r="J587" s="50"/>
      <c r="K587" s="50"/>
      <c r="L587" s="48"/>
      <c r="M587" s="47"/>
      <c r="N587" s="48"/>
      <c r="O587" s="48"/>
      <c r="P587" s="48"/>
    </row>
    <row r="588" spans="1:16">
      <c r="A588" s="47">
        <v>27241</v>
      </c>
      <c r="B588" s="48">
        <v>11404</v>
      </c>
      <c r="C588" s="48" t="s">
        <v>28</v>
      </c>
      <c r="D588" s="50">
        <v>0.34</v>
      </c>
      <c r="E588" s="14">
        <v>-7.7790999999999999E-2</v>
      </c>
      <c r="F588" s="48"/>
      <c r="G588" s="47"/>
      <c r="H588" s="48"/>
      <c r="I588" s="48"/>
      <c r="J588" s="50"/>
      <c r="K588" s="50"/>
      <c r="L588" s="48"/>
      <c r="M588" s="47"/>
      <c r="N588" s="48"/>
      <c r="O588" s="48"/>
      <c r="P588" s="48"/>
    </row>
    <row r="589" spans="1:16">
      <c r="A589" s="47">
        <v>27271</v>
      </c>
      <c r="B589" s="48">
        <v>11404</v>
      </c>
      <c r="C589" s="48" t="s">
        <v>28</v>
      </c>
      <c r="D589" s="50">
        <v>-0.12537300000000001</v>
      </c>
      <c r="E589" s="14">
        <v>-9.0278999999999998E-2</v>
      </c>
      <c r="F589" s="48"/>
      <c r="G589" s="47"/>
      <c r="H589" s="48"/>
      <c r="I589" s="48"/>
      <c r="J589" s="50"/>
      <c r="K589" s="50"/>
      <c r="L589" s="48"/>
      <c r="M589" s="47"/>
      <c r="N589" s="48"/>
      <c r="O589" s="48"/>
      <c r="P589" s="48"/>
    </row>
    <row r="590" spans="1:16">
      <c r="A590" s="47">
        <v>27302</v>
      </c>
      <c r="B590" s="48">
        <v>11404</v>
      </c>
      <c r="C590" s="48" t="s">
        <v>28</v>
      </c>
      <c r="D590" s="50">
        <v>-7.0175000000000001E-2</v>
      </c>
      <c r="E590" s="14">
        <v>-0.119335</v>
      </c>
      <c r="F590" s="48"/>
      <c r="G590" s="47"/>
      <c r="H590" s="48"/>
      <c r="I590" s="48"/>
      <c r="J590" s="50"/>
      <c r="K590" s="50"/>
      <c r="L590" s="48"/>
      <c r="M590" s="47"/>
      <c r="N590" s="48"/>
      <c r="O590" s="48"/>
      <c r="P590" s="48"/>
    </row>
    <row r="591" spans="1:16">
      <c r="A591" s="47">
        <v>27333</v>
      </c>
      <c r="B591" s="48">
        <v>11404</v>
      </c>
      <c r="C591" s="48" t="s">
        <v>28</v>
      </c>
      <c r="D591" s="50">
        <v>0.10566</v>
      </c>
      <c r="E591" s="14">
        <v>0.163047</v>
      </c>
      <c r="F591" s="48"/>
      <c r="G591" s="47"/>
      <c r="H591" s="48"/>
      <c r="I591" s="48"/>
      <c r="J591" s="50"/>
      <c r="K591" s="50"/>
      <c r="L591" s="48"/>
      <c r="M591" s="47"/>
      <c r="N591" s="48"/>
      <c r="O591" s="48"/>
      <c r="P591" s="48"/>
    </row>
    <row r="592" spans="1:16">
      <c r="A592" s="47">
        <v>27362</v>
      </c>
      <c r="B592" s="48">
        <v>11404</v>
      </c>
      <c r="C592" s="48" t="s">
        <v>28</v>
      </c>
      <c r="D592" s="50">
        <v>-1.7544000000000001E-2</v>
      </c>
      <c r="E592" s="14">
        <v>-5.3179999999999998E-2</v>
      </c>
      <c r="F592" s="48"/>
      <c r="G592" s="47"/>
      <c r="H592" s="48"/>
      <c r="I592" s="48"/>
      <c r="J592" s="50"/>
      <c r="K592" s="50"/>
      <c r="L592" s="48"/>
      <c r="M592" s="47"/>
      <c r="N592" s="48"/>
      <c r="O592" s="48"/>
      <c r="P592" s="48"/>
    </row>
    <row r="593" spans="1:16">
      <c r="A593" s="47">
        <v>27394</v>
      </c>
      <c r="B593" s="48">
        <v>11404</v>
      </c>
      <c r="C593" s="48" t="s">
        <v>28</v>
      </c>
      <c r="D593" s="50">
        <v>7.1429000000000006E-2</v>
      </c>
      <c r="E593" s="14">
        <v>-2.0150999999999999E-2</v>
      </c>
      <c r="F593" s="48"/>
      <c r="G593" s="47"/>
      <c r="H593" s="48"/>
      <c r="I593" s="48"/>
      <c r="J593" s="50"/>
      <c r="K593" s="50"/>
      <c r="L593" s="48"/>
      <c r="M593" s="47"/>
      <c r="N593" s="48"/>
      <c r="O593" s="48"/>
      <c r="P593" s="48"/>
    </row>
    <row r="594" spans="1:16">
      <c r="A594" s="47">
        <v>27425</v>
      </c>
      <c r="B594" s="48">
        <v>11404</v>
      </c>
      <c r="C594" s="48" t="s">
        <v>28</v>
      </c>
      <c r="D594" s="50">
        <v>0.45</v>
      </c>
      <c r="E594" s="14">
        <v>0.122812</v>
      </c>
      <c r="F594" s="48"/>
      <c r="G594" s="47"/>
      <c r="H594" s="48"/>
      <c r="I594" s="48"/>
      <c r="J594" s="50"/>
      <c r="K594" s="50"/>
      <c r="L594" s="48"/>
      <c r="M594" s="47"/>
      <c r="N594" s="48"/>
      <c r="O594" s="48"/>
      <c r="P594" s="48"/>
    </row>
    <row r="595" spans="1:16">
      <c r="A595" s="47">
        <v>27453</v>
      </c>
      <c r="B595" s="48">
        <v>11404</v>
      </c>
      <c r="C595" s="48" t="s">
        <v>28</v>
      </c>
      <c r="D595" s="50">
        <v>4.5979999999999997E-3</v>
      </c>
      <c r="E595" s="14">
        <v>5.9886000000000002E-2</v>
      </c>
      <c r="F595" s="48"/>
      <c r="G595" s="47"/>
      <c r="H595" s="48"/>
      <c r="I595" s="48"/>
      <c r="J595" s="50"/>
      <c r="K595" s="50"/>
      <c r="L595" s="48"/>
      <c r="M595" s="47"/>
      <c r="N595" s="48"/>
      <c r="O595" s="48"/>
      <c r="P595" s="48"/>
    </row>
    <row r="596" spans="1:16">
      <c r="A596" s="47">
        <v>27484</v>
      </c>
      <c r="B596" s="48">
        <v>11404</v>
      </c>
      <c r="C596" s="48" t="s">
        <v>28</v>
      </c>
      <c r="D596" s="50">
        <v>5.8824000000000001E-2</v>
      </c>
      <c r="E596" s="14">
        <v>2.1694000000000001E-2</v>
      </c>
      <c r="F596" s="48"/>
      <c r="G596" s="47"/>
      <c r="H596" s="48"/>
      <c r="I596" s="48"/>
      <c r="J596" s="50"/>
      <c r="K596" s="50"/>
      <c r="L596" s="48"/>
      <c r="M596" s="47"/>
      <c r="N596" s="48"/>
      <c r="O596" s="48"/>
      <c r="P596" s="48"/>
    </row>
    <row r="597" spans="1:16">
      <c r="A597" s="47">
        <v>27514</v>
      </c>
      <c r="B597" s="48">
        <v>11404</v>
      </c>
      <c r="C597" s="48" t="s">
        <v>28</v>
      </c>
      <c r="D597" s="50">
        <v>0.1</v>
      </c>
      <c r="E597" s="14">
        <v>4.7265000000000001E-2</v>
      </c>
      <c r="F597" s="48"/>
      <c r="G597" s="47"/>
      <c r="H597" s="48"/>
      <c r="I597" s="48"/>
      <c r="J597" s="50"/>
      <c r="K597" s="50"/>
      <c r="L597" s="48"/>
      <c r="M597" s="47"/>
      <c r="N597" s="48"/>
      <c r="O597" s="48"/>
      <c r="P597" s="48"/>
    </row>
    <row r="598" spans="1:16">
      <c r="A598" s="47">
        <v>27544</v>
      </c>
      <c r="B598" s="48">
        <v>11404</v>
      </c>
      <c r="C598" s="48" t="s">
        <v>28</v>
      </c>
      <c r="D598" s="50">
        <v>-2.6263000000000002E-2</v>
      </c>
      <c r="E598" s="14">
        <v>4.4101000000000001E-2</v>
      </c>
      <c r="F598" s="48"/>
      <c r="G598" s="47"/>
      <c r="H598" s="48"/>
      <c r="I598" s="48"/>
      <c r="J598" s="50"/>
      <c r="K598" s="50"/>
      <c r="L598" s="48"/>
      <c r="M598" s="47"/>
      <c r="N598" s="48"/>
      <c r="O598" s="48"/>
      <c r="P598" s="48"/>
    </row>
    <row r="599" spans="1:16">
      <c r="A599" s="47">
        <v>27575</v>
      </c>
      <c r="B599" s="48">
        <v>11404</v>
      </c>
      <c r="C599" s="48" t="s">
        <v>28</v>
      </c>
      <c r="D599" s="50">
        <v>0.18085100000000001</v>
      </c>
      <c r="E599" s="14">
        <v>4.4323000000000001E-2</v>
      </c>
      <c r="F599" s="48"/>
      <c r="G599" s="47"/>
      <c r="H599" s="48"/>
      <c r="I599" s="48"/>
      <c r="J599" s="50"/>
      <c r="K599" s="50"/>
      <c r="L599" s="48"/>
      <c r="M599" s="47"/>
      <c r="N599" s="48"/>
      <c r="O599" s="48"/>
      <c r="P599" s="48"/>
    </row>
    <row r="600" spans="1:16">
      <c r="A600" s="47">
        <v>27606</v>
      </c>
      <c r="B600" s="48">
        <v>11404</v>
      </c>
      <c r="C600" s="48" t="s">
        <v>28</v>
      </c>
      <c r="D600" s="50">
        <v>-7.7477000000000004E-2</v>
      </c>
      <c r="E600" s="14">
        <v>-6.7654000000000006E-2</v>
      </c>
      <c r="F600" s="48"/>
      <c r="G600" s="47"/>
      <c r="H600" s="48"/>
      <c r="I600" s="48"/>
      <c r="J600" s="50"/>
      <c r="K600" s="50"/>
      <c r="L600" s="48"/>
      <c r="M600" s="47"/>
      <c r="N600" s="48"/>
      <c r="O600" s="48"/>
      <c r="P600" s="48"/>
    </row>
    <row r="601" spans="1:16">
      <c r="A601" s="47">
        <v>27635</v>
      </c>
      <c r="B601" s="48">
        <v>11404</v>
      </c>
      <c r="C601" s="48" t="s">
        <v>28</v>
      </c>
      <c r="D601" s="50">
        <v>-0.02</v>
      </c>
      <c r="E601" s="14">
        <v>-2.1069999999999998E-2</v>
      </c>
      <c r="F601" s="48"/>
      <c r="G601" s="47"/>
      <c r="H601" s="48"/>
      <c r="I601" s="48"/>
      <c r="J601" s="50"/>
      <c r="K601" s="50"/>
      <c r="L601" s="48"/>
      <c r="M601" s="47"/>
      <c r="N601" s="48"/>
      <c r="O601" s="48"/>
      <c r="P601" s="48"/>
    </row>
    <row r="602" spans="1:16">
      <c r="A602" s="47">
        <v>27667</v>
      </c>
      <c r="B602" s="48">
        <v>11404</v>
      </c>
      <c r="C602" s="48" t="s">
        <v>28</v>
      </c>
      <c r="D602" s="50">
        <v>-2.0407999999999999E-2</v>
      </c>
      <c r="E602" s="14">
        <v>-3.4645000000000002E-2</v>
      </c>
      <c r="F602" s="48"/>
      <c r="G602" s="47"/>
      <c r="H602" s="48"/>
      <c r="I602" s="48"/>
      <c r="J602" s="50"/>
      <c r="K602" s="50"/>
      <c r="L602" s="48"/>
      <c r="M602" s="47"/>
      <c r="N602" s="48"/>
      <c r="O602" s="48"/>
      <c r="P602" s="48"/>
    </row>
    <row r="603" spans="1:16">
      <c r="A603" s="47">
        <v>27698</v>
      </c>
      <c r="B603" s="48">
        <v>11404</v>
      </c>
      <c r="C603" s="48" t="s">
        <v>28</v>
      </c>
      <c r="D603" s="50">
        <v>7.2916999999999996E-2</v>
      </c>
      <c r="E603" s="14">
        <v>6.1643000000000003E-2</v>
      </c>
      <c r="F603" s="48"/>
      <c r="G603" s="47"/>
      <c r="H603" s="48"/>
      <c r="I603" s="48"/>
      <c r="J603" s="50"/>
      <c r="K603" s="50"/>
      <c r="L603" s="48"/>
      <c r="M603" s="47"/>
      <c r="N603" s="48"/>
      <c r="O603" s="48"/>
      <c r="P603" s="48"/>
    </row>
    <row r="604" spans="1:16">
      <c r="A604" s="47">
        <v>27726</v>
      </c>
      <c r="B604" s="48">
        <v>11404</v>
      </c>
      <c r="C604" s="48" t="s">
        <v>28</v>
      </c>
      <c r="D604" s="50">
        <v>6.2135999999999997E-2</v>
      </c>
      <c r="E604" s="14">
        <v>2.4708000000000001E-2</v>
      </c>
      <c r="F604" s="48"/>
      <c r="G604" s="47"/>
      <c r="H604" s="48"/>
      <c r="I604" s="48"/>
      <c r="J604" s="50"/>
      <c r="K604" s="50"/>
      <c r="L604" s="48"/>
      <c r="M604" s="47"/>
      <c r="N604" s="48"/>
      <c r="O604" s="48"/>
      <c r="P604" s="48"/>
    </row>
    <row r="605" spans="1:16">
      <c r="A605" s="47">
        <v>27759</v>
      </c>
      <c r="B605" s="48">
        <v>11404</v>
      </c>
      <c r="C605" s="48" t="s">
        <v>28</v>
      </c>
      <c r="D605" s="50">
        <v>0.12149500000000001</v>
      </c>
      <c r="E605" s="14">
        <v>-1.1508000000000001E-2</v>
      </c>
      <c r="F605" s="48"/>
      <c r="G605" s="47"/>
      <c r="H605" s="48"/>
      <c r="I605" s="48"/>
      <c r="J605" s="50"/>
      <c r="K605" s="50"/>
      <c r="L605" s="48"/>
      <c r="M605" s="47"/>
      <c r="N605" s="48"/>
      <c r="O605" s="48"/>
      <c r="P605" s="48"/>
    </row>
    <row r="606" spans="1:16">
      <c r="A606" s="47">
        <v>27789</v>
      </c>
      <c r="B606" s="48">
        <v>11404</v>
      </c>
      <c r="C606" s="48" t="s">
        <v>28</v>
      </c>
      <c r="D606" s="50">
        <v>0.183333</v>
      </c>
      <c r="E606" s="14">
        <v>0.11830599999999999</v>
      </c>
      <c r="F606" s="48"/>
      <c r="G606" s="47"/>
      <c r="H606" s="48"/>
      <c r="I606" s="48"/>
      <c r="J606" s="50"/>
      <c r="K606" s="50"/>
      <c r="L606" s="48"/>
      <c r="M606" s="47"/>
      <c r="N606" s="48"/>
      <c r="O606" s="48"/>
      <c r="P606" s="48"/>
    </row>
    <row r="607" spans="1:16">
      <c r="A607" s="47">
        <v>27817</v>
      </c>
      <c r="B607" s="48">
        <v>11404</v>
      </c>
      <c r="C607" s="48" t="s">
        <v>28</v>
      </c>
      <c r="D607" s="50">
        <v>-3.3803E-2</v>
      </c>
      <c r="E607" s="14">
        <v>-1.1402000000000001E-2</v>
      </c>
      <c r="F607" s="48"/>
      <c r="G607" s="47"/>
      <c r="H607" s="48"/>
      <c r="I607" s="48"/>
      <c r="J607" s="50"/>
      <c r="K607" s="50"/>
      <c r="L607" s="48"/>
      <c r="M607" s="47"/>
      <c r="N607" s="48"/>
      <c r="O607" s="48"/>
      <c r="P607" s="48"/>
    </row>
    <row r="608" spans="1:16">
      <c r="A608" s="47">
        <v>27850</v>
      </c>
      <c r="B608" s="48">
        <v>11404</v>
      </c>
      <c r="C608" s="48" t="s">
        <v>28</v>
      </c>
      <c r="D608" s="50">
        <v>-7.463E-3</v>
      </c>
      <c r="E608" s="14">
        <v>3.0689000000000001E-2</v>
      </c>
      <c r="F608" s="48"/>
      <c r="G608" s="47"/>
      <c r="H608" s="48"/>
      <c r="I608" s="48"/>
      <c r="J608" s="50"/>
      <c r="K608" s="50"/>
      <c r="L608" s="48"/>
      <c r="M608" s="47"/>
      <c r="N608" s="48"/>
      <c r="O608" s="48"/>
      <c r="P608" s="48"/>
    </row>
    <row r="609" spans="1:16">
      <c r="A609" s="47">
        <v>27880</v>
      </c>
      <c r="B609" s="48">
        <v>11404</v>
      </c>
      <c r="C609" s="48" t="s">
        <v>28</v>
      </c>
      <c r="D609" s="50">
        <v>3.7594000000000002E-2</v>
      </c>
      <c r="E609" s="14">
        <v>-1.0995E-2</v>
      </c>
      <c r="F609" s="48"/>
      <c r="G609" s="47"/>
      <c r="H609" s="48"/>
      <c r="I609" s="48"/>
      <c r="J609" s="50"/>
      <c r="K609" s="50"/>
      <c r="L609" s="48"/>
      <c r="M609" s="47"/>
      <c r="N609" s="48"/>
      <c r="O609" s="48"/>
      <c r="P609" s="48"/>
    </row>
    <row r="610" spans="1:16">
      <c r="A610" s="47">
        <v>27908</v>
      </c>
      <c r="B610" s="48">
        <v>11404</v>
      </c>
      <c r="C610" s="48" t="s">
        <v>28</v>
      </c>
      <c r="D610" s="50">
        <v>1.449E-3</v>
      </c>
      <c r="E610" s="14">
        <v>-1.4364E-2</v>
      </c>
      <c r="F610" s="48"/>
      <c r="G610" s="47"/>
      <c r="H610" s="48"/>
      <c r="I610" s="48"/>
      <c r="J610" s="50"/>
      <c r="K610" s="50"/>
      <c r="L610" s="48"/>
      <c r="M610" s="47"/>
      <c r="N610" s="48"/>
      <c r="O610" s="48"/>
      <c r="P610" s="48"/>
    </row>
    <row r="611" spans="1:16">
      <c r="A611" s="47">
        <v>27941</v>
      </c>
      <c r="B611" s="48">
        <v>11404</v>
      </c>
      <c r="C611" s="48" t="s">
        <v>28</v>
      </c>
      <c r="D611" s="50">
        <v>5.9258999999999999E-2</v>
      </c>
      <c r="E611" s="14">
        <v>4.0925999999999997E-2</v>
      </c>
      <c r="F611" s="48"/>
      <c r="G611" s="47"/>
      <c r="H611" s="48"/>
      <c r="I611" s="48"/>
      <c r="J611" s="50"/>
      <c r="K611" s="50"/>
      <c r="L611" s="48"/>
      <c r="M611" s="47"/>
      <c r="N611" s="48"/>
      <c r="O611" s="48"/>
      <c r="P611" s="48"/>
    </row>
    <row r="612" spans="1:16">
      <c r="A612" s="47">
        <v>27971</v>
      </c>
      <c r="B612" s="48">
        <v>11404</v>
      </c>
      <c r="C612" s="48" t="s">
        <v>28</v>
      </c>
      <c r="D612" s="50">
        <v>3.4965000000000003E-2</v>
      </c>
      <c r="E612" s="14">
        <v>-8.0549999999999997E-3</v>
      </c>
      <c r="F612" s="48"/>
      <c r="G612" s="47"/>
      <c r="H612" s="48"/>
      <c r="I612" s="48"/>
      <c r="J612" s="50"/>
      <c r="K612" s="50"/>
      <c r="L612" s="48"/>
      <c r="M612" s="47"/>
      <c r="N612" s="48"/>
      <c r="O612" s="48"/>
      <c r="P612" s="48"/>
    </row>
    <row r="613" spans="1:16">
      <c r="A613" s="47">
        <v>28003</v>
      </c>
      <c r="B613" s="48">
        <v>11404</v>
      </c>
      <c r="C613" s="48" t="s">
        <v>28</v>
      </c>
      <c r="D613" s="50">
        <v>5.5405000000000003E-2</v>
      </c>
      <c r="E613" s="14">
        <v>-5.1240000000000001E-3</v>
      </c>
      <c r="F613" s="48"/>
      <c r="G613" s="47"/>
      <c r="H613" s="48"/>
      <c r="I613" s="48"/>
      <c r="J613" s="50"/>
      <c r="K613" s="50"/>
      <c r="L613" s="48"/>
      <c r="M613" s="47"/>
      <c r="N613" s="48"/>
      <c r="O613" s="48"/>
      <c r="P613" s="48"/>
    </row>
    <row r="614" spans="1:16">
      <c r="A614" s="47">
        <v>28033</v>
      </c>
      <c r="B614" s="48">
        <v>11404</v>
      </c>
      <c r="C614" s="48" t="s">
        <v>28</v>
      </c>
      <c r="D614" s="50">
        <v>1.9608E-2</v>
      </c>
      <c r="E614" s="14">
        <v>2.2641000000000001E-2</v>
      </c>
      <c r="F614" s="48"/>
      <c r="G614" s="47"/>
      <c r="H614" s="48"/>
      <c r="I614" s="48"/>
      <c r="J614" s="50"/>
      <c r="K614" s="50"/>
      <c r="L614" s="48"/>
      <c r="M614" s="47"/>
      <c r="N614" s="48"/>
      <c r="O614" s="48"/>
      <c r="P614" s="48"/>
    </row>
    <row r="615" spans="1:16">
      <c r="A615" s="47">
        <v>28062</v>
      </c>
      <c r="B615" s="48">
        <v>11404</v>
      </c>
      <c r="C615" s="48" t="s">
        <v>28</v>
      </c>
      <c r="D615" s="50">
        <v>-2.5641000000000001E-2</v>
      </c>
      <c r="E615" s="14">
        <v>-2.2235000000000001E-2</v>
      </c>
      <c r="F615" s="48"/>
      <c r="G615" s="47"/>
      <c r="H615" s="48"/>
      <c r="I615" s="48"/>
      <c r="J615" s="50"/>
      <c r="K615" s="50"/>
      <c r="L615" s="48"/>
      <c r="M615" s="47"/>
      <c r="N615" s="48"/>
      <c r="O615" s="48"/>
      <c r="P615" s="48"/>
    </row>
    <row r="616" spans="1:16">
      <c r="A616" s="47">
        <v>28094</v>
      </c>
      <c r="B616" s="48">
        <v>11404</v>
      </c>
      <c r="C616" s="48" t="s">
        <v>28</v>
      </c>
      <c r="D616" s="50">
        <v>4.7368E-2</v>
      </c>
      <c r="E616" s="14">
        <v>-7.7749999999999998E-3</v>
      </c>
      <c r="F616" s="48"/>
      <c r="G616" s="47"/>
      <c r="H616" s="48"/>
      <c r="I616" s="48"/>
      <c r="J616" s="50"/>
      <c r="K616" s="50"/>
      <c r="L616" s="48"/>
      <c r="M616" s="47"/>
      <c r="N616" s="48"/>
      <c r="O616" s="48"/>
      <c r="P616" s="48"/>
    </row>
    <row r="617" spans="1:16">
      <c r="A617" s="47">
        <v>28125</v>
      </c>
      <c r="B617" s="48">
        <v>11404</v>
      </c>
      <c r="C617" s="48" t="s">
        <v>28</v>
      </c>
      <c r="D617" s="50">
        <v>7.6923000000000005E-2</v>
      </c>
      <c r="E617" s="14">
        <v>5.2498000000000003E-2</v>
      </c>
      <c r="F617" s="48"/>
      <c r="G617" s="47"/>
      <c r="H617" s="48"/>
      <c r="I617" s="48"/>
      <c r="J617" s="50"/>
      <c r="K617" s="50"/>
      <c r="L617" s="48"/>
      <c r="M617" s="47"/>
      <c r="N617" s="48"/>
      <c r="O617" s="48"/>
      <c r="P617" s="48"/>
    </row>
    <row r="618" spans="1:16">
      <c r="A618" s="47">
        <v>28156</v>
      </c>
      <c r="B618" s="48">
        <v>11404</v>
      </c>
      <c r="C618" s="48" t="s">
        <v>28</v>
      </c>
      <c r="D618" s="50">
        <v>8.9286000000000004E-2</v>
      </c>
      <c r="E618" s="14">
        <v>-5.0529999999999999E-2</v>
      </c>
      <c r="F618" s="48"/>
      <c r="G618" s="47"/>
      <c r="H618" s="48"/>
      <c r="I618" s="48"/>
      <c r="J618" s="50"/>
      <c r="K618" s="50"/>
      <c r="L618" s="48"/>
      <c r="M618" s="47"/>
      <c r="N618" s="48"/>
      <c r="O618" s="48"/>
      <c r="P618" s="48"/>
    </row>
    <row r="619" spans="1:16">
      <c r="A619" s="47">
        <v>28184</v>
      </c>
      <c r="B619" s="48">
        <v>11404</v>
      </c>
      <c r="C619" s="48" t="s">
        <v>28</v>
      </c>
      <c r="D619" s="50">
        <v>-5.4640000000000001E-3</v>
      </c>
      <c r="E619" s="14">
        <v>-2.1659999999999999E-2</v>
      </c>
      <c r="F619" s="48"/>
      <c r="G619" s="47"/>
      <c r="H619" s="48"/>
      <c r="I619" s="48"/>
      <c r="J619" s="50"/>
      <c r="K619" s="50"/>
      <c r="L619" s="48"/>
      <c r="M619" s="47"/>
      <c r="N619" s="48"/>
      <c r="O619" s="48"/>
      <c r="P619" s="48"/>
    </row>
    <row r="620" spans="1:16">
      <c r="A620" s="47">
        <v>28215</v>
      </c>
      <c r="B620" s="48">
        <v>11404</v>
      </c>
      <c r="C620" s="48" t="s">
        <v>28</v>
      </c>
      <c r="D620" s="50">
        <v>-5.6179999999999997E-3</v>
      </c>
      <c r="E620" s="14">
        <v>-1.4024999999999999E-2</v>
      </c>
      <c r="F620" s="48"/>
      <c r="G620" s="47"/>
      <c r="H620" s="48"/>
      <c r="I620" s="48"/>
      <c r="J620" s="50"/>
      <c r="K620" s="50"/>
      <c r="L620" s="48"/>
      <c r="M620" s="47"/>
      <c r="N620" s="48"/>
      <c r="O620" s="48"/>
      <c r="P620" s="48"/>
    </row>
    <row r="621" spans="1:16">
      <c r="A621" s="47">
        <v>28244</v>
      </c>
      <c r="B621" s="48">
        <v>11404</v>
      </c>
      <c r="C621" s="48" t="s">
        <v>28</v>
      </c>
      <c r="D621" s="50">
        <v>2.2599000000000001E-2</v>
      </c>
      <c r="E621" s="14">
        <v>2.03E-4</v>
      </c>
      <c r="F621" s="48"/>
      <c r="G621" s="47"/>
      <c r="H621" s="48"/>
      <c r="I621" s="48"/>
      <c r="J621" s="50"/>
      <c r="K621" s="50"/>
      <c r="L621" s="48"/>
      <c r="M621" s="47"/>
      <c r="N621" s="48"/>
      <c r="O621" s="48"/>
      <c r="P621" s="48"/>
    </row>
    <row r="622" spans="1:16">
      <c r="A622" s="47">
        <v>28276</v>
      </c>
      <c r="B622" s="48">
        <v>11404</v>
      </c>
      <c r="C622" s="48" t="s">
        <v>28</v>
      </c>
      <c r="D622" s="50">
        <v>0</v>
      </c>
      <c r="E622" s="14">
        <v>-2.3567999999999999E-2</v>
      </c>
      <c r="F622" s="48"/>
      <c r="G622" s="47"/>
      <c r="H622" s="48"/>
      <c r="I622" s="48"/>
      <c r="J622" s="50"/>
      <c r="K622" s="50"/>
      <c r="L622" s="48"/>
      <c r="M622" s="47"/>
      <c r="N622" s="48"/>
      <c r="O622" s="48"/>
      <c r="P622" s="48"/>
    </row>
    <row r="623" spans="1:16">
      <c r="A623" s="47">
        <v>28306</v>
      </c>
      <c r="B623" s="48">
        <v>11404</v>
      </c>
      <c r="C623" s="48" t="s">
        <v>28</v>
      </c>
      <c r="D623" s="50">
        <v>0.10169499999999999</v>
      </c>
      <c r="E623" s="14">
        <v>4.5359999999999998E-2</v>
      </c>
      <c r="F623" s="48"/>
      <c r="G623" s="47"/>
      <c r="H623" s="48"/>
      <c r="I623" s="48"/>
      <c r="J623" s="50"/>
      <c r="K623" s="50"/>
      <c r="L623" s="48"/>
      <c r="M623" s="47"/>
      <c r="N623" s="48"/>
      <c r="O623" s="48"/>
      <c r="P623" s="48"/>
    </row>
    <row r="624" spans="1:16">
      <c r="A624" s="47">
        <v>28335</v>
      </c>
      <c r="B624" s="48">
        <v>11404</v>
      </c>
      <c r="C624" s="48" t="s">
        <v>28</v>
      </c>
      <c r="D624" s="50">
        <v>-3.0769000000000001E-2</v>
      </c>
      <c r="E624" s="14">
        <v>-1.6222E-2</v>
      </c>
      <c r="F624" s="48"/>
      <c r="G624" s="47"/>
      <c r="H624" s="48"/>
      <c r="I624" s="48"/>
      <c r="J624" s="50"/>
      <c r="K624" s="50"/>
      <c r="L624" s="48"/>
      <c r="M624" s="47"/>
      <c r="N624" s="48"/>
      <c r="O624" s="48"/>
      <c r="P624" s="48"/>
    </row>
    <row r="625" spans="1:16">
      <c r="A625" s="47">
        <v>28368</v>
      </c>
      <c r="B625" s="48">
        <v>11404</v>
      </c>
      <c r="C625" s="48" t="s">
        <v>28</v>
      </c>
      <c r="D625" s="50">
        <v>-3.7037E-2</v>
      </c>
      <c r="E625" s="14">
        <v>-2.1042000000000002E-2</v>
      </c>
      <c r="F625" s="48"/>
      <c r="G625" s="47"/>
      <c r="H625" s="48"/>
      <c r="I625" s="48"/>
      <c r="J625" s="50"/>
      <c r="K625" s="50"/>
      <c r="L625" s="48"/>
      <c r="M625" s="47"/>
      <c r="N625" s="48"/>
      <c r="O625" s="48"/>
      <c r="P625" s="48"/>
    </row>
    <row r="626" spans="1:16">
      <c r="A626" s="47">
        <v>28398</v>
      </c>
      <c r="B626" s="48">
        <v>11404</v>
      </c>
      <c r="C626" s="48" t="s">
        <v>28</v>
      </c>
      <c r="D626" s="50">
        <v>2.809E-2</v>
      </c>
      <c r="E626" s="14">
        <v>-2.48E-3</v>
      </c>
      <c r="F626" s="48"/>
      <c r="G626" s="47"/>
      <c r="H626" s="48"/>
      <c r="I626" s="48"/>
      <c r="J626" s="50"/>
      <c r="K626" s="50"/>
      <c r="L626" s="48"/>
      <c r="M626" s="47"/>
      <c r="N626" s="48"/>
      <c r="O626" s="48"/>
      <c r="P626" s="48"/>
    </row>
    <row r="627" spans="1:16">
      <c r="A627" s="47">
        <v>28429</v>
      </c>
      <c r="B627" s="48">
        <v>11404</v>
      </c>
      <c r="C627" s="48" t="s">
        <v>28</v>
      </c>
      <c r="D627" s="50">
        <v>2.7321999999999999E-2</v>
      </c>
      <c r="E627" s="14">
        <v>-4.3406E-2</v>
      </c>
      <c r="F627" s="48"/>
      <c r="G627" s="47"/>
      <c r="H627" s="48"/>
      <c r="I627" s="48"/>
      <c r="J627" s="50"/>
      <c r="K627" s="50"/>
      <c r="L627" s="48"/>
      <c r="M627" s="47"/>
      <c r="N627" s="48"/>
      <c r="O627" s="48"/>
      <c r="P627" s="48"/>
    </row>
    <row r="628" spans="1:16">
      <c r="A628" s="47">
        <v>28459</v>
      </c>
      <c r="B628" s="48">
        <v>11404</v>
      </c>
      <c r="C628" s="48" t="s">
        <v>28</v>
      </c>
      <c r="D628" s="50">
        <v>8.5106000000000001E-2</v>
      </c>
      <c r="E628" s="14">
        <v>2.6966E-2</v>
      </c>
      <c r="F628" s="48"/>
      <c r="G628" s="47"/>
      <c r="H628" s="48"/>
      <c r="I628" s="48"/>
      <c r="J628" s="50"/>
      <c r="K628" s="50"/>
      <c r="L628" s="48"/>
      <c r="M628" s="47"/>
      <c r="N628" s="48"/>
      <c r="O628" s="48"/>
      <c r="P628" s="48"/>
    </row>
    <row r="629" spans="1:16">
      <c r="A629" s="47">
        <v>28489</v>
      </c>
      <c r="B629" s="48">
        <v>11404</v>
      </c>
      <c r="C629" s="48" t="s">
        <v>28</v>
      </c>
      <c r="D629" s="50">
        <v>1.4999999999999999E-2</v>
      </c>
      <c r="E629" s="14">
        <v>2.8470000000000001E-3</v>
      </c>
      <c r="F629" s="48"/>
      <c r="G629" s="47"/>
      <c r="H629" s="48"/>
      <c r="I629" s="48"/>
      <c r="J629" s="50"/>
      <c r="K629" s="50"/>
      <c r="L629" s="48"/>
      <c r="M629" s="47"/>
      <c r="N629" s="48"/>
      <c r="O629" s="48"/>
      <c r="P629" s="48"/>
    </row>
    <row r="630" spans="1:16">
      <c r="A630" s="47">
        <v>28521</v>
      </c>
      <c r="B630" s="48">
        <v>11404</v>
      </c>
      <c r="C630" s="48" t="s">
        <v>28</v>
      </c>
      <c r="D630" s="50">
        <v>-7.8817999999999999E-2</v>
      </c>
      <c r="E630" s="14">
        <v>-6.1513999999999999E-2</v>
      </c>
      <c r="F630" s="48"/>
      <c r="G630" s="47"/>
      <c r="H630" s="48"/>
      <c r="I630" s="48"/>
      <c r="J630" s="50"/>
      <c r="K630" s="50"/>
      <c r="L630" s="48"/>
      <c r="M630" s="47"/>
      <c r="N630" s="48"/>
      <c r="O630" s="48"/>
      <c r="P630" s="48"/>
    </row>
    <row r="631" spans="1:16">
      <c r="A631" s="47">
        <v>28549</v>
      </c>
      <c r="B631" s="48">
        <v>11404</v>
      </c>
      <c r="C631" s="48" t="s">
        <v>28</v>
      </c>
      <c r="D631" s="50">
        <v>-3.209E-3</v>
      </c>
      <c r="E631" s="14">
        <v>-2.4761999999999999E-2</v>
      </c>
      <c r="F631" s="48"/>
      <c r="G631" s="47"/>
      <c r="H631" s="48"/>
      <c r="I631" s="48"/>
      <c r="J631" s="50"/>
      <c r="K631" s="50"/>
      <c r="L631" s="48"/>
      <c r="M631" s="47"/>
      <c r="N631" s="48"/>
      <c r="O631" s="48"/>
      <c r="P631" s="48"/>
    </row>
    <row r="632" spans="1:16">
      <c r="A632" s="47">
        <v>28580</v>
      </c>
      <c r="B632" s="48">
        <v>11404</v>
      </c>
      <c r="C632" s="48" t="s">
        <v>28</v>
      </c>
      <c r="D632" s="50">
        <v>2.1978000000000001E-2</v>
      </c>
      <c r="E632" s="14">
        <v>2.4930999999999998E-2</v>
      </c>
      <c r="F632" s="48"/>
      <c r="G632" s="47"/>
      <c r="H632" s="48"/>
      <c r="I632" s="48"/>
      <c r="J632" s="50"/>
      <c r="K632" s="50"/>
      <c r="L632" s="48"/>
      <c r="M632" s="47"/>
      <c r="N632" s="48"/>
      <c r="O632" s="48"/>
      <c r="P632" s="48"/>
    </row>
    <row r="633" spans="1:16">
      <c r="A633" s="47">
        <v>28608</v>
      </c>
      <c r="B633" s="48">
        <v>11404</v>
      </c>
      <c r="C633" s="48" t="s">
        <v>28</v>
      </c>
      <c r="D633" s="50">
        <v>-5.3759999999999997E-3</v>
      </c>
      <c r="E633" s="14">
        <v>8.5416000000000006E-2</v>
      </c>
      <c r="F633" s="48"/>
      <c r="G633" s="47"/>
      <c r="H633" s="48"/>
      <c r="I633" s="48"/>
      <c r="J633" s="50"/>
      <c r="K633" s="50"/>
      <c r="L633" s="48"/>
      <c r="M633" s="47"/>
      <c r="N633" s="48"/>
      <c r="O633" s="48"/>
      <c r="P633" s="48"/>
    </row>
    <row r="634" spans="1:16">
      <c r="A634" s="47">
        <v>28641</v>
      </c>
      <c r="B634" s="48">
        <v>11404</v>
      </c>
      <c r="C634" s="48" t="s">
        <v>28</v>
      </c>
      <c r="D634" s="50">
        <v>-1.4054000000000001E-2</v>
      </c>
      <c r="E634" s="14">
        <v>4.2339999999999999E-3</v>
      </c>
      <c r="F634" s="48"/>
      <c r="G634" s="47"/>
      <c r="H634" s="48"/>
      <c r="I634" s="48"/>
      <c r="J634" s="50"/>
      <c r="K634" s="50"/>
      <c r="L634" s="48"/>
      <c r="M634" s="47"/>
      <c r="N634" s="48"/>
      <c r="O634" s="48"/>
      <c r="P634" s="48"/>
    </row>
    <row r="635" spans="1:16">
      <c r="A635" s="47">
        <v>28671</v>
      </c>
      <c r="B635" s="48">
        <v>11404</v>
      </c>
      <c r="C635" s="48" t="s">
        <v>28</v>
      </c>
      <c r="D635" s="50">
        <v>3.3708000000000002E-2</v>
      </c>
      <c r="E635" s="14">
        <v>-1.7585E-2</v>
      </c>
      <c r="F635" s="48"/>
      <c r="G635" s="47"/>
      <c r="H635" s="48"/>
      <c r="I635" s="48"/>
      <c r="J635" s="50"/>
      <c r="K635" s="50"/>
      <c r="L635" s="48"/>
      <c r="M635" s="47"/>
      <c r="N635" s="48"/>
      <c r="O635" s="48"/>
      <c r="P635" s="48"/>
    </row>
    <row r="636" spans="1:16">
      <c r="A636" s="47">
        <v>28702</v>
      </c>
      <c r="B636" s="48">
        <v>11404</v>
      </c>
      <c r="C636" s="48" t="s">
        <v>28</v>
      </c>
      <c r="D636" s="50">
        <v>1.0869999999999999E-2</v>
      </c>
      <c r="E636" s="14">
        <v>5.391E-2</v>
      </c>
      <c r="F636" s="48"/>
      <c r="G636" s="47"/>
      <c r="H636" s="48"/>
      <c r="I636" s="48"/>
      <c r="J636" s="50"/>
      <c r="K636" s="50"/>
      <c r="L636" s="48"/>
      <c r="M636" s="47"/>
      <c r="N636" s="48"/>
      <c r="O636" s="48"/>
      <c r="P636" s="48"/>
    </row>
    <row r="637" spans="1:16">
      <c r="A637" s="47">
        <v>28733</v>
      </c>
      <c r="B637" s="48">
        <v>11404</v>
      </c>
      <c r="C637" s="48" t="s">
        <v>28</v>
      </c>
      <c r="D637" s="50">
        <v>2.3656E-2</v>
      </c>
      <c r="E637" s="14">
        <v>2.5923999999999999E-2</v>
      </c>
      <c r="F637" s="48"/>
      <c r="G637" s="47"/>
      <c r="H637" s="48"/>
      <c r="I637" s="48"/>
      <c r="J637" s="50"/>
      <c r="K637" s="50"/>
      <c r="L637" s="48"/>
      <c r="M637" s="47"/>
      <c r="N637" s="48"/>
      <c r="O637" s="48"/>
      <c r="P637" s="48"/>
    </row>
    <row r="638" spans="1:16">
      <c r="A638" s="47">
        <v>28762</v>
      </c>
      <c r="B638" s="48">
        <v>11404</v>
      </c>
      <c r="C638" s="48" t="s">
        <v>28</v>
      </c>
      <c r="D638" s="50">
        <v>4.8386999999999999E-2</v>
      </c>
      <c r="E638" s="14">
        <v>-7.2610000000000001E-3</v>
      </c>
      <c r="F638" s="48"/>
      <c r="G638" s="47"/>
      <c r="H638" s="48"/>
      <c r="I638" s="48"/>
      <c r="J638" s="50"/>
      <c r="K638" s="50"/>
      <c r="L638" s="48"/>
      <c r="M638" s="47"/>
      <c r="N638" s="48"/>
      <c r="O638" s="48"/>
      <c r="P638" s="48"/>
    </row>
    <row r="639" spans="1:16">
      <c r="A639" s="47">
        <v>28794</v>
      </c>
      <c r="B639" s="48">
        <v>11404</v>
      </c>
      <c r="C639" s="48" t="s">
        <v>28</v>
      </c>
      <c r="D639" s="50">
        <v>-6.6667000000000004E-2</v>
      </c>
      <c r="E639" s="14">
        <v>-9.1574000000000003E-2</v>
      </c>
      <c r="F639" s="48"/>
      <c r="G639" s="47"/>
      <c r="H639" s="48"/>
      <c r="I639" s="48"/>
      <c r="J639" s="50"/>
      <c r="K639" s="50"/>
      <c r="L639" s="48"/>
      <c r="M639" s="47"/>
      <c r="N639" s="48"/>
      <c r="O639" s="48"/>
      <c r="P639" s="48"/>
    </row>
    <row r="640" spans="1:16">
      <c r="A640" s="47">
        <v>28824</v>
      </c>
      <c r="B640" s="48">
        <v>11404</v>
      </c>
      <c r="C640" s="48" t="s">
        <v>28</v>
      </c>
      <c r="D640" s="50">
        <v>3.5165000000000002E-2</v>
      </c>
      <c r="E640" s="14">
        <v>1.6639999999999999E-2</v>
      </c>
      <c r="F640" s="48"/>
      <c r="G640" s="47"/>
      <c r="H640" s="48"/>
      <c r="I640" s="48"/>
      <c r="J640" s="50"/>
      <c r="K640" s="50"/>
      <c r="L640" s="48"/>
      <c r="M640" s="47"/>
      <c r="N640" s="48"/>
      <c r="O640" s="48"/>
      <c r="P640" s="48"/>
    </row>
    <row r="641" spans="1:16">
      <c r="A641" s="47">
        <v>28853</v>
      </c>
      <c r="B641" s="48">
        <v>11404</v>
      </c>
      <c r="C641" s="48" t="s">
        <v>28</v>
      </c>
      <c r="D641" s="50">
        <v>5.4349999999999997E-3</v>
      </c>
      <c r="E641" s="14">
        <v>1.4888999999999999E-2</v>
      </c>
      <c r="F641" s="48"/>
      <c r="G641" s="47"/>
      <c r="H641" s="48"/>
      <c r="I641" s="48"/>
      <c r="J641" s="50"/>
      <c r="K641" s="50"/>
      <c r="L641" s="48"/>
      <c r="M641" s="47"/>
      <c r="N641" s="48"/>
      <c r="O641" s="48"/>
      <c r="P641" s="48"/>
    </row>
    <row r="642" spans="1:16">
      <c r="A642" s="47">
        <v>28886</v>
      </c>
      <c r="B642" s="48">
        <v>11404</v>
      </c>
      <c r="C642" s="48" t="s">
        <v>28</v>
      </c>
      <c r="D642" s="50">
        <v>7.5675999999999993E-2</v>
      </c>
      <c r="E642" s="14">
        <v>3.9745999999999997E-2</v>
      </c>
      <c r="F642" s="48"/>
      <c r="G642" s="47"/>
      <c r="H642" s="48"/>
      <c r="I642" s="48"/>
      <c r="J642" s="50"/>
      <c r="K642" s="50"/>
      <c r="L642" s="48"/>
      <c r="M642" s="47"/>
      <c r="N642" s="48"/>
      <c r="O642" s="48"/>
      <c r="P642" s="48"/>
    </row>
    <row r="643" spans="1:16">
      <c r="A643" s="47">
        <v>28914</v>
      </c>
      <c r="B643" s="48">
        <v>11404</v>
      </c>
      <c r="C643" s="48" t="s">
        <v>28</v>
      </c>
      <c r="D643" s="50">
        <v>-1.0652999999999999E-2</v>
      </c>
      <c r="E643" s="14">
        <v>-3.6526000000000003E-2</v>
      </c>
      <c r="F643" s="48"/>
      <c r="G643" s="47"/>
      <c r="H643" s="48"/>
      <c r="I643" s="48"/>
      <c r="J643" s="50"/>
      <c r="K643" s="50"/>
      <c r="L643" s="48"/>
      <c r="M643" s="47"/>
      <c r="N643" s="48"/>
      <c r="O643" s="48"/>
      <c r="P643" s="48"/>
    </row>
    <row r="644" spans="1:16">
      <c r="A644" s="47">
        <v>28944</v>
      </c>
      <c r="B644" s="48">
        <v>11404</v>
      </c>
      <c r="C644" s="48" t="s">
        <v>28</v>
      </c>
      <c r="D644" s="50">
        <v>0</v>
      </c>
      <c r="E644" s="14">
        <v>5.5152E-2</v>
      </c>
      <c r="F644" s="48"/>
      <c r="G644" s="47"/>
      <c r="H644" s="48"/>
      <c r="I644" s="48"/>
      <c r="J644" s="50"/>
      <c r="K644" s="50"/>
      <c r="L644" s="48"/>
      <c r="M644" s="47"/>
      <c r="N644" s="48"/>
      <c r="O644" s="48"/>
      <c r="P644" s="48"/>
    </row>
    <row r="645" spans="1:16">
      <c r="A645" s="47">
        <v>28975</v>
      </c>
      <c r="B645" s="48">
        <v>11404</v>
      </c>
      <c r="C645" s="48" t="s">
        <v>28</v>
      </c>
      <c r="D645" s="50">
        <v>-5.7292000000000003E-2</v>
      </c>
      <c r="E645" s="14">
        <v>1.673E-3</v>
      </c>
      <c r="F645" s="48"/>
      <c r="G645" s="47"/>
      <c r="H645" s="48"/>
      <c r="I645" s="48"/>
      <c r="J645" s="50"/>
      <c r="K645" s="50"/>
      <c r="L645" s="48"/>
      <c r="M645" s="47"/>
      <c r="N645" s="48"/>
      <c r="O645" s="48"/>
      <c r="P645" s="48"/>
    </row>
    <row r="646" spans="1:16">
      <c r="A646" s="47">
        <v>29006</v>
      </c>
      <c r="B646" s="48">
        <v>11404</v>
      </c>
      <c r="C646" s="48" t="s">
        <v>28</v>
      </c>
      <c r="D646" s="50">
        <v>3.2486000000000001E-2</v>
      </c>
      <c r="E646" s="14">
        <v>-2.6335999999999998E-2</v>
      </c>
      <c r="F646" s="48"/>
      <c r="G646" s="47"/>
      <c r="H646" s="48"/>
      <c r="I646" s="48"/>
      <c r="J646" s="50"/>
      <c r="K646" s="50"/>
      <c r="L646" s="48"/>
      <c r="M646" s="47"/>
      <c r="N646" s="48"/>
      <c r="O646" s="48"/>
      <c r="P646" s="48"/>
    </row>
    <row r="647" spans="1:16">
      <c r="A647" s="47">
        <v>29035</v>
      </c>
      <c r="B647" s="48">
        <v>11404</v>
      </c>
      <c r="C647" s="48" t="s">
        <v>28</v>
      </c>
      <c r="D647" s="50">
        <v>6.5934000000000006E-2</v>
      </c>
      <c r="E647" s="14">
        <v>3.8656000000000003E-2</v>
      </c>
      <c r="F647" s="48"/>
      <c r="G647" s="47"/>
      <c r="H647" s="48"/>
      <c r="I647" s="48"/>
      <c r="J647" s="50"/>
      <c r="K647" s="50"/>
      <c r="L647" s="48"/>
      <c r="M647" s="47"/>
      <c r="N647" s="48"/>
      <c r="O647" s="48"/>
      <c r="P647" s="48"/>
    </row>
    <row r="648" spans="1:16">
      <c r="A648" s="47">
        <v>29067</v>
      </c>
      <c r="B648" s="48">
        <v>11404</v>
      </c>
      <c r="C648" s="48" t="s">
        <v>28</v>
      </c>
      <c r="D648" s="50">
        <v>1.5464E-2</v>
      </c>
      <c r="E648" s="14">
        <v>8.7460000000000003E-3</v>
      </c>
      <c r="F648" s="48"/>
      <c r="G648" s="47"/>
      <c r="H648" s="48"/>
      <c r="I648" s="48"/>
      <c r="J648" s="50"/>
      <c r="K648" s="50"/>
      <c r="L648" s="48"/>
      <c r="M648" s="47"/>
      <c r="N648" s="48"/>
      <c r="O648" s="48"/>
      <c r="P648" s="48"/>
    </row>
    <row r="649" spans="1:16">
      <c r="A649" s="47">
        <v>29098</v>
      </c>
      <c r="B649" s="48">
        <v>11404</v>
      </c>
      <c r="C649" s="48" t="s">
        <v>28</v>
      </c>
      <c r="D649" s="50">
        <v>-2.0913999999999999E-2</v>
      </c>
      <c r="E649" s="14">
        <v>5.3078E-2</v>
      </c>
      <c r="F649" s="48"/>
      <c r="G649" s="47"/>
      <c r="H649" s="48"/>
      <c r="I649" s="48"/>
      <c r="J649" s="50"/>
      <c r="K649" s="50"/>
      <c r="L649" s="48"/>
      <c r="M649" s="47"/>
      <c r="N649" s="48"/>
      <c r="O649" s="48"/>
      <c r="P649" s="48"/>
    </row>
    <row r="650" spans="1:16">
      <c r="A650" s="47">
        <v>29126</v>
      </c>
      <c r="B650" s="48">
        <v>11404</v>
      </c>
      <c r="C650" s="48" t="s">
        <v>28</v>
      </c>
      <c r="D650" s="50">
        <v>0</v>
      </c>
      <c r="E650" s="14">
        <v>0</v>
      </c>
      <c r="F650" s="48"/>
      <c r="G650" s="47"/>
      <c r="H650" s="48"/>
      <c r="I650" s="48"/>
      <c r="J650" s="50"/>
      <c r="K650" s="50"/>
      <c r="L650" s="48"/>
      <c r="M650" s="47"/>
      <c r="N650" s="48"/>
      <c r="O650" s="48"/>
      <c r="P650" s="48"/>
    </row>
    <row r="651" spans="1:16">
      <c r="A651" s="47">
        <v>29159</v>
      </c>
      <c r="B651" s="48">
        <v>11404</v>
      </c>
      <c r="C651" s="48" t="s">
        <v>28</v>
      </c>
      <c r="D651" s="50">
        <v>-4.8510999999999999E-2</v>
      </c>
      <c r="E651" s="14">
        <v>-6.8606E-2</v>
      </c>
      <c r="F651" s="48"/>
      <c r="G651" s="47"/>
      <c r="H651" s="48"/>
      <c r="I651" s="48"/>
      <c r="J651" s="50"/>
      <c r="K651" s="50"/>
      <c r="L651" s="48"/>
      <c r="M651" s="47"/>
      <c r="N651" s="48"/>
      <c r="O651" s="48"/>
      <c r="P651" s="48"/>
    </row>
    <row r="652" spans="1:16">
      <c r="A652" s="47">
        <v>29189</v>
      </c>
      <c r="B652" s="48">
        <v>11404</v>
      </c>
      <c r="C652" s="48" t="s">
        <v>28</v>
      </c>
      <c r="D652" s="50">
        <v>0.109195</v>
      </c>
      <c r="E652" s="14">
        <v>4.2624000000000002E-2</v>
      </c>
      <c r="F652" s="48"/>
      <c r="G652" s="47"/>
      <c r="H652" s="48"/>
      <c r="I652" s="48"/>
      <c r="J652" s="50"/>
      <c r="K652" s="50"/>
      <c r="L652" s="48"/>
      <c r="M652" s="47"/>
      <c r="N652" s="48"/>
      <c r="O652" s="48"/>
      <c r="P652" s="48"/>
    </row>
    <row r="653" spans="1:16">
      <c r="A653" s="47">
        <v>29220</v>
      </c>
      <c r="B653" s="48">
        <v>11404</v>
      </c>
      <c r="C653" s="48" t="s">
        <v>28</v>
      </c>
      <c r="D653" s="50">
        <v>5.1809999999999998E-3</v>
      </c>
      <c r="E653" s="14">
        <v>1.6767000000000001E-2</v>
      </c>
      <c r="F653" s="48"/>
      <c r="G653" s="47"/>
      <c r="H653" s="48"/>
      <c r="I653" s="48"/>
      <c r="J653" s="50"/>
      <c r="K653" s="50"/>
      <c r="L653" s="48"/>
      <c r="M653" s="47"/>
      <c r="N653" s="48"/>
      <c r="O653" s="48"/>
      <c r="P653" s="48"/>
    </row>
    <row r="654" spans="1:16">
      <c r="A654" s="47">
        <v>29251</v>
      </c>
      <c r="B654" s="48">
        <v>11404</v>
      </c>
      <c r="C654" s="48" t="s">
        <v>28</v>
      </c>
      <c r="D654" s="50">
        <v>-3.9380999999999999E-2</v>
      </c>
      <c r="E654" s="14">
        <v>5.7625000000000003E-2</v>
      </c>
      <c r="F654" s="48"/>
      <c r="G654" s="47"/>
      <c r="H654" s="48"/>
      <c r="I654" s="48"/>
      <c r="J654" s="50"/>
      <c r="K654" s="50"/>
      <c r="L654" s="48"/>
      <c r="M654" s="47"/>
      <c r="N654" s="48"/>
      <c r="O654" s="48"/>
      <c r="P654" s="48"/>
    </row>
    <row r="655" spans="1:16">
      <c r="A655" s="47">
        <v>29280</v>
      </c>
      <c r="B655" s="48">
        <v>11404</v>
      </c>
      <c r="C655" s="48" t="s">
        <v>28</v>
      </c>
      <c r="D655" s="50">
        <v>-6.0773000000000001E-2</v>
      </c>
      <c r="E655" s="14">
        <v>-4.3800000000000002E-3</v>
      </c>
      <c r="F655" s="48"/>
      <c r="G655" s="47"/>
      <c r="H655" s="48"/>
      <c r="I655" s="48"/>
      <c r="J655" s="50"/>
      <c r="K655" s="50"/>
      <c r="L655" s="48"/>
      <c r="M655" s="47"/>
      <c r="N655" s="48"/>
      <c r="O655" s="48"/>
      <c r="P655" s="48"/>
    </row>
    <row r="656" spans="1:16">
      <c r="A656" s="47">
        <v>29311</v>
      </c>
      <c r="B656" s="48">
        <v>11404</v>
      </c>
      <c r="C656" s="48" t="s">
        <v>28</v>
      </c>
      <c r="D656" s="50">
        <v>5.8820000000000001E-3</v>
      </c>
      <c r="E656" s="14">
        <v>-0.101795</v>
      </c>
      <c r="F656" s="48"/>
      <c r="G656" s="47"/>
      <c r="H656" s="48"/>
      <c r="I656" s="48"/>
      <c r="J656" s="50"/>
      <c r="K656" s="50"/>
      <c r="L656" s="48"/>
      <c r="M656" s="47"/>
      <c r="N656" s="48"/>
      <c r="O656" s="48"/>
      <c r="P656" s="48"/>
    </row>
    <row r="657" spans="1:16">
      <c r="A657" s="47">
        <v>29341</v>
      </c>
      <c r="B657" s="48">
        <v>11404</v>
      </c>
      <c r="C657" s="48" t="s">
        <v>28</v>
      </c>
      <c r="D657" s="50">
        <v>0.140351</v>
      </c>
      <c r="E657" s="14">
        <v>4.1140000000000003E-2</v>
      </c>
      <c r="F657" s="48"/>
      <c r="G657" s="47"/>
      <c r="H657" s="48"/>
      <c r="I657" s="48"/>
      <c r="J657" s="50"/>
      <c r="K657" s="50"/>
      <c r="L657" s="48"/>
      <c r="M657" s="47"/>
      <c r="N657" s="48"/>
      <c r="O657" s="48"/>
      <c r="P657" s="48"/>
    </row>
    <row r="658" spans="1:16">
      <c r="A658" s="47">
        <v>29371</v>
      </c>
      <c r="B658" s="48">
        <v>11404</v>
      </c>
      <c r="C658" s="48" t="s">
        <v>28</v>
      </c>
      <c r="D658" s="50">
        <v>4.2872E-2</v>
      </c>
      <c r="E658" s="14">
        <v>4.6571000000000001E-2</v>
      </c>
      <c r="F658" s="48"/>
      <c r="G658" s="47"/>
      <c r="H658" s="48"/>
      <c r="I658" s="48"/>
      <c r="J658" s="50"/>
      <c r="K658" s="50"/>
      <c r="L658" s="48"/>
      <c r="M658" s="47"/>
      <c r="N658" s="48"/>
      <c r="O658" s="48"/>
      <c r="P658" s="48"/>
    </row>
    <row r="659" spans="1:16">
      <c r="A659" s="47">
        <v>29402</v>
      </c>
      <c r="B659" s="48">
        <v>11404</v>
      </c>
      <c r="C659" s="48" t="s">
        <v>28</v>
      </c>
      <c r="D659" s="50">
        <v>4.0404000000000002E-2</v>
      </c>
      <c r="E659" s="14">
        <v>2.6969E-2</v>
      </c>
      <c r="F659" s="48"/>
      <c r="G659" s="47"/>
      <c r="H659" s="48"/>
      <c r="I659" s="48"/>
      <c r="J659" s="50"/>
      <c r="K659" s="50"/>
      <c r="L659" s="48"/>
      <c r="M659" s="47"/>
      <c r="N659" s="48"/>
      <c r="O659" s="48"/>
      <c r="P659" s="48"/>
    </row>
    <row r="660" spans="1:16">
      <c r="A660" s="47">
        <v>29433</v>
      </c>
      <c r="B660" s="48">
        <v>11404</v>
      </c>
      <c r="C660" s="48" t="s">
        <v>28</v>
      </c>
      <c r="D660" s="50">
        <v>-2.7379000000000001E-2</v>
      </c>
      <c r="E660" s="14">
        <v>6.5039E-2</v>
      </c>
      <c r="F660" s="48"/>
      <c r="G660" s="47"/>
      <c r="H660" s="48"/>
      <c r="I660" s="48"/>
      <c r="J660" s="50"/>
      <c r="K660" s="50"/>
      <c r="L660" s="48"/>
      <c r="M660" s="47"/>
      <c r="N660" s="48"/>
      <c r="O660" s="48"/>
      <c r="P660" s="48"/>
    </row>
    <row r="661" spans="1:16">
      <c r="A661" s="47">
        <v>29462</v>
      </c>
      <c r="B661" s="48">
        <v>11404</v>
      </c>
      <c r="C661" s="48" t="s">
        <v>28</v>
      </c>
      <c r="D661" s="50">
        <v>-5.1279999999999997E-3</v>
      </c>
      <c r="E661" s="14">
        <v>5.8349999999999999E-3</v>
      </c>
      <c r="F661" s="48"/>
      <c r="G661" s="47"/>
      <c r="H661" s="48"/>
      <c r="I661" s="48"/>
      <c r="J661" s="50"/>
      <c r="K661" s="50"/>
      <c r="L661" s="48"/>
      <c r="M661" s="47"/>
      <c r="N661" s="48"/>
      <c r="O661" s="48"/>
      <c r="P661" s="48"/>
    </row>
    <row r="662" spans="1:16">
      <c r="A662" s="47">
        <v>29494</v>
      </c>
      <c r="B662" s="48">
        <v>11404</v>
      </c>
      <c r="C662" s="48" t="s">
        <v>28</v>
      </c>
      <c r="D662" s="50">
        <v>-1.0309E-2</v>
      </c>
      <c r="E662" s="14">
        <v>2.5167999999999999E-2</v>
      </c>
      <c r="F662" s="48"/>
      <c r="G662" s="47"/>
      <c r="H662" s="48"/>
      <c r="I662" s="48"/>
      <c r="J662" s="50"/>
      <c r="K662" s="50"/>
      <c r="L662" s="48"/>
      <c r="M662" s="47"/>
      <c r="N662" s="48"/>
      <c r="O662" s="48"/>
      <c r="P662" s="48"/>
    </row>
    <row r="663" spans="1:16">
      <c r="A663" s="47">
        <v>29525</v>
      </c>
      <c r="B663" s="48">
        <v>11404</v>
      </c>
      <c r="C663" s="48" t="s">
        <v>28</v>
      </c>
      <c r="D663" s="50">
        <v>-2.0833000000000001E-2</v>
      </c>
      <c r="E663" s="14">
        <v>1.6021000000000001E-2</v>
      </c>
      <c r="F663" s="48"/>
      <c r="G663" s="47"/>
      <c r="H663" s="48"/>
      <c r="I663" s="48"/>
      <c r="J663" s="50"/>
      <c r="K663" s="50"/>
      <c r="L663" s="48"/>
      <c r="M663" s="47"/>
      <c r="N663" s="48"/>
      <c r="O663" s="48"/>
      <c r="P663" s="48"/>
    </row>
    <row r="664" spans="1:16">
      <c r="A664" s="47">
        <v>29553</v>
      </c>
      <c r="B664" s="48">
        <v>11404</v>
      </c>
      <c r="C664" s="48" t="s">
        <v>28</v>
      </c>
      <c r="D664" s="50">
        <v>-3.5319000000000003E-2</v>
      </c>
      <c r="E664" s="14">
        <v>0.102377</v>
      </c>
      <c r="F664" s="48"/>
      <c r="G664" s="47"/>
      <c r="H664" s="48"/>
      <c r="I664" s="48"/>
      <c r="J664" s="50"/>
      <c r="K664" s="50"/>
      <c r="L664" s="48"/>
      <c r="M664" s="47"/>
      <c r="N664" s="48"/>
      <c r="O664" s="48"/>
      <c r="P664" s="48"/>
    </row>
    <row r="665" spans="1:16">
      <c r="A665" s="47">
        <v>29586</v>
      </c>
      <c r="B665" s="48">
        <v>11404</v>
      </c>
      <c r="C665" s="48" t="s">
        <v>28</v>
      </c>
      <c r="D665" s="50">
        <v>0.13068199999999999</v>
      </c>
      <c r="E665" s="14">
        <v>-3.3874000000000001E-2</v>
      </c>
      <c r="F665" s="48"/>
      <c r="G665" s="47"/>
      <c r="H665" s="48"/>
      <c r="I665" s="48"/>
      <c r="J665" s="50"/>
      <c r="K665" s="50"/>
      <c r="L665" s="48"/>
      <c r="M665" s="47"/>
      <c r="N665" s="48"/>
      <c r="O665" s="48"/>
      <c r="P665" s="48"/>
    </row>
    <row r="666" spans="1:16">
      <c r="A666" s="47">
        <v>29616</v>
      </c>
      <c r="B666" s="48">
        <v>11404</v>
      </c>
      <c r="C666" s="48" t="s">
        <v>28</v>
      </c>
      <c r="D666" s="50">
        <v>-1.5075E-2</v>
      </c>
      <c r="E666" s="14">
        <v>-4.5741999999999998E-2</v>
      </c>
      <c r="F666" s="48"/>
      <c r="G666" s="47"/>
      <c r="H666" s="48"/>
      <c r="I666" s="48"/>
      <c r="J666" s="50"/>
      <c r="K666" s="50"/>
      <c r="L666" s="48"/>
      <c r="M666" s="47"/>
      <c r="N666" s="48"/>
      <c r="O666" s="48"/>
      <c r="P666" s="48"/>
    </row>
    <row r="667" spans="1:16">
      <c r="A667" s="47">
        <v>29644</v>
      </c>
      <c r="B667" s="48">
        <v>11404</v>
      </c>
      <c r="C667" s="48" t="s">
        <v>28</v>
      </c>
      <c r="D667" s="50">
        <v>-2.0816000000000001E-2</v>
      </c>
      <c r="E667" s="14">
        <v>1.3277000000000001E-2</v>
      </c>
      <c r="F667" s="48"/>
      <c r="G667" s="47"/>
      <c r="H667" s="48"/>
      <c r="I667" s="48"/>
      <c r="J667" s="50"/>
      <c r="K667" s="50"/>
      <c r="L667" s="48"/>
      <c r="M667" s="47"/>
      <c r="N667" s="48"/>
      <c r="O667" s="48"/>
      <c r="P667" s="48"/>
    </row>
    <row r="668" spans="1:16">
      <c r="A668" s="47">
        <v>29676</v>
      </c>
      <c r="B668" s="48">
        <v>11404</v>
      </c>
      <c r="C668" s="48" t="s">
        <v>28</v>
      </c>
      <c r="D668" s="50">
        <v>0.15053800000000001</v>
      </c>
      <c r="E668" s="14">
        <v>3.6033000000000003E-2</v>
      </c>
      <c r="F668" s="48"/>
      <c r="G668" s="47"/>
      <c r="H668" s="48"/>
      <c r="I668" s="48"/>
      <c r="J668" s="50"/>
      <c r="K668" s="50"/>
      <c r="L668" s="48"/>
      <c r="M668" s="47"/>
      <c r="N668" s="48"/>
      <c r="O668" s="48"/>
      <c r="P668" s="48"/>
    </row>
    <row r="669" spans="1:16">
      <c r="A669" s="47">
        <v>29706</v>
      </c>
      <c r="B669" s="48">
        <v>11404</v>
      </c>
      <c r="C669" s="48" t="s">
        <v>28</v>
      </c>
      <c r="D669" s="50">
        <v>6.0748000000000003E-2</v>
      </c>
      <c r="E669" s="14">
        <v>-2.3456000000000001E-2</v>
      </c>
      <c r="F669" s="48"/>
      <c r="G669" s="47"/>
      <c r="H669" s="48"/>
      <c r="I669" s="48"/>
      <c r="J669" s="50"/>
      <c r="K669" s="50"/>
      <c r="L669" s="48"/>
      <c r="M669" s="47"/>
      <c r="N669" s="48"/>
      <c r="O669" s="48"/>
      <c r="P669" s="48"/>
    </row>
    <row r="670" spans="1:16">
      <c r="A670" s="47">
        <v>29735</v>
      </c>
      <c r="B670" s="48">
        <v>11404</v>
      </c>
      <c r="C670" s="48" t="s">
        <v>28</v>
      </c>
      <c r="D670" s="50">
        <v>1.7269E-2</v>
      </c>
      <c r="E670" s="14">
        <v>-1.6570000000000001E-3</v>
      </c>
      <c r="F670" s="48"/>
      <c r="G670" s="47"/>
      <c r="H670" s="48"/>
      <c r="I670" s="48"/>
      <c r="J670" s="50"/>
      <c r="K670" s="50"/>
      <c r="L670" s="48"/>
      <c r="M670" s="47"/>
      <c r="N670" s="48"/>
      <c r="O670" s="48"/>
      <c r="P670" s="48"/>
    </row>
    <row r="671" spans="1:16">
      <c r="A671" s="47">
        <v>29767</v>
      </c>
      <c r="B671" s="48">
        <v>11404</v>
      </c>
      <c r="C671" s="48" t="s">
        <v>28</v>
      </c>
      <c r="D671" s="50">
        <v>2.2221999999999999E-2</v>
      </c>
      <c r="E671" s="14">
        <v>-1.0408000000000001E-2</v>
      </c>
      <c r="F671" s="48"/>
      <c r="G671" s="47"/>
      <c r="H671" s="48"/>
      <c r="I671" s="48"/>
      <c r="J671" s="50"/>
      <c r="K671" s="50"/>
      <c r="L671" s="48"/>
      <c r="M671" s="47"/>
      <c r="N671" s="48"/>
      <c r="O671" s="48"/>
      <c r="P671" s="48"/>
    </row>
    <row r="672" spans="1:16">
      <c r="A672" s="47">
        <v>29798</v>
      </c>
      <c r="B672" s="48">
        <v>11404</v>
      </c>
      <c r="C672" s="48" t="s">
        <v>28</v>
      </c>
      <c r="D672" s="50">
        <v>2.6086999999999999E-2</v>
      </c>
      <c r="E672" s="14">
        <v>-2.2100000000000002E-3</v>
      </c>
      <c r="F672" s="48"/>
      <c r="G672" s="47"/>
      <c r="H672" s="48"/>
      <c r="I672" s="48"/>
      <c r="J672" s="50"/>
      <c r="K672" s="50"/>
      <c r="L672" s="48"/>
      <c r="M672" s="47"/>
      <c r="N672" s="48"/>
      <c r="O672" s="48"/>
      <c r="P672" s="48"/>
    </row>
    <row r="673" spans="1:16">
      <c r="A673" s="47">
        <v>29829</v>
      </c>
      <c r="B673" s="48">
        <v>11404</v>
      </c>
      <c r="C673" s="48" t="s">
        <v>28</v>
      </c>
      <c r="D673" s="50">
        <v>2.0847000000000001E-2</v>
      </c>
      <c r="E673" s="14">
        <v>-6.2099000000000001E-2</v>
      </c>
      <c r="F673" s="48"/>
      <c r="G673" s="47"/>
      <c r="H673" s="48"/>
      <c r="I673" s="48"/>
      <c r="J673" s="50"/>
      <c r="K673" s="50"/>
      <c r="L673" s="48"/>
      <c r="M673" s="47"/>
      <c r="N673" s="48"/>
      <c r="O673" s="48"/>
      <c r="P673" s="48"/>
    </row>
    <row r="674" spans="1:16">
      <c r="A674" s="47">
        <v>29859</v>
      </c>
      <c r="B674" s="48">
        <v>11404</v>
      </c>
      <c r="C674" s="48" t="s">
        <v>28</v>
      </c>
      <c r="D674" s="50">
        <v>-1.2766E-2</v>
      </c>
      <c r="E674" s="14">
        <v>-5.3831999999999998E-2</v>
      </c>
      <c r="F674" s="48"/>
      <c r="G674" s="47"/>
      <c r="H674" s="48"/>
      <c r="I674" s="48"/>
      <c r="J674" s="50"/>
      <c r="K674" s="50"/>
      <c r="L674" s="48"/>
      <c r="M674" s="47"/>
      <c r="N674" s="48"/>
      <c r="O674" s="48"/>
      <c r="P674" s="48"/>
    </row>
    <row r="675" spans="1:16">
      <c r="A675" s="47">
        <v>29889</v>
      </c>
      <c r="B675" s="48">
        <v>11404</v>
      </c>
      <c r="C675" s="48" t="s">
        <v>28</v>
      </c>
      <c r="D675" s="50">
        <v>0.112069</v>
      </c>
      <c r="E675" s="14">
        <v>4.9147999999999997E-2</v>
      </c>
      <c r="F675" s="48"/>
      <c r="G675" s="47"/>
      <c r="H675" s="48"/>
      <c r="I675" s="48"/>
      <c r="J675" s="50"/>
      <c r="K675" s="50"/>
      <c r="L675" s="48"/>
      <c r="M675" s="47"/>
      <c r="N675" s="48"/>
      <c r="O675" s="48"/>
      <c r="P675" s="48"/>
    </row>
    <row r="676" spans="1:16">
      <c r="A676" s="47">
        <v>29920</v>
      </c>
      <c r="B676" s="48">
        <v>11404</v>
      </c>
      <c r="C676" s="48" t="s">
        <v>28</v>
      </c>
      <c r="D676" s="50">
        <v>3.8449999999999998E-2</v>
      </c>
      <c r="E676" s="14">
        <v>3.6589999999999998E-2</v>
      </c>
      <c r="F676" s="48"/>
      <c r="G676" s="47"/>
      <c r="H676" s="48"/>
      <c r="I676" s="48"/>
      <c r="J676" s="50"/>
      <c r="K676" s="50"/>
      <c r="L676" s="48"/>
      <c r="M676" s="47"/>
      <c r="N676" s="48"/>
      <c r="O676" s="48"/>
      <c r="P676" s="48"/>
    </row>
    <row r="677" spans="1:16">
      <c r="A677" s="47">
        <v>29951</v>
      </c>
      <c r="B677" s="48">
        <v>11404</v>
      </c>
      <c r="C677" s="48" t="s">
        <v>28</v>
      </c>
      <c r="D677" s="50">
        <v>-7.6340000000000002E-3</v>
      </c>
      <c r="E677" s="14">
        <v>-3.0075000000000001E-2</v>
      </c>
      <c r="F677" s="48"/>
      <c r="G677" s="47"/>
      <c r="H677" s="48"/>
      <c r="I677" s="48"/>
      <c r="J677" s="50"/>
      <c r="K677" s="50"/>
      <c r="L677" s="48"/>
      <c r="M677" s="47"/>
      <c r="N677" s="48"/>
      <c r="O677" s="48"/>
      <c r="P677" s="48"/>
    </row>
    <row r="678" spans="1:16">
      <c r="A678" s="47">
        <v>29980</v>
      </c>
      <c r="B678" s="48">
        <v>11404</v>
      </c>
      <c r="C678" s="48" t="s">
        <v>28</v>
      </c>
      <c r="D678" s="50">
        <v>4.2307999999999998E-2</v>
      </c>
      <c r="E678" s="14">
        <v>-1.7544000000000001E-2</v>
      </c>
      <c r="F678" s="48"/>
      <c r="G678" s="47"/>
      <c r="H678" s="48"/>
      <c r="I678" s="48"/>
      <c r="J678" s="50"/>
      <c r="K678" s="50"/>
      <c r="L678" s="48"/>
      <c r="M678" s="47"/>
      <c r="N678" s="48"/>
      <c r="O678" s="48"/>
      <c r="P678" s="48"/>
    </row>
    <row r="679" spans="1:16">
      <c r="A679" s="47">
        <v>30008</v>
      </c>
      <c r="B679" s="48">
        <v>11404</v>
      </c>
      <c r="C679" s="48" t="s">
        <v>28</v>
      </c>
      <c r="D679" s="50">
        <v>3.5867000000000003E-2</v>
      </c>
      <c r="E679" s="14">
        <v>-6.0547999999999998E-2</v>
      </c>
      <c r="F679" s="48"/>
      <c r="G679" s="47"/>
      <c r="H679" s="48"/>
      <c r="I679" s="48"/>
      <c r="J679" s="50"/>
      <c r="K679" s="50"/>
      <c r="L679" s="48"/>
      <c r="M679" s="47"/>
      <c r="N679" s="48"/>
      <c r="O679" s="48"/>
      <c r="P679" s="48"/>
    </row>
    <row r="680" spans="1:16">
      <c r="A680" s="47">
        <v>30041</v>
      </c>
      <c r="B680" s="48">
        <v>11404</v>
      </c>
      <c r="C680" s="48" t="s">
        <v>28</v>
      </c>
      <c r="D680" s="50">
        <v>2.1898000000000001E-2</v>
      </c>
      <c r="E680" s="14">
        <v>-1.0167000000000001E-2</v>
      </c>
      <c r="F680" s="48"/>
      <c r="G680" s="47"/>
      <c r="H680" s="48"/>
      <c r="I680" s="48"/>
      <c r="J680" s="50"/>
      <c r="K680" s="50"/>
      <c r="L680" s="48"/>
      <c r="M680" s="47"/>
      <c r="N680" s="48"/>
      <c r="O680" s="48"/>
      <c r="P680" s="48"/>
    </row>
    <row r="681" spans="1:16">
      <c r="A681" s="47">
        <v>30071</v>
      </c>
      <c r="B681" s="48">
        <v>11404</v>
      </c>
      <c r="C681" s="48" t="s">
        <v>28</v>
      </c>
      <c r="D681" s="50">
        <v>0.05</v>
      </c>
      <c r="E681" s="14">
        <v>4.0014000000000001E-2</v>
      </c>
      <c r="F681" s="48"/>
      <c r="G681" s="47"/>
      <c r="H681" s="48"/>
      <c r="I681" s="48"/>
      <c r="J681" s="50"/>
      <c r="K681" s="50"/>
      <c r="L681" s="48"/>
      <c r="M681" s="47"/>
      <c r="N681" s="48"/>
      <c r="O681" s="48"/>
      <c r="P681" s="48"/>
    </row>
    <row r="682" spans="1:16">
      <c r="A682" s="47">
        <v>30099</v>
      </c>
      <c r="B682" s="48">
        <v>11404</v>
      </c>
      <c r="C682" s="48" t="s">
        <v>28</v>
      </c>
      <c r="D682" s="50">
        <v>1.6053999999999999E-2</v>
      </c>
      <c r="E682" s="14">
        <v>-3.9162000000000002E-2</v>
      </c>
      <c r="F682" s="48"/>
      <c r="G682" s="47"/>
      <c r="H682" s="48"/>
      <c r="I682" s="48"/>
      <c r="J682" s="50"/>
      <c r="K682" s="50"/>
      <c r="L682" s="48"/>
      <c r="M682" s="47"/>
      <c r="N682" s="48"/>
      <c r="O682" s="48"/>
      <c r="P682" s="48"/>
    </row>
    <row r="683" spans="1:16">
      <c r="A683" s="47">
        <v>30132</v>
      </c>
      <c r="B683" s="48">
        <v>11404</v>
      </c>
      <c r="C683" s="48" t="s">
        <v>28</v>
      </c>
      <c r="D683" s="50">
        <v>-2.3973000000000001E-2</v>
      </c>
      <c r="E683" s="14">
        <v>-2.0289999999999999E-2</v>
      </c>
      <c r="F683" s="48"/>
      <c r="G683" s="47"/>
      <c r="H683" s="48"/>
      <c r="I683" s="48"/>
      <c r="J683" s="50"/>
      <c r="K683" s="50"/>
      <c r="L683" s="48"/>
      <c r="M683" s="47"/>
      <c r="N683" s="48"/>
      <c r="O683" s="48"/>
      <c r="P683" s="48"/>
    </row>
    <row r="684" spans="1:16">
      <c r="A684" s="47">
        <v>30162</v>
      </c>
      <c r="B684" s="48">
        <v>11404</v>
      </c>
      <c r="C684" s="48" t="s">
        <v>28</v>
      </c>
      <c r="D684" s="50">
        <v>-3.1579000000000003E-2</v>
      </c>
      <c r="E684" s="14">
        <v>-2.2991000000000001E-2</v>
      </c>
      <c r="F684" s="48"/>
      <c r="G684" s="47"/>
      <c r="H684" s="48"/>
      <c r="I684" s="48"/>
      <c r="J684" s="50"/>
      <c r="K684" s="50"/>
      <c r="L684" s="48"/>
      <c r="M684" s="47"/>
      <c r="N684" s="48"/>
      <c r="O684" s="48"/>
      <c r="P684" s="48"/>
    </row>
    <row r="685" spans="1:16">
      <c r="A685" s="47">
        <v>30194</v>
      </c>
      <c r="B685" s="48">
        <v>11404</v>
      </c>
      <c r="C685" s="48" t="s">
        <v>28</v>
      </c>
      <c r="D685" s="50">
        <v>0.133044</v>
      </c>
      <c r="E685" s="14">
        <v>0.115977</v>
      </c>
      <c r="F685" s="48"/>
      <c r="G685" s="47"/>
      <c r="H685" s="48"/>
      <c r="I685" s="48"/>
      <c r="J685" s="50"/>
      <c r="K685" s="50"/>
      <c r="L685" s="48"/>
      <c r="M685" s="47"/>
      <c r="N685" s="48"/>
      <c r="O685" s="48"/>
      <c r="P685" s="48"/>
    </row>
    <row r="686" spans="1:16">
      <c r="A686" s="47">
        <v>30224</v>
      </c>
      <c r="B686" s="48">
        <v>11404</v>
      </c>
      <c r="C686" s="48" t="s">
        <v>28</v>
      </c>
      <c r="D686" s="50">
        <v>3.9216000000000001E-2</v>
      </c>
      <c r="E686" s="14">
        <v>7.6140000000000001E-3</v>
      </c>
      <c r="F686" s="48"/>
      <c r="G686" s="47"/>
      <c r="H686" s="48"/>
      <c r="I686" s="48"/>
      <c r="J686" s="50"/>
      <c r="K686" s="50"/>
      <c r="L686" s="48"/>
      <c r="M686" s="47"/>
      <c r="N686" s="48"/>
      <c r="O686" s="48"/>
      <c r="P686" s="48"/>
    </row>
    <row r="687" spans="1:16">
      <c r="A687" s="47">
        <v>30253</v>
      </c>
      <c r="B687" s="48">
        <v>11404</v>
      </c>
      <c r="C687" s="48" t="s">
        <v>28</v>
      </c>
      <c r="D687" s="50">
        <v>-5.0313999999999998E-2</v>
      </c>
      <c r="E687" s="14">
        <v>0.110364</v>
      </c>
      <c r="F687" s="48"/>
      <c r="G687" s="47"/>
      <c r="H687" s="48"/>
      <c r="I687" s="48"/>
      <c r="J687" s="50"/>
      <c r="K687" s="50"/>
      <c r="L687" s="48"/>
      <c r="M687" s="47"/>
      <c r="N687" s="48"/>
      <c r="O687" s="48"/>
      <c r="P687" s="48"/>
    </row>
    <row r="688" spans="1:16">
      <c r="A688" s="47">
        <v>30285</v>
      </c>
      <c r="B688" s="48">
        <v>11404</v>
      </c>
      <c r="C688" s="48" t="s">
        <v>28</v>
      </c>
      <c r="D688" s="50">
        <v>-1.0861000000000001E-2</v>
      </c>
      <c r="E688" s="14">
        <v>3.6123000000000002E-2</v>
      </c>
      <c r="F688" s="48"/>
      <c r="G688" s="47"/>
      <c r="H688" s="48"/>
      <c r="I688" s="48"/>
      <c r="J688" s="50"/>
      <c r="K688" s="50"/>
      <c r="L688" s="48"/>
      <c r="M688" s="47"/>
      <c r="N688" s="48"/>
      <c r="O688" s="48"/>
      <c r="P688" s="48"/>
    </row>
    <row r="689" spans="1:16">
      <c r="A689" s="47">
        <v>30316</v>
      </c>
      <c r="B689" s="48">
        <v>11404</v>
      </c>
      <c r="C689" s="48" t="s">
        <v>28</v>
      </c>
      <c r="D689" s="50">
        <v>0.12328799999999999</v>
      </c>
      <c r="E689" s="14">
        <v>1.5158E-2</v>
      </c>
      <c r="F689" s="48"/>
      <c r="G689" s="47"/>
      <c r="H689" s="48"/>
      <c r="I689" s="48"/>
      <c r="J689" s="50"/>
      <c r="K689" s="50"/>
      <c r="L689" s="48"/>
      <c r="M689" s="47"/>
      <c r="N689" s="48"/>
      <c r="O689" s="48"/>
      <c r="P689" s="48"/>
    </row>
    <row r="690" spans="1:16">
      <c r="A690" s="47">
        <v>30347</v>
      </c>
      <c r="B690" s="48">
        <v>11404</v>
      </c>
      <c r="C690" s="48" t="s">
        <v>28</v>
      </c>
      <c r="D690" s="50">
        <v>-1.2194999999999999E-2</v>
      </c>
      <c r="E690" s="14">
        <v>3.3133999999999997E-2</v>
      </c>
      <c r="F690" s="48"/>
      <c r="G690" s="47"/>
      <c r="H690" s="48"/>
      <c r="I690" s="48"/>
      <c r="J690" s="50"/>
      <c r="K690" s="50"/>
      <c r="L690" s="48"/>
      <c r="M690" s="47"/>
      <c r="N690" s="48"/>
      <c r="O690" s="48"/>
      <c r="P690" s="48"/>
    </row>
    <row r="691" spans="1:16">
      <c r="A691" s="47">
        <v>30375</v>
      </c>
      <c r="B691" s="48">
        <v>11404</v>
      </c>
      <c r="C691" s="48" t="s">
        <v>28</v>
      </c>
      <c r="D691" s="50">
        <v>6.0247000000000002E-2</v>
      </c>
      <c r="E691" s="14">
        <v>1.8995000000000001E-2</v>
      </c>
      <c r="F691" s="48"/>
      <c r="G691" s="47"/>
      <c r="H691" s="48"/>
      <c r="I691" s="48"/>
      <c r="J691" s="50"/>
      <c r="K691" s="50"/>
      <c r="L691" s="48"/>
      <c r="M691" s="47"/>
      <c r="N691" s="48"/>
      <c r="O691" s="48"/>
      <c r="P691" s="48"/>
    </row>
    <row r="692" spans="1:16">
      <c r="A692" s="47">
        <v>30406</v>
      </c>
      <c r="B692" s="48">
        <v>11404</v>
      </c>
      <c r="C692" s="48" t="s">
        <v>28</v>
      </c>
      <c r="D692" s="50">
        <v>4.7619000000000002E-2</v>
      </c>
      <c r="E692" s="14">
        <v>3.3094999999999999E-2</v>
      </c>
      <c r="F692" s="48"/>
      <c r="G692" s="47"/>
      <c r="H692" s="48"/>
      <c r="I692" s="48"/>
      <c r="J692" s="50"/>
      <c r="K692" s="50"/>
      <c r="L692" s="48"/>
      <c r="M692" s="47"/>
      <c r="N692" s="48"/>
      <c r="O692" s="48"/>
      <c r="P692" s="48"/>
    </row>
    <row r="693" spans="1:16">
      <c r="A693" s="47">
        <v>30435</v>
      </c>
      <c r="B693" s="48">
        <v>11404</v>
      </c>
      <c r="C693" s="48" t="s">
        <v>28</v>
      </c>
      <c r="D693" s="50">
        <v>4.5455000000000002E-2</v>
      </c>
      <c r="E693" s="14">
        <v>7.4922000000000002E-2</v>
      </c>
      <c r="F693" s="48"/>
      <c r="G693" s="47"/>
      <c r="H693" s="48"/>
      <c r="I693" s="48"/>
      <c r="J693" s="50"/>
      <c r="K693" s="50"/>
      <c r="L693" s="48"/>
      <c r="M693" s="47"/>
      <c r="N693" s="48"/>
      <c r="O693" s="48"/>
      <c r="P693" s="48"/>
    </row>
    <row r="694" spans="1:16">
      <c r="A694" s="47">
        <v>30467</v>
      </c>
      <c r="B694" s="48">
        <v>11404</v>
      </c>
      <c r="C694" s="48" t="s">
        <v>28</v>
      </c>
      <c r="D694" s="50">
        <v>-1.2174000000000001E-2</v>
      </c>
      <c r="E694" s="14">
        <v>-1.2345999999999999E-2</v>
      </c>
      <c r="F694" s="48"/>
      <c r="G694" s="47"/>
      <c r="H694" s="48"/>
      <c r="I694" s="48"/>
      <c r="J694" s="50"/>
      <c r="K694" s="50"/>
      <c r="L694" s="48"/>
      <c r="M694" s="47"/>
      <c r="N694" s="48"/>
      <c r="O694" s="48"/>
      <c r="P694" s="48"/>
    </row>
    <row r="695" spans="1:16">
      <c r="A695" s="47">
        <v>30497</v>
      </c>
      <c r="B695" s="48">
        <v>11404</v>
      </c>
      <c r="C695" s="48" t="s">
        <v>28</v>
      </c>
      <c r="D695" s="50">
        <v>0</v>
      </c>
      <c r="E695" s="14">
        <v>3.5223999999999998E-2</v>
      </c>
      <c r="F695" s="48"/>
      <c r="G695" s="47"/>
      <c r="H695" s="48"/>
      <c r="I695" s="48"/>
      <c r="J695" s="50"/>
      <c r="K695" s="50"/>
      <c r="L695" s="48"/>
      <c r="M695" s="47"/>
      <c r="N695" s="48"/>
      <c r="O695" s="48"/>
      <c r="P695" s="48"/>
    </row>
    <row r="696" spans="1:16">
      <c r="A696" s="47">
        <v>30526</v>
      </c>
      <c r="B696" s="48">
        <v>11404</v>
      </c>
      <c r="C696" s="48" t="s">
        <v>28</v>
      </c>
      <c r="D696" s="50">
        <v>1.6854000000000001E-2</v>
      </c>
      <c r="E696" s="14">
        <v>-3.3014000000000002E-2</v>
      </c>
      <c r="F696" s="48"/>
      <c r="G696" s="47"/>
      <c r="H696" s="48"/>
      <c r="I696" s="48"/>
      <c r="J696" s="50"/>
      <c r="K696" s="50"/>
      <c r="L696" s="48"/>
      <c r="M696" s="47"/>
      <c r="N696" s="48"/>
      <c r="O696" s="48"/>
      <c r="P696" s="48"/>
    </row>
    <row r="697" spans="1:16">
      <c r="A697" s="47">
        <v>30559</v>
      </c>
      <c r="B697" s="48">
        <v>11404</v>
      </c>
      <c r="C697" s="48" t="s">
        <v>28</v>
      </c>
      <c r="D697" s="50">
        <v>-2.3425000000000001E-2</v>
      </c>
      <c r="E697" s="14">
        <v>1.1318999999999999E-2</v>
      </c>
      <c r="F697" s="48"/>
      <c r="G697" s="47"/>
      <c r="H697" s="48"/>
      <c r="I697" s="48"/>
      <c r="J697" s="50"/>
      <c r="K697" s="50"/>
      <c r="L697" s="48"/>
      <c r="M697" s="47"/>
      <c r="N697" s="48"/>
      <c r="O697" s="48"/>
      <c r="P697" s="48"/>
    </row>
    <row r="698" spans="1:16">
      <c r="A698" s="47">
        <v>30589</v>
      </c>
      <c r="B698" s="48">
        <v>11404</v>
      </c>
      <c r="C698" s="48" t="s">
        <v>28</v>
      </c>
      <c r="D698" s="50">
        <v>8.6705000000000004E-2</v>
      </c>
      <c r="E698" s="14">
        <v>1.0158E-2</v>
      </c>
      <c r="F698" s="48"/>
      <c r="G698" s="47"/>
      <c r="H698" s="48"/>
      <c r="I698" s="48"/>
      <c r="J698" s="50"/>
      <c r="K698" s="50"/>
      <c r="L698" s="48"/>
      <c r="M698" s="47"/>
      <c r="N698" s="48"/>
      <c r="O698" s="48"/>
      <c r="P698" s="48"/>
    </row>
    <row r="699" spans="1:16">
      <c r="A699" s="47">
        <v>30620</v>
      </c>
      <c r="B699" s="48">
        <v>11404</v>
      </c>
      <c r="C699" s="48" t="s">
        <v>28</v>
      </c>
      <c r="D699" s="50">
        <v>0.101064</v>
      </c>
      <c r="E699" s="14">
        <v>-1.5174E-2</v>
      </c>
      <c r="F699" s="48"/>
      <c r="G699" s="47"/>
      <c r="H699" s="48"/>
      <c r="I699" s="48"/>
      <c r="J699" s="50"/>
      <c r="K699" s="50"/>
      <c r="L699" s="48"/>
      <c r="M699" s="47"/>
      <c r="N699" s="48"/>
      <c r="O699" s="48"/>
      <c r="P699" s="48"/>
    </row>
    <row r="700" spans="1:16">
      <c r="A700" s="47">
        <v>30650</v>
      </c>
      <c r="B700" s="48">
        <v>11404</v>
      </c>
      <c r="C700" s="48" t="s">
        <v>28</v>
      </c>
      <c r="D700" s="50">
        <v>-2.5314E-2</v>
      </c>
      <c r="E700" s="14">
        <v>1.7426000000000001E-2</v>
      </c>
      <c r="F700" s="48"/>
      <c r="G700" s="47"/>
      <c r="H700" s="48"/>
      <c r="I700" s="48"/>
      <c r="J700" s="50"/>
      <c r="K700" s="50"/>
      <c r="L700" s="48"/>
      <c r="M700" s="47"/>
      <c r="N700" s="48"/>
      <c r="O700" s="48"/>
      <c r="P700" s="48"/>
    </row>
    <row r="701" spans="1:16">
      <c r="A701" s="47">
        <v>30680</v>
      </c>
      <c r="B701" s="48">
        <v>11404</v>
      </c>
      <c r="C701" s="48" t="s">
        <v>28</v>
      </c>
      <c r="D701" s="50">
        <v>5.0509999999999999E-3</v>
      </c>
      <c r="E701" s="14">
        <v>-8.8339999999999998E-3</v>
      </c>
      <c r="F701" s="48"/>
      <c r="G701" s="47"/>
      <c r="H701" s="48"/>
      <c r="I701" s="48"/>
      <c r="J701" s="50"/>
      <c r="K701" s="50"/>
      <c r="L701" s="48"/>
      <c r="M701" s="47"/>
      <c r="N701" s="48"/>
      <c r="O701" s="48"/>
      <c r="P701" s="48"/>
    </row>
    <row r="702" spans="1:16">
      <c r="A702" s="47">
        <v>30712</v>
      </c>
      <c r="B702" s="48">
        <v>11404</v>
      </c>
      <c r="C702" s="48" t="s">
        <v>28</v>
      </c>
      <c r="D702" s="50">
        <v>5.025E-3</v>
      </c>
      <c r="E702" s="14">
        <v>-9.2160000000000002E-3</v>
      </c>
      <c r="F702" s="48"/>
      <c r="G702" s="47"/>
      <c r="H702" s="48"/>
      <c r="I702" s="48"/>
      <c r="J702" s="50"/>
      <c r="K702" s="50"/>
      <c r="L702" s="48"/>
      <c r="M702" s="47"/>
      <c r="N702" s="48"/>
      <c r="O702" s="48"/>
      <c r="P702" s="48"/>
    </row>
    <row r="703" spans="1:16">
      <c r="A703" s="47">
        <v>30741</v>
      </c>
      <c r="B703" s="48">
        <v>11404</v>
      </c>
      <c r="C703" s="48" t="s">
        <v>28</v>
      </c>
      <c r="D703" s="50">
        <v>-6.88E-2</v>
      </c>
      <c r="E703" s="14">
        <v>-3.8858999999999998E-2</v>
      </c>
      <c r="F703" s="48"/>
      <c r="G703" s="47"/>
      <c r="H703" s="48"/>
      <c r="I703" s="48"/>
      <c r="J703" s="50"/>
      <c r="K703" s="50"/>
      <c r="L703" s="48"/>
      <c r="M703" s="47"/>
      <c r="N703" s="48"/>
      <c r="O703" s="48"/>
      <c r="P703" s="48"/>
    </row>
    <row r="704" spans="1:16">
      <c r="A704" s="47">
        <v>30771</v>
      </c>
      <c r="B704" s="48">
        <v>11404</v>
      </c>
      <c r="C704" s="48" t="s">
        <v>28</v>
      </c>
      <c r="D704" s="50">
        <v>5.4945000000000001E-2</v>
      </c>
      <c r="E704" s="14">
        <v>1.3498E-2</v>
      </c>
      <c r="F704" s="48"/>
      <c r="G704" s="47"/>
      <c r="H704" s="48"/>
      <c r="I704" s="48"/>
      <c r="J704" s="50"/>
      <c r="K704" s="50"/>
      <c r="L704" s="48"/>
      <c r="M704" s="47"/>
      <c r="N704" s="48"/>
      <c r="O704" s="48"/>
      <c r="P704" s="48"/>
    </row>
    <row r="705" spans="1:16">
      <c r="A705" s="47">
        <v>30802</v>
      </c>
      <c r="B705" s="48">
        <v>11404</v>
      </c>
      <c r="C705" s="48" t="s">
        <v>28</v>
      </c>
      <c r="D705" s="50">
        <v>3.125E-2</v>
      </c>
      <c r="E705" s="14">
        <v>5.4660000000000004E-3</v>
      </c>
      <c r="F705" s="48"/>
      <c r="G705" s="47"/>
      <c r="H705" s="48"/>
      <c r="I705" s="48"/>
      <c r="J705" s="50"/>
      <c r="K705" s="50"/>
      <c r="L705" s="48"/>
      <c r="M705" s="47"/>
      <c r="N705" s="48"/>
      <c r="O705" s="48"/>
      <c r="P705" s="48"/>
    </row>
    <row r="706" spans="1:16">
      <c r="A706" s="47">
        <v>30833</v>
      </c>
      <c r="B706" s="48">
        <v>11404</v>
      </c>
      <c r="C706" s="48" t="s">
        <v>28</v>
      </c>
      <c r="D706" s="50">
        <v>2.1413999999999999E-2</v>
      </c>
      <c r="E706" s="14">
        <v>-5.9355999999999999E-2</v>
      </c>
      <c r="F706" s="48"/>
      <c r="G706" s="47"/>
      <c r="H706" s="48"/>
      <c r="I706" s="48"/>
      <c r="J706" s="50"/>
      <c r="K706" s="50"/>
      <c r="L706" s="48"/>
      <c r="M706" s="47"/>
      <c r="N706" s="48"/>
      <c r="O706" s="48"/>
      <c r="P706" s="48"/>
    </row>
    <row r="707" spans="1:16">
      <c r="A707" s="47">
        <v>30862</v>
      </c>
      <c r="B707" s="48">
        <v>11404</v>
      </c>
      <c r="C707" s="48" t="s">
        <v>28</v>
      </c>
      <c r="D707" s="50">
        <v>2.0202000000000001E-2</v>
      </c>
      <c r="E707" s="14">
        <v>1.7468999999999998E-2</v>
      </c>
      <c r="F707" s="48"/>
      <c r="G707" s="47"/>
      <c r="H707" s="48"/>
      <c r="I707" s="48"/>
      <c r="J707" s="50"/>
      <c r="K707" s="50"/>
      <c r="L707" s="48"/>
      <c r="M707" s="47"/>
      <c r="N707" s="48"/>
      <c r="O707" s="48"/>
      <c r="P707" s="48"/>
    </row>
    <row r="708" spans="1:16">
      <c r="A708" s="47">
        <v>30894</v>
      </c>
      <c r="B708" s="48">
        <v>11404</v>
      </c>
      <c r="C708" s="48" t="s">
        <v>28</v>
      </c>
      <c r="D708" s="50">
        <v>5.4455000000000003E-2</v>
      </c>
      <c r="E708" s="14">
        <v>-1.6451E-2</v>
      </c>
      <c r="F708" s="48"/>
      <c r="G708" s="47"/>
      <c r="H708" s="48"/>
      <c r="I708" s="48"/>
      <c r="J708" s="50"/>
      <c r="K708" s="50"/>
      <c r="L708" s="48"/>
      <c r="M708" s="47"/>
      <c r="N708" s="48"/>
      <c r="O708" s="48"/>
      <c r="P708" s="48"/>
    </row>
    <row r="709" spans="1:16">
      <c r="A709" s="47">
        <v>30925</v>
      </c>
      <c r="B709" s="48">
        <v>11404</v>
      </c>
      <c r="C709" s="48" t="s">
        <v>28</v>
      </c>
      <c r="D709" s="50">
        <v>2.9295999999999999E-2</v>
      </c>
      <c r="E709" s="14">
        <v>0.106332</v>
      </c>
      <c r="F709" s="48"/>
      <c r="G709" s="47"/>
      <c r="H709" s="48"/>
      <c r="I709" s="48"/>
      <c r="J709" s="50"/>
      <c r="K709" s="50"/>
      <c r="L709" s="48"/>
      <c r="M709" s="47"/>
      <c r="N709" s="48"/>
      <c r="O709" s="48"/>
      <c r="P709" s="48"/>
    </row>
    <row r="710" spans="1:16">
      <c r="A710" s="47">
        <v>30953</v>
      </c>
      <c r="B710" s="48">
        <v>11404</v>
      </c>
      <c r="C710" s="48" t="s">
        <v>28</v>
      </c>
      <c r="D710" s="50">
        <v>5.1163E-2</v>
      </c>
      <c r="E710" s="14">
        <v>-3.48E-3</v>
      </c>
      <c r="F710" s="48"/>
      <c r="G710" s="47"/>
      <c r="H710" s="48"/>
      <c r="I710" s="48"/>
      <c r="J710" s="50"/>
      <c r="K710" s="50"/>
      <c r="L710" s="48"/>
      <c r="M710" s="47"/>
      <c r="N710" s="48"/>
      <c r="O710" s="48"/>
      <c r="P710" s="48"/>
    </row>
    <row r="711" spans="1:16">
      <c r="A711" s="47">
        <v>30986</v>
      </c>
      <c r="B711" s="48">
        <v>11404</v>
      </c>
      <c r="C711" s="48" t="s">
        <v>28</v>
      </c>
      <c r="D711" s="50">
        <v>1.8761E-2</v>
      </c>
      <c r="E711" s="14">
        <v>-6.0000000000000002E-5</v>
      </c>
      <c r="F711" s="48"/>
      <c r="G711" s="47"/>
      <c r="H711" s="48"/>
      <c r="I711" s="48"/>
      <c r="J711" s="50"/>
      <c r="K711" s="50"/>
      <c r="L711" s="48"/>
      <c r="M711" s="47"/>
      <c r="N711" s="48"/>
      <c r="O711" s="48"/>
      <c r="P711" s="48"/>
    </row>
    <row r="712" spans="1:16">
      <c r="A712" s="47">
        <v>31016</v>
      </c>
      <c r="B712" s="48">
        <v>11404</v>
      </c>
      <c r="C712" s="48" t="s">
        <v>28</v>
      </c>
      <c r="D712" s="50">
        <v>4.4250000000000001E-3</v>
      </c>
      <c r="E712" s="14">
        <v>-1.5112E-2</v>
      </c>
      <c r="F712" s="48"/>
      <c r="G712" s="47"/>
      <c r="H712" s="48"/>
      <c r="I712" s="48"/>
      <c r="J712" s="50"/>
      <c r="K712" s="50"/>
      <c r="L712" s="48"/>
      <c r="M712" s="47"/>
      <c r="N712" s="48"/>
      <c r="O712" s="48"/>
      <c r="P712" s="48"/>
    </row>
    <row r="713" spans="1:16">
      <c r="A713" s="47">
        <v>31047</v>
      </c>
      <c r="B713" s="48">
        <v>11404</v>
      </c>
      <c r="C713" s="48" t="s">
        <v>28</v>
      </c>
      <c r="D713" s="50">
        <v>8.3699999999999997E-2</v>
      </c>
      <c r="E713" s="14">
        <v>2.2374000000000002E-2</v>
      </c>
      <c r="F713" s="48"/>
      <c r="G713" s="47"/>
      <c r="H713" s="48"/>
      <c r="I713" s="48"/>
      <c r="J713" s="50"/>
      <c r="K713" s="50"/>
      <c r="L713" s="48"/>
      <c r="M713" s="47"/>
      <c r="N713" s="48"/>
      <c r="O713" s="48"/>
      <c r="P713" s="48"/>
    </row>
    <row r="714" spans="1:16">
      <c r="A714" s="47">
        <v>31078</v>
      </c>
      <c r="B714" s="48">
        <v>11404</v>
      </c>
      <c r="C714" s="48" t="s">
        <v>28</v>
      </c>
      <c r="D714" s="50">
        <v>-2.1138000000000001E-2</v>
      </c>
      <c r="E714" s="14">
        <v>7.4084999999999998E-2</v>
      </c>
      <c r="F714" s="48"/>
      <c r="G714" s="47"/>
      <c r="H714" s="48"/>
      <c r="I714" s="48"/>
      <c r="J714" s="50"/>
      <c r="K714" s="50"/>
      <c r="L714" s="48"/>
      <c r="M714" s="47"/>
      <c r="N714" s="48"/>
      <c r="O714" s="48"/>
      <c r="P714" s="48"/>
    </row>
    <row r="715" spans="1:16">
      <c r="A715" s="47">
        <v>31106</v>
      </c>
      <c r="B715" s="48">
        <v>11404</v>
      </c>
      <c r="C715" s="48" t="s">
        <v>28</v>
      </c>
      <c r="D715" s="50">
        <v>3.3897999999999998E-2</v>
      </c>
      <c r="E715" s="14">
        <v>8.685E-3</v>
      </c>
      <c r="F715" s="48"/>
      <c r="G715" s="47"/>
      <c r="H715" s="48"/>
      <c r="I715" s="48"/>
      <c r="J715" s="50"/>
      <c r="K715" s="50"/>
      <c r="L715" s="48"/>
      <c r="M715" s="47"/>
      <c r="N715" s="48"/>
      <c r="O715" s="48"/>
      <c r="P715" s="48"/>
    </row>
    <row r="716" spans="1:16">
      <c r="A716" s="47">
        <v>31135</v>
      </c>
      <c r="B716" s="48">
        <v>11404</v>
      </c>
      <c r="C716" s="48" t="s">
        <v>28</v>
      </c>
      <c r="D716" s="50">
        <v>5.7376999999999997E-2</v>
      </c>
      <c r="E716" s="14">
        <v>-2.9250000000000001E-3</v>
      </c>
      <c r="F716" s="48"/>
      <c r="G716" s="47"/>
      <c r="H716" s="48"/>
      <c r="I716" s="48"/>
      <c r="J716" s="50"/>
      <c r="K716" s="50"/>
      <c r="L716" s="48"/>
      <c r="M716" s="47"/>
      <c r="N716" s="48"/>
      <c r="O716" s="48"/>
      <c r="P716" s="48"/>
    </row>
    <row r="717" spans="1:16">
      <c r="A717" s="47">
        <v>31167</v>
      </c>
      <c r="B717" s="48">
        <v>11404</v>
      </c>
      <c r="C717" s="48" t="s">
        <v>28</v>
      </c>
      <c r="D717" s="50">
        <v>1.9380000000000001E-2</v>
      </c>
      <c r="E717" s="14">
        <v>-4.594E-3</v>
      </c>
      <c r="F717" s="48"/>
      <c r="G717" s="47"/>
      <c r="H717" s="48"/>
      <c r="I717" s="48"/>
      <c r="J717" s="50"/>
      <c r="K717" s="50"/>
      <c r="L717" s="48"/>
      <c r="M717" s="47"/>
      <c r="N717" s="48"/>
      <c r="O717" s="48"/>
      <c r="P717" s="48"/>
    </row>
    <row r="718" spans="1:16">
      <c r="A718" s="47">
        <v>31198</v>
      </c>
      <c r="B718" s="48">
        <v>11404</v>
      </c>
      <c r="C718" s="48" t="s">
        <v>28</v>
      </c>
      <c r="D718" s="50">
        <v>9.8099000000000006E-2</v>
      </c>
      <c r="E718" s="14">
        <v>5.4051000000000002E-2</v>
      </c>
      <c r="F718" s="48"/>
      <c r="G718" s="47"/>
      <c r="H718" s="48"/>
      <c r="I718" s="48"/>
      <c r="J718" s="50"/>
      <c r="K718" s="50"/>
      <c r="L718" s="48"/>
      <c r="M718" s="47"/>
      <c r="N718" s="48"/>
      <c r="O718" s="48"/>
      <c r="P718" s="48"/>
    </row>
    <row r="719" spans="1:16">
      <c r="A719" s="47">
        <v>31226</v>
      </c>
      <c r="B719" s="48">
        <v>11404</v>
      </c>
      <c r="C719" s="48" t="s">
        <v>28</v>
      </c>
      <c r="D719" s="50">
        <v>4.5775000000000003E-2</v>
      </c>
      <c r="E719" s="14">
        <v>1.2134000000000001E-2</v>
      </c>
      <c r="F719" s="48"/>
      <c r="G719" s="47"/>
      <c r="H719" s="48"/>
      <c r="I719" s="48"/>
      <c r="J719" s="50"/>
      <c r="K719" s="50"/>
      <c r="L719" s="48"/>
      <c r="M719" s="47"/>
      <c r="N719" s="48"/>
      <c r="O719" s="48"/>
      <c r="P719" s="48"/>
    </row>
    <row r="720" spans="1:16">
      <c r="A720" s="47">
        <v>31259</v>
      </c>
      <c r="B720" s="48">
        <v>11404</v>
      </c>
      <c r="C720" s="48" t="s">
        <v>28</v>
      </c>
      <c r="D720" s="50">
        <v>-8.4175E-2</v>
      </c>
      <c r="E720" s="14">
        <v>-4.8479999999999999E-3</v>
      </c>
      <c r="F720" s="48"/>
      <c r="G720" s="47"/>
      <c r="H720" s="48"/>
      <c r="I720" s="48"/>
      <c r="J720" s="50"/>
      <c r="K720" s="50"/>
      <c r="L720" s="48"/>
      <c r="M720" s="47"/>
      <c r="N720" s="48"/>
      <c r="O720" s="48"/>
      <c r="P720" s="48"/>
    </row>
    <row r="721" spans="1:16">
      <c r="A721" s="47">
        <v>31289</v>
      </c>
      <c r="B721" s="48">
        <v>11404</v>
      </c>
      <c r="C721" s="48" t="s">
        <v>28</v>
      </c>
      <c r="D721" s="50">
        <v>4.3381999999999997E-2</v>
      </c>
      <c r="E721" s="14">
        <v>-1.1995E-2</v>
      </c>
      <c r="F721" s="48"/>
      <c r="G721" s="47"/>
      <c r="H721" s="48"/>
      <c r="I721" s="48"/>
      <c r="J721" s="50"/>
      <c r="K721" s="50"/>
      <c r="L721" s="48"/>
      <c r="M721" s="47"/>
      <c r="N721" s="48"/>
      <c r="O721" s="48"/>
      <c r="P721" s="48"/>
    </row>
    <row r="722" spans="1:16">
      <c r="A722" s="47">
        <v>31320</v>
      </c>
      <c r="B722" s="48">
        <v>11404</v>
      </c>
      <c r="C722" s="48" t="s">
        <v>28</v>
      </c>
      <c r="D722" s="50">
        <v>-3.2258000000000002E-2</v>
      </c>
      <c r="E722" s="14">
        <v>-3.4723999999999998E-2</v>
      </c>
      <c r="F722" s="48"/>
      <c r="G722" s="47"/>
      <c r="H722" s="48"/>
      <c r="I722" s="48"/>
      <c r="J722" s="50"/>
      <c r="K722" s="50"/>
      <c r="L722" s="48"/>
      <c r="M722" s="47"/>
      <c r="N722" s="48"/>
      <c r="O722" s="48"/>
      <c r="P722" s="48"/>
    </row>
    <row r="723" spans="1:16">
      <c r="A723" s="47">
        <v>31351</v>
      </c>
      <c r="B723" s="48">
        <v>11404</v>
      </c>
      <c r="C723" s="48" t="s">
        <v>28</v>
      </c>
      <c r="D723" s="50">
        <v>6.5925999999999998E-2</v>
      </c>
      <c r="E723" s="14">
        <v>4.2508999999999998E-2</v>
      </c>
      <c r="F723" s="48"/>
      <c r="G723" s="47"/>
      <c r="H723" s="48"/>
      <c r="I723" s="48"/>
      <c r="J723" s="50"/>
      <c r="K723" s="50"/>
      <c r="L723" s="48"/>
      <c r="M723" s="47"/>
      <c r="N723" s="48"/>
      <c r="O723" s="48"/>
      <c r="P723" s="48"/>
    </row>
    <row r="724" spans="1:16">
      <c r="A724" s="47">
        <v>31380</v>
      </c>
      <c r="B724" s="48">
        <v>11404</v>
      </c>
      <c r="C724" s="48" t="s">
        <v>28</v>
      </c>
      <c r="D724" s="50">
        <v>3.1801999999999997E-2</v>
      </c>
      <c r="E724" s="14">
        <v>6.5061999999999995E-2</v>
      </c>
      <c r="F724" s="48"/>
      <c r="G724" s="47"/>
      <c r="H724" s="48"/>
      <c r="I724" s="48"/>
      <c r="J724" s="50"/>
      <c r="K724" s="50"/>
      <c r="L724" s="48"/>
      <c r="M724" s="47"/>
      <c r="N724" s="48"/>
      <c r="O724" s="48"/>
      <c r="P724" s="48"/>
    </row>
    <row r="725" spans="1:16">
      <c r="A725" s="47">
        <v>31412</v>
      </c>
      <c r="B725" s="48">
        <v>11404</v>
      </c>
      <c r="C725" s="48" t="s">
        <v>28</v>
      </c>
      <c r="D725" s="50">
        <v>8.2192000000000001E-2</v>
      </c>
      <c r="E725" s="14">
        <v>4.5060999999999997E-2</v>
      </c>
      <c r="F725" s="48"/>
      <c r="G725" s="47"/>
      <c r="H725" s="48"/>
      <c r="I725" s="48"/>
      <c r="J725" s="50"/>
      <c r="K725" s="50"/>
      <c r="L725" s="48"/>
      <c r="M725" s="47"/>
      <c r="N725" s="48"/>
      <c r="O725" s="48"/>
      <c r="P725" s="48"/>
    </row>
    <row r="726" spans="1:16">
      <c r="A726" s="47">
        <v>31443</v>
      </c>
      <c r="B726" s="48">
        <v>11404</v>
      </c>
      <c r="C726" s="48" t="s">
        <v>28</v>
      </c>
      <c r="D726" s="50">
        <v>2.2152000000000002E-2</v>
      </c>
      <c r="E726" s="14">
        <v>2.3670000000000002E-3</v>
      </c>
      <c r="F726" s="48"/>
      <c r="G726" s="47"/>
      <c r="H726" s="48"/>
      <c r="I726" s="48"/>
      <c r="J726" s="50"/>
      <c r="K726" s="50"/>
      <c r="L726" s="48"/>
      <c r="M726" s="47"/>
      <c r="N726" s="48"/>
      <c r="O726" s="48"/>
      <c r="P726" s="48"/>
    </row>
    <row r="727" spans="1:16">
      <c r="A727" s="47">
        <v>31471</v>
      </c>
      <c r="B727" s="48">
        <v>11404</v>
      </c>
      <c r="C727" s="48" t="s">
        <v>28</v>
      </c>
      <c r="D727" s="50">
        <v>4.7553999999999999E-2</v>
      </c>
      <c r="E727" s="14">
        <v>7.1488999999999997E-2</v>
      </c>
      <c r="F727" s="48"/>
      <c r="G727" s="47"/>
      <c r="H727" s="48"/>
      <c r="I727" s="48"/>
      <c r="J727" s="50"/>
      <c r="K727" s="50"/>
      <c r="L727" s="48"/>
      <c r="M727" s="47"/>
      <c r="N727" s="48"/>
      <c r="O727" s="48"/>
      <c r="P727" s="48"/>
    </row>
    <row r="728" spans="1:16">
      <c r="A728" s="47">
        <v>31502</v>
      </c>
      <c r="B728" s="48">
        <v>11404</v>
      </c>
      <c r="C728" s="48" t="s">
        <v>28</v>
      </c>
      <c r="D728" s="50">
        <v>2.1021000000000001E-2</v>
      </c>
      <c r="E728" s="14">
        <v>5.2794000000000001E-2</v>
      </c>
      <c r="F728" s="48"/>
      <c r="G728" s="47"/>
      <c r="H728" s="48"/>
      <c r="I728" s="48"/>
      <c r="J728" s="50"/>
      <c r="K728" s="50"/>
      <c r="L728" s="48"/>
      <c r="M728" s="47"/>
      <c r="N728" s="48"/>
      <c r="O728" s="48"/>
      <c r="P728" s="48"/>
    </row>
    <row r="729" spans="1:16">
      <c r="A729" s="47">
        <v>31532</v>
      </c>
      <c r="B729" s="48">
        <v>11404</v>
      </c>
      <c r="C729" s="48" t="s">
        <v>28</v>
      </c>
      <c r="D729" s="50">
        <v>-5.8820000000000001E-3</v>
      </c>
      <c r="E729" s="14">
        <v>-1.4148000000000001E-2</v>
      </c>
      <c r="F729" s="48"/>
      <c r="G729" s="47"/>
      <c r="H729" s="48"/>
      <c r="I729" s="48"/>
      <c r="J729" s="50"/>
      <c r="K729" s="50"/>
      <c r="L729" s="48"/>
      <c r="M729" s="47"/>
      <c r="N729" s="48"/>
      <c r="O729" s="48"/>
      <c r="P729" s="48"/>
    </row>
    <row r="730" spans="1:16">
      <c r="A730" s="47">
        <v>31562</v>
      </c>
      <c r="B730" s="48">
        <v>11404</v>
      </c>
      <c r="C730" s="48" t="s">
        <v>28</v>
      </c>
      <c r="D730" s="50">
        <v>4.2485000000000002E-2</v>
      </c>
      <c r="E730" s="14">
        <v>5.0229000000000003E-2</v>
      </c>
      <c r="F730" s="48"/>
      <c r="G730" s="47"/>
      <c r="H730" s="48"/>
      <c r="I730" s="48"/>
      <c r="J730" s="50"/>
      <c r="K730" s="50"/>
      <c r="L730" s="48"/>
      <c r="M730" s="47"/>
      <c r="N730" s="48"/>
      <c r="O730" s="48"/>
      <c r="P730" s="48"/>
    </row>
    <row r="731" spans="1:16">
      <c r="A731" s="47">
        <v>31593</v>
      </c>
      <c r="B731" s="48">
        <v>11404</v>
      </c>
      <c r="C731" s="48" t="s">
        <v>28</v>
      </c>
      <c r="D731" s="50">
        <v>1.7291000000000001E-2</v>
      </c>
      <c r="E731" s="14">
        <v>1.4109999999999999E-2</v>
      </c>
      <c r="F731" s="48"/>
      <c r="G731" s="47"/>
      <c r="H731" s="48"/>
      <c r="I731" s="48"/>
      <c r="J731" s="50"/>
      <c r="K731" s="50"/>
      <c r="L731" s="48"/>
      <c r="M731" s="47"/>
      <c r="N731" s="48"/>
      <c r="O731" s="48"/>
      <c r="P731" s="48"/>
    </row>
    <row r="732" spans="1:16">
      <c r="A732" s="47">
        <v>31624</v>
      </c>
      <c r="B732" s="48">
        <v>11404</v>
      </c>
      <c r="C732" s="48" t="s">
        <v>28</v>
      </c>
      <c r="D732" s="50">
        <v>0.12464600000000001</v>
      </c>
      <c r="E732" s="14">
        <v>-5.8682999999999999E-2</v>
      </c>
      <c r="F732" s="48"/>
      <c r="G732" s="47"/>
      <c r="H732" s="48"/>
      <c r="I732" s="48"/>
      <c r="J732" s="50"/>
      <c r="K732" s="50"/>
      <c r="L732" s="48"/>
      <c r="M732" s="47"/>
      <c r="N732" s="48"/>
      <c r="O732" s="48"/>
      <c r="P732" s="48"/>
    </row>
    <row r="733" spans="1:16">
      <c r="A733" s="47">
        <v>31653</v>
      </c>
      <c r="B733" s="48">
        <v>11404</v>
      </c>
      <c r="C733" s="48" t="s">
        <v>28</v>
      </c>
      <c r="D733" s="50">
        <v>6.1359999999999998E-2</v>
      </c>
      <c r="E733" s="14">
        <v>7.1193000000000006E-2</v>
      </c>
      <c r="F733" s="48"/>
      <c r="G733" s="47"/>
      <c r="H733" s="48"/>
      <c r="I733" s="48"/>
      <c r="J733" s="50"/>
      <c r="K733" s="50"/>
      <c r="L733" s="48"/>
      <c r="M733" s="47"/>
      <c r="N733" s="48"/>
      <c r="O733" s="48"/>
      <c r="P733" s="48"/>
    </row>
    <row r="734" spans="1:16">
      <c r="A734" s="47">
        <v>31685</v>
      </c>
      <c r="B734" s="48">
        <v>11404</v>
      </c>
      <c r="C734" s="48" t="s">
        <v>28</v>
      </c>
      <c r="D734" s="50">
        <v>-0.13942299999999999</v>
      </c>
      <c r="E734" s="14">
        <v>-8.5439000000000001E-2</v>
      </c>
      <c r="F734" s="48"/>
      <c r="G734" s="47"/>
      <c r="H734" s="48"/>
      <c r="I734" s="48"/>
      <c r="J734" s="50"/>
      <c r="K734" s="50"/>
      <c r="L734" s="48"/>
      <c r="M734" s="47"/>
      <c r="N734" s="48"/>
      <c r="O734" s="48"/>
      <c r="P734" s="48"/>
    </row>
    <row r="735" spans="1:16">
      <c r="A735" s="47">
        <v>31716</v>
      </c>
      <c r="B735" s="48">
        <v>11404</v>
      </c>
      <c r="C735" s="48" t="s">
        <v>28</v>
      </c>
      <c r="D735" s="50">
        <v>4.4692999999999997E-2</v>
      </c>
      <c r="E735" s="14">
        <v>5.4729E-2</v>
      </c>
      <c r="F735" s="48"/>
      <c r="G735" s="47"/>
      <c r="H735" s="48"/>
      <c r="I735" s="48"/>
      <c r="J735" s="50"/>
      <c r="K735" s="50"/>
      <c r="L735" s="48"/>
      <c r="M735" s="47"/>
      <c r="N735" s="48"/>
      <c r="O735" s="48"/>
      <c r="P735" s="48"/>
    </row>
    <row r="736" spans="1:16">
      <c r="A736" s="47">
        <v>31744</v>
      </c>
      <c r="B736" s="48">
        <v>11404</v>
      </c>
      <c r="C736" s="48" t="s">
        <v>28</v>
      </c>
      <c r="D736" s="50">
        <v>7.0481000000000002E-2</v>
      </c>
      <c r="E736" s="14">
        <v>2.1477E-2</v>
      </c>
      <c r="F736" s="48"/>
      <c r="G736" s="47"/>
      <c r="H736" s="48"/>
      <c r="I736" s="48"/>
      <c r="J736" s="50"/>
      <c r="K736" s="50"/>
      <c r="L736" s="48"/>
      <c r="M736" s="47"/>
      <c r="N736" s="48"/>
      <c r="O736" s="48"/>
      <c r="P736" s="48"/>
    </row>
    <row r="737" spans="1:16">
      <c r="A737" s="47">
        <v>31777</v>
      </c>
      <c r="B737" s="48">
        <v>11404</v>
      </c>
      <c r="C737" s="48" t="s">
        <v>28</v>
      </c>
      <c r="D737" s="50">
        <v>-4.5569999999999999E-2</v>
      </c>
      <c r="E737" s="14">
        <v>-2.8288000000000001E-2</v>
      </c>
      <c r="F737" s="48"/>
      <c r="G737" s="47"/>
      <c r="H737" s="48"/>
      <c r="I737" s="48"/>
      <c r="J737" s="50"/>
      <c r="K737" s="50"/>
      <c r="L737" s="48"/>
      <c r="M737" s="47"/>
      <c r="N737" s="48"/>
      <c r="O737" s="48"/>
      <c r="P737" s="48"/>
    </row>
    <row r="738" spans="1:16">
      <c r="A738" s="47">
        <v>31807</v>
      </c>
      <c r="B738" s="48">
        <v>11404</v>
      </c>
      <c r="C738" s="48" t="s">
        <v>28</v>
      </c>
      <c r="D738" s="50">
        <v>3.9787999999999997E-2</v>
      </c>
      <c r="E738" s="14">
        <v>0.131767</v>
      </c>
      <c r="F738" s="48"/>
      <c r="G738" s="47"/>
      <c r="H738" s="48"/>
      <c r="I738" s="48"/>
      <c r="J738" s="50"/>
      <c r="K738" s="50"/>
      <c r="L738" s="48"/>
      <c r="M738" s="47"/>
      <c r="N738" s="48"/>
      <c r="O738" s="48"/>
      <c r="P738" s="48"/>
    </row>
    <row r="739" spans="1:16">
      <c r="A739" s="47">
        <v>31835</v>
      </c>
      <c r="B739" s="48">
        <v>11404</v>
      </c>
      <c r="C739" s="48" t="s">
        <v>28</v>
      </c>
      <c r="D739" s="50">
        <v>-6.6531000000000007E-2</v>
      </c>
      <c r="E739" s="14">
        <v>3.6923999999999998E-2</v>
      </c>
      <c r="F739" s="48"/>
      <c r="G739" s="47"/>
      <c r="H739" s="48"/>
      <c r="I739" s="48"/>
      <c r="J739" s="50"/>
      <c r="K739" s="50"/>
      <c r="L739" s="48"/>
      <c r="M739" s="47"/>
      <c r="N739" s="48"/>
      <c r="O739" s="48"/>
      <c r="P739" s="48"/>
    </row>
    <row r="740" spans="1:16">
      <c r="A740" s="47">
        <v>31867</v>
      </c>
      <c r="B740" s="48">
        <v>11404</v>
      </c>
      <c r="C740" s="48" t="s">
        <v>28</v>
      </c>
      <c r="D740" s="50">
        <v>-0.05</v>
      </c>
      <c r="E740" s="14">
        <v>2.639E-2</v>
      </c>
      <c r="F740" s="48"/>
      <c r="G740" s="47"/>
      <c r="H740" s="48"/>
      <c r="I740" s="48"/>
      <c r="J740" s="50"/>
      <c r="K740" s="50"/>
      <c r="L740" s="48"/>
      <c r="M740" s="47"/>
      <c r="N740" s="48"/>
      <c r="O740" s="48"/>
      <c r="P740" s="48"/>
    </row>
    <row r="741" spans="1:16">
      <c r="A741" s="47">
        <v>31897</v>
      </c>
      <c r="B741" s="48">
        <v>11404</v>
      </c>
      <c r="C741" s="48" t="s">
        <v>28</v>
      </c>
      <c r="D741" s="50">
        <v>2.0468E-2</v>
      </c>
      <c r="E741" s="14">
        <v>-1.145E-2</v>
      </c>
      <c r="F741" s="48"/>
      <c r="G741" s="47"/>
      <c r="H741" s="48"/>
      <c r="I741" s="48"/>
      <c r="J741" s="50"/>
      <c r="K741" s="50"/>
      <c r="L741" s="48"/>
      <c r="M741" s="47"/>
      <c r="N741" s="48"/>
      <c r="O741" s="48"/>
      <c r="P741" s="48"/>
    </row>
    <row r="742" spans="1:16">
      <c r="A742" s="47">
        <v>31926</v>
      </c>
      <c r="B742" s="48">
        <v>11404</v>
      </c>
      <c r="C742" s="48" t="s">
        <v>28</v>
      </c>
      <c r="D742" s="50">
        <v>-1.1691E-2</v>
      </c>
      <c r="E742" s="14">
        <v>6.0340000000000003E-3</v>
      </c>
      <c r="F742" s="48"/>
      <c r="G742" s="47"/>
      <c r="H742" s="48"/>
      <c r="I742" s="48"/>
      <c r="J742" s="50"/>
      <c r="K742" s="50"/>
      <c r="L742" s="48"/>
      <c r="M742" s="47"/>
      <c r="N742" s="48"/>
      <c r="O742" s="48"/>
      <c r="P742" s="48"/>
    </row>
    <row r="743" spans="1:16">
      <c r="A743" s="47">
        <v>31958</v>
      </c>
      <c r="B743" s="48">
        <v>11404</v>
      </c>
      <c r="C743" s="48" t="s">
        <v>28</v>
      </c>
      <c r="D743" s="50">
        <v>5.8997000000000001E-2</v>
      </c>
      <c r="E743" s="14">
        <v>4.7914999999999999E-2</v>
      </c>
      <c r="F743" s="48"/>
      <c r="G743" s="47"/>
      <c r="H743" s="48"/>
      <c r="I743" s="48"/>
      <c r="J743" s="50"/>
      <c r="K743" s="50"/>
      <c r="L743" s="48"/>
      <c r="M743" s="47"/>
      <c r="N743" s="48"/>
      <c r="O743" s="48"/>
      <c r="P743" s="48"/>
    </row>
    <row r="744" spans="1:16">
      <c r="A744" s="47">
        <v>31989</v>
      </c>
      <c r="B744" s="48">
        <v>11404</v>
      </c>
      <c r="C744" s="48" t="s">
        <v>28</v>
      </c>
      <c r="D744" s="50">
        <v>-3.8996999999999997E-2</v>
      </c>
      <c r="E744" s="14">
        <v>4.8224000000000003E-2</v>
      </c>
      <c r="F744" s="48"/>
      <c r="G744" s="47"/>
      <c r="H744" s="48"/>
      <c r="I744" s="48"/>
      <c r="J744" s="50"/>
      <c r="K744" s="50"/>
      <c r="L744" s="48"/>
      <c r="M744" s="47"/>
      <c r="N744" s="48"/>
      <c r="O744" s="48"/>
      <c r="P744" s="48"/>
    </row>
    <row r="745" spans="1:16">
      <c r="A745" s="47">
        <v>32020</v>
      </c>
      <c r="B745" s="48">
        <v>11404</v>
      </c>
      <c r="C745" s="48" t="s">
        <v>28</v>
      </c>
      <c r="D745" s="50">
        <v>4.3246E-2</v>
      </c>
      <c r="E745" s="14">
        <v>3.4958999999999997E-2</v>
      </c>
      <c r="F745" s="48"/>
      <c r="G745" s="47"/>
      <c r="H745" s="48"/>
      <c r="I745" s="48"/>
      <c r="J745" s="50"/>
      <c r="K745" s="50"/>
      <c r="L745" s="48"/>
      <c r="M745" s="47"/>
      <c r="N745" s="48"/>
      <c r="O745" s="48"/>
      <c r="P745" s="48"/>
    </row>
    <row r="746" spans="1:16">
      <c r="A746" s="47">
        <v>32050</v>
      </c>
      <c r="B746" s="48">
        <v>11404</v>
      </c>
      <c r="C746" s="48" t="s">
        <v>28</v>
      </c>
      <c r="D746" s="50">
        <v>-5.6499999999999996E-3</v>
      </c>
      <c r="E746" s="14">
        <v>-2.4166E-2</v>
      </c>
      <c r="F746" s="48"/>
      <c r="G746" s="47"/>
      <c r="H746" s="48"/>
      <c r="I746" s="48"/>
      <c r="J746" s="50"/>
      <c r="K746" s="50"/>
      <c r="L746" s="48"/>
      <c r="M746" s="47"/>
      <c r="N746" s="48"/>
      <c r="O746" s="48"/>
      <c r="P746" s="48"/>
    </row>
    <row r="747" spans="1:16">
      <c r="A747" s="47">
        <v>32080</v>
      </c>
      <c r="B747" s="48">
        <v>11404</v>
      </c>
      <c r="C747" s="48" t="s">
        <v>28</v>
      </c>
      <c r="D747" s="50">
        <v>-1.7045000000000001E-2</v>
      </c>
      <c r="E747" s="14">
        <v>-0.21762999999999999</v>
      </c>
      <c r="F747" s="48"/>
      <c r="G747" s="47"/>
      <c r="H747" s="48"/>
      <c r="I747" s="48"/>
      <c r="J747" s="50"/>
      <c r="K747" s="50"/>
      <c r="L747" s="48"/>
      <c r="M747" s="47"/>
      <c r="N747" s="48"/>
      <c r="O747" s="48"/>
      <c r="P747" s="48"/>
    </row>
    <row r="748" spans="1:16">
      <c r="A748" s="47">
        <v>32111</v>
      </c>
      <c r="B748" s="48">
        <v>11404</v>
      </c>
      <c r="C748" s="48" t="s">
        <v>28</v>
      </c>
      <c r="D748" s="50">
        <v>-1.1792E-2</v>
      </c>
      <c r="E748" s="14">
        <v>-8.5348999999999994E-2</v>
      </c>
      <c r="F748" s="48"/>
      <c r="G748" s="47"/>
      <c r="H748" s="48"/>
      <c r="I748" s="48"/>
      <c r="J748" s="50"/>
      <c r="K748" s="50"/>
      <c r="L748" s="48"/>
      <c r="M748" s="47"/>
      <c r="N748" s="48"/>
      <c r="O748" s="48"/>
      <c r="P748" s="48"/>
    </row>
    <row r="749" spans="1:16">
      <c r="A749" s="47">
        <v>32142</v>
      </c>
      <c r="B749" s="48">
        <v>11404</v>
      </c>
      <c r="C749" s="48" t="s">
        <v>28</v>
      </c>
      <c r="D749" s="50">
        <v>-5.9519999999999998E-3</v>
      </c>
      <c r="E749" s="14">
        <v>7.2860999999999995E-2</v>
      </c>
      <c r="F749" s="48"/>
      <c r="G749" s="47"/>
      <c r="H749" s="48"/>
      <c r="I749" s="48"/>
      <c r="J749" s="50"/>
      <c r="K749" s="50"/>
      <c r="L749" s="48"/>
      <c r="M749" s="47"/>
      <c r="N749" s="48"/>
      <c r="O749" s="48"/>
      <c r="P749" s="48"/>
    </row>
    <row r="750" spans="1:16">
      <c r="A750" s="47">
        <v>32171</v>
      </c>
      <c r="B750" s="48">
        <v>11404</v>
      </c>
      <c r="C750" s="48" t="s">
        <v>28</v>
      </c>
      <c r="D750" s="50">
        <v>0.13173699999999999</v>
      </c>
      <c r="E750" s="14">
        <v>4.0432000000000003E-2</v>
      </c>
      <c r="F750" s="48"/>
      <c r="G750" s="47"/>
      <c r="H750" s="48"/>
      <c r="I750" s="48"/>
      <c r="J750" s="50"/>
      <c r="K750" s="50"/>
      <c r="L750" s="48"/>
      <c r="M750" s="47"/>
      <c r="N750" s="48"/>
      <c r="O750" s="48"/>
      <c r="P750" s="48"/>
    </row>
    <row r="751" spans="1:16">
      <c r="A751" s="47">
        <v>32202</v>
      </c>
      <c r="B751" s="48">
        <v>11404</v>
      </c>
      <c r="C751" s="48" t="s">
        <v>28</v>
      </c>
      <c r="D751" s="50">
        <v>-2.2751E-2</v>
      </c>
      <c r="E751" s="14">
        <v>4.1817E-2</v>
      </c>
      <c r="F751" s="48"/>
      <c r="G751" s="47"/>
      <c r="H751" s="48"/>
      <c r="I751" s="48"/>
      <c r="J751" s="50"/>
      <c r="K751" s="50"/>
      <c r="L751" s="48"/>
      <c r="M751" s="47"/>
      <c r="N751" s="48"/>
      <c r="O751" s="48"/>
      <c r="P751" s="48"/>
    </row>
    <row r="752" spans="1:16">
      <c r="A752" s="47">
        <v>32233</v>
      </c>
      <c r="B752" s="48">
        <v>11404</v>
      </c>
      <c r="C752" s="48" t="s">
        <v>28</v>
      </c>
      <c r="D752" s="50">
        <v>-5.2342E-2</v>
      </c>
      <c r="E752" s="14">
        <v>-3.3342999999999998E-2</v>
      </c>
      <c r="F752" s="48"/>
      <c r="G752" s="47"/>
      <c r="H752" s="48"/>
      <c r="I752" s="48"/>
      <c r="J752" s="50"/>
      <c r="K752" s="50"/>
      <c r="L752" s="48"/>
      <c r="M752" s="47"/>
      <c r="N752" s="48"/>
      <c r="O752" s="48"/>
      <c r="P752" s="48"/>
    </row>
    <row r="753" spans="1:16">
      <c r="A753" s="47">
        <v>32262</v>
      </c>
      <c r="B753" s="48">
        <v>11404</v>
      </c>
      <c r="C753" s="48" t="s">
        <v>28</v>
      </c>
      <c r="D753" s="50">
        <v>0</v>
      </c>
      <c r="E753" s="14">
        <v>9.4249999999999994E-3</v>
      </c>
      <c r="F753" s="48"/>
      <c r="G753" s="47"/>
      <c r="H753" s="48"/>
      <c r="I753" s="48"/>
      <c r="J753" s="50"/>
      <c r="K753" s="50"/>
      <c r="L753" s="48"/>
      <c r="M753" s="47"/>
      <c r="N753" s="48"/>
      <c r="O753" s="48"/>
      <c r="P753" s="48"/>
    </row>
    <row r="754" spans="1:16">
      <c r="A754" s="47">
        <v>32294</v>
      </c>
      <c r="B754" s="48">
        <v>11404</v>
      </c>
      <c r="C754" s="48" t="s">
        <v>28</v>
      </c>
      <c r="D754" s="50">
        <v>3.8953000000000002E-2</v>
      </c>
      <c r="E754" s="14">
        <v>3.176E-3</v>
      </c>
      <c r="F754" s="48"/>
      <c r="G754" s="47"/>
      <c r="H754" s="48"/>
      <c r="I754" s="48"/>
      <c r="J754" s="50"/>
      <c r="K754" s="50"/>
      <c r="L754" s="48"/>
      <c r="M754" s="47"/>
      <c r="N754" s="48"/>
      <c r="O754" s="48"/>
      <c r="P754" s="48"/>
    </row>
    <row r="755" spans="1:16">
      <c r="A755" s="47">
        <v>32324</v>
      </c>
      <c r="B755" s="48">
        <v>11404</v>
      </c>
      <c r="C755" s="48" t="s">
        <v>28</v>
      </c>
      <c r="D755" s="50">
        <v>2.849E-3</v>
      </c>
      <c r="E755" s="14">
        <v>4.3256000000000003E-2</v>
      </c>
      <c r="F755" s="48"/>
      <c r="G755" s="47"/>
      <c r="H755" s="48"/>
      <c r="I755" s="48"/>
      <c r="J755" s="50"/>
      <c r="K755" s="50"/>
      <c r="L755" s="48"/>
      <c r="M755" s="47"/>
      <c r="N755" s="48"/>
      <c r="O755" s="48"/>
      <c r="P755" s="48"/>
    </row>
    <row r="756" spans="1:16">
      <c r="A756" s="47">
        <v>32353</v>
      </c>
      <c r="B756" s="48">
        <v>11404</v>
      </c>
      <c r="C756" s="48" t="s">
        <v>28</v>
      </c>
      <c r="D756" s="50">
        <v>2.8410000000000002E-3</v>
      </c>
      <c r="E756" s="14">
        <v>-5.411E-3</v>
      </c>
      <c r="F756" s="48"/>
      <c r="G756" s="47"/>
      <c r="H756" s="48"/>
      <c r="I756" s="48"/>
      <c r="J756" s="50"/>
      <c r="K756" s="50"/>
      <c r="L756" s="48"/>
      <c r="M756" s="47"/>
      <c r="N756" s="48"/>
      <c r="O756" s="48"/>
      <c r="P756" s="48"/>
    </row>
    <row r="757" spans="1:16">
      <c r="A757" s="47">
        <v>32386</v>
      </c>
      <c r="B757" s="48">
        <v>11404</v>
      </c>
      <c r="C757" s="48" t="s">
        <v>28</v>
      </c>
      <c r="D757" s="50">
        <v>-1.3030999999999999E-2</v>
      </c>
      <c r="E757" s="14">
        <v>-3.8600000000000002E-2</v>
      </c>
      <c r="F757" s="48"/>
      <c r="G757" s="47"/>
      <c r="H757" s="48"/>
      <c r="I757" s="48"/>
      <c r="J757" s="50"/>
      <c r="K757" s="50"/>
      <c r="L757" s="48"/>
      <c r="M757" s="47"/>
      <c r="N757" s="48"/>
      <c r="O757" s="48"/>
      <c r="P757" s="48"/>
    </row>
    <row r="758" spans="1:16">
      <c r="A758" s="47">
        <v>32416</v>
      </c>
      <c r="B758" s="48">
        <v>11404</v>
      </c>
      <c r="C758" s="48" t="s">
        <v>28</v>
      </c>
      <c r="D758" s="50">
        <v>4.3860000000000003E-2</v>
      </c>
      <c r="E758" s="14">
        <v>3.9729E-2</v>
      </c>
      <c r="F758" s="48"/>
      <c r="G758" s="47"/>
      <c r="H758" s="48"/>
      <c r="I758" s="48"/>
      <c r="J758" s="50"/>
      <c r="K758" s="50"/>
      <c r="L758" s="48"/>
      <c r="M758" s="47"/>
      <c r="N758" s="48"/>
      <c r="O758" s="48"/>
      <c r="P758" s="48"/>
    </row>
    <row r="759" spans="1:16">
      <c r="A759" s="47">
        <v>32447</v>
      </c>
      <c r="B759" s="48">
        <v>11404</v>
      </c>
      <c r="C759" s="48" t="s">
        <v>28</v>
      </c>
      <c r="D759" s="50">
        <v>3.0811999999999999E-2</v>
      </c>
      <c r="E759" s="14">
        <v>2.5964000000000001E-2</v>
      </c>
      <c r="F759" s="48"/>
      <c r="G759" s="47"/>
      <c r="H759" s="48"/>
      <c r="I759" s="48"/>
      <c r="J759" s="50"/>
      <c r="K759" s="50"/>
      <c r="L759" s="48"/>
      <c r="M759" s="47"/>
      <c r="N759" s="48"/>
      <c r="O759" s="48"/>
      <c r="P759" s="48"/>
    </row>
    <row r="760" spans="1:16">
      <c r="A760" s="47">
        <v>32477</v>
      </c>
      <c r="B760" s="48">
        <v>11404</v>
      </c>
      <c r="C760" s="48" t="s">
        <v>28</v>
      </c>
      <c r="D760" s="50">
        <v>-4.3480000000000003E-3</v>
      </c>
      <c r="E760" s="14">
        <v>-1.8891000000000002E-2</v>
      </c>
      <c r="F760" s="48"/>
      <c r="G760" s="47"/>
      <c r="H760" s="48"/>
      <c r="I760" s="48"/>
      <c r="J760" s="50"/>
      <c r="K760" s="50"/>
      <c r="L760" s="48"/>
      <c r="M760" s="47"/>
      <c r="N760" s="48"/>
      <c r="O760" s="48"/>
      <c r="P760" s="48"/>
    </row>
    <row r="761" spans="1:16">
      <c r="A761" s="47">
        <v>32507</v>
      </c>
      <c r="B761" s="48">
        <v>11404</v>
      </c>
      <c r="C761" s="48" t="s">
        <v>28</v>
      </c>
      <c r="D761" s="50">
        <v>3.3333000000000002E-2</v>
      </c>
      <c r="E761" s="14">
        <v>1.4688E-2</v>
      </c>
      <c r="F761" s="48"/>
      <c r="G761" s="47"/>
      <c r="H761" s="48"/>
      <c r="I761" s="48"/>
      <c r="J761" s="50"/>
      <c r="K761" s="50"/>
      <c r="L761" s="48"/>
      <c r="M761" s="47"/>
      <c r="N761" s="48"/>
      <c r="O761" s="48"/>
      <c r="P761" s="48"/>
    </row>
    <row r="762" spans="1:16">
      <c r="A762" s="47">
        <v>32539</v>
      </c>
      <c r="B762" s="48">
        <v>11404</v>
      </c>
      <c r="C762" s="48" t="s">
        <v>28</v>
      </c>
      <c r="D762" s="50">
        <v>1.3441E-2</v>
      </c>
      <c r="E762" s="14">
        <v>7.1114999999999998E-2</v>
      </c>
      <c r="F762" s="48"/>
      <c r="G762" s="47"/>
      <c r="H762" s="48"/>
      <c r="I762" s="48"/>
      <c r="J762" s="50"/>
      <c r="K762" s="50"/>
      <c r="L762" s="48"/>
      <c r="M762" s="47"/>
      <c r="N762" s="48"/>
      <c r="O762" s="48"/>
      <c r="P762" s="48"/>
    </row>
    <row r="763" spans="1:16">
      <c r="A763" s="47">
        <v>32567</v>
      </c>
      <c r="B763" s="48">
        <v>11404</v>
      </c>
      <c r="C763" s="48" t="s">
        <v>28</v>
      </c>
      <c r="D763" s="50">
        <v>-3.2148999999999997E-2</v>
      </c>
      <c r="E763" s="14">
        <v>-2.8944000000000001E-2</v>
      </c>
      <c r="F763" s="48"/>
      <c r="G763" s="47"/>
      <c r="H763" s="48"/>
      <c r="I763" s="48"/>
      <c r="J763" s="50"/>
      <c r="K763" s="50"/>
      <c r="L763" s="48"/>
      <c r="M763" s="47"/>
      <c r="N763" s="48"/>
      <c r="O763" s="48"/>
      <c r="P763" s="48"/>
    </row>
    <row r="764" spans="1:16">
      <c r="A764" s="47">
        <v>32598</v>
      </c>
      <c r="B764" s="48">
        <v>11404</v>
      </c>
      <c r="C764" s="48" t="s">
        <v>28</v>
      </c>
      <c r="D764" s="50">
        <v>2.2346000000000001E-2</v>
      </c>
      <c r="E764" s="14">
        <v>2.0806000000000002E-2</v>
      </c>
      <c r="F764" s="48"/>
      <c r="G764" s="47"/>
      <c r="H764" s="48"/>
      <c r="I764" s="48"/>
      <c r="J764" s="50"/>
      <c r="K764" s="50"/>
      <c r="L764" s="48"/>
      <c r="M764" s="47"/>
      <c r="N764" s="48"/>
      <c r="O764" s="48"/>
      <c r="P764" s="48"/>
    </row>
    <row r="765" spans="1:16">
      <c r="A765" s="47">
        <v>32626</v>
      </c>
      <c r="B765" s="48">
        <v>11404</v>
      </c>
      <c r="C765" s="48" t="s">
        <v>28</v>
      </c>
      <c r="D765" s="50">
        <v>3.2786999999999997E-2</v>
      </c>
      <c r="E765" s="14">
        <v>5.0090000000000003E-2</v>
      </c>
      <c r="F765" s="48"/>
      <c r="G765" s="47"/>
      <c r="H765" s="48"/>
      <c r="I765" s="48"/>
      <c r="J765" s="50"/>
      <c r="K765" s="50"/>
      <c r="L765" s="48"/>
      <c r="M765" s="47"/>
      <c r="N765" s="48"/>
      <c r="O765" s="48"/>
      <c r="P765" s="48"/>
    </row>
    <row r="766" spans="1:16">
      <c r="A766" s="47">
        <v>32659</v>
      </c>
      <c r="B766" s="48">
        <v>11404</v>
      </c>
      <c r="C766" s="48" t="s">
        <v>28</v>
      </c>
      <c r="D766" s="50">
        <v>5.7883999999999998E-2</v>
      </c>
      <c r="E766" s="14">
        <v>3.5138000000000003E-2</v>
      </c>
      <c r="F766" s="48"/>
      <c r="G766" s="47"/>
      <c r="H766" s="48"/>
      <c r="I766" s="48"/>
      <c r="J766" s="50"/>
      <c r="K766" s="50"/>
      <c r="L766" s="48"/>
      <c r="M766" s="47"/>
      <c r="N766" s="48"/>
      <c r="O766" s="48"/>
      <c r="P766" s="48"/>
    </row>
    <row r="767" spans="1:16">
      <c r="A767" s="47">
        <v>32689</v>
      </c>
      <c r="B767" s="48">
        <v>11404</v>
      </c>
      <c r="C767" s="48" t="s">
        <v>28</v>
      </c>
      <c r="D767" s="50">
        <v>3.3078999999999997E-2</v>
      </c>
      <c r="E767" s="14">
        <v>-7.9249999999999998E-3</v>
      </c>
      <c r="F767" s="48"/>
      <c r="G767" s="47"/>
      <c r="H767" s="48"/>
      <c r="I767" s="48"/>
      <c r="J767" s="50"/>
      <c r="K767" s="50"/>
      <c r="L767" s="48"/>
      <c r="M767" s="47"/>
      <c r="N767" s="48"/>
      <c r="O767" s="48"/>
      <c r="P767" s="48"/>
    </row>
    <row r="768" spans="1:16">
      <c r="A768" s="47">
        <v>32720</v>
      </c>
      <c r="B768" s="48">
        <v>11404</v>
      </c>
      <c r="C768" s="48" t="s">
        <v>28</v>
      </c>
      <c r="D768" s="50">
        <v>5.4186999999999999E-2</v>
      </c>
      <c r="E768" s="14">
        <v>8.8370000000000004E-2</v>
      </c>
      <c r="F768" s="48"/>
      <c r="G768" s="47"/>
      <c r="H768" s="48"/>
      <c r="I768" s="48"/>
      <c r="J768" s="50"/>
      <c r="K768" s="50"/>
      <c r="L768" s="48"/>
      <c r="M768" s="47"/>
      <c r="N768" s="48"/>
      <c r="O768" s="48"/>
      <c r="P768" s="48"/>
    </row>
    <row r="769" spans="1:16">
      <c r="A769" s="47">
        <v>32751</v>
      </c>
      <c r="B769" s="48">
        <v>11404</v>
      </c>
      <c r="C769" s="48" t="s">
        <v>28</v>
      </c>
      <c r="D769" s="50">
        <v>-3.0654000000000001E-2</v>
      </c>
      <c r="E769" s="14">
        <v>1.5517E-2</v>
      </c>
      <c r="F769" s="48"/>
      <c r="G769" s="47"/>
      <c r="H769" s="48"/>
      <c r="I769" s="48"/>
      <c r="J769" s="50"/>
      <c r="K769" s="50"/>
      <c r="L769" s="48"/>
      <c r="M769" s="47"/>
      <c r="N769" s="48"/>
      <c r="O769" s="48"/>
      <c r="P769" s="48"/>
    </row>
    <row r="770" spans="1:16">
      <c r="A770" s="47">
        <v>32780</v>
      </c>
      <c r="B770" s="48">
        <v>11404</v>
      </c>
      <c r="C770" s="48" t="s">
        <v>28</v>
      </c>
      <c r="D770" s="50">
        <v>-2.4510000000000001E-2</v>
      </c>
      <c r="E770" s="14">
        <v>-6.5440000000000003E-3</v>
      </c>
      <c r="F770" s="48"/>
      <c r="G770" s="47"/>
      <c r="H770" s="48"/>
      <c r="I770" s="48"/>
      <c r="J770" s="50"/>
      <c r="K770" s="50"/>
      <c r="L770" s="48"/>
      <c r="M770" s="47"/>
      <c r="N770" s="48"/>
      <c r="O770" s="48"/>
      <c r="P770" s="48"/>
    </row>
    <row r="771" spans="1:16">
      <c r="A771" s="47">
        <v>32812</v>
      </c>
      <c r="B771" s="48">
        <v>11404</v>
      </c>
      <c r="C771" s="48" t="s">
        <v>28</v>
      </c>
      <c r="D771" s="50">
        <v>2.5125999999999999E-2</v>
      </c>
      <c r="E771" s="14">
        <v>-2.5174999999999999E-2</v>
      </c>
      <c r="F771" s="48"/>
      <c r="G771" s="47"/>
      <c r="H771" s="48"/>
      <c r="I771" s="48"/>
      <c r="J771" s="50"/>
      <c r="K771" s="50"/>
      <c r="L771" s="48"/>
      <c r="M771" s="47"/>
      <c r="N771" s="48"/>
      <c r="O771" s="48"/>
      <c r="P771" s="48"/>
    </row>
    <row r="772" spans="1:16">
      <c r="A772" s="47">
        <v>32842</v>
      </c>
      <c r="B772" s="48">
        <v>11404</v>
      </c>
      <c r="C772" s="48" t="s">
        <v>28</v>
      </c>
      <c r="D772" s="50">
        <v>8.0588000000000007E-2</v>
      </c>
      <c r="E772" s="14">
        <v>1.6541E-2</v>
      </c>
      <c r="F772" s="48"/>
      <c r="G772" s="47"/>
      <c r="H772" s="48"/>
      <c r="I772" s="48"/>
      <c r="J772" s="50"/>
      <c r="K772" s="50"/>
      <c r="L772" s="48"/>
      <c r="M772" s="47"/>
      <c r="N772" s="48"/>
      <c r="O772" s="48"/>
      <c r="P772" s="48"/>
    </row>
    <row r="773" spans="1:16">
      <c r="A773" s="47">
        <v>32871</v>
      </c>
      <c r="B773" s="48">
        <v>11404</v>
      </c>
      <c r="C773" s="48" t="s">
        <v>28</v>
      </c>
      <c r="D773" s="50">
        <v>7.3733000000000007E-2</v>
      </c>
      <c r="E773" s="14">
        <v>2.1416999999999999E-2</v>
      </c>
      <c r="F773" s="48"/>
      <c r="G773" s="47"/>
      <c r="H773" s="48"/>
      <c r="I773" s="48"/>
      <c r="J773" s="50"/>
      <c r="K773" s="50"/>
      <c r="L773" s="48"/>
      <c r="M773" s="47"/>
      <c r="N773" s="48"/>
      <c r="O773" s="48"/>
      <c r="P773" s="48"/>
    </row>
    <row r="774" spans="1:16">
      <c r="A774" s="47">
        <v>32904</v>
      </c>
      <c r="B774" s="48">
        <v>11404</v>
      </c>
      <c r="C774" s="48" t="s">
        <v>28</v>
      </c>
      <c r="D774" s="50">
        <v>-6.4378000000000005E-2</v>
      </c>
      <c r="E774" s="14">
        <v>-6.8817000000000003E-2</v>
      </c>
      <c r="F774" s="48"/>
      <c r="G774" s="47"/>
      <c r="H774" s="48"/>
      <c r="I774" s="48"/>
      <c r="J774" s="50"/>
      <c r="K774" s="50"/>
      <c r="L774" s="48"/>
      <c r="M774" s="47"/>
      <c r="N774" s="48"/>
      <c r="O774" s="48"/>
      <c r="P774" s="48"/>
    </row>
    <row r="775" spans="1:16">
      <c r="A775" s="47">
        <v>32932</v>
      </c>
      <c r="B775" s="48">
        <v>11404</v>
      </c>
      <c r="C775" s="48" t="s">
        <v>28</v>
      </c>
      <c r="D775" s="50">
        <v>-1.5413E-2</v>
      </c>
      <c r="E775" s="14">
        <v>8.5389999999999997E-3</v>
      </c>
      <c r="F775" s="48"/>
      <c r="G775" s="47"/>
      <c r="H775" s="48"/>
      <c r="I775" s="48"/>
      <c r="J775" s="50"/>
      <c r="K775" s="50"/>
      <c r="L775" s="48"/>
      <c r="M775" s="47"/>
      <c r="N775" s="48"/>
      <c r="O775" s="48"/>
      <c r="P775" s="48"/>
    </row>
    <row r="776" spans="1:16">
      <c r="A776" s="47">
        <v>32962</v>
      </c>
      <c r="B776" s="48">
        <v>11404</v>
      </c>
      <c r="C776" s="48" t="s">
        <v>28</v>
      </c>
      <c r="D776" s="50">
        <v>-1.4218E-2</v>
      </c>
      <c r="E776" s="14">
        <v>2.4254999999999999E-2</v>
      </c>
      <c r="F776" s="48"/>
      <c r="G776" s="47"/>
      <c r="H776" s="48"/>
      <c r="I776" s="48"/>
      <c r="J776" s="50"/>
      <c r="K776" s="50"/>
      <c r="L776" s="48"/>
      <c r="M776" s="47"/>
      <c r="N776" s="48"/>
      <c r="O776" s="48"/>
      <c r="P776" s="48"/>
    </row>
    <row r="777" spans="1:16">
      <c r="A777" s="47">
        <v>32993</v>
      </c>
      <c r="B777" s="48">
        <v>11404</v>
      </c>
      <c r="C777" s="48" t="s">
        <v>28</v>
      </c>
      <c r="D777" s="50">
        <v>-8.6538000000000004E-2</v>
      </c>
      <c r="E777" s="14">
        <v>-2.6887000000000001E-2</v>
      </c>
      <c r="F777" s="48"/>
      <c r="G777" s="47"/>
      <c r="H777" s="48"/>
      <c r="I777" s="48"/>
      <c r="J777" s="50"/>
      <c r="K777" s="50"/>
      <c r="L777" s="48"/>
      <c r="M777" s="47"/>
      <c r="N777" s="48"/>
      <c r="O777" s="48"/>
      <c r="P777" s="48"/>
    </row>
    <row r="778" spans="1:16">
      <c r="A778" s="47">
        <v>33024</v>
      </c>
      <c r="B778" s="48">
        <v>11404</v>
      </c>
      <c r="C778" s="48" t="s">
        <v>28</v>
      </c>
      <c r="D778" s="50">
        <v>3.3679999999999999E-3</v>
      </c>
      <c r="E778" s="14">
        <v>9.1989000000000001E-2</v>
      </c>
      <c r="F778" s="48"/>
      <c r="G778" s="47"/>
      <c r="H778" s="48"/>
      <c r="I778" s="48"/>
      <c r="J778" s="50"/>
      <c r="K778" s="50"/>
      <c r="L778" s="48"/>
      <c r="M778" s="47"/>
      <c r="N778" s="48"/>
      <c r="O778" s="48"/>
      <c r="P778" s="48"/>
    </row>
    <row r="779" spans="1:16">
      <c r="A779" s="47">
        <v>33053</v>
      </c>
      <c r="B779" s="48">
        <v>11404</v>
      </c>
      <c r="C779" s="48" t="s">
        <v>28</v>
      </c>
      <c r="D779" s="50">
        <v>5.3480000000000003E-3</v>
      </c>
      <c r="E779" s="14">
        <v>-8.8859999999999998E-3</v>
      </c>
      <c r="F779" s="48"/>
      <c r="G779" s="47"/>
      <c r="H779" s="48"/>
      <c r="I779" s="48"/>
      <c r="J779" s="50"/>
      <c r="K779" s="50"/>
      <c r="L779" s="48"/>
      <c r="M779" s="47"/>
      <c r="N779" s="48"/>
      <c r="O779" s="48"/>
      <c r="P779" s="48"/>
    </row>
    <row r="780" spans="1:16">
      <c r="A780" s="47">
        <v>33085</v>
      </c>
      <c r="B780" s="48">
        <v>11404</v>
      </c>
      <c r="C780" s="48" t="s">
        <v>28</v>
      </c>
      <c r="D780" s="50">
        <v>6.3829999999999998E-2</v>
      </c>
      <c r="E780" s="14">
        <v>-5.2230000000000002E-3</v>
      </c>
      <c r="F780" s="48"/>
      <c r="G780" s="47"/>
      <c r="H780" s="48"/>
      <c r="I780" s="48"/>
      <c r="J780" s="50"/>
      <c r="K780" s="50"/>
      <c r="L780" s="48"/>
      <c r="M780" s="47"/>
      <c r="N780" s="48"/>
      <c r="O780" s="48"/>
      <c r="P780" s="48"/>
    </row>
    <row r="781" spans="1:16">
      <c r="A781" s="47">
        <v>33116</v>
      </c>
      <c r="B781" s="48">
        <v>11404</v>
      </c>
      <c r="C781" s="48" t="s">
        <v>28</v>
      </c>
      <c r="D781" s="50">
        <v>-0.1118</v>
      </c>
      <c r="E781" s="14">
        <v>-9.4313999999999995E-2</v>
      </c>
      <c r="F781" s="48"/>
      <c r="G781" s="47"/>
      <c r="H781" s="48"/>
      <c r="I781" s="48"/>
      <c r="J781" s="50"/>
      <c r="K781" s="50"/>
      <c r="L781" s="48"/>
      <c r="M781" s="47"/>
      <c r="N781" s="48"/>
      <c r="O781" s="48"/>
      <c r="P781" s="48"/>
    </row>
    <row r="782" spans="1:16">
      <c r="A782" s="47">
        <v>33144</v>
      </c>
      <c r="B782" s="48">
        <v>11404</v>
      </c>
      <c r="C782" s="48" t="s">
        <v>28</v>
      </c>
      <c r="D782" s="50">
        <v>-3.4483E-2</v>
      </c>
      <c r="E782" s="14">
        <v>-5.1184E-2</v>
      </c>
      <c r="F782" s="48"/>
      <c r="G782" s="47"/>
      <c r="H782" s="48"/>
      <c r="I782" s="48"/>
      <c r="J782" s="50"/>
      <c r="K782" s="50"/>
      <c r="L782" s="48"/>
      <c r="M782" s="47"/>
      <c r="N782" s="48"/>
      <c r="O782" s="48"/>
      <c r="P782" s="48"/>
    </row>
    <row r="783" spans="1:16">
      <c r="A783" s="47">
        <v>33177</v>
      </c>
      <c r="B783" s="48">
        <v>11404</v>
      </c>
      <c r="C783" s="48" t="s">
        <v>28</v>
      </c>
      <c r="D783" s="50">
        <v>0.113095</v>
      </c>
      <c r="E783" s="14">
        <v>-6.698E-3</v>
      </c>
      <c r="F783" s="48"/>
      <c r="G783" s="47"/>
      <c r="H783" s="48"/>
      <c r="I783" s="48"/>
      <c r="J783" s="50"/>
      <c r="K783" s="50"/>
      <c r="L783" s="48"/>
      <c r="M783" s="47"/>
      <c r="N783" s="48"/>
      <c r="O783" s="48"/>
      <c r="P783" s="48"/>
    </row>
    <row r="784" spans="1:16">
      <c r="A784" s="47">
        <v>33207</v>
      </c>
      <c r="B784" s="48">
        <v>11404</v>
      </c>
      <c r="C784" s="48" t="s">
        <v>28</v>
      </c>
      <c r="D784" s="50">
        <v>3.4220000000000001E-3</v>
      </c>
      <c r="E784" s="14">
        <v>5.9934000000000001E-2</v>
      </c>
      <c r="F784" s="48"/>
      <c r="G784" s="47"/>
      <c r="H784" s="48"/>
      <c r="I784" s="48"/>
      <c r="J784" s="50"/>
      <c r="K784" s="50"/>
      <c r="L784" s="48"/>
      <c r="M784" s="47"/>
      <c r="N784" s="48"/>
      <c r="O784" s="48"/>
      <c r="P784" s="48"/>
    </row>
    <row r="785" spans="1:16">
      <c r="A785" s="47">
        <v>33238</v>
      </c>
      <c r="B785" s="48">
        <v>11404</v>
      </c>
      <c r="C785" s="48" t="s">
        <v>28</v>
      </c>
      <c r="D785" s="50">
        <v>2.7174E-2</v>
      </c>
      <c r="E785" s="14">
        <v>2.4827999999999999E-2</v>
      </c>
      <c r="F785" s="48"/>
      <c r="G785" s="47"/>
      <c r="H785" s="48"/>
      <c r="I785" s="48"/>
      <c r="J785" s="50"/>
      <c r="K785" s="50"/>
      <c r="L785" s="48"/>
      <c r="M785" s="47"/>
      <c r="N785" s="48"/>
      <c r="O785" s="48"/>
      <c r="P785" s="48"/>
    </row>
    <row r="786" spans="1:16">
      <c r="A786" s="47">
        <v>33269</v>
      </c>
      <c r="B786" s="48">
        <v>11404</v>
      </c>
      <c r="C786" s="48" t="s">
        <v>28</v>
      </c>
      <c r="D786" s="50">
        <v>-5.2909999999999997E-3</v>
      </c>
      <c r="E786" s="14">
        <v>4.1517999999999999E-2</v>
      </c>
      <c r="F786" s="48"/>
      <c r="G786" s="47"/>
      <c r="H786" s="48"/>
      <c r="I786" s="48"/>
      <c r="J786" s="50"/>
      <c r="K786" s="50"/>
      <c r="L786" s="48"/>
      <c r="M786" s="47"/>
      <c r="N786" s="48"/>
      <c r="O786" s="48"/>
      <c r="P786" s="48"/>
    </row>
    <row r="787" spans="1:16">
      <c r="A787" s="47">
        <v>33297</v>
      </c>
      <c r="B787" s="48">
        <v>11404</v>
      </c>
      <c r="C787" s="48" t="s">
        <v>28</v>
      </c>
      <c r="D787" s="50">
        <v>4.1064000000000003E-2</v>
      </c>
      <c r="E787" s="14">
        <v>6.7280999999999994E-2</v>
      </c>
      <c r="F787" s="48"/>
      <c r="G787" s="47"/>
      <c r="H787" s="48"/>
      <c r="I787" s="48"/>
      <c r="J787" s="50"/>
      <c r="K787" s="50"/>
      <c r="L787" s="48"/>
      <c r="M787" s="47"/>
      <c r="N787" s="48"/>
      <c r="O787" s="48"/>
      <c r="P787" s="48"/>
    </row>
    <row r="788" spans="1:16">
      <c r="A788" s="47">
        <v>33325</v>
      </c>
      <c r="B788" s="48">
        <v>11404</v>
      </c>
      <c r="C788" s="48" t="s">
        <v>28</v>
      </c>
      <c r="D788" s="50">
        <v>7.2916999999999996E-2</v>
      </c>
      <c r="E788" s="14">
        <v>2.2203000000000001E-2</v>
      </c>
      <c r="F788" s="48"/>
      <c r="G788" s="47"/>
      <c r="H788" s="48"/>
      <c r="I788" s="48"/>
      <c r="J788" s="50"/>
      <c r="K788" s="50"/>
      <c r="L788" s="48"/>
      <c r="M788" s="47"/>
      <c r="N788" s="48"/>
      <c r="O788" s="48"/>
      <c r="P788" s="48"/>
    </row>
    <row r="789" spans="1:16">
      <c r="A789" s="47">
        <v>33358</v>
      </c>
      <c r="B789" s="48">
        <v>11404</v>
      </c>
      <c r="C789" s="48" t="s">
        <v>28</v>
      </c>
      <c r="D789" s="50">
        <v>-4.3688999999999999E-2</v>
      </c>
      <c r="E789" s="14">
        <v>3.4600000000000001E-4</v>
      </c>
      <c r="F789" s="48"/>
      <c r="G789" s="47"/>
      <c r="H789" s="48"/>
      <c r="I789" s="48"/>
      <c r="J789" s="50"/>
      <c r="K789" s="50"/>
      <c r="L789" s="48"/>
      <c r="M789" s="47"/>
      <c r="N789" s="48"/>
      <c r="O789" s="48"/>
      <c r="P789" s="48"/>
    </row>
    <row r="790" spans="1:16">
      <c r="A790" s="47">
        <v>33389</v>
      </c>
      <c r="B790" s="48">
        <v>11404</v>
      </c>
      <c r="C790" s="48" t="s">
        <v>28</v>
      </c>
      <c r="D790" s="50">
        <v>3.6549999999999998E-3</v>
      </c>
      <c r="E790" s="14">
        <v>3.8577E-2</v>
      </c>
      <c r="F790" s="48"/>
      <c r="G790" s="47"/>
      <c r="H790" s="48"/>
      <c r="I790" s="48"/>
      <c r="J790" s="50"/>
      <c r="K790" s="50"/>
      <c r="L790" s="48"/>
      <c r="M790" s="47"/>
      <c r="N790" s="48"/>
      <c r="O790" s="48"/>
      <c r="P790" s="48"/>
    </row>
    <row r="791" spans="1:16">
      <c r="A791" s="47">
        <v>33417</v>
      </c>
      <c r="B791" s="48">
        <v>11404</v>
      </c>
      <c r="C791" s="48" t="s">
        <v>28</v>
      </c>
      <c r="D791" s="50">
        <v>1.5464E-2</v>
      </c>
      <c r="E791" s="14">
        <v>-4.7892999999999998E-2</v>
      </c>
      <c r="F791" s="48"/>
      <c r="G791" s="47"/>
      <c r="H791" s="48"/>
      <c r="I791" s="48"/>
      <c r="J791" s="50"/>
      <c r="K791" s="50"/>
      <c r="L791" s="48"/>
      <c r="M791" s="47"/>
      <c r="N791" s="48"/>
      <c r="O791" s="48"/>
      <c r="P791" s="48"/>
    </row>
    <row r="792" spans="1:16">
      <c r="A792" s="47">
        <v>33450</v>
      </c>
      <c r="B792" s="48">
        <v>11404</v>
      </c>
      <c r="C792" s="48" t="s">
        <v>28</v>
      </c>
      <c r="D792" s="50">
        <v>3.0457000000000001E-2</v>
      </c>
      <c r="E792" s="14">
        <v>4.4859000000000003E-2</v>
      </c>
      <c r="F792" s="48"/>
      <c r="G792" s="47"/>
      <c r="H792" s="48"/>
      <c r="I792" s="48"/>
      <c r="J792" s="50"/>
      <c r="K792" s="50"/>
      <c r="L792" s="48"/>
      <c r="M792" s="47"/>
      <c r="N792" s="48"/>
      <c r="O792" s="48"/>
      <c r="P792" s="48"/>
    </row>
    <row r="793" spans="1:16">
      <c r="A793" s="47">
        <v>33480</v>
      </c>
      <c r="B793" s="48">
        <v>11404</v>
      </c>
      <c r="C793" s="48" t="s">
        <v>28</v>
      </c>
      <c r="D793" s="50">
        <v>1.8325000000000001E-2</v>
      </c>
      <c r="E793" s="14">
        <v>1.9649E-2</v>
      </c>
      <c r="F793" s="48"/>
      <c r="G793" s="47"/>
      <c r="H793" s="48"/>
      <c r="I793" s="48"/>
      <c r="J793" s="50"/>
      <c r="K793" s="50"/>
      <c r="L793" s="48"/>
      <c r="M793" s="47"/>
      <c r="N793" s="48"/>
      <c r="O793" s="48"/>
      <c r="P793" s="48"/>
    </row>
    <row r="794" spans="1:16">
      <c r="A794" s="47">
        <v>33511</v>
      </c>
      <c r="B794" s="48">
        <v>11404</v>
      </c>
      <c r="C794" s="48" t="s">
        <v>28</v>
      </c>
      <c r="D794" s="50">
        <v>0</v>
      </c>
      <c r="E794" s="14">
        <v>-1.9144000000000001E-2</v>
      </c>
      <c r="F794" s="48"/>
      <c r="G794" s="47"/>
      <c r="H794" s="48"/>
      <c r="I794" s="48"/>
      <c r="J794" s="50"/>
      <c r="K794" s="50"/>
      <c r="L794" s="48"/>
      <c r="M794" s="47"/>
      <c r="N794" s="48"/>
      <c r="O794" s="48"/>
      <c r="P794" s="48"/>
    </row>
    <row r="795" spans="1:16">
      <c r="A795" s="47">
        <v>33542</v>
      </c>
      <c r="B795" s="48">
        <v>11404</v>
      </c>
      <c r="C795" s="48" t="s">
        <v>28</v>
      </c>
      <c r="D795" s="50">
        <v>1.4777999999999999E-2</v>
      </c>
      <c r="E795" s="14">
        <v>1.1860000000000001E-2</v>
      </c>
      <c r="F795" s="48"/>
      <c r="G795" s="47"/>
      <c r="H795" s="48"/>
      <c r="I795" s="48"/>
      <c r="J795" s="50"/>
      <c r="K795" s="50"/>
      <c r="L795" s="48"/>
      <c r="M795" s="47"/>
      <c r="N795" s="48"/>
      <c r="O795" s="48"/>
      <c r="P795" s="48"/>
    </row>
    <row r="796" spans="1:16">
      <c r="A796" s="47">
        <v>33571</v>
      </c>
      <c r="B796" s="48">
        <v>11404</v>
      </c>
      <c r="C796" s="48" t="s">
        <v>28</v>
      </c>
      <c r="D796" s="50">
        <v>2.7767E-2</v>
      </c>
      <c r="E796" s="14">
        <v>-4.3928000000000002E-2</v>
      </c>
      <c r="F796" s="48"/>
      <c r="G796" s="47"/>
      <c r="H796" s="48"/>
      <c r="I796" s="48"/>
      <c r="J796" s="50"/>
      <c r="K796" s="50"/>
      <c r="L796" s="48"/>
      <c r="M796" s="47"/>
      <c r="N796" s="48"/>
      <c r="O796" s="48"/>
      <c r="P796" s="48"/>
    </row>
    <row r="797" spans="1:16">
      <c r="A797" s="47">
        <v>33603</v>
      </c>
      <c r="B797" s="48">
        <v>11404</v>
      </c>
      <c r="C797" s="48" t="s">
        <v>28</v>
      </c>
      <c r="D797" s="50">
        <v>0.100962</v>
      </c>
      <c r="E797" s="14">
        <v>0.11158800000000001</v>
      </c>
      <c r="F797" s="48"/>
      <c r="G797" s="47"/>
      <c r="H797" s="48"/>
      <c r="I797" s="48"/>
      <c r="J797" s="50"/>
      <c r="K797" s="50"/>
      <c r="L797" s="48"/>
      <c r="M797" s="47"/>
      <c r="N797" s="48"/>
      <c r="O797" s="48"/>
      <c r="P797" s="48"/>
    </row>
    <row r="798" spans="1:16">
      <c r="A798" s="47">
        <v>33634</v>
      </c>
      <c r="B798" s="48">
        <v>11404</v>
      </c>
      <c r="C798" s="48" t="s">
        <v>28</v>
      </c>
      <c r="D798" s="50">
        <v>-4.3670000000000002E-3</v>
      </c>
      <c r="E798" s="14">
        <v>-1.9900000000000001E-2</v>
      </c>
      <c r="F798" s="48"/>
      <c r="G798" s="47"/>
      <c r="H798" s="48"/>
      <c r="I798" s="48"/>
      <c r="J798" s="50"/>
      <c r="K798" s="50"/>
      <c r="L798" s="48"/>
      <c r="M798" s="47"/>
      <c r="N798" s="48"/>
      <c r="O798" s="48"/>
      <c r="P798" s="48"/>
    </row>
    <row r="799" spans="1:16">
      <c r="A799" s="47">
        <v>33662</v>
      </c>
      <c r="B799" s="48">
        <v>11404</v>
      </c>
      <c r="C799" s="48" t="s">
        <v>28</v>
      </c>
      <c r="D799" s="50">
        <v>-7.5439000000000006E-2</v>
      </c>
      <c r="E799" s="14">
        <v>9.5650000000000006E-3</v>
      </c>
      <c r="F799" s="48"/>
      <c r="G799" s="47"/>
      <c r="H799" s="48"/>
      <c r="I799" s="48"/>
      <c r="J799" s="50"/>
      <c r="K799" s="50"/>
      <c r="L799" s="48"/>
      <c r="M799" s="47"/>
      <c r="N799" s="48"/>
      <c r="O799" s="48"/>
      <c r="P799" s="48"/>
    </row>
    <row r="800" spans="1:16">
      <c r="A800" s="47">
        <v>33694</v>
      </c>
      <c r="B800" s="48">
        <v>11404</v>
      </c>
      <c r="C800" s="48" t="s">
        <v>28</v>
      </c>
      <c r="D800" s="50">
        <v>4.3478000000000003E-2</v>
      </c>
      <c r="E800" s="14">
        <v>-2.1832000000000001E-2</v>
      </c>
      <c r="F800" s="48"/>
      <c r="G800" s="47"/>
      <c r="H800" s="48"/>
      <c r="I800" s="48"/>
      <c r="J800" s="50"/>
      <c r="K800" s="50"/>
      <c r="L800" s="48"/>
      <c r="M800" s="47"/>
      <c r="N800" s="48"/>
      <c r="O800" s="48"/>
      <c r="P800" s="48"/>
    </row>
    <row r="801" spans="1:16">
      <c r="A801" s="47">
        <v>33724</v>
      </c>
      <c r="B801" s="48">
        <v>11404</v>
      </c>
      <c r="C801" s="48" t="s">
        <v>28</v>
      </c>
      <c r="D801" s="50">
        <v>3.7037E-2</v>
      </c>
      <c r="E801" s="14">
        <v>2.7893000000000001E-2</v>
      </c>
      <c r="F801" s="48"/>
      <c r="G801" s="47"/>
      <c r="H801" s="48"/>
      <c r="I801" s="48"/>
      <c r="J801" s="50"/>
      <c r="K801" s="50"/>
      <c r="L801" s="48"/>
      <c r="M801" s="47"/>
      <c r="N801" s="48"/>
      <c r="O801" s="48"/>
      <c r="P801" s="48"/>
    </row>
    <row r="802" spans="1:16">
      <c r="A802" s="47">
        <v>33753</v>
      </c>
      <c r="B802" s="48">
        <v>11404</v>
      </c>
      <c r="C802" s="48" t="s">
        <v>28</v>
      </c>
      <c r="D802" s="50">
        <v>3.0356999999999999E-2</v>
      </c>
      <c r="E802" s="14">
        <v>9.6400000000000001E-4</v>
      </c>
      <c r="F802" s="48"/>
      <c r="G802" s="47"/>
      <c r="H802" s="48"/>
      <c r="I802" s="48"/>
      <c r="J802" s="50"/>
      <c r="K802" s="50"/>
      <c r="L802" s="48"/>
      <c r="M802" s="47"/>
      <c r="N802" s="48"/>
      <c r="O802" s="48"/>
      <c r="P802" s="48"/>
    </row>
    <row r="803" spans="1:16">
      <c r="A803" s="47">
        <v>33785</v>
      </c>
      <c r="B803" s="48">
        <v>11404</v>
      </c>
      <c r="C803" s="48" t="s">
        <v>28</v>
      </c>
      <c r="D803" s="50">
        <v>-1.3216E-2</v>
      </c>
      <c r="E803" s="14">
        <v>-1.7358999999999999E-2</v>
      </c>
      <c r="F803" s="48"/>
      <c r="G803" s="47"/>
      <c r="H803" s="48"/>
      <c r="I803" s="48"/>
      <c r="J803" s="50"/>
      <c r="K803" s="50"/>
      <c r="L803" s="48"/>
      <c r="M803" s="47"/>
      <c r="N803" s="48"/>
      <c r="O803" s="48"/>
      <c r="P803" s="48"/>
    </row>
    <row r="804" spans="1:16">
      <c r="A804" s="47">
        <v>33816</v>
      </c>
      <c r="B804" s="48">
        <v>11404</v>
      </c>
      <c r="C804" s="48" t="s">
        <v>28</v>
      </c>
      <c r="D804" s="50">
        <v>0.11607099999999999</v>
      </c>
      <c r="E804" s="14">
        <v>3.9373999999999999E-2</v>
      </c>
      <c r="F804" s="48"/>
      <c r="G804" s="47"/>
      <c r="H804" s="48"/>
      <c r="I804" s="48"/>
      <c r="J804" s="50"/>
      <c r="K804" s="50"/>
      <c r="L804" s="48"/>
      <c r="M804" s="47"/>
      <c r="N804" s="48"/>
      <c r="O804" s="48"/>
      <c r="P804" s="48"/>
    </row>
    <row r="805" spans="1:16">
      <c r="A805" s="47">
        <v>33847</v>
      </c>
      <c r="B805" s="48">
        <v>11404</v>
      </c>
      <c r="C805" s="48" t="s">
        <v>28</v>
      </c>
      <c r="D805" s="50">
        <v>3.2000000000000002E-3</v>
      </c>
      <c r="E805" s="14">
        <v>-2.3997999999999998E-2</v>
      </c>
      <c r="F805" s="48"/>
      <c r="G805" s="47"/>
      <c r="H805" s="48"/>
      <c r="I805" s="48"/>
      <c r="J805" s="50"/>
      <c r="K805" s="50"/>
      <c r="L805" s="48"/>
      <c r="M805" s="47"/>
      <c r="N805" s="48"/>
      <c r="O805" s="48"/>
      <c r="P805" s="48"/>
    </row>
    <row r="806" spans="1:16">
      <c r="A806" s="47">
        <v>33877</v>
      </c>
      <c r="B806" s="48">
        <v>11404</v>
      </c>
      <c r="C806" s="48" t="s">
        <v>28</v>
      </c>
      <c r="D806" s="50">
        <v>1.6194E-2</v>
      </c>
      <c r="E806" s="14">
        <v>9.1059999999999995E-3</v>
      </c>
      <c r="F806" s="48"/>
      <c r="G806" s="47"/>
      <c r="H806" s="48"/>
      <c r="I806" s="48"/>
      <c r="J806" s="50"/>
      <c r="K806" s="50"/>
      <c r="L806" s="48"/>
      <c r="M806" s="47"/>
      <c r="N806" s="48"/>
      <c r="O806" s="48"/>
      <c r="P806" s="48"/>
    </row>
    <row r="807" spans="1:16">
      <c r="A807" s="47">
        <v>33907</v>
      </c>
      <c r="B807" s="48">
        <v>11404</v>
      </c>
      <c r="C807" s="48" t="s">
        <v>28</v>
      </c>
      <c r="D807" s="50">
        <v>-3.9839999999999997E-3</v>
      </c>
      <c r="E807" s="14">
        <v>2.1059999999999998E-3</v>
      </c>
      <c r="F807" s="48"/>
      <c r="G807" s="47"/>
      <c r="H807" s="48"/>
      <c r="I807" s="48"/>
      <c r="J807" s="50"/>
      <c r="K807" s="50"/>
      <c r="L807" s="48"/>
      <c r="M807" s="47"/>
      <c r="N807" s="48"/>
      <c r="O807" s="48"/>
      <c r="P807" s="48"/>
    </row>
    <row r="808" spans="1:16">
      <c r="A808" s="47">
        <v>33938</v>
      </c>
      <c r="B808" s="48">
        <v>11404</v>
      </c>
      <c r="C808" s="48" t="s">
        <v>28</v>
      </c>
      <c r="D808" s="50">
        <v>2.3199999999999998E-2</v>
      </c>
      <c r="E808" s="14">
        <v>3.0262000000000001E-2</v>
      </c>
      <c r="F808" s="48"/>
      <c r="G808" s="47"/>
      <c r="H808" s="48"/>
      <c r="I808" s="48"/>
      <c r="J808" s="50"/>
      <c r="K808" s="50"/>
      <c r="L808" s="48"/>
      <c r="M808" s="47"/>
      <c r="N808" s="48"/>
      <c r="O808" s="48"/>
      <c r="P808" s="48"/>
    </row>
    <row r="809" spans="1:16">
      <c r="A809" s="47">
        <v>33969</v>
      </c>
      <c r="B809" s="48">
        <v>11404</v>
      </c>
      <c r="C809" s="48" t="s">
        <v>28</v>
      </c>
      <c r="D809" s="50">
        <v>3.5714000000000003E-2</v>
      </c>
      <c r="E809" s="14">
        <v>1.0108000000000001E-2</v>
      </c>
      <c r="F809" s="48"/>
      <c r="G809" s="47"/>
      <c r="H809" s="48"/>
      <c r="I809" s="48"/>
      <c r="J809" s="50"/>
      <c r="K809" s="50"/>
      <c r="L809" s="48"/>
      <c r="M809" s="47"/>
      <c r="N809" s="48"/>
      <c r="O809" s="48"/>
      <c r="P809" s="48"/>
    </row>
    <row r="810" spans="1:16">
      <c r="A810" s="47">
        <v>33998</v>
      </c>
      <c r="B810" s="48">
        <v>11404</v>
      </c>
      <c r="C810" s="48" t="s">
        <v>28</v>
      </c>
      <c r="D810" s="50">
        <v>3.0651000000000001E-2</v>
      </c>
      <c r="E810" s="14">
        <v>7.0460000000000002E-3</v>
      </c>
      <c r="F810" s="48"/>
      <c r="G810" s="47"/>
      <c r="H810" s="48"/>
      <c r="I810" s="48"/>
      <c r="J810" s="50"/>
      <c r="K810" s="50"/>
      <c r="L810" s="48"/>
      <c r="M810" s="47"/>
      <c r="N810" s="48"/>
      <c r="O810" s="48"/>
      <c r="P810" s="48"/>
    </row>
    <row r="811" spans="1:16">
      <c r="A811" s="47">
        <v>34026</v>
      </c>
      <c r="B811" s="48">
        <v>11404</v>
      </c>
      <c r="C811" s="48" t="s">
        <v>28</v>
      </c>
      <c r="D811" s="50">
        <v>6.2751000000000001E-2</v>
      </c>
      <c r="E811" s="14">
        <v>1.0484E-2</v>
      </c>
      <c r="F811" s="48"/>
      <c r="G811" s="47"/>
      <c r="H811" s="48"/>
      <c r="I811" s="48"/>
      <c r="J811" s="50"/>
      <c r="K811" s="50"/>
      <c r="L811" s="48"/>
      <c r="M811" s="47"/>
      <c r="N811" s="48"/>
      <c r="O811" s="48"/>
      <c r="P811" s="48"/>
    </row>
    <row r="812" spans="1:16">
      <c r="A812" s="47">
        <v>34059</v>
      </c>
      <c r="B812" s="48">
        <v>11404</v>
      </c>
      <c r="C812" s="48" t="s">
        <v>28</v>
      </c>
      <c r="D812" s="50">
        <v>1.0638E-2</v>
      </c>
      <c r="E812" s="14">
        <v>1.8696999999999998E-2</v>
      </c>
      <c r="F812" s="48"/>
      <c r="G812" s="47"/>
      <c r="H812" s="48"/>
      <c r="I812" s="48"/>
      <c r="J812" s="50"/>
      <c r="K812" s="50"/>
      <c r="L812" s="48"/>
      <c r="M812" s="47"/>
      <c r="N812" s="48"/>
      <c r="O812" s="48"/>
      <c r="P812" s="48"/>
    </row>
    <row r="813" spans="1:16">
      <c r="A813" s="47">
        <v>34089</v>
      </c>
      <c r="B813" s="48">
        <v>11404</v>
      </c>
      <c r="C813" s="48" t="s">
        <v>28</v>
      </c>
      <c r="D813" s="50">
        <v>-7.0179999999999999E-3</v>
      </c>
      <c r="E813" s="14">
        <v>-2.5416999999999999E-2</v>
      </c>
      <c r="F813" s="48"/>
      <c r="G813" s="47"/>
      <c r="H813" s="48"/>
      <c r="I813" s="48"/>
      <c r="J813" s="50"/>
      <c r="K813" s="50"/>
      <c r="L813" s="48"/>
      <c r="M813" s="47"/>
      <c r="N813" s="48"/>
      <c r="O813" s="48"/>
      <c r="P813" s="48"/>
    </row>
    <row r="814" spans="1:16">
      <c r="A814" s="47">
        <v>34117</v>
      </c>
      <c r="B814" s="48">
        <v>11404</v>
      </c>
      <c r="C814" s="48" t="s">
        <v>28</v>
      </c>
      <c r="D814" s="50">
        <v>-2.1624999999999998E-2</v>
      </c>
      <c r="E814" s="14">
        <v>2.2717000000000001E-2</v>
      </c>
      <c r="F814" s="48"/>
      <c r="G814" s="47"/>
      <c r="H814" s="48"/>
      <c r="I814" s="48"/>
      <c r="J814" s="50"/>
      <c r="K814" s="50"/>
      <c r="L814" s="48"/>
      <c r="M814" s="47"/>
      <c r="N814" s="48"/>
      <c r="O814" s="48"/>
      <c r="P814" s="48"/>
    </row>
    <row r="815" spans="1:16">
      <c r="A815" s="47">
        <v>34150</v>
      </c>
      <c r="B815" s="48">
        <v>11404</v>
      </c>
      <c r="C815" s="48" t="s">
        <v>28</v>
      </c>
      <c r="D815" s="50">
        <v>3.2967000000000003E-2</v>
      </c>
      <c r="E815" s="14">
        <v>7.5500000000000003E-4</v>
      </c>
      <c r="F815" s="48"/>
      <c r="G815" s="47"/>
      <c r="H815" s="48"/>
      <c r="I815" s="48"/>
      <c r="J815" s="50"/>
      <c r="K815" s="50"/>
      <c r="L815" s="48"/>
      <c r="M815" s="47"/>
      <c r="N815" s="48"/>
      <c r="O815" s="48"/>
      <c r="P815" s="48"/>
    </row>
    <row r="816" spans="1:16">
      <c r="A816" s="47">
        <v>34180</v>
      </c>
      <c r="B816" s="48">
        <v>11404</v>
      </c>
      <c r="C816" s="48" t="s">
        <v>28</v>
      </c>
      <c r="D816" s="50">
        <v>3.1914999999999999E-2</v>
      </c>
      <c r="E816" s="14">
        <v>-5.3270000000000001E-3</v>
      </c>
      <c r="F816" s="48"/>
      <c r="G816" s="47"/>
      <c r="H816" s="48"/>
      <c r="I816" s="48"/>
      <c r="J816" s="50"/>
      <c r="K816" s="50"/>
      <c r="L816" s="48"/>
      <c r="M816" s="47"/>
      <c r="N816" s="48"/>
      <c r="O816" s="48"/>
      <c r="P816" s="48"/>
    </row>
    <row r="817" spans="1:16">
      <c r="A817" s="47">
        <v>34212</v>
      </c>
      <c r="B817" s="48">
        <v>11404</v>
      </c>
      <c r="C817" s="48" t="s">
        <v>28</v>
      </c>
      <c r="D817" s="50">
        <v>2.3643000000000001E-2</v>
      </c>
      <c r="E817" s="14">
        <v>3.4431999999999997E-2</v>
      </c>
      <c r="F817" s="48"/>
      <c r="G817" s="47"/>
      <c r="H817" s="48"/>
      <c r="I817" s="48"/>
      <c r="J817" s="50"/>
      <c r="K817" s="50"/>
      <c r="L817" s="48"/>
      <c r="M817" s="47"/>
      <c r="N817" s="48"/>
      <c r="O817" s="48"/>
      <c r="P817" s="48"/>
    </row>
    <row r="818" spans="1:16">
      <c r="A818" s="47">
        <v>34242</v>
      </c>
      <c r="B818" s="48">
        <v>11404</v>
      </c>
      <c r="C818" s="48" t="s">
        <v>28</v>
      </c>
      <c r="D818" s="50">
        <v>-1.7007000000000001E-2</v>
      </c>
      <c r="E818" s="14">
        <v>-9.9880000000000004E-3</v>
      </c>
      <c r="F818" s="48"/>
      <c r="G818" s="47"/>
      <c r="H818" s="48"/>
      <c r="I818" s="48"/>
      <c r="J818" s="50"/>
      <c r="K818" s="50"/>
      <c r="L818" s="48"/>
      <c r="M818" s="47"/>
      <c r="N818" s="48"/>
      <c r="O818" s="48"/>
      <c r="P818" s="48"/>
    </row>
    <row r="819" spans="1:16">
      <c r="A819" s="47">
        <v>34271</v>
      </c>
      <c r="B819" s="48">
        <v>11404</v>
      </c>
      <c r="C819" s="48" t="s">
        <v>28</v>
      </c>
      <c r="D819" s="50">
        <v>-3.8061999999999999E-2</v>
      </c>
      <c r="E819" s="14">
        <v>1.9393000000000001E-2</v>
      </c>
      <c r="F819" s="48"/>
      <c r="G819" s="47"/>
      <c r="H819" s="48"/>
      <c r="I819" s="48"/>
      <c r="J819" s="50"/>
      <c r="K819" s="50"/>
      <c r="L819" s="48"/>
      <c r="M819" s="47"/>
      <c r="N819" s="48"/>
      <c r="O819" s="48"/>
      <c r="P819" s="48"/>
    </row>
    <row r="820" spans="1:16">
      <c r="A820" s="47">
        <v>34303</v>
      </c>
      <c r="B820" s="48">
        <v>11404</v>
      </c>
      <c r="C820" s="48" t="s">
        <v>28</v>
      </c>
      <c r="D820" s="50">
        <v>-9.0359999999999996E-2</v>
      </c>
      <c r="E820" s="14">
        <v>-1.2911000000000001E-2</v>
      </c>
      <c r="F820" s="48"/>
      <c r="G820" s="47"/>
      <c r="H820" s="48"/>
      <c r="I820" s="48"/>
      <c r="J820" s="50"/>
      <c r="K820" s="50"/>
      <c r="L820" s="48"/>
      <c r="M820" s="47"/>
      <c r="N820" s="48"/>
      <c r="O820" s="48"/>
      <c r="P820" s="48"/>
    </row>
    <row r="821" spans="1:16">
      <c r="A821" s="47">
        <v>34334</v>
      </c>
      <c r="B821" s="48">
        <v>11404</v>
      </c>
      <c r="C821" s="48" t="s">
        <v>28</v>
      </c>
      <c r="D821" s="50">
        <v>3.2128999999999998E-2</v>
      </c>
      <c r="E821" s="14">
        <v>1.0090999999999999E-2</v>
      </c>
      <c r="F821" s="48"/>
      <c r="G821" s="47"/>
      <c r="H821" s="48"/>
      <c r="I821" s="48"/>
      <c r="J821" s="50"/>
      <c r="K821" s="50"/>
      <c r="L821" s="48"/>
      <c r="M821" s="47"/>
      <c r="N821" s="48"/>
      <c r="O821" s="48"/>
      <c r="P821" s="48"/>
    </row>
    <row r="822" spans="1:16">
      <c r="A822" s="47">
        <v>34365</v>
      </c>
      <c r="B822" s="48">
        <v>11404</v>
      </c>
      <c r="C822" s="48" t="s">
        <v>28</v>
      </c>
      <c r="D822" s="50">
        <v>-2.7237000000000001E-2</v>
      </c>
      <c r="E822" s="14">
        <v>3.2501000000000002E-2</v>
      </c>
      <c r="F822" s="48"/>
      <c r="G822" s="47"/>
      <c r="H822" s="48"/>
      <c r="I822" s="48"/>
      <c r="J822" s="50"/>
      <c r="K822" s="50"/>
      <c r="L822" s="48"/>
      <c r="M822" s="47"/>
      <c r="N822" s="48"/>
      <c r="O822" s="48"/>
      <c r="P822" s="48"/>
    </row>
    <row r="823" spans="1:16">
      <c r="A823" s="47">
        <v>34393</v>
      </c>
      <c r="B823" s="48">
        <v>11404</v>
      </c>
      <c r="C823" s="48" t="s">
        <v>28</v>
      </c>
      <c r="D823" s="50">
        <v>-3.5999999999999997E-2</v>
      </c>
      <c r="E823" s="14">
        <v>-3.0044999999999999E-2</v>
      </c>
      <c r="F823" s="48"/>
      <c r="G823" s="47"/>
      <c r="H823" s="48"/>
      <c r="I823" s="48"/>
      <c r="J823" s="50"/>
      <c r="K823" s="50"/>
      <c r="L823" s="48"/>
      <c r="M823" s="47"/>
      <c r="N823" s="48"/>
      <c r="O823" s="48"/>
      <c r="P823" s="48"/>
    </row>
    <row r="824" spans="1:16">
      <c r="A824" s="47">
        <v>34424</v>
      </c>
      <c r="B824" s="48">
        <v>11404</v>
      </c>
      <c r="C824" s="48" t="s">
        <v>28</v>
      </c>
      <c r="D824" s="50">
        <v>-1.6878000000000001E-2</v>
      </c>
      <c r="E824" s="14">
        <v>-4.5746000000000002E-2</v>
      </c>
      <c r="F824" s="48"/>
      <c r="G824" s="47"/>
      <c r="H824" s="48"/>
      <c r="I824" s="48"/>
      <c r="J824" s="50"/>
      <c r="K824" s="50"/>
      <c r="L824" s="48"/>
      <c r="M824" s="47"/>
      <c r="N824" s="48"/>
      <c r="O824" s="48"/>
      <c r="P824" s="48"/>
    </row>
    <row r="825" spans="1:16">
      <c r="A825" s="47">
        <v>34453</v>
      </c>
      <c r="B825" s="48">
        <v>11404</v>
      </c>
      <c r="C825" s="48" t="s">
        <v>28</v>
      </c>
      <c r="D825" s="50">
        <v>5.1501999999999999E-2</v>
      </c>
      <c r="E825" s="14">
        <v>1.1531E-2</v>
      </c>
      <c r="F825" s="48"/>
      <c r="G825" s="47"/>
      <c r="H825" s="48"/>
      <c r="I825" s="48"/>
      <c r="J825" s="50"/>
      <c r="K825" s="50"/>
      <c r="L825" s="48"/>
      <c r="M825" s="47"/>
      <c r="N825" s="48"/>
      <c r="O825" s="48"/>
      <c r="P825" s="48"/>
    </row>
    <row r="826" spans="1:16">
      <c r="A826" s="47">
        <v>34485</v>
      </c>
      <c r="B826" s="48">
        <v>11404</v>
      </c>
      <c r="C826" s="48" t="s">
        <v>28</v>
      </c>
      <c r="D826" s="50">
        <v>-8.1632999999999997E-2</v>
      </c>
      <c r="E826" s="14">
        <v>1.2418999999999999E-2</v>
      </c>
      <c r="F826" s="48"/>
      <c r="G826" s="47"/>
      <c r="H826" s="48"/>
      <c r="I826" s="48"/>
      <c r="J826" s="50"/>
      <c r="K826" s="50"/>
      <c r="L826" s="48"/>
      <c r="M826" s="47"/>
      <c r="N826" s="48"/>
      <c r="O826" s="48"/>
      <c r="P826" s="48"/>
    </row>
    <row r="827" spans="1:16">
      <c r="A827" s="47">
        <v>34515</v>
      </c>
      <c r="B827" s="48">
        <v>11404</v>
      </c>
      <c r="C827" s="48" t="s">
        <v>28</v>
      </c>
      <c r="D827" s="50">
        <v>-4.0724000000000003E-2</v>
      </c>
      <c r="E827" s="14">
        <v>-2.6811999999999999E-2</v>
      </c>
      <c r="F827" s="48"/>
      <c r="G827" s="47"/>
      <c r="H827" s="48"/>
      <c r="I827" s="48"/>
      <c r="J827" s="50"/>
      <c r="K827" s="50"/>
      <c r="L827" s="48"/>
      <c r="M827" s="47"/>
      <c r="N827" s="48"/>
      <c r="O827" s="48"/>
      <c r="P827" s="48"/>
    </row>
    <row r="828" spans="1:16">
      <c r="A828" s="47">
        <v>34544</v>
      </c>
      <c r="B828" s="48">
        <v>11404</v>
      </c>
      <c r="C828" s="48" t="s">
        <v>28</v>
      </c>
      <c r="D828" s="50">
        <v>8.4905999999999995E-2</v>
      </c>
      <c r="E828" s="14">
        <v>3.1467000000000002E-2</v>
      </c>
      <c r="F828" s="48"/>
      <c r="G828" s="47"/>
      <c r="H828" s="48"/>
      <c r="I828" s="48"/>
      <c r="J828" s="50"/>
      <c r="K828" s="50"/>
      <c r="L828" s="48"/>
      <c r="M828" s="47"/>
      <c r="N828" s="48"/>
      <c r="O828" s="48"/>
      <c r="P828" s="48"/>
    </row>
    <row r="829" spans="1:16">
      <c r="A829" s="47">
        <v>34577</v>
      </c>
      <c r="B829" s="48">
        <v>11404</v>
      </c>
      <c r="C829" s="48" t="s">
        <v>28</v>
      </c>
      <c r="D829" s="50">
        <v>-3.4783000000000001E-2</v>
      </c>
      <c r="E829" s="14">
        <v>3.7643000000000003E-2</v>
      </c>
      <c r="F829" s="48"/>
      <c r="G829" s="47"/>
      <c r="H829" s="48"/>
      <c r="I829" s="48"/>
      <c r="J829" s="50"/>
      <c r="K829" s="50"/>
      <c r="L829" s="48"/>
      <c r="M829" s="47"/>
      <c r="N829" s="48"/>
      <c r="O829" s="48"/>
      <c r="P829" s="48"/>
    </row>
    <row r="830" spans="1:16">
      <c r="A830" s="47">
        <v>34607</v>
      </c>
      <c r="B830" s="48">
        <v>11404</v>
      </c>
      <c r="C830" s="48" t="s">
        <v>28</v>
      </c>
      <c r="D830" s="50">
        <v>-8.7155999999999997E-2</v>
      </c>
      <c r="E830" s="14">
        <v>-2.6897999999999998E-2</v>
      </c>
      <c r="F830" s="48"/>
      <c r="G830" s="47"/>
      <c r="H830" s="48"/>
      <c r="I830" s="48"/>
      <c r="J830" s="50"/>
      <c r="K830" s="50"/>
      <c r="L830" s="48"/>
      <c r="M830" s="47"/>
      <c r="N830" s="48"/>
      <c r="O830" s="48"/>
      <c r="P830" s="48"/>
    </row>
    <row r="831" spans="1:16">
      <c r="A831" s="47">
        <v>34638</v>
      </c>
      <c r="B831" s="48">
        <v>11404</v>
      </c>
      <c r="C831" s="48" t="s">
        <v>28</v>
      </c>
      <c r="D831" s="50">
        <v>0</v>
      </c>
      <c r="E831" s="14">
        <v>2.0833999999999998E-2</v>
      </c>
      <c r="F831" s="48"/>
      <c r="G831" s="47"/>
      <c r="H831" s="48"/>
      <c r="I831" s="48"/>
      <c r="J831" s="50"/>
      <c r="K831" s="50"/>
      <c r="L831" s="48"/>
      <c r="M831" s="47"/>
      <c r="N831" s="48"/>
      <c r="O831" s="48"/>
      <c r="P831" s="48"/>
    </row>
    <row r="832" spans="1:16">
      <c r="A832" s="47">
        <v>34668</v>
      </c>
      <c r="B832" s="48">
        <v>11404</v>
      </c>
      <c r="C832" s="48" t="s">
        <v>28</v>
      </c>
      <c r="D832" s="50">
        <v>6.0302000000000001E-2</v>
      </c>
      <c r="E832" s="14">
        <v>-3.9504999999999998E-2</v>
      </c>
      <c r="F832" s="48"/>
      <c r="G832" s="47"/>
      <c r="H832" s="48"/>
      <c r="I832" s="48"/>
      <c r="J832" s="50"/>
      <c r="K832" s="50"/>
      <c r="L832" s="48"/>
      <c r="M832" s="47"/>
      <c r="N832" s="48"/>
      <c r="O832" s="48"/>
      <c r="P832" s="48"/>
    </row>
    <row r="833" spans="1:16">
      <c r="A833" s="47">
        <v>34698</v>
      </c>
      <c r="B833" s="48">
        <v>11404</v>
      </c>
      <c r="C833" s="48" t="s">
        <v>28</v>
      </c>
      <c r="D833" s="50">
        <v>-4.8310000000000002E-3</v>
      </c>
      <c r="E833" s="14">
        <v>1.2298999999999999E-2</v>
      </c>
      <c r="F833" s="48"/>
      <c r="G833" s="47"/>
      <c r="H833" s="48"/>
      <c r="I833" s="48"/>
      <c r="J833" s="50"/>
      <c r="K833" s="50"/>
      <c r="L833" s="48"/>
      <c r="M833" s="47"/>
      <c r="N833" s="48"/>
      <c r="O833" s="48"/>
      <c r="P833" s="48"/>
    </row>
    <row r="834" spans="1:16">
      <c r="A834" s="47">
        <v>34730</v>
      </c>
      <c r="B834" s="48">
        <v>11404</v>
      </c>
      <c r="C834" s="48" t="s">
        <v>28</v>
      </c>
      <c r="D834" s="50">
        <v>9.7087000000000007E-2</v>
      </c>
      <c r="E834" s="14">
        <v>2.4278000000000001E-2</v>
      </c>
      <c r="F834" s="48"/>
      <c r="G834" s="47"/>
      <c r="H834" s="48"/>
      <c r="I834" s="48"/>
      <c r="J834" s="50"/>
      <c r="K834" s="50"/>
      <c r="L834" s="48"/>
      <c r="M834" s="47"/>
      <c r="N834" s="48"/>
      <c r="O834" s="48"/>
      <c r="P834" s="48"/>
    </row>
    <row r="835" spans="1:16">
      <c r="A835" s="47">
        <v>34758</v>
      </c>
      <c r="B835" s="48">
        <v>11404</v>
      </c>
      <c r="C835" s="48" t="s">
        <v>28</v>
      </c>
      <c r="D835" s="50">
        <v>-4.071E-3</v>
      </c>
      <c r="E835" s="14">
        <v>3.6074000000000002E-2</v>
      </c>
      <c r="F835" s="48"/>
      <c r="G835" s="47"/>
      <c r="H835" s="48"/>
      <c r="I835" s="48"/>
      <c r="J835" s="50"/>
      <c r="K835" s="50"/>
      <c r="L835" s="48"/>
      <c r="M835" s="47"/>
      <c r="N835" s="48"/>
      <c r="O835" s="48"/>
      <c r="P835" s="48"/>
    </row>
    <row r="836" spans="1:16">
      <c r="A836" s="47">
        <v>34789</v>
      </c>
      <c r="B836" s="48">
        <v>11404</v>
      </c>
      <c r="C836" s="48" t="s">
        <v>28</v>
      </c>
      <c r="D836" s="50">
        <v>-1.3575E-2</v>
      </c>
      <c r="E836" s="14">
        <v>2.7328999999999999E-2</v>
      </c>
      <c r="F836" s="48"/>
      <c r="G836" s="47"/>
      <c r="H836" s="48"/>
      <c r="I836" s="48"/>
      <c r="J836" s="50"/>
      <c r="K836" s="50"/>
      <c r="L836" s="48"/>
      <c r="M836" s="47"/>
      <c r="N836" s="48"/>
      <c r="O836" s="48"/>
      <c r="P836" s="48"/>
    </row>
    <row r="837" spans="1:16">
      <c r="A837" s="47">
        <v>34817</v>
      </c>
      <c r="B837" s="48">
        <v>11404</v>
      </c>
      <c r="C837" s="48" t="s">
        <v>28</v>
      </c>
      <c r="D837" s="50">
        <v>1.8349000000000001E-2</v>
      </c>
      <c r="E837" s="14">
        <v>2.7959999999999999E-2</v>
      </c>
      <c r="F837" s="48"/>
      <c r="G837" s="47"/>
      <c r="H837" s="48"/>
      <c r="I837" s="48"/>
      <c r="J837" s="50"/>
      <c r="K837" s="50"/>
      <c r="L837" s="48"/>
      <c r="M837" s="47"/>
      <c r="N837" s="48"/>
      <c r="O837" s="48"/>
      <c r="P837" s="48"/>
    </row>
    <row r="838" spans="1:16">
      <c r="A838" s="47">
        <v>34850</v>
      </c>
      <c r="B838" s="48">
        <v>11404</v>
      </c>
      <c r="C838" s="48" t="s">
        <v>28</v>
      </c>
      <c r="D838" s="50">
        <v>9.4954999999999998E-2</v>
      </c>
      <c r="E838" s="14">
        <v>3.6311999999999997E-2</v>
      </c>
      <c r="F838" s="48"/>
      <c r="G838" s="47"/>
      <c r="H838" s="48"/>
      <c r="I838" s="48"/>
      <c r="J838" s="50"/>
      <c r="K838" s="50"/>
      <c r="L838" s="48"/>
      <c r="M838" s="47"/>
      <c r="N838" s="48"/>
      <c r="O838" s="48"/>
      <c r="P838" s="48"/>
    </row>
    <row r="839" spans="1:16">
      <c r="A839" s="47">
        <v>34880</v>
      </c>
      <c r="B839" s="48">
        <v>11404</v>
      </c>
      <c r="C839" s="48" t="s">
        <v>28</v>
      </c>
      <c r="D839" s="50">
        <v>-1.2552000000000001E-2</v>
      </c>
      <c r="E839" s="14">
        <v>2.1278999999999999E-2</v>
      </c>
      <c r="F839" s="48"/>
      <c r="G839" s="47"/>
      <c r="H839" s="48"/>
      <c r="I839" s="48"/>
      <c r="J839" s="50"/>
      <c r="K839" s="50"/>
      <c r="L839" s="48"/>
      <c r="M839" s="47"/>
      <c r="N839" s="48"/>
      <c r="O839" s="48"/>
      <c r="P839" s="48"/>
    </row>
    <row r="840" spans="1:16">
      <c r="A840" s="47">
        <v>34911</v>
      </c>
      <c r="B840" s="48">
        <v>11404</v>
      </c>
      <c r="C840" s="48" t="s">
        <v>28</v>
      </c>
      <c r="D840" s="50">
        <v>-1.6948999999999999E-2</v>
      </c>
      <c r="E840" s="14">
        <v>3.1775999999999999E-2</v>
      </c>
      <c r="F840" s="48"/>
      <c r="G840" s="47"/>
      <c r="H840" s="48"/>
      <c r="I840" s="48"/>
      <c r="J840" s="50"/>
      <c r="K840" s="50"/>
      <c r="L840" s="48"/>
      <c r="M840" s="47"/>
      <c r="N840" s="48"/>
      <c r="O840" s="48"/>
      <c r="P840" s="48"/>
    </row>
    <row r="841" spans="1:16">
      <c r="A841" s="47">
        <v>34942</v>
      </c>
      <c r="B841" s="48">
        <v>11404</v>
      </c>
      <c r="C841" s="48" t="s">
        <v>28</v>
      </c>
      <c r="D841" s="50">
        <v>-8.2760000000000004E-3</v>
      </c>
      <c r="E841" s="14">
        <v>-3.2000000000000003E-4</v>
      </c>
      <c r="F841" s="48"/>
      <c r="G841" s="47"/>
      <c r="H841" s="48"/>
      <c r="I841" s="48"/>
      <c r="J841" s="50"/>
      <c r="K841" s="50"/>
      <c r="L841" s="48"/>
      <c r="M841" s="47"/>
      <c r="N841" s="48"/>
      <c r="O841" s="48"/>
      <c r="P841" s="48"/>
    </row>
    <row r="842" spans="1:16">
      <c r="A842" s="47">
        <v>34971</v>
      </c>
      <c r="B842" s="48">
        <v>11404</v>
      </c>
      <c r="C842" s="48" t="s">
        <v>28</v>
      </c>
      <c r="D842" s="50">
        <v>7.5220999999999996E-2</v>
      </c>
      <c r="E842" s="14">
        <v>4.0098000000000002E-2</v>
      </c>
      <c r="F842" s="48"/>
      <c r="G842" s="47"/>
      <c r="H842" s="48"/>
      <c r="I842" s="48"/>
      <c r="J842" s="50"/>
      <c r="K842" s="50"/>
      <c r="L842" s="48"/>
      <c r="M842" s="47"/>
      <c r="N842" s="48"/>
      <c r="O842" s="48"/>
      <c r="P842" s="48"/>
    </row>
    <row r="843" spans="1:16">
      <c r="A843" s="47">
        <v>35003</v>
      </c>
      <c r="B843" s="48">
        <v>11404</v>
      </c>
      <c r="C843" s="48" t="s">
        <v>28</v>
      </c>
      <c r="D843" s="50">
        <v>0</v>
      </c>
      <c r="E843" s="14">
        <v>-4.9789999999999999E-3</v>
      </c>
      <c r="F843" s="48"/>
      <c r="G843" s="47"/>
      <c r="H843" s="48"/>
      <c r="I843" s="48"/>
      <c r="J843" s="50"/>
      <c r="K843" s="50"/>
      <c r="L843" s="48"/>
      <c r="M843" s="47"/>
      <c r="N843" s="48"/>
      <c r="O843" s="48"/>
      <c r="P843" s="48"/>
    </row>
    <row r="844" spans="1:16">
      <c r="A844" s="47">
        <v>35033</v>
      </c>
      <c r="B844" s="48">
        <v>11404</v>
      </c>
      <c r="C844" s="48" t="s">
        <v>28</v>
      </c>
      <c r="D844" s="50">
        <v>-3.6707999999999998E-2</v>
      </c>
      <c r="E844" s="14">
        <v>4.1049000000000002E-2</v>
      </c>
      <c r="F844" s="48"/>
      <c r="G844" s="47"/>
      <c r="H844" s="48"/>
      <c r="I844" s="48"/>
      <c r="J844" s="50"/>
      <c r="K844" s="50"/>
      <c r="L844" s="48"/>
      <c r="M844" s="47"/>
      <c r="N844" s="48"/>
      <c r="O844" s="48"/>
      <c r="P844" s="48"/>
    </row>
    <row r="845" spans="1:16">
      <c r="A845" s="47">
        <v>35062</v>
      </c>
      <c r="B845" s="48">
        <v>11404</v>
      </c>
      <c r="C845" s="48" t="s">
        <v>28</v>
      </c>
      <c r="D845" s="50">
        <v>0.104348</v>
      </c>
      <c r="E845" s="14">
        <v>1.7444000000000001E-2</v>
      </c>
      <c r="F845" s="48"/>
      <c r="G845" s="47"/>
      <c r="H845" s="48"/>
      <c r="I845" s="48"/>
      <c r="J845" s="50"/>
      <c r="K845" s="50"/>
      <c r="L845" s="48"/>
      <c r="M845" s="47"/>
      <c r="N845" s="48"/>
      <c r="O845" s="48"/>
      <c r="P845" s="48"/>
    </row>
    <row r="846" spans="1:16">
      <c r="A846" s="47">
        <v>35095</v>
      </c>
      <c r="B846" s="48">
        <v>11404</v>
      </c>
      <c r="C846" s="48" t="s">
        <v>28</v>
      </c>
      <c r="D846" s="50">
        <v>6.2992000000000006E-2</v>
      </c>
      <c r="E846" s="14">
        <v>3.2617E-2</v>
      </c>
      <c r="F846" s="48"/>
      <c r="G846" s="47"/>
      <c r="H846" s="48"/>
      <c r="I846" s="48"/>
      <c r="J846" s="50"/>
      <c r="K846" s="50"/>
      <c r="L846" s="48"/>
      <c r="M846" s="47"/>
      <c r="N846" s="48"/>
      <c r="O846" s="48"/>
      <c r="P846" s="48"/>
    </row>
    <row r="847" spans="1:16">
      <c r="A847" s="47">
        <v>35124</v>
      </c>
      <c r="B847" s="48">
        <v>11404</v>
      </c>
      <c r="C847" s="48" t="s">
        <v>28</v>
      </c>
      <c r="D847" s="50">
        <v>-2.5333000000000001E-2</v>
      </c>
      <c r="E847" s="14">
        <v>6.9340000000000001E-3</v>
      </c>
      <c r="F847" s="48"/>
      <c r="G847" s="47"/>
      <c r="H847" s="48"/>
      <c r="I847" s="48"/>
      <c r="J847" s="50"/>
      <c r="K847" s="50"/>
      <c r="L847" s="48"/>
      <c r="M847" s="47"/>
      <c r="N847" s="48"/>
      <c r="O847" s="48"/>
      <c r="P847" s="48"/>
    </row>
    <row r="848" spans="1:16">
      <c r="A848" s="47">
        <v>35153</v>
      </c>
      <c r="B848" s="48">
        <v>11404</v>
      </c>
      <c r="C848" s="48" t="s">
        <v>28</v>
      </c>
      <c r="D848" s="50">
        <v>-1.5443999999999999E-2</v>
      </c>
      <c r="E848" s="14">
        <v>7.9170000000000004E-3</v>
      </c>
      <c r="F848" s="48"/>
      <c r="G848" s="47"/>
      <c r="H848" s="48"/>
      <c r="I848" s="48"/>
      <c r="J848" s="50"/>
      <c r="K848" s="50"/>
      <c r="L848" s="48"/>
      <c r="M848" s="47"/>
      <c r="N848" s="48"/>
      <c r="O848" s="48"/>
      <c r="P848" s="48"/>
    </row>
    <row r="849" spans="1:16">
      <c r="A849" s="47">
        <v>35185</v>
      </c>
      <c r="B849" s="48">
        <v>11404</v>
      </c>
      <c r="C849" s="48" t="s">
        <v>28</v>
      </c>
      <c r="D849" s="50">
        <v>-7.8431000000000001E-2</v>
      </c>
      <c r="E849" s="14">
        <v>1.3431E-2</v>
      </c>
      <c r="F849" s="48"/>
      <c r="G849" s="47"/>
      <c r="H849" s="48"/>
      <c r="I849" s="48"/>
      <c r="J849" s="50"/>
      <c r="K849" s="50"/>
      <c r="L849" s="48"/>
      <c r="M849" s="47"/>
      <c r="N849" s="48"/>
      <c r="O849" s="48"/>
      <c r="P849" s="48"/>
    </row>
    <row r="850" spans="1:16">
      <c r="A850" s="47">
        <v>35216</v>
      </c>
      <c r="B850" s="48">
        <v>11404</v>
      </c>
      <c r="C850" s="48" t="s">
        <v>28</v>
      </c>
      <c r="D850" s="50">
        <v>-3.3362000000000003E-2</v>
      </c>
      <c r="E850" s="14">
        <v>2.2852999999999998E-2</v>
      </c>
      <c r="F850" s="48"/>
      <c r="G850" s="47"/>
      <c r="H850" s="48"/>
      <c r="I850" s="48"/>
      <c r="J850" s="50"/>
      <c r="K850" s="50"/>
      <c r="L850" s="48"/>
      <c r="M850" s="47"/>
      <c r="N850" s="48"/>
      <c r="O850" s="48"/>
      <c r="P850" s="48"/>
    </row>
    <row r="851" spans="1:16">
      <c r="A851" s="47">
        <v>35244</v>
      </c>
      <c r="B851" s="48">
        <v>11404</v>
      </c>
      <c r="C851" s="48" t="s">
        <v>28</v>
      </c>
      <c r="D851" s="50">
        <v>4.9327000000000003E-2</v>
      </c>
      <c r="E851" s="14">
        <v>2.2569999999999999E-3</v>
      </c>
      <c r="F851" s="48"/>
      <c r="G851" s="47"/>
      <c r="H851" s="48"/>
      <c r="I851" s="48"/>
      <c r="J851" s="50"/>
      <c r="K851" s="50"/>
      <c r="L851" s="48"/>
      <c r="M851" s="47"/>
      <c r="N851" s="48"/>
      <c r="O851" s="48"/>
      <c r="P851" s="48"/>
    </row>
    <row r="852" spans="1:16">
      <c r="A852" s="47">
        <v>35277</v>
      </c>
      <c r="B852" s="48">
        <v>11404</v>
      </c>
      <c r="C852" s="48" t="s">
        <v>28</v>
      </c>
      <c r="D852" s="50">
        <v>-7.6923000000000005E-2</v>
      </c>
      <c r="E852" s="14">
        <v>-4.5747999999999997E-2</v>
      </c>
      <c r="F852" s="48"/>
      <c r="G852" s="47"/>
      <c r="H852" s="48"/>
      <c r="I852" s="48"/>
      <c r="J852" s="50"/>
      <c r="K852" s="50"/>
      <c r="L852" s="48"/>
      <c r="M852" s="47"/>
      <c r="N852" s="48"/>
      <c r="O852" s="48"/>
      <c r="P852" s="48"/>
    </row>
    <row r="853" spans="1:16">
      <c r="A853" s="47">
        <v>35307</v>
      </c>
      <c r="B853" s="48">
        <v>11404</v>
      </c>
      <c r="C853" s="48" t="s">
        <v>28</v>
      </c>
      <c r="D853" s="50">
        <v>-1.3148E-2</v>
      </c>
      <c r="E853" s="14">
        <v>1.8814000000000001E-2</v>
      </c>
      <c r="F853" s="48"/>
      <c r="G853" s="47"/>
      <c r="H853" s="48"/>
      <c r="I853" s="48"/>
      <c r="J853" s="50"/>
      <c r="K853" s="50"/>
      <c r="L853" s="48"/>
      <c r="M853" s="47"/>
      <c r="N853" s="48"/>
      <c r="O853" s="48"/>
      <c r="P853" s="48"/>
    </row>
    <row r="854" spans="1:16">
      <c r="A854" s="47">
        <v>35338</v>
      </c>
      <c r="B854" s="48">
        <v>11404</v>
      </c>
      <c r="C854" s="48" t="s">
        <v>28</v>
      </c>
      <c r="D854" s="50">
        <v>6.2200999999999999E-2</v>
      </c>
      <c r="E854" s="14">
        <v>5.4172999999999999E-2</v>
      </c>
      <c r="F854" s="48"/>
      <c r="G854" s="47"/>
      <c r="H854" s="48"/>
      <c r="I854" s="48"/>
      <c r="J854" s="50"/>
      <c r="K854" s="50"/>
      <c r="L854" s="48"/>
      <c r="M854" s="47"/>
      <c r="N854" s="48"/>
      <c r="O854" s="48"/>
      <c r="P854" s="48"/>
    </row>
    <row r="855" spans="1:16">
      <c r="A855" s="47">
        <v>35369</v>
      </c>
      <c r="B855" s="48">
        <v>11404</v>
      </c>
      <c r="C855" s="48" t="s">
        <v>28</v>
      </c>
      <c r="D855" s="50">
        <v>5.4053999999999998E-2</v>
      </c>
      <c r="E855" s="14">
        <v>2.6131000000000001E-2</v>
      </c>
      <c r="F855" s="48"/>
      <c r="G855" s="47"/>
      <c r="H855" s="48"/>
      <c r="I855" s="48"/>
      <c r="J855" s="50"/>
      <c r="K855" s="50"/>
      <c r="L855" s="48"/>
      <c r="M855" s="47"/>
      <c r="N855" s="48"/>
      <c r="O855" s="48"/>
      <c r="P855" s="48"/>
    </row>
    <row r="856" spans="1:16">
      <c r="A856" s="47">
        <v>35398</v>
      </c>
      <c r="B856" s="48">
        <v>11404</v>
      </c>
      <c r="C856" s="48" t="s">
        <v>28</v>
      </c>
      <c r="D856" s="50">
        <v>9.2309999999999996E-3</v>
      </c>
      <c r="E856" s="14">
        <v>7.3375999999999997E-2</v>
      </c>
      <c r="F856" s="48"/>
      <c r="G856" s="47"/>
      <c r="H856" s="48"/>
      <c r="I856" s="48"/>
      <c r="J856" s="50"/>
      <c r="K856" s="50"/>
      <c r="L856" s="48"/>
      <c r="M856" s="47"/>
      <c r="N856" s="48"/>
      <c r="O856" s="48"/>
      <c r="P856" s="48"/>
    </row>
    <row r="857" spans="1:16">
      <c r="A857" s="47">
        <v>35430</v>
      </c>
      <c r="B857" s="48">
        <v>11404</v>
      </c>
      <c r="C857" s="48" t="s">
        <v>28</v>
      </c>
      <c r="D857" s="50">
        <v>4.3099999999999996E-3</v>
      </c>
      <c r="E857" s="14">
        <v>-2.1505E-2</v>
      </c>
      <c r="F857" s="48"/>
      <c r="G857" s="47"/>
      <c r="H857" s="48"/>
      <c r="I857" s="48"/>
      <c r="J857" s="50"/>
      <c r="K857" s="50"/>
      <c r="L857" s="48"/>
      <c r="M857" s="47"/>
      <c r="N857" s="48"/>
      <c r="O857" s="48"/>
      <c r="P857" s="48"/>
    </row>
    <row r="858" spans="1:16">
      <c r="A858" s="47">
        <v>35461</v>
      </c>
      <c r="B858" s="48">
        <v>11404</v>
      </c>
      <c r="C858" s="48" t="s">
        <v>28</v>
      </c>
      <c r="D858" s="50">
        <v>6.4378000000000005E-2</v>
      </c>
      <c r="E858" s="14">
        <v>6.1317000000000003E-2</v>
      </c>
      <c r="F858" s="48"/>
      <c r="G858" s="47"/>
      <c r="H858" s="48"/>
      <c r="I858" s="48"/>
      <c r="J858" s="50"/>
      <c r="K858" s="50"/>
      <c r="L858" s="48"/>
      <c r="M858" s="47"/>
      <c r="N858" s="48"/>
      <c r="O858" s="48"/>
      <c r="P858" s="48"/>
    </row>
    <row r="859" spans="1:16">
      <c r="A859" s="47">
        <v>35489</v>
      </c>
      <c r="B859" s="48">
        <v>11404</v>
      </c>
      <c r="C859" s="48" t="s">
        <v>28</v>
      </c>
      <c r="D859" s="50">
        <v>1.2903E-2</v>
      </c>
      <c r="E859" s="14">
        <v>5.9280000000000001E-3</v>
      </c>
      <c r="F859" s="48"/>
      <c r="G859" s="47"/>
      <c r="H859" s="48"/>
      <c r="I859" s="48"/>
      <c r="J859" s="50"/>
      <c r="K859" s="50"/>
      <c r="L859" s="48"/>
      <c r="M859" s="47"/>
      <c r="N859" s="48"/>
      <c r="O859" s="48"/>
      <c r="P859" s="48"/>
    </row>
    <row r="860" spans="1:16">
      <c r="A860" s="47">
        <v>35520</v>
      </c>
      <c r="B860" s="48">
        <v>11404</v>
      </c>
      <c r="C860" s="48" t="s">
        <v>28</v>
      </c>
      <c r="D860" s="50">
        <v>-2.8340000000000001E-2</v>
      </c>
      <c r="E860" s="14">
        <v>-4.2613999999999999E-2</v>
      </c>
      <c r="F860" s="48"/>
      <c r="G860" s="47"/>
      <c r="H860" s="48"/>
      <c r="I860" s="48"/>
      <c r="J860" s="50"/>
      <c r="K860" s="50"/>
      <c r="L860" s="48"/>
      <c r="M860" s="47"/>
      <c r="N860" s="48"/>
      <c r="O860" s="48"/>
      <c r="P860" s="48"/>
    </row>
    <row r="861" spans="1:16">
      <c r="A861" s="47">
        <v>35550</v>
      </c>
      <c r="B861" s="48">
        <v>11404</v>
      </c>
      <c r="C861" s="48" t="s">
        <v>28</v>
      </c>
      <c r="D861" s="50">
        <v>-7.4999999999999997E-2</v>
      </c>
      <c r="E861" s="14">
        <v>5.8406E-2</v>
      </c>
      <c r="F861" s="48"/>
      <c r="G861" s="47"/>
      <c r="H861" s="48"/>
      <c r="I861" s="48"/>
      <c r="J861" s="50"/>
      <c r="K861" s="50"/>
      <c r="L861" s="48"/>
      <c r="M861" s="47"/>
      <c r="N861" s="48"/>
      <c r="O861" s="48"/>
      <c r="P861" s="48"/>
    </row>
    <row r="862" spans="1:16">
      <c r="A862" s="47">
        <v>35580</v>
      </c>
      <c r="B862" s="48">
        <v>11404</v>
      </c>
      <c r="C862" s="48" t="s">
        <v>28</v>
      </c>
      <c r="D862" s="50">
        <v>6.8468000000000001E-2</v>
      </c>
      <c r="E862" s="14">
        <v>5.8576999999999997E-2</v>
      </c>
      <c r="F862" s="48"/>
      <c r="G862" s="47"/>
      <c r="H862" s="48"/>
      <c r="I862" s="48"/>
      <c r="J862" s="50"/>
      <c r="K862" s="50"/>
      <c r="L862" s="48"/>
      <c r="M862" s="47"/>
      <c r="N862" s="48"/>
      <c r="O862" s="48"/>
      <c r="P862" s="48"/>
    </row>
    <row r="863" spans="1:16">
      <c r="A863" s="47">
        <v>35611</v>
      </c>
      <c r="B863" s="48">
        <v>11404</v>
      </c>
      <c r="C863" s="48" t="s">
        <v>28</v>
      </c>
      <c r="D863" s="50">
        <v>1.073E-2</v>
      </c>
      <c r="E863" s="14">
        <v>4.3452999999999999E-2</v>
      </c>
      <c r="F863" s="48"/>
      <c r="G863" s="47"/>
      <c r="H863" s="48"/>
      <c r="I863" s="48"/>
      <c r="J863" s="50"/>
      <c r="K863" s="50"/>
      <c r="L863" s="48"/>
      <c r="M863" s="47"/>
      <c r="N863" s="48"/>
      <c r="O863" s="48"/>
      <c r="P863" s="48"/>
    </row>
    <row r="864" spans="1:16">
      <c r="A864" s="47">
        <v>35642</v>
      </c>
      <c r="B864" s="48">
        <v>11404</v>
      </c>
      <c r="C864" s="48" t="s">
        <v>28</v>
      </c>
      <c r="D864" s="50">
        <v>7.4310000000000001E-2</v>
      </c>
      <c r="E864" s="14">
        <v>7.8122999999999998E-2</v>
      </c>
      <c r="F864" s="48"/>
      <c r="G864" s="47"/>
      <c r="H864" s="48"/>
      <c r="I864" s="48"/>
      <c r="J864" s="50"/>
      <c r="K864" s="50"/>
      <c r="L864" s="48"/>
      <c r="M864" s="47"/>
      <c r="N864" s="48"/>
      <c r="O864" s="48"/>
      <c r="P864" s="48"/>
    </row>
    <row r="865" spans="1:16">
      <c r="A865" s="47">
        <v>35671</v>
      </c>
      <c r="B865" s="48">
        <v>11404</v>
      </c>
      <c r="C865" s="48" t="s">
        <v>28</v>
      </c>
      <c r="D865" s="50">
        <v>-1.502E-2</v>
      </c>
      <c r="E865" s="14">
        <v>-5.7445999999999997E-2</v>
      </c>
      <c r="F865" s="48"/>
      <c r="G865" s="47"/>
      <c r="H865" s="48"/>
      <c r="I865" s="48"/>
      <c r="J865" s="50"/>
      <c r="K865" s="50"/>
      <c r="L865" s="48"/>
      <c r="M865" s="47"/>
      <c r="N865" s="48"/>
      <c r="O865" s="48"/>
      <c r="P865" s="48"/>
    </row>
    <row r="866" spans="1:16">
      <c r="A866" s="47">
        <v>35703</v>
      </c>
      <c r="B866" s="48">
        <v>11404</v>
      </c>
      <c r="C866" s="48" t="s">
        <v>28</v>
      </c>
      <c r="D866" s="50">
        <v>0.110204</v>
      </c>
      <c r="E866" s="14">
        <v>5.3154E-2</v>
      </c>
      <c r="F866" s="48"/>
      <c r="G866" s="47"/>
      <c r="H866" s="48"/>
      <c r="I866" s="48"/>
      <c r="J866" s="50"/>
      <c r="K866" s="50"/>
      <c r="L866" s="48"/>
      <c r="M866" s="47"/>
      <c r="N866" s="48"/>
      <c r="O866" s="48"/>
      <c r="P866" s="48"/>
    </row>
    <row r="867" spans="1:16">
      <c r="A867" s="47">
        <v>35734</v>
      </c>
      <c r="B867" s="48">
        <v>11404</v>
      </c>
      <c r="C867" s="48" t="s">
        <v>28</v>
      </c>
      <c r="D867" s="50">
        <v>7.3530000000000002E-3</v>
      </c>
      <c r="E867" s="14">
        <v>-3.4478000000000002E-2</v>
      </c>
      <c r="F867" s="48"/>
      <c r="G867" s="47"/>
      <c r="H867" s="48"/>
      <c r="I867" s="48"/>
      <c r="J867" s="50"/>
      <c r="K867" s="50"/>
      <c r="L867" s="48"/>
      <c r="M867" s="47"/>
      <c r="N867" s="48"/>
      <c r="O867" s="48"/>
      <c r="P867" s="48"/>
    </row>
    <row r="868" spans="1:16">
      <c r="A868" s="47">
        <v>35762</v>
      </c>
      <c r="B868" s="48">
        <v>11404</v>
      </c>
      <c r="C868" s="48" t="s">
        <v>28</v>
      </c>
      <c r="D868" s="50">
        <v>0.12299300000000001</v>
      </c>
      <c r="E868" s="14">
        <v>4.4587000000000002E-2</v>
      </c>
      <c r="F868" s="48"/>
      <c r="G868" s="47"/>
      <c r="H868" s="48"/>
      <c r="I868" s="48"/>
      <c r="J868" s="50"/>
      <c r="K868" s="50"/>
      <c r="L868" s="48"/>
      <c r="M868" s="47"/>
      <c r="N868" s="48"/>
      <c r="O868" s="48"/>
      <c r="P868" s="48"/>
    </row>
    <row r="869" spans="1:16">
      <c r="A869" s="47">
        <v>35795</v>
      </c>
      <c r="B869" s="48">
        <v>11404</v>
      </c>
      <c r="C869" s="48" t="s">
        <v>28</v>
      </c>
      <c r="D869" s="50">
        <v>8.0725000000000005E-2</v>
      </c>
      <c r="E869" s="14">
        <v>1.5731999999999999E-2</v>
      </c>
      <c r="F869" s="48"/>
      <c r="G869" s="47"/>
      <c r="H869" s="48"/>
      <c r="I869" s="48"/>
      <c r="J869" s="50"/>
      <c r="K869" s="50"/>
      <c r="L869" s="48"/>
      <c r="M869" s="47"/>
      <c r="N869" s="48"/>
      <c r="O869" s="48"/>
      <c r="P869" s="48"/>
    </row>
    <row r="870" spans="1:16">
      <c r="A870" s="47">
        <v>35825</v>
      </c>
      <c r="B870" s="48">
        <v>11404</v>
      </c>
      <c r="C870" s="48" t="s">
        <v>28</v>
      </c>
      <c r="D870" s="50">
        <v>7.6220000000000003E-3</v>
      </c>
      <c r="E870" s="14">
        <v>1.0149999999999999E-2</v>
      </c>
      <c r="F870" s="48"/>
      <c r="G870" s="47"/>
      <c r="H870" s="48"/>
      <c r="I870" s="48"/>
      <c r="J870" s="50"/>
      <c r="K870" s="50"/>
      <c r="L870" s="48"/>
      <c r="M870" s="47"/>
      <c r="N870" s="48"/>
      <c r="O870" s="48"/>
      <c r="P870" s="48"/>
    </row>
    <row r="871" spans="1:16">
      <c r="A871" s="47">
        <v>35853</v>
      </c>
      <c r="B871" s="48">
        <v>11404</v>
      </c>
      <c r="C871" s="48" t="s">
        <v>28</v>
      </c>
      <c r="D871" s="50">
        <v>4.1572999999999999E-2</v>
      </c>
      <c r="E871" s="14">
        <v>7.0448999999999998E-2</v>
      </c>
      <c r="F871" s="48"/>
      <c r="G871" s="47"/>
      <c r="H871" s="48"/>
      <c r="I871" s="48"/>
      <c r="J871" s="50"/>
      <c r="K871" s="50"/>
      <c r="L871" s="48"/>
      <c r="M871" s="47"/>
      <c r="N871" s="48"/>
      <c r="O871" s="48"/>
      <c r="P871" s="48"/>
    </row>
    <row r="872" spans="1:16">
      <c r="A872" s="47">
        <v>35885</v>
      </c>
      <c r="B872" s="48">
        <v>11404</v>
      </c>
      <c r="C872" s="48" t="s">
        <v>28</v>
      </c>
      <c r="D872" s="50">
        <v>0.1</v>
      </c>
      <c r="E872" s="14">
        <v>4.9945999999999997E-2</v>
      </c>
      <c r="F872" s="48"/>
      <c r="G872" s="47"/>
      <c r="H872" s="48"/>
      <c r="I872" s="48"/>
      <c r="J872" s="50"/>
      <c r="K872" s="50"/>
      <c r="L872" s="48"/>
      <c r="M872" s="47"/>
      <c r="N872" s="48"/>
      <c r="O872" s="48"/>
      <c r="P872" s="48"/>
    </row>
    <row r="873" spans="1:16">
      <c r="A873" s="47">
        <v>35915</v>
      </c>
      <c r="B873" s="48">
        <v>11404</v>
      </c>
      <c r="C873" s="48" t="s">
        <v>28</v>
      </c>
      <c r="D873" s="50">
        <v>-3.2086000000000003E-2</v>
      </c>
      <c r="E873" s="14">
        <v>9.0760000000000007E-3</v>
      </c>
      <c r="F873" s="48"/>
      <c r="G873" s="47"/>
      <c r="H873" s="48"/>
      <c r="I873" s="48"/>
      <c r="J873" s="50"/>
      <c r="K873" s="50"/>
      <c r="L873" s="48"/>
      <c r="M873" s="47"/>
      <c r="N873" s="48"/>
      <c r="O873" s="48"/>
      <c r="P873" s="48"/>
    </row>
    <row r="874" spans="1:16">
      <c r="A874" s="47">
        <v>35944</v>
      </c>
      <c r="B874" s="48">
        <v>11404</v>
      </c>
      <c r="C874" s="48" t="s">
        <v>28</v>
      </c>
      <c r="D874" s="50">
        <v>-4.2154999999999998E-2</v>
      </c>
      <c r="E874" s="14">
        <v>-1.8825999999999999E-2</v>
      </c>
      <c r="F874" s="48"/>
      <c r="G874" s="47"/>
      <c r="H874" s="48"/>
      <c r="I874" s="48"/>
      <c r="J874" s="50"/>
      <c r="K874" s="50"/>
      <c r="L874" s="48"/>
      <c r="M874" s="47"/>
      <c r="N874" s="48"/>
      <c r="O874" s="48"/>
      <c r="P874" s="48"/>
    </row>
    <row r="875" spans="1:16">
      <c r="A875" s="47">
        <v>35976</v>
      </c>
      <c r="B875" s="48">
        <v>11404</v>
      </c>
      <c r="C875" s="48" t="s">
        <v>28</v>
      </c>
      <c r="D875" s="50">
        <v>7.5911999999999993E-2</v>
      </c>
      <c r="E875" s="14">
        <v>3.9438000000000001E-2</v>
      </c>
      <c r="F875" s="48"/>
      <c r="G875" s="47"/>
      <c r="H875" s="48"/>
      <c r="I875" s="48"/>
      <c r="J875" s="50"/>
      <c r="K875" s="50"/>
      <c r="L875" s="48"/>
      <c r="M875" s="47"/>
      <c r="N875" s="48"/>
      <c r="O875" s="48"/>
      <c r="P875" s="48"/>
    </row>
    <row r="876" spans="1:16">
      <c r="A876" s="47">
        <v>36007</v>
      </c>
      <c r="B876" s="48">
        <v>11404</v>
      </c>
      <c r="C876" s="48" t="s">
        <v>28</v>
      </c>
      <c r="D876" s="50">
        <v>-8.1410999999999997E-2</v>
      </c>
      <c r="E876" s="14">
        <v>-1.1615E-2</v>
      </c>
      <c r="F876" s="48"/>
      <c r="G876" s="47"/>
      <c r="H876" s="48"/>
      <c r="I876" s="48"/>
      <c r="J876" s="50"/>
      <c r="K876" s="50"/>
      <c r="L876" s="48"/>
      <c r="M876" s="47"/>
      <c r="N876" s="48"/>
      <c r="O876" s="48"/>
      <c r="P876" s="48"/>
    </row>
    <row r="877" spans="1:16">
      <c r="A877" s="47">
        <v>36038</v>
      </c>
      <c r="B877" s="48">
        <v>11404</v>
      </c>
      <c r="C877" s="48" t="s">
        <v>28</v>
      </c>
      <c r="D877" s="50">
        <v>0.130694</v>
      </c>
      <c r="E877" s="14">
        <v>-0.14579700000000001</v>
      </c>
      <c r="F877" s="48"/>
      <c r="G877" s="47"/>
      <c r="H877" s="48"/>
      <c r="I877" s="48"/>
      <c r="J877" s="50"/>
      <c r="K877" s="50"/>
      <c r="L877" s="48"/>
      <c r="M877" s="47"/>
      <c r="N877" s="48"/>
      <c r="O877" s="48"/>
      <c r="P877" s="48"/>
    </row>
    <row r="878" spans="1:16">
      <c r="A878" s="47">
        <v>36068</v>
      </c>
      <c r="B878" s="48">
        <v>11404</v>
      </c>
      <c r="C878" s="48" t="s">
        <v>28</v>
      </c>
      <c r="D878" s="50">
        <v>9.9074999999999996E-2</v>
      </c>
      <c r="E878" s="14">
        <v>6.2396E-2</v>
      </c>
      <c r="F878" s="48"/>
      <c r="G878" s="47"/>
      <c r="H878" s="48"/>
      <c r="I878" s="48"/>
      <c r="J878" s="50"/>
      <c r="K878" s="50"/>
      <c r="L878" s="48"/>
      <c r="M878" s="47"/>
      <c r="N878" s="48"/>
      <c r="O878" s="48"/>
      <c r="P878" s="48"/>
    </row>
    <row r="879" spans="1:16">
      <c r="A879" s="47">
        <v>36098</v>
      </c>
      <c r="B879" s="48">
        <v>11404</v>
      </c>
      <c r="C879" s="48" t="s">
        <v>28</v>
      </c>
      <c r="D879" s="50">
        <v>-3.6058E-2</v>
      </c>
      <c r="E879" s="14">
        <v>8.0294000000000004E-2</v>
      </c>
      <c r="F879" s="48"/>
      <c r="G879" s="47"/>
      <c r="H879" s="48"/>
      <c r="I879" s="48"/>
      <c r="J879" s="50"/>
      <c r="K879" s="50"/>
      <c r="L879" s="48"/>
      <c r="M879" s="47"/>
      <c r="N879" s="48"/>
      <c r="O879" s="48"/>
      <c r="P879" s="48"/>
    </row>
    <row r="880" spans="1:16">
      <c r="A880" s="47">
        <v>36129</v>
      </c>
      <c r="B880" s="48">
        <v>11404</v>
      </c>
      <c r="C880" s="48" t="s">
        <v>28</v>
      </c>
      <c r="D880" s="50">
        <v>2.4289000000000002E-2</v>
      </c>
      <c r="E880" s="14">
        <v>5.9125999999999998E-2</v>
      </c>
      <c r="F880" s="48"/>
      <c r="G880" s="47"/>
      <c r="H880" s="48"/>
      <c r="I880" s="48"/>
      <c r="J880" s="50"/>
      <c r="K880" s="50"/>
      <c r="L880" s="48"/>
      <c r="M880" s="47"/>
      <c r="N880" s="48"/>
      <c r="O880" s="48"/>
      <c r="P880" s="48"/>
    </row>
    <row r="881" spans="1:16">
      <c r="A881" s="47">
        <v>36160</v>
      </c>
      <c r="B881" s="48">
        <v>11404</v>
      </c>
      <c r="C881" s="48" t="s">
        <v>28</v>
      </c>
      <c r="D881" s="50">
        <v>4.0590000000000001E-2</v>
      </c>
      <c r="E881" s="14">
        <v>5.6375000000000001E-2</v>
      </c>
      <c r="F881" s="48"/>
      <c r="G881" s="47"/>
      <c r="H881" s="48"/>
      <c r="I881" s="48"/>
      <c r="J881" s="50"/>
      <c r="K881" s="50"/>
      <c r="L881" s="48"/>
      <c r="M881" s="47"/>
      <c r="N881" s="48"/>
      <c r="O881" s="48"/>
      <c r="P881" s="48"/>
    </row>
    <row r="882" spans="1:16">
      <c r="A882" s="47">
        <v>36189</v>
      </c>
      <c r="B882" s="48">
        <v>11404</v>
      </c>
      <c r="C882" s="48" t="s">
        <v>28</v>
      </c>
      <c r="D882" s="50">
        <v>-6.5012E-2</v>
      </c>
      <c r="E882" s="14">
        <v>4.1008999999999997E-2</v>
      </c>
      <c r="F882" s="48"/>
      <c r="G882" s="47"/>
      <c r="H882" s="48"/>
      <c r="I882" s="48"/>
      <c r="J882" s="50"/>
      <c r="K882" s="50"/>
      <c r="L882" s="48"/>
      <c r="M882" s="47"/>
      <c r="N882" s="48"/>
      <c r="O882" s="48"/>
      <c r="P882" s="48"/>
    </row>
    <row r="883" spans="1:16">
      <c r="A883" s="47">
        <v>36217</v>
      </c>
      <c r="B883" s="48">
        <v>11404</v>
      </c>
      <c r="C883" s="48" t="s">
        <v>28</v>
      </c>
      <c r="D883" s="50">
        <v>-4.3540000000000002E-2</v>
      </c>
      <c r="E883" s="14">
        <v>-3.2282999999999999E-2</v>
      </c>
      <c r="F883" s="48"/>
      <c r="G883" s="47"/>
      <c r="H883" s="48"/>
      <c r="I883" s="48"/>
      <c r="J883" s="50"/>
      <c r="K883" s="50"/>
      <c r="L883" s="48"/>
      <c r="M883" s="47"/>
      <c r="N883" s="48"/>
      <c r="O883" s="48"/>
      <c r="P883" s="48"/>
    </row>
    <row r="884" spans="1:16">
      <c r="A884" s="47">
        <v>36250</v>
      </c>
      <c r="B884" s="48">
        <v>11404</v>
      </c>
      <c r="C884" s="48" t="s">
        <v>28</v>
      </c>
      <c r="D884" s="50">
        <v>-3.0748999999999999E-2</v>
      </c>
      <c r="E884" s="14">
        <v>3.8794000000000002E-2</v>
      </c>
      <c r="F884" s="48"/>
      <c r="G884" s="47"/>
      <c r="H884" s="48"/>
      <c r="I884" s="48"/>
      <c r="J884" s="50"/>
      <c r="K884" s="50"/>
      <c r="L884" s="48"/>
      <c r="M884" s="47"/>
      <c r="N884" s="48"/>
      <c r="O884" s="48"/>
      <c r="P884" s="48"/>
    </row>
    <row r="885" spans="1:16">
      <c r="A885" s="47">
        <v>36280</v>
      </c>
      <c r="B885" s="48">
        <v>11404</v>
      </c>
      <c r="C885" s="48" t="s">
        <v>28</v>
      </c>
      <c r="D885" s="50">
        <v>2.7590000000000002E-3</v>
      </c>
      <c r="E885" s="14">
        <v>3.7943999999999999E-2</v>
      </c>
      <c r="F885" s="48"/>
      <c r="G885" s="47"/>
      <c r="H885" s="48"/>
      <c r="I885" s="48"/>
      <c r="J885" s="50"/>
      <c r="K885" s="50"/>
      <c r="L885" s="48"/>
      <c r="M885" s="47"/>
      <c r="N885" s="48"/>
      <c r="O885" s="48"/>
      <c r="P885" s="48"/>
    </row>
    <row r="886" spans="1:16">
      <c r="A886" s="47">
        <v>36308</v>
      </c>
      <c r="B886" s="48">
        <v>11404</v>
      </c>
      <c r="C886" s="48" t="s">
        <v>28</v>
      </c>
      <c r="D886" s="50">
        <v>8.0549999999999997E-2</v>
      </c>
      <c r="E886" s="14">
        <v>-2.4969999999999999E-2</v>
      </c>
      <c r="F886" s="48"/>
      <c r="G886" s="47"/>
      <c r="H886" s="48"/>
      <c r="I886" s="48"/>
      <c r="J886" s="50"/>
      <c r="K886" s="50"/>
      <c r="L886" s="48"/>
      <c r="M886" s="47"/>
      <c r="N886" s="48"/>
      <c r="O886" s="48"/>
      <c r="P886" s="48"/>
    </row>
    <row r="887" spans="1:16">
      <c r="A887" s="47">
        <v>36341</v>
      </c>
      <c r="B887" s="48">
        <v>11404</v>
      </c>
      <c r="C887" s="48" t="s">
        <v>28</v>
      </c>
      <c r="D887" s="50">
        <v>-6.8210999999999994E-2</v>
      </c>
      <c r="E887" s="14">
        <v>5.4438E-2</v>
      </c>
      <c r="F887" s="48"/>
      <c r="G887" s="47"/>
      <c r="H887" s="48"/>
      <c r="I887" s="48"/>
      <c r="J887" s="50"/>
      <c r="K887" s="50"/>
      <c r="L887" s="48"/>
      <c r="M887" s="47"/>
      <c r="N887" s="48"/>
      <c r="O887" s="48"/>
      <c r="P887" s="48"/>
    </row>
    <row r="888" spans="1:16">
      <c r="A888" s="47">
        <v>36371</v>
      </c>
      <c r="B888" s="48">
        <v>11404</v>
      </c>
      <c r="C888" s="48" t="s">
        <v>28</v>
      </c>
      <c r="D888" s="50">
        <v>-3.8674E-2</v>
      </c>
      <c r="E888" s="14">
        <v>-3.2045999999999998E-2</v>
      </c>
      <c r="F888" s="48"/>
      <c r="G888" s="47"/>
      <c r="H888" s="48"/>
      <c r="I888" s="48"/>
      <c r="J888" s="50"/>
      <c r="K888" s="50"/>
      <c r="L888" s="48"/>
      <c r="M888" s="47"/>
      <c r="N888" s="48"/>
      <c r="O888" s="48"/>
      <c r="P888" s="48"/>
    </row>
    <row r="889" spans="1:16">
      <c r="A889" s="47">
        <v>36403</v>
      </c>
      <c r="B889" s="48">
        <v>11404</v>
      </c>
      <c r="C889" s="48" t="s">
        <v>28</v>
      </c>
      <c r="D889" s="50">
        <v>2.3793000000000002E-2</v>
      </c>
      <c r="E889" s="14">
        <v>-6.254E-3</v>
      </c>
      <c r="F889" s="48"/>
      <c r="G889" s="47"/>
      <c r="H889" s="48"/>
      <c r="I889" s="48"/>
      <c r="J889" s="50"/>
      <c r="K889" s="50"/>
      <c r="L889" s="48"/>
      <c r="M889" s="47"/>
      <c r="N889" s="48"/>
      <c r="O889" s="48"/>
      <c r="P889" s="48"/>
    </row>
    <row r="890" spans="1:16">
      <c r="A890" s="47">
        <v>36433</v>
      </c>
      <c r="B890" s="48">
        <v>11404</v>
      </c>
      <c r="C890" s="48" t="s">
        <v>28</v>
      </c>
      <c r="D890" s="50">
        <v>-5.6818E-2</v>
      </c>
      <c r="E890" s="14">
        <v>-2.8552000000000001E-2</v>
      </c>
      <c r="F890" s="48"/>
      <c r="G890" s="47"/>
      <c r="H890" s="48"/>
      <c r="I890" s="48"/>
      <c r="J890" s="50"/>
      <c r="K890" s="50"/>
      <c r="L890" s="48"/>
      <c r="M890" s="47"/>
      <c r="N890" s="48"/>
      <c r="O890" s="48"/>
      <c r="P890" s="48"/>
    </row>
    <row r="891" spans="1:16">
      <c r="A891" s="47">
        <v>36462</v>
      </c>
      <c r="B891" s="48">
        <v>11404</v>
      </c>
      <c r="C891" s="48" t="s">
        <v>28</v>
      </c>
      <c r="D891" s="50">
        <v>-7.9819000000000001E-2</v>
      </c>
      <c r="E891" s="14">
        <v>6.2538999999999997E-2</v>
      </c>
      <c r="F891" s="48"/>
      <c r="G891" s="47"/>
      <c r="H891" s="48"/>
      <c r="I891" s="48"/>
      <c r="J891" s="50"/>
      <c r="K891" s="50"/>
      <c r="L891" s="48"/>
      <c r="M891" s="47"/>
      <c r="N891" s="48"/>
      <c r="O891" s="48"/>
      <c r="P891" s="48"/>
    </row>
    <row r="892" spans="1:16">
      <c r="A892" s="47">
        <v>36494</v>
      </c>
      <c r="B892" s="48">
        <v>11404</v>
      </c>
      <c r="C892" s="48" t="s">
        <v>28</v>
      </c>
      <c r="D892" s="50">
        <v>-8.2553000000000001E-2</v>
      </c>
      <c r="E892" s="14">
        <v>1.9061999999999999E-2</v>
      </c>
      <c r="F892" s="48"/>
      <c r="G892" s="47"/>
      <c r="H892" s="48"/>
      <c r="I892" s="48"/>
      <c r="J892" s="50"/>
      <c r="K892" s="50"/>
      <c r="L892" s="48"/>
      <c r="M892" s="47"/>
      <c r="N892" s="48"/>
      <c r="O892" s="48"/>
      <c r="P892" s="48"/>
    </row>
    <row r="893" spans="1:16">
      <c r="A893" s="47">
        <v>36525</v>
      </c>
      <c r="B893" s="48">
        <v>11404</v>
      </c>
      <c r="C893" s="48" t="s">
        <v>28</v>
      </c>
      <c r="D893" s="50">
        <v>0</v>
      </c>
      <c r="E893" s="14">
        <v>5.7844E-2</v>
      </c>
      <c r="F893" s="48"/>
      <c r="G893" s="47"/>
      <c r="H893" s="48"/>
      <c r="I893" s="48"/>
      <c r="J893" s="50"/>
      <c r="K893" s="50"/>
      <c r="L893" s="48"/>
      <c r="M893" s="47"/>
      <c r="N893" s="48"/>
      <c r="O893" s="48"/>
      <c r="P893" s="48"/>
    </row>
    <row r="894" spans="1:16">
      <c r="A894" s="47">
        <v>36556</v>
      </c>
      <c r="B894" s="48">
        <v>11404</v>
      </c>
      <c r="C894" s="48" t="s">
        <v>28</v>
      </c>
      <c r="D894" s="50">
        <v>-5.2535999999999999E-2</v>
      </c>
      <c r="E894" s="14">
        <v>-5.0903999999999998E-2</v>
      </c>
      <c r="F894" s="48"/>
      <c r="G894" s="47"/>
      <c r="H894" s="48"/>
      <c r="I894" s="48"/>
      <c r="J894" s="50"/>
      <c r="K894" s="50"/>
      <c r="L894" s="48"/>
      <c r="M894" s="47"/>
      <c r="N894" s="48"/>
      <c r="O894" s="48"/>
      <c r="P894" s="48"/>
    </row>
    <row r="895" spans="1:16">
      <c r="A895" s="47">
        <v>36585</v>
      </c>
      <c r="B895" s="48">
        <v>11404</v>
      </c>
      <c r="C895" s="48" t="s">
        <v>28</v>
      </c>
      <c r="D895" s="50">
        <v>-0.14011499999999999</v>
      </c>
      <c r="E895" s="14">
        <v>-2.0108000000000001E-2</v>
      </c>
      <c r="F895" s="48"/>
      <c r="G895" s="47"/>
      <c r="H895" s="48"/>
      <c r="I895" s="48"/>
      <c r="J895" s="50"/>
      <c r="K895" s="50"/>
      <c r="L895" s="48"/>
      <c r="M895" s="47"/>
      <c r="N895" s="48"/>
      <c r="O895" s="48"/>
      <c r="P895" s="48"/>
    </row>
    <row r="896" spans="1:16">
      <c r="A896" s="47">
        <v>36616</v>
      </c>
      <c r="B896" s="48">
        <v>11404</v>
      </c>
      <c r="C896" s="48" t="s">
        <v>28</v>
      </c>
      <c r="D896" s="50">
        <v>5.6689000000000003E-2</v>
      </c>
      <c r="E896" s="14">
        <v>9.672E-2</v>
      </c>
      <c r="F896" s="48"/>
      <c r="G896" s="47"/>
      <c r="H896" s="48"/>
      <c r="I896" s="48"/>
      <c r="J896" s="50"/>
      <c r="K896" s="50"/>
      <c r="L896" s="48"/>
      <c r="M896" s="47"/>
      <c r="N896" s="48"/>
      <c r="O896" s="48"/>
      <c r="P896" s="48"/>
    </row>
    <row r="897" spans="1:16">
      <c r="A897" s="47">
        <v>36644</v>
      </c>
      <c r="B897" s="48">
        <v>11404</v>
      </c>
      <c r="C897" s="48" t="s">
        <v>28</v>
      </c>
      <c r="D897" s="50">
        <v>0.20815500000000001</v>
      </c>
      <c r="E897" s="14">
        <v>-3.0796E-2</v>
      </c>
      <c r="F897" s="48"/>
      <c r="G897" s="47"/>
      <c r="H897" s="48"/>
      <c r="I897" s="48"/>
      <c r="J897" s="50"/>
      <c r="K897" s="50"/>
      <c r="L897" s="48"/>
      <c r="M897" s="47"/>
      <c r="N897" s="48"/>
      <c r="O897" s="48"/>
      <c r="P897" s="48"/>
    </row>
    <row r="898" spans="1:16">
      <c r="A898" s="47">
        <v>36677</v>
      </c>
      <c r="B898" s="48">
        <v>11404</v>
      </c>
      <c r="C898" s="48" t="s">
        <v>28</v>
      </c>
      <c r="D898" s="50">
        <v>-5.7335999999999998E-2</v>
      </c>
      <c r="E898" s="14">
        <v>-2.1915E-2</v>
      </c>
      <c r="F898" s="48"/>
      <c r="G898" s="47"/>
      <c r="H898" s="48"/>
      <c r="I898" s="48"/>
      <c r="J898" s="50"/>
      <c r="K898" s="50"/>
      <c r="L898" s="48"/>
      <c r="M898" s="47"/>
      <c r="N898" s="48"/>
      <c r="O898" s="48"/>
      <c r="P898" s="48"/>
    </row>
    <row r="899" spans="1:16">
      <c r="A899" s="47">
        <v>36707</v>
      </c>
      <c r="B899" s="48">
        <v>11404</v>
      </c>
      <c r="C899" s="48" t="s">
        <v>28</v>
      </c>
      <c r="D899" s="50">
        <v>-9.1953999999999994E-2</v>
      </c>
      <c r="E899" s="14">
        <v>2.3934E-2</v>
      </c>
      <c r="F899" s="48"/>
      <c r="G899" s="47"/>
      <c r="H899" s="48"/>
      <c r="I899" s="48"/>
      <c r="J899" s="50"/>
      <c r="K899" s="50"/>
      <c r="L899" s="48"/>
      <c r="M899" s="47"/>
      <c r="N899" s="48"/>
      <c r="O899" s="48"/>
      <c r="P899" s="48"/>
    </row>
    <row r="900" spans="1:16">
      <c r="A900" s="47">
        <v>36738</v>
      </c>
      <c r="B900" s="48">
        <v>11404</v>
      </c>
      <c r="C900" s="48" t="s">
        <v>28</v>
      </c>
      <c r="D900" s="50">
        <v>2.3206999999999998E-2</v>
      </c>
      <c r="E900" s="14">
        <v>-1.6341000000000001E-2</v>
      </c>
      <c r="F900" s="48"/>
      <c r="G900" s="47"/>
      <c r="H900" s="48"/>
      <c r="I900" s="48"/>
      <c r="J900" s="50"/>
      <c r="K900" s="50"/>
      <c r="L900" s="48"/>
      <c r="M900" s="47"/>
      <c r="N900" s="48"/>
      <c r="O900" s="48"/>
      <c r="P900" s="48"/>
    </row>
    <row r="901" spans="1:16">
      <c r="A901" s="47">
        <v>36769</v>
      </c>
      <c r="B901" s="48">
        <v>11404</v>
      </c>
      <c r="C901" s="48" t="s">
        <v>28</v>
      </c>
      <c r="D901" s="50">
        <v>5.0969E-2</v>
      </c>
      <c r="E901" s="14">
        <v>6.0699000000000003E-2</v>
      </c>
      <c r="F901" s="48"/>
      <c r="G901" s="47"/>
      <c r="H901" s="48"/>
      <c r="I901" s="48"/>
      <c r="J901" s="50"/>
      <c r="K901" s="50"/>
      <c r="L901" s="48"/>
      <c r="M901" s="47"/>
      <c r="N901" s="48"/>
      <c r="O901" s="48"/>
      <c r="P901" s="48"/>
    </row>
    <row r="902" spans="1:16">
      <c r="A902" s="47">
        <v>36798</v>
      </c>
      <c r="B902" s="48">
        <v>11404</v>
      </c>
      <c r="C902" s="48" t="s">
        <v>28</v>
      </c>
      <c r="D902" s="50">
        <v>8.9819999999999997E-2</v>
      </c>
      <c r="E902" s="14">
        <v>-5.3483000000000003E-2</v>
      </c>
      <c r="F902" s="48"/>
      <c r="G902" s="47"/>
      <c r="H902" s="48"/>
      <c r="I902" s="48"/>
      <c r="J902" s="50"/>
      <c r="K902" s="50"/>
      <c r="L902" s="48"/>
      <c r="M902" s="47"/>
      <c r="N902" s="48"/>
      <c r="O902" s="48"/>
      <c r="P902" s="48"/>
    </row>
    <row r="903" spans="1:16">
      <c r="A903" s="47">
        <v>36830</v>
      </c>
      <c r="B903" s="48">
        <v>11404</v>
      </c>
      <c r="C903" s="48" t="s">
        <v>28</v>
      </c>
      <c r="D903" s="50">
        <v>3.1136E-2</v>
      </c>
      <c r="E903" s="14">
        <v>-4.9490000000000003E-3</v>
      </c>
      <c r="F903" s="48"/>
      <c r="G903" s="47"/>
      <c r="H903" s="48"/>
      <c r="I903" s="48"/>
      <c r="J903" s="50"/>
      <c r="K903" s="50"/>
      <c r="L903" s="48"/>
      <c r="M903" s="47"/>
      <c r="N903" s="48"/>
      <c r="O903" s="48"/>
      <c r="P903" s="48"/>
    </row>
    <row r="904" spans="1:16">
      <c r="A904" s="47">
        <v>36860</v>
      </c>
      <c r="B904" s="48">
        <v>11404</v>
      </c>
      <c r="C904" s="48" t="s">
        <v>28</v>
      </c>
      <c r="D904" s="50">
        <v>7.4103000000000002E-2</v>
      </c>
      <c r="E904" s="14">
        <v>-8.0069000000000001E-2</v>
      </c>
      <c r="F904" s="48"/>
      <c r="G904" s="47"/>
      <c r="H904" s="48"/>
      <c r="I904" s="48"/>
      <c r="J904" s="50"/>
      <c r="K904" s="50"/>
      <c r="L904" s="48"/>
      <c r="M904" s="47"/>
      <c r="N904" s="48"/>
      <c r="O904" s="48"/>
      <c r="P904" s="48"/>
    </row>
    <row r="905" spans="1:16">
      <c r="A905" s="47">
        <v>36889</v>
      </c>
      <c r="B905" s="48">
        <v>11404</v>
      </c>
      <c r="C905" s="48" t="s">
        <v>28</v>
      </c>
      <c r="D905" s="50">
        <v>3.3556999999999997E-2</v>
      </c>
      <c r="E905" s="14">
        <v>4.0530000000000002E-3</v>
      </c>
      <c r="F905" s="48"/>
      <c r="G905" s="47"/>
      <c r="H905" s="48"/>
      <c r="I905" s="48"/>
      <c r="J905" s="50"/>
      <c r="K905" s="50"/>
      <c r="L905" s="48"/>
      <c r="M905" s="47"/>
      <c r="N905" s="48"/>
      <c r="O905" s="48"/>
      <c r="P905" s="48"/>
    </row>
    <row r="906" spans="1:16">
      <c r="A906" s="47">
        <v>36922</v>
      </c>
      <c r="B906" s="48">
        <v>11404</v>
      </c>
      <c r="C906" s="48" t="s">
        <v>28</v>
      </c>
      <c r="D906" s="50">
        <v>-9.2467999999999995E-2</v>
      </c>
      <c r="E906" s="14">
        <v>3.4637000000000001E-2</v>
      </c>
      <c r="F906" s="48"/>
      <c r="G906" s="47"/>
      <c r="H906" s="48"/>
      <c r="I906" s="48"/>
      <c r="J906" s="50"/>
      <c r="K906" s="50"/>
      <c r="L906" s="48"/>
      <c r="M906" s="47"/>
      <c r="N906" s="48"/>
      <c r="O906" s="48"/>
      <c r="P906" s="48"/>
    </row>
    <row r="907" spans="1:16">
      <c r="A907" s="47">
        <v>36950</v>
      </c>
      <c r="B907" s="48">
        <v>11404</v>
      </c>
      <c r="C907" s="48" t="s">
        <v>28</v>
      </c>
      <c r="D907" s="50">
        <v>7.0979E-2</v>
      </c>
      <c r="E907" s="14">
        <v>-9.2290999999999998E-2</v>
      </c>
      <c r="F907" s="48"/>
      <c r="G907" s="47"/>
      <c r="H907" s="48"/>
      <c r="I907" s="48"/>
      <c r="J907" s="50"/>
      <c r="K907" s="50"/>
      <c r="L907" s="48"/>
      <c r="M907" s="47"/>
      <c r="N907" s="48"/>
      <c r="O907" s="48"/>
      <c r="P907" s="48"/>
    </row>
    <row r="908" spans="1:16">
      <c r="A908" s="47">
        <v>36980</v>
      </c>
      <c r="B908" s="48">
        <v>11404</v>
      </c>
      <c r="C908" s="48" t="s">
        <v>28</v>
      </c>
      <c r="D908" s="50">
        <v>6.2379999999999996E-3</v>
      </c>
      <c r="E908" s="14">
        <v>-6.4204999999999998E-2</v>
      </c>
      <c r="F908" s="48"/>
      <c r="G908" s="47"/>
      <c r="H908" s="48"/>
      <c r="I908" s="48"/>
      <c r="J908" s="50"/>
      <c r="K908" s="50"/>
      <c r="L908" s="48"/>
      <c r="M908" s="47"/>
      <c r="N908" s="48"/>
      <c r="O908" s="48"/>
      <c r="P908" s="48"/>
    </row>
    <row r="909" spans="1:16">
      <c r="A909" s="47">
        <v>37011</v>
      </c>
      <c r="B909" s="48">
        <v>11404</v>
      </c>
      <c r="C909" s="48" t="s">
        <v>28</v>
      </c>
      <c r="D909" s="50">
        <v>8.3560000000000006E-3</v>
      </c>
      <c r="E909" s="14">
        <v>7.6813999999999993E-2</v>
      </c>
      <c r="F909" s="48"/>
      <c r="G909" s="47"/>
      <c r="H909" s="48"/>
      <c r="I909" s="48"/>
      <c r="J909" s="50"/>
      <c r="K909" s="50"/>
      <c r="L909" s="48"/>
      <c r="M909" s="47"/>
      <c r="N909" s="48"/>
      <c r="O909" s="48"/>
      <c r="P909" s="48"/>
    </row>
    <row r="910" spans="1:16">
      <c r="A910" s="47">
        <v>37042</v>
      </c>
      <c r="B910" s="48">
        <v>11404</v>
      </c>
      <c r="C910" s="48" t="s">
        <v>28</v>
      </c>
      <c r="D910" s="50">
        <v>6.1213999999999998E-2</v>
      </c>
      <c r="E910" s="14">
        <v>5.0899999999999999E-3</v>
      </c>
      <c r="F910" s="48"/>
      <c r="G910" s="47"/>
      <c r="H910" s="48"/>
      <c r="I910" s="48"/>
      <c r="J910" s="50"/>
      <c r="K910" s="50"/>
      <c r="L910" s="48"/>
      <c r="M910" s="47"/>
      <c r="N910" s="48"/>
      <c r="O910" s="48"/>
      <c r="P910" s="48"/>
    </row>
    <row r="911" spans="1:16">
      <c r="A911" s="47">
        <v>37071</v>
      </c>
      <c r="B911" s="48">
        <v>11404</v>
      </c>
      <c r="C911" s="48" t="s">
        <v>28</v>
      </c>
      <c r="D911" s="50">
        <v>1.6603E-2</v>
      </c>
      <c r="E911" s="14">
        <v>-2.5003999999999998E-2</v>
      </c>
      <c r="F911" s="48"/>
      <c r="G911" s="47"/>
      <c r="H911" s="48"/>
      <c r="I911" s="48"/>
      <c r="J911" s="50"/>
      <c r="K911" s="50"/>
      <c r="L911" s="48"/>
      <c r="M911" s="47"/>
      <c r="N911" s="48"/>
      <c r="O911" s="48"/>
      <c r="P911" s="48"/>
    </row>
    <row r="912" spans="1:16">
      <c r="A912" s="47">
        <v>37103</v>
      </c>
      <c r="B912" s="48">
        <v>11404</v>
      </c>
      <c r="C912" s="48" t="s">
        <v>28</v>
      </c>
      <c r="D912" s="50">
        <v>-1.5070000000000001E-3</v>
      </c>
      <c r="E912" s="14">
        <v>-1.0772E-2</v>
      </c>
      <c r="F912" s="48"/>
      <c r="G912" s="47"/>
      <c r="H912" s="48"/>
      <c r="I912" s="48"/>
      <c r="J912" s="50"/>
      <c r="K912" s="50"/>
      <c r="L912" s="48"/>
      <c r="M912" s="47"/>
      <c r="N912" s="48"/>
      <c r="O912" s="48"/>
      <c r="P912" s="48"/>
    </row>
    <row r="913" spans="1:16">
      <c r="A913" s="47">
        <v>37134</v>
      </c>
      <c r="B913" s="48">
        <v>11404</v>
      </c>
      <c r="C913" s="48" t="s">
        <v>28</v>
      </c>
      <c r="D913" s="50">
        <v>4.3029999999999999E-2</v>
      </c>
      <c r="E913" s="14">
        <v>-6.4107999999999998E-2</v>
      </c>
      <c r="F913" s="48"/>
      <c r="G913" s="47"/>
      <c r="H913" s="48"/>
      <c r="I913" s="48"/>
      <c r="J913" s="50"/>
      <c r="K913" s="50"/>
      <c r="L913" s="48"/>
      <c r="M913" s="47"/>
      <c r="N913" s="48"/>
      <c r="O913" s="48"/>
      <c r="P913" s="48"/>
    </row>
    <row r="914" spans="1:16">
      <c r="A914" s="47">
        <v>37162</v>
      </c>
      <c r="B914" s="48">
        <v>11404</v>
      </c>
      <c r="C914" s="48" t="s">
        <v>28</v>
      </c>
      <c r="D914" s="50">
        <v>-4.4010000000000004E-3</v>
      </c>
      <c r="E914" s="14">
        <v>-8.1723000000000004E-2</v>
      </c>
      <c r="F914" s="48"/>
      <c r="G914" s="47"/>
      <c r="H914" s="48"/>
      <c r="I914" s="48"/>
      <c r="J914" s="50"/>
      <c r="K914" s="50"/>
      <c r="L914" s="48"/>
      <c r="M914" s="47"/>
      <c r="N914" s="48"/>
      <c r="O914" s="48"/>
      <c r="P914" s="48"/>
    </row>
    <row r="915" spans="1:16">
      <c r="A915" s="47">
        <v>37195</v>
      </c>
      <c r="B915" s="48">
        <v>11404</v>
      </c>
      <c r="C915" s="48" t="s">
        <v>28</v>
      </c>
      <c r="D915" s="50">
        <v>-3.0206E-2</v>
      </c>
      <c r="E915" s="14">
        <v>1.8099000000000001E-2</v>
      </c>
      <c r="F915" s="48"/>
      <c r="G915" s="47"/>
      <c r="H915" s="48"/>
      <c r="I915" s="48"/>
      <c r="J915" s="50"/>
      <c r="K915" s="50"/>
      <c r="L915" s="48"/>
      <c r="M915" s="47"/>
      <c r="N915" s="48"/>
      <c r="O915" s="48"/>
      <c r="P915" s="48"/>
    </row>
    <row r="916" spans="1:16">
      <c r="A916" s="47">
        <v>37225</v>
      </c>
      <c r="B916" s="48">
        <v>11404</v>
      </c>
      <c r="C916" s="48" t="s">
        <v>28</v>
      </c>
      <c r="D916" s="50">
        <v>-8.1030000000000008E-3</v>
      </c>
      <c r="E916" s="14">
        <v>7.5176000000000007E-2</v>
      </c>
      <c r="F916" s="48"/>
      <c r="G916" s="47"/>
      <c r="H916" s="48"/>
      <c r="I916" s="48"/>
      <c r="J916" s="50"/>
      <c r="K916" s="50"/>
      <c r="L916" s="48"/>
      <c r="M916" s="47"/>
      <c r="N916" s="48"/>
      <c r="O916" s="48"/>
      <c r="P916" s="48"/>
    </row>
    <row r="917" spans="1:16">
      <c r="A917" s="47">
        <v>37256</v>
      </c>
      <c r="B917" s="48">
        <v>11404</v>
      </c>
      <c r="C917" s="48" t="s">
        <v>28</v>
      </c>
      <c r="D917" s="50">
        <v>4.5053999999999997E-2</v>
      </c>
      <c r="E917" s="14">
        <v>7.574E-3</v>
      </c>
      <c r="F917" s="48"/>
      <c r="G917" s="47"/>
      <c r="H917" s="48"/>
      <c r="I917" s="48"/>
      <c r="J917" s="50"/>
      <c r="K917" s="50"/>
      <c r="L917" s="48"/>
      <c r="M917" s="47"/>
      <c r="N917" s="48"/>
      <c r="O917" s="48"/>
      <c r="P917" s="48"/>
    </row>
    <row r="918" spans="1:16">
      <c r="A918" s="47">
        <v>37287</v>
      </c>
      <c r="B918" s="48">
        <v>11404</v>
      </c>
      <c r="C918" s="48" t="s">
        <v>28</v>
      </c>
      <c r="D918" s="50">
        <v>1.5610000000000001E-2</v>
      </c>
      <c r="E918" s="14">
        <v>-1.5573999999999999E-2</v>
      </c>
      <c r="F918" s="48"/>
      <c r="G918" s="47"/>
      <c r="H918" s="48"/>
      <c r="I918" s="48"/>
      <c r="J918" s="50"/>
      <c r="K918" s="50"/>
      <c r="L918" s="48"/>
      <c r="M918" s="47"/>
      <c r="N918" s="48"/>
      <c r="O918" s="48"/>
      <c r="P918" s="48"/>
    </row>
    <row r="919" spans="1:16">
      <c r="A919" s="47">
        <v>37315</v>
      </c>
      <c r="B919" s="48">
        <v>11404</v>
      </c>
      <c r="C919" s="48" t="s">
        <v>28</v>
      </c>
      <c r="D919" s="50">
        <v>8.9049999999999997E-3</v>
      </c>
      <c r="E919" s="14">
        <v>-2.0766E-2</v>
      </c>
      <c r="F919" s="48"/>
      <c r="G919" s="47"/>
      <c r="H919" s="48"/>
      <c r="I919" s="48"/>
      <c r="J919" s="50"/>
      <c r="K919" s="50"/>
      <c r="L919" s="48"/>
      <c r="M919" s="47"/>
      <c r="N919" s="48"/>
      <c r="O919" s="48"/>
      <c r="P919" s="48"/>
    </row>
    <row r="920" spans="1:16">
      <c r="A920" s="47">
        <v>37343</v>
      </c>
      <c r="B920" s="48">
        <v>11404</v>
      </c>
      <c r="C920" s="48" t="s">
        <v>28</v>
      </c>
      <c r="D920" s="50">
        <v>2.7206000000000001E-2</v>
      </c>
      <c r="E920" s="14">
        <v>3.6739000000000001E-2</v>
      </c>
      <c r="F920" s="48"/>
      <c r="G920" s="47"/>
      <c r="H920" s="48"/>
      <c r="I920" s="48"/>
      <c r="J920" s="50"/>
      <c r="K920" s="50"/>
      <c r="L920" s="48"/>
      <c r="M920" s="47"/>
      <c r="N920" s="48"/>
      <c r="O920" s="48"/>
      <c r="P920" s="48"/>
    </row>
    <row r="921" spans="1:16">
      <c r="A921" s="47">
        <v>37376</v>
      </c>
      <c r="B921" s="48">
        <v>11404</v>
      </c>
      <c r="C921" s="48" t="s">
        <v>28</v>
      </c>
      <c r="D921" s="50">
        <v>4.0085999999999997E-2</v>
      </c>
      <c r="E921" s="14">
        <v>-6.1418E-2</v>
      </c>
      <c r="F921" s="48"/>
      <c r="G921" s="47"/>
      <c r="H921" s="48"/>
      <c r="I921" s="48"/>
      <c r="J921" s="50"/>
      <c r="K921" s="50"/>
      <c r="L921" s="48"/>
      <c r="M921" s="47"/>
      <c r="N921" s="48"/>
      <c r="O921" s="48"/>
      <c r="P921" s="48"/>
    </row>
    <row r="922" spans="1:16">
      <c r="A922" s="47">
        <v>37407</v>
      </c>
      <c r="B922" s="48">
        <v>11404</v>
      </c>
      <c r="C922" s="48" t="s">
        <v>28</v>
      </c>
      <c r="D922" s="50">
        <v>1.6861999999999999E-2</v>
      </c>
      <c r="E922" s="14">
        <v>-9.0810000000000005E-3</v>
      </c>
      <c r="F922" s="48"/>
      <c r="G922" s="47"/>
      <c r="H922" s="48"/>
      <c r="I922" s="48"/>
      <c r="J922" s="50"/>
      <c r="K922" s="50"/>
      <c r="L922" s="48"/>
      <c r="M922" s="47"/>
      <c r="N922" s="48"/>
      <c r="O922" s="48"/>
      <c r="P922" s="48"/>
    </row>
    <row r="923" spans="1:16">
      <c r="A923" s="47">
        <v>37435</v>
      </c>
      <c r="B923" s="48">
        <v>11404</v>
      </c>
      <c r="C923" s="48" t="s">
        <v>28</v>
      </c>
      <c r="D923" s="50">
        <v>-4.6149999999999997E-2</v>
      </c>
      <c r="E923" s="14">
        <v>-7.2465000000000002E-2</v>
      </c>
      <c r="F923" s="48"/>
      <c r="G923" s="47"/>
      <c r="H923" s="48"/>
      <c r="I923" s="48"/>
      <c r="J923" s="50"/>
      <c r="K923" s="50"/>
      <c r="L923" s="48"/>
      <c r="M923" s="47"/>
      <c r="N923" s="48"/>
      <c r="O923" s="48"/>
      <c r="P923" s="48"/>
    </row>
    <row r="924" spans="1:16">
      <c r="A924" s="47">
        <v>37468</v>
      </c>
      <c r="B924" s="48">
        <v>11404</v>
      </c>
      <c r="C924" s="48" t="s">
        <v>28</v>
      </c>
      <c r="D924" s="50">
        <v>2.6346999999999999E-2</v>
      </c>
      <c r="E924" s="14">
        <v>-7.8994999999999996E-2</v>
      </c>
      <c r="F924" s="48"/>
      <c r="G924" s="47"/>
      <c r="H924" s="48"/>
      <c r="I924" s="48"/>
      <c r="J924" s="50"/>
      <c r="K924" s="50"/>
      <c r="L924" s="48"/>
      <c r="M924" s="47"/>
      <c r="N924" s="48"/>
      <c r="O924" s="48"/>
      <c r="P924" s="48"/>
    </row>
    <row r="925" spans="1:16">
      <c r="A925" s="47">
        <v>37498</v>
      </c>
      <c r="B925" s="48">
        <v>11404</v>
      </c>
      <c r="C925" s="48" t="s">
        <v>28</v>
      </c>
      <c r="D925" s="50">
        <v>-3.7456000000000003E-2</v>
      </c>
      <c r="E925" s="14">
        <v>4.8809999999999999E-3</v>
      </c>
      <c r="F925" s="48"/>
      <c r="G925" s="47"/>
      <c r="H925" s="48"/>
      <c r="I925" s="48"/>
      <c r="J925" s="50"/>
      <c r="K925" s="50"/>
      <c r="L925" s="48"/>
      <c r="M925" s="47"/>
      <c r="N925" s="48"/>
      <c r="O925" s="48"/>
      <c r="P925" s="48"/>
    </row>
    <row r="926" spans="1:16">
      <c r="A926" s="47">
        <v>37529</v>
      </c>
      <c r="B926" s="48">
        <v>11404</v>
      </c>
      <c r="C926" s="48" t="s">
        <v>28</v>
      </c>
      <c r="D926" s="50">
        <v>-1.1551000000000001E-2</v>
      </c>
      <c r="E926" s="14">
        <v>-0.110013</v>
      </c>
      <c r="F926" s="48"/>
      <c r="G926" s="47"/>
      <c r="H926" s="48"/>
      <c r="I926" s="48"/>
      <c r="J926" s="50"/>
      <c r="K926" s="50"/>
      <c r="L926" s="48"/>
      <c r="M926" s="47"/>
      <c r="N926" s="48"/>
      <c r="O926" s="48"/>
      <c r="P926" s="48"/>
    </row>
    <row r="927" spans="1:16">
      <c r="A927" s="47">
        <v>37560</v>
      </c>
      <c r="B927" s="48">
        <v>11404</v>
      </c>
      <c r="C927" s="48" t="s">
        <v>28</v>
      </c>
      <c r="D927" s="50">
        <v>5.8429000000000002E-2</v>
      </c>
      <c r="E927" s="14">
        <v>8.6435999999999999E-2</v>
      </c>
      <c r="F927" s="48"/>
      <c r="G927" s="47"/>
      <c r="H927" s="48"/>
      <c r="I927" s="48"/>
      <c r="J927" s="50"/>
      <c r="K927" s="50"/>
      <c r="L927" s="48"/>
      <c r="M927" s="47"/>
      <c r="N927" s="48"/>
      <c r="O927" s="48"/>
      <c r="P927" s="48"/>
    </row>
    <row r="928" spans="1:16">
      <c r="A928" s="47">
        <v>37589</v>
      </c>
      <c r="B928" s="48">
        <v>11404</v>
      </c>
      <c r="C928" s="48" t="s">
        <v>28</v>
      </c>
      <c r="D928" s="50">
        <v>-5.3206000000000003E-2</v>
      </c>
      <c r="E928" s="14">
        <v>5.7070000000000003E-2</v>
      </c>
      <c r="F928" s="48"/>
      <c r="G928" s="47"/>
      <c r="H928" s="48"/>
      <c r="I928" s="48"/>
      <c r="J928" s="50"/>
      <c r="K928" s="50"/>
      <c r="L928" s="48"/>
      <c r="M928" s="47"/>
      <c r="N928" s="48"/>
      <c r="O928" s="48"/>
      <c r="P928" s="48"/>
    </row>
    <row r="929" spans="1:16">
      <c r="A929" s="47">
        <v>37621</v>
      </c>
      <c r="B929" s="48">
        <v>11404</v>
      </c>
      <c r="C929" s="48" t="s">
        <v>28</v>
      </c>
      <c r="D929" s="50">
        <v>7.7232999999999996E-2</v>
      </c>
      <c r="E929" s="14">
        <v>-6.0332999999999998E-2</v>
      </c>
      <c r="F929" s="48"/>
      <c r="G929" s="47"/>
      <c r="H929" s="48"/>
      <c r="I929" s="48"/>
      <c r="J929" s="50"/>
      <c r="K929" s="50"/>
      <c r="L929" s="48"/>
      <c r="M929" s="47"/>
      <c r="N929" s="48"/>
      <c r="O929" s="48"/>
      <c r="P929" s="48"/>
    </row>
    <row r="930" spans="1:16">
      <c r="A930" s="47">
        <v>37652</v>
      </c>
      <c r="B930" s="48">
        <v>11404</v>
      </c>
      <c r="C930" s="48" t="s">
        <v>28</v>
      </c>
      <c r="D930" s="50">
        <v>-6.7724999999999994E-2</v>
      </c>
      <c r="E930" s="14">
        <v>-2.7414999999999998E-2</v>
      </c>
      <c r="F930" s="48"/>
      <c r="G930" s="47"/>
      <c r="H930" s="48"/>
      <c r="I930" s="48"/>
      <c r="J930" s="50"/>
      <c r="K930" s="50"/>
      <c r="L930" s="48"/>
      <c r="M930" s="47"/>
      <c r="N930" s="48"/>
      <c r="O930" s="48"/>
      <c r="P930" s="48"/>
    </row>
    <row r="931" spans="1:16">
      <c r="A931" s="47">
        <v>37680</v>
      </c>
      <c r="B931" s="48">
        <v>11404</v>
      </c>
      <c r="C931" s="48" t="s">
        <v>28</v>
      </c>
      <c r="D931" s="50">
        <v>-9.018E-3</v>
      </c>
      <c r="E931" s="14">
        <v>-1.7003999999999998E-2</v>
      </c>
      <c r="F931" s="48"/>
      <c r="G931" s="47"/>
      <c r="H931" s="48"/>
      <c r="I931" s="48"/>
      <c r="J931" s="50"/>
      <c r="K931" s="50"/>
      <c r="L931" s="48"/>
      <c r="M931" s="47"/>
      <c r="N931" s="48"/>
      <c r="O931" s="48"/>
      <c r="P931" s="48"/>
    </row>
    <row r="932" spans="1:16">
      <c r="A932" s="47">
        <v>37711</v>
      </c>
      <c r="B932" s="48">
        <v>11404</v>
      </c>
      <c r="C932" s="48" t="s">
        <v>28</v>
      </c>
      <c r="D932" s="50">
        <v>-1.359E-2</v>
      </c>
      <c r="E932" s="14">
        <v>8.3580000000000008E-3</v>
      </c>
      <c r="F932" s="48"/>
      <c r="G932" s="47"/>
      <c r="H932" s="48"/>
      <c r="I932" s="48"/>
      <c r="J932" s="50"/>
      <c r="K932" s="50"/>
      <c r="L932" s="48"/>
      <c r="M932" s="47"/>
      <c r="N932" s="48"/>
      <c r="O932" s="48"/>
      <c r="P932" s="48"/>
    </row>
    <row r="933" spans="1:16">
      <c r="A933" s="47">
        <v>37741</v>
      </c>
      <c r="B933" s="48">
        <v>11404</v>
      </c>
      <c r="C933" s="48" t="s">
        <v>28</v>
      </c>
      <c r="D933" s="50">
        <v>1.0397999999999999E-2</v>
      </c>
      <c r="E933" s="14">
        <v>8.1044000000000005E-2</v>
      </c>
      <c r="F933" s="48"/>
      <c r="G933" s="47"/>
      <c r="H933" s="48"/>
      <c r="I933" s="48"/>
      <c r="J933" s="50"/>
      <c r="K933" s="50"/>
      <c r="L933" s="48"/>
      <c r="M933" s="47"/>
      <c r="N933" s="48"/>
      <c r="O933" s="48"/>
      <c r="P933" s="48"/>
    </row>
    <row r="934" spans="1:16">
      <c r="A934" s="47">
        <v>37771</v>
      </c>
      <c r="B934" s="48">
        <v>11404</v>
      </c>
      <c r="C934" s="48" t="s">
        <v>28</v>
      </c>
      <c r="D934" s="50">
        <v>0.12040099999999999</v>
      </c>
      <c r="E934" s="14">
        <v>5.0899E-2</v>
      </c>
      <c r="F934" s="48"/>
      <c r="G934" s="47"/>
      <c r="H934" s="48"/>
      <c r="I934" s="48"/>
      <c r="J934" s="50"/>
      <c r="K934" s="50"/>
      <c r="L934" s="48"/>
      <c r="M934" s="47"/>
      <c r="N934" s="48"/>
      <c r="O934" s="48"/>
      <c r="P934" s="48"/>
    </row>
    <row r="935" spans="1:16">
      <c r="A935" s="47">
        <v>37802</v>
      </c>
      <c r="B935" s="48">
        <v>11404</v>
      </c>
      <c r="C935" s="48" t="s">
        <v>28</v>
      </c>
      <c r="D935" s="50">
        <v>6.7460000000000003E-3</v>
      </c>
      <c r="E935" s="14">
        <v>1.1322E-2</v>
      </c>
      <c r="F935" s="48"/>
      <c r="G935" s="47"/>
      <c r="H935" s="48"/>
      <c r="I935" s="48"/>
      <c r="J935" s="50"/>
      <c r="K935" s="50"/>
      <c r="L935" s="48"/>
      <c r="M935" s="47"/>
      <c r="N935" s="48"/>
      <c r="O935" s="48"/>
      <c r="P935" s="48"/>
    </row>
    <row r="936" spans="1:16">
      <c r="A936" s="47">
        <v>37833</v>
      </c>
      <c r="B936" s="48">
        <v>11404</v>
      </c>
      <c r="C936" s="48" t="s">
        <v>28</v>
      </c>
      <c r="D936" s="50">
        <v>-8.2486000000000004E-2</v>
      </c>
      <c r="E936" s="14">
        <v>1.6223999999999999E-2</v>
      </c>
      <c r="F936" s="48"/>
      <c r="G936" s="47"/>
      <c r="H936" s="48"/>
      <c r="I936" s="48"/>
      <c r="J936" s="50"/>
      <c r="K936" s="50"/>
      <c r="L936" s="48"/>
      <c r="M936" s="47"/>
      <c r="N936" s="48"/>
      <c r="O936" s="48"/>
      <c r="P936" s="48"/>
    </row>
    <row r="937" spans="1:16">
      <c r="A937" s="47">
        <v>37862</v>
      </c>
      <c r="B937" s="48">
        <v>11404</v>
      </c>
      <c r="C937" s="48" t="s">
        <v>28</v>
      </c>
      <c r="D937" s="50">
        <v>9.5689999999999994E-3</v>
      </c>
      <c r="E937" s="14">
        <v>1.7873E-2</v>
      </c>
      <c r="F937" s="48"/>
      <c r="G937" s="47"/>
      <c r="H937" s="48"/>
      <c r="I937" s="48"/>
      <c r="J937" s="50"/>
      <c r="K937" s="50"/>
      <c r="L937" s="48"/>
      <c r="M937" s="47"/>
      <c r="N937" s="48"/>
      <c r="O937" s="48"/>
      <c r="P937" s="48"/>
    </row>
    <row r="938" spans="1:16">
      <c r="A938" s="47">
        <v>37894</v>
      </c>
      <c r="B938" s="48">
        <v>11404</v>
      </c>
      <c r="C938" s="48" t="s">
        <v>28</v>
      </c>
      <c r="D938" s="50">
        <v>3.1116000000000001E-2</v>
      </c>
      <c r="E938" s="14">
        <v>-1.1944E-2</v>
      </c>
      <c r="F938" s="48"/>
      <c r="G938" s="47"/>
      <c r="H938" s="48"/>
      <c r="I938" s="48"/>
      <c r="J938" s="50"/>
      <c r="K938" s="50"/>
      <c r="L938" s="48"/>
      <c r="M938" s="47"/>
      <c r="N938" s="48"/>
      <c r="O938" s="48"/>
      <c r="P938" s="48"/>
    </row>
    <row r="939" spans="1:16">
      <c r="A939" s="47">
        <v>37925</v>
      </c>
      <c r="B939" s="48">
        <v>11404</v>
      </c>
      <c r="C939" s="48" t="s">
        <v>28</v>
      </c>
      <c r="D939" s="50">
        <v>-7.1149999999999998E-3</v>
      </c>
      <c r="E939" s="14">
        <v>5.4961999999999997E-2</v>
      </c>
      <c r="F939" s="48"/>
      <c r="G939" s="47"/>
      <c r="H939" s="48"/>
      <c r="I939" s="48"/>
      <c r="J939" s="50"/>
      <c r="K939" s="50"/>
      <c r="L939" s="48"/>
      <c r="M939" s="47"/>
      <c r="N939" s="48"/>
      <c r="O939" s="48"/>
      <c r="P939" s="48"/>
    </row>
    <row r="940" spans="1:16">
      <c r="A940" s="47">
        <v>37953</v>
      </c>
      <c r="B940" s="48">
        <v>11404</v>
      </c>
      <c r="C940" s="48" t="s">
        <v>28</v>
      </c>
      <c r="D940" s="50">
        <v>9.6369999999999997E-3</v>
      </c>
      <c r="E940" s="14">
        <v>7.1289999999999999E-3</v>
      </c>
      <c r="F940" s="48"/>
      <c r="G940" s="47"/>
      <c r="H940" s="48"/>
      <c r="I940" s="48"/>
      <c r="J940" s="50"/>
      <c r="K940" s="50"/>
      <c r="L940" s="48"/>
      <c r="M940" s="47"/>
      <c r="N940" s="48"/>
      <c r="O940" s="48"/>
      <c r="P940" s="48"/>
    </row>
    <row r="941" spans="1:16">
      <c r="A941" s="47">
        <v>37986</v>
      </c>
      <c r="B941" s="48">
        <v>11404</v>
      </c>
      <c r="C941" s="48" t="s">
        <v>28</v>
      </c>
      <c r="D941" s="50">
        <v>6.7246E-2</v>
      </c>
      <c r="E941" s="14">
        <v>5.0764999999999998E-2</v>
      </c>
      <c r="F941" s="48"/>
      <c r="G941" s="47"/>
      <c r="H941" s="48"/>
      <c r="I941" s="48"/>
      <c r="J941" s="50"/>
      <c r="K941" s="50"/>
      <c r="L941" s="48"/>
      <c r="M941" s="47"/>
      <c r="N941" s="48"/>
      <c r="O941" s="48"/>
      <c r="P941" s="48"/>
    </row>
    <row r="942" spans="1:16">
      <c r="A942" s="47">
        <v>38016</v>
      </c>
      <c r="B942" s="48">
        <v>11404</v>
      </c>
      <c r="C942" s="48" t="s">
        <v>28</v>
      </c>
      <c r="D942" s="50">
        <v>1.9064999999999999E-2</v>
      </c>
      <c r="E942" s="14">
        <v>1.7276E-2</v>
      </c>
      <c r="F942" s="48"/>
      <c r="G942" s="47"/>
      <c r="H942" s="48"/>
      <c r="I942" s="48"/>
      <c r="J942" s="50"/>
      <c r="K942" s="50"/>
      <c r="L942" s="48"/>
      <c r="M942" s="47"/>
      <c r="N942" s="48"/>
      <c r="O942" s="48"/>
      <c r="P942" s="48"/>
    </row>
    <row r="943" spans="1:16">
      <c r="A943" s="47">
        <v>38044</v>
      </c>
      <c r="B943" s="48">
        <v>11404</v>
      </c>
      <c r="C943" s="48" t="s">
        <v>28</v>
      </c>
      <c r="D943" s="50">
        <v>2.0648E-2</v>
      </c>
      <c r="E943" s="14">
        <v>1.2208999999999999E-2</v>
      </c>
      <c r="F943" s="48"/>
      <c r="G943" s="47"/>
      <c r="H943" s="48"/>
      <c r="I943" s="48"/>
      <c r="J943" s="50"/>
      <c r="K943" s="50"/>
      <c r="L943" s="48"/>
      <c r="M943" s="47"/>
      <c r="N943" s="48"/>
      <c r="O943" s="48"/>
      <c r="P943" s="48"/>
    </row>
    <row r="944" spans="1:16">
      <c r="A944" s="47">
        <v>38077</v>
      </c>
      <c r="B944" s="48">
        <v>11404</v>
      </c>
      <c r="C944" s="48" t="s">
        <v>28</v>
      </c>
      <c r="D944" s="50">
        <v>-1.585E-3</v>
      </c>
      <c r="E944" s="14">
        <v>-1.6358999999999999E-2</v>
      </c>
      <c r="F944" s="48"/>
      <c r="G944" s="47"/>
      <c r="H944" s="48"/>
      <c r="I944" s="48"/>
      <c r="J944" s="50"/>
      <c r="K944" s="50"/>
      <c r="L944" s="48"/>
      <c r="M944" s="47"/>
      <c r="N944" s="48"/>
      <c r="O944" s="48"/>
      <c r="P944" s="48"/>
    </row>
    <row r="945" spans="1:16">
      <c r="A945" s="47">
        <v>38107</v>
      </c>
      <c r="B945" s="48">
        <v>11404</v>
      </c>
      <c r="C945" s="48" t="s">
        <v>28</v>
      </c>
      <c r="D945" s="50">
        <v>-6.5532999999999994E-2</v>
      </c>
      <c r="E945" s="14">
        <v>-1.6791E-2</v>
      </c>
      <c r="F945" s="48"/>
      <c r="G945" s="47"/>
      <c r="H945" s="48"/>
      <c r="I945" s="48"/>
      <c r="J945" s="50"/>
      <c r="K945" s="50"/>
      <c r="L945" s="48"/>
      <c r="M945" s="47"/>
      <c r="N945" s="48"/>
      <c r="O945" s="48"/>
      <c r="P945" s="48"/>
    </row>
    <row r="946" spans="1:16">
      <c r="A946" s="47">
        <v>38135</v>
      </c>
      <c r="B946" s="48">
        <v>11404</v>
      </c>
      <c r="C946" s="48" t="s">
        <v>28</v>
      </c>
      <c r="D946" s="50">
        <v>-3.3607999999999999E-2</v>
      </c>
      <c r="E946" s="14">
        <v>1.2083E-2</v>
      </c>
      <c r="F946" s="48"/>
      <c r="G946" s="47"/>
      <c r="H946" s="48"/>
      <c r="I946" s="48"/>
      <c r="J946" s="50"/>
      <c r="K946" s="50"/>
      <c r="L946" s="48"/>
      <c r="M946" s="47"/>
      <c r="N946" s="48"/>
      <c r="O946" s="48"/>
      <c r="P946" s="48"/>
    </row>
    <row r="947" spans="1:16">
      <c r="A947" s="47">
        <v>38168</v>
      </c>
      <c r="B947" s="48">
        <v>11404</v>
      </c>
      <c r="C947" s="48" t="s">
        <v>28</v>
      </c>
      <c r="D947" s="50">
        <v>1.2736000000000001E-2</v>
      </c>
      <c r="E947" s="14">
        <v>1.7989000000000002E-2</v>
      </c>
      <c r="F947" s="48"/>
      <c r="G947" s="47"/>
      <c r="H947" s="48"/>
      <c r="I947" s="48"/>
      <c r="J947" s="50"/>
      <c r="K947" s="50"/>
      <c r="L947" s="48"/>
      <c r="M947" s="47"/>
      <c r="N947" s="48"/>
      <c r="O947" s="48"/>
      <c r="P947" s="48"/>
    </row>
    <row r="948" spans="1:16">
      <c r="A948" s="47">
        <v>38198</v>
      </c>
      <c r="B948" s="48">
        <v>11404</v>
      </c>
      <c r="C948" s="48" t="s">
        <v>28</v>
      </c>
      <c r="D948" s="50">
        <v>3.0433000000000002E-2</v>
      </c>
      <c r="E948" s="14">
        <v>-3.4291000000000002E-2</v>
      </c>
      <c r="F948" s="48"/>
      <c r="G948" s="47"/>
      <c r="H948" s="48"/>
      <c r="I948" s="48"/>
      <c r="J948" s="50"/>
      <c r="K948" s="50"/>
      <c r="L948" s="48"/>
      <c r="M948" s="47"/>
      <c r="N948" s="48"/>
      <c r="O948" s="48"/>
      <c r="P948" s="48"/>
    </row>
    <row r="949" spans="1:16">
      <c r="A949" s="47">
        <v>38230</v>
      </c>
      <c r="B949" s="48">
        <v>11404</v>
      </c>
      <c r="C949" s="48" t="s">
        <v>28</v>
      </c>
      <c r="D949" s="50">
        <v>4.3812999999999998E-2</v>
      </c>
      <c r="E949" s="14">
        <v>2.287E-3</v>
      </c>
      <c r="F949" s="48"/>
      <c r="G949" s="47"/>
      <c r="H949" s="48"/>
      <c r="I949" s="48"/>
      <c r="J949" s="50"/>
      <c r="K949" s="50"/>
      <c r="L949" s="48"/>
      <c r="M949" s="47"/>
      <c r="N949" s="48"/>
      <c r="O949" s="48"/>
      <c r="P949" s="48"/>
    </row>
    <row r="950" spans="1:16">
      <c r="A950" s="47">
        <v>38260</v>
      </c>
      <c r="B950" s="48">
        <v>11404</v>
      </c>
      <c r="C950" s="48" t="s">
        <v>28</v>
      </c>
      <c r="D950" s="50">
        <v>-3.7910000000000001E-3</v>
      </c>
      <c r="E950" s="14">
        <v>9.3640000000000008E-3</v>
      </c>
      <c r="F950" s="48"/>
      <c r="G950" s="47"/>
      <c r="H950" s="48"/>
      <c r="I950" s="48"/>
      <c r="J950" s="50"/>
      <c r="K950" s="50"/>
      <c r="L950" s="48"/>
      <c r="M950" s="47"/>
      <c r="N950" s="48"/>
      <c r="O950" s="48"/>
      <c r="P950" s="48"/>
    </row>
    <row r="951" spans="1:16">
      <c r="A951" s="47">
        <v>38289</v>
      </c>
      <c r="B951" s="48">
        <v>11404</v>
      </c>
      <c r="C951" s="48" t="s">
        <v>28</v>
      </c>
      <c r="D951" s="50">
        <v>3.3538999999999999E-2</v>
      </c>
      <c r="E951" s="14">
        <v>1.4014E-2</v>
      </c>
      <c r="F951" s="48"/>
      <c r="G951" s="47"/>
      <c r="H951" s="48"/>
      <c r="I951" s="48"/>
      <c r="J951" s="50"/>
      <c r="K951" s="50"/>
      <c r="L951" s="48"/>
      <c r="M951" s="47"/>
      <c r="N951" s="48"/>
      <c r="O951" s="48"/>
      <c r="P951" s="48"/>
    </row>
    <row r="952" spans="1:16">
      <c r="A952" s="47">
        <v>38321</v>
      </c>
      <c r="B952" s="48">
        <v>11404</v>
      </c>
      <c r="C952" s="48" t="s">
        <v>28</v>
      </c>
      <c r="D952" s="50">
        <v>2.2209E-2</v>
      </c>
      <c r="E952" s="14">
        <v>3.8594999999999997E-2</v>
      </c>
      <c r="F952" s="48"/>
      <c r="G952" s="47"/>
      <c r="H952" s="48"/>
      <c r="I952" s="48"/>
      <c r="J952" s="50"/>
      <c r="K952" s="50"/>
      <c r="L952" s="48"/>
      <c r="M952" s="47"/>
      <c r="N952" s="48"/>
      <c r="O952" s="48"/>
      <c r="P952" s="48"/>
    </row>
    <row r="953" spans="1:16">
      <c r="A953" s="47">
        <v>38352</v>
      </c>
      <c r="B953" s="48">
        <v>11404</v>
      </c>
      <c r="C953" s="48" t="s">
        <v>28</v>
      </c>
      <c r="D953" s="50">
        <v>-2.2799999999999999E-3</v>
      </c>
      <c r="E953" s="14">
        <v>3.2458000000000001E-2</v>
      </c>
      <c r="F953" s="48"/>
      <c r="G953" s="47"/>
      <c r="H953" s="48"/>
      <c r="I953" s="48"/>
      <c r="J953" s="50"/>
      <c r="K953" s="50"/>
      <c r="L953" s="48"/>
      <c r="M953" s="47"/>
      <c r="N953" s="48"/>
      <c r="O953" s="48"/>
      <c r="P953" s="48"/>
    </row>
    <row r="954" spans="1:16">
      <c r="A954" s="47">
        <v>38383</v>
      </c>
      <c r="B954" s="48">
        <v>11404</v>
      </c>
      <c r="C954" s="48" t="s">
        <v>28</v>
      </c>
      <c r="D954" s="50">
        <v>2.7430000000000002E-3</v>
      </c>
      <c r="E954" s="14">
        <v>-2.529E-2</v>
      </c>
      <c r="F954" s="48"/>
      <c r="G954" s="47"/>
      <c r="H954" s="48"/>
      <c r="I954" s="48"/>
      <c r="J954" s="50"/>
      <c r="K954" s="50"/>
      <c r="L954" s="48"/>
      <c r="M954" s="47"/>
      <c r="N954" s="48"/>
      <c r="O954" s="48"/>
      <c r="P954" s="48"/>
    </row>
    <row r="955" spans="1:16">
      <c r="A955" s="47">
        <v>38411</v>
      </c>
      <c r="B955" s="48">
        <v>11404</v>
      </c>
      <c r="C955" s="48" t="s">
        <v>28</v>
      </c>
      <c r="D955" s="50">
        <v>-1.2537E-2</v>
      </c>
      <c r="E955" s="14">
        <v>1.8903E-2</v>
      </c>
      <c r="F955" s="48"/>
      <c r="G955" s="47"/>
      <c r="H955" s="48"/>
      <c r="I955" s="48"/>
      <c r="J955" s="50"/>
      <c r="K955" s="50"/>
      <c r="L955" s="48"/>
      <c r="M955" s="47"/>
      <c r="N955" s="48"/>
      <c r="O955" s="48"/>
      <c r="P955" s="48"/>
    </row>
    <row r="956" spans="1:16">
      <c r="A956" s="47">
        <v>38442</v>
      </c>
      <c r="B956" s="48">
        <v>11404</v>
      </c>
      <c r="C956" s="48" t="s">
        <v>28</v>
      </c>
      <c r="D956" s="50">
        <v>-1.3332999999999999E-2</v>
      </c>
      <c r="E956" s="14">
        <v>-1.9118E-2</v>
      </c>
      <c r="F956" s="48"/>
      <c r="G956" s="47"/>
      <c r="H956" s="48"/>
      <c r="I956" s="48"/>
      <c r="J956" s="50"/>
      <c r="K956" s="50"/>
      <c r="L956" s="48"/>
      <c r="M956" s="47"/>
      <c r="N956" s="48"/>
      <c r="O956" s="48"/>
      <c r="P956" s="48"/>
    </row>
    <row r="957" spans="1:16">
      <c r="A957" s="47">
        <v>38471</v>
      </c>
      <c r="B957" s="48">
        <v>11404</v>
      </c>
      <c r="C957" s="48" t="s">
        <v>28</v>
      </c>
      <c r="D957" s="50">
        <v>2.6079000000000001E-2</v>
      </c>
      <c r="E957" s="14">
        <v>-2.0108999999999998E-2</v>
      </c>
      <c r="F957" s="48"/>
      <c r="G957" s="47"/>
      <c r="H957" s="48"/>
      <c r="I957" s="48"/>
      <c r="J957" s="50"/>
      <c r="K957" s="50"/>
      <c r="L957" s="48"/>
      <c r="M957" s="47"/>
      <c r="N957" s="48"/>
      <c r="O957" s="48"/>
      <c r="P957" s="48"/>
    </row>
    <row r="958" spans="1:16">
      <c r="A958" s="47">
        <v>38503</v>
      </c>
      <c r="B958" s="48">
        <v>11404</v>
      </c>
      <c r="C958" s="48" t="s">
        <v>28</v>
      </c>
      <c r="D958" s="50">
        <v>6.4695000000000003E-2</v>
      </c>
      <c r="E958" s="14">
        <v>2.9951999999999999E-2</v>
      </c>
      <c r="F958" s="48"/>
      <c r="G958" s="47"/>
      <c r="H958" s="48"/>
      <c r="I958" s="48"/>
      <c r="J958" s="50"/>
      <c r="K958" s="50"/>
      <c r="L958" s="48"/>
      <c r="M958" s="47"/>
      <c r="N958" s="48"/>
      <c r="O958" s="48"/>
      <c r="P958" s="48"/>
    </row>
    <row r="959" spans="1:16">
      <c r="A959" s="47">
        <v>38533</v>
      </c>
      <c r="B959" s="48">
        <v>11404</v>
      </c>
      <c r="C959" s="48" t="s">
        <v>28</v>
      </c>
      <c r="D959" s="50">
        <v>2.9224E-2</v>
      </c>
      <c r="E959" s="14">
        <v>-1.4300000000000001E-4</v>
      </c>
      <c r="F959" s="48"/>
      <c r="G959" s="47"/>
      <c r="H959" s="48"/>
      <c r="I959" s="48"/>
      <c r="J959" s="50"/>
      <c r="K959" s="50"/>
      <c r="L959" s="48"/>
      <c r="M959" s="47"/>
      <c r="N959" s="48"/>
      <c r="O959" s="48"/>
      <c r="P959" s="48"/>
    </row>
    <row r="960" spans="1:16">
      <c r="A960" s="47">
        <v>38562</v>
      </c>
      <c r="B960" s="48">
        <v>11404</v>
      </c>
      <c r="C960" s="48" t="s">
        <v>28</v>
      </c>
      <c r="D960" s="50">
        <v>2.8181000000000001E-2</v>
      </c>
      <c r="E960" s="14">
        <v>3.5968E-2</v>
      </c>
      <c r="F960" s="48"/>
      <c r="G960" s="47"/>
      <c r="H960" s="48"/>
      <c r="I960" s="48"/>
      <c r="J960" s="50"/>
      <c r="K960" s="50"/>
      <c r="L960" s="48"/>
      <c r="M960" s="47"/>
      <c r="N960" s="48"/>
      <c r="O960" s="48"/>
      <c r="P960" s="48"/>
    </row>
    <row r="961" spans="1:16">
      <c r="A961" s="47">
        <v>38595</v>
      </c>
      <c r="B961" s="48">
        <v>11404</v>
      </c>
      <c r="C961" s="48" t="s">
        <v>28</v>
      </c>
      <c r="D961" s="50">
        <v>-1.4120000000000001E-2</v>
      </c>
      <c r="E961" s="14">
        <v>-1.1221999999999999E-2</v>
      </c>
      <c r="F961" s="48"/>
      <c r="G961" s="47"/>
      <c r="H961" s="48"/>
      <c r="I961" s="48"/>
      <c r="J961" s="50"/>
      <c r="K961" s="50"/>
      <c r="L961" s="48"/>
      <c r="M961" s="47"/>
      <c r="N961" s="48"/>
      <c r="O961" s="48"/>
      <c r="P961" s="48"/>
    </row>
    <row r="962" spans="1:16">
      <c r="A962" s="47">
        <v>38625</v>
      </c>
      <c r="B962" s="48">
        <v>11404</v>
      </c>
      <c r="C962" s="48" t="s">
        <v>28</v>
      </c>
      <c r="D962" s="50">
        <v>3.4960999999999999E-2</v>
      </c>
      <c r="E962" s="14">
        <v>6.9490000000000003E-3</v>
      </c>
      <c r="F962" s="48"/>
      <c r="G962" s="47"/>
      <c r="H962" s="48"/>
      <c r="I962" s="48"/>
      <c r="J962" s="50"/>
      <c r="K962" s="50"/>
      <c r="L962" s="48"/>
      <c r="M962" s="47"/>
      <c r="N962" s="48"/>
      <c r="O962" s="48"/>
      <c r="P962" s="48"/>
    </row>
    <row r="963" spans="1:16">
      <c r="A963" s="47">
        <v>38656</v>
      </c>
      <c r="B963" s="48">
        <v>11404</v>
      </c>
      <c r="C963" s="48" t="s">
        <v>28</v>
      </c>
      <c r="D963" s="50">
        <v>-6.2822000000000003E-2</v>
      </c>
      <c r="E963" s="14">
        <v>-1.7741E-2</v>
      </c>
      <c r="F963" s="48"/>
      <c r="G963" s="47"/>
      <c r="H963" s="48"/>
      <c r="I963" s="48"/>
      <c r="J963" s="50"/>
      <c r="K963" s="50"/>
      <c r="L963" s="48"/>
      <c r="M963" s="47"/>
      <c r="N963" s="48"/>
      <c r="O963" s="48"/>
      <c r="P963" s="48"/>
    </row>
    <row r="964" spans="1:16">
      <c r="A964" s="47">
        <v>38686</v>
      </c>
      <c r="B964" s="48">
        <v>11404</v>
      </c>
      <c r="C964" s="48" t="s">
        <v>28</v>
      </c>
      <c r="D964" s="50">
        <v>1.3407000000000001E-2</v>
      </c>
      <c r="E964" s="14">
        <v>3.5186000000000002E-2</v>
      </c>
      <c r="F964" s="48"/>
      <c r="G964" s="47"/>
      <c r="H964" s="48"/>
      <c r="I964" s="48"/>
      <c r="J964" s="50"/>
      <c r="K964" s="50"/>
      <c r="L964" s="48"/>
      <c r="M964" s="47"/>
      <c r="N964" s="48"/>
      <c r="O964" s="48"/>
      <c r="P964" s="48"/>
    </row>
    <row r="965" spans="1:16">
      <c r="A965" s="47">
        <v>38716</v>
      </c>
      <c r="B965" s="48">
        <v>11404</v>
      </c>
      <c r="C965" s="48" t="s">
        <v>28</v>
      </c>
      <c r="D965" s="50">
        <v>1.7347000000000001E-2</v>
      </c>
      <c r="E965" s="14">
        <v>-9.5200000000000005E-4</v>
      </c>
      <c r="F965" s="48"/>
      <c r="G965" s="47"/>
      <c r="H965" s="48"/>
      <c r="I965" s="48"/>
      <c r="J965" s="50"/>
      <c r="K965" s="50"/>
      <c r="L965" s="48"/>
      <c r="M965" s="47"/>
      <c r="N965" s="48"/>
      <c r="O965" s="48"/>
      <c r="P965" s="48"/>
    </row>
    <row r="966" spans="1:16">
      <c r="A966" s="47">
        <v>38748</v>
      </c>
      <c r="B966" s="48">
        <v>11404</v>
      </c>
      <c r="C966" s="48" t="s">
        <v>28</v>
      </c>
      <c r="D966" s="50">
        <v>1.4677000000000001E-2</v>
      </c>
      <c r="E966" s="14">
        <v>2.5467E-2</v>
      </c>
      <c r="F966" s="48"/>
      <c r="G966" s="47"/>
      <c r="H966" s="48"/>
      <c r="I966" s="48"/>
      <c r="J966" s="50"/>
      <c r="K966" s="50"/>
      <c r="L966" s="48"/>
      <c r="M966" s="47"/>
      <c r="N966" s="48"/>
      <c r="O966" s="48"/>
      <c r="P966" s="48"/>
    </row>
    <row r="967" spans="1:16">
      <c r="A967" s="47">
        <v>38776</v>
      </c>
      <c r="B967" s="48">
        <v>11404</v>
      </c>
      <c r="C967" s="48" t="s">
        <v>28</v>
      </c>
      <c r="D967" s="50">
        <v>-1.2019E-2</v>
      </c>
      <c r="E967" s="14">
        <v>4.5300000000000001E-4</v>
      </c>
      <c r="F967" s="48"/>
      <c r="G967" s="47"/>
      <c r="H967" s="48"/>
      <c r="I967" s="48"/>
      <c r="J967" s="50"/>
      <c r="K967" s="50"/>
      <c r="L967" s="48"/>
      <c r="M967" s="47"/>
      <c r="N967" s="48"/>
      <c r="O967" s="48"/>
      <c r="P967" s="48"/>
    </row>
    <row r="968" spans="1:16">
      <c r="A968" s="47">
        <v>38807</v>
      </c>
      <c r="B968" s="48">
        <v>11404</v>
      </c>
      <c r="C968" s="48" t="s">
        <v>28</v>
      </c>
      <c r="D968" s="50">
        <v>-5.1667999999999999E-2</v>
      </c>
      <c r="E968" s="14">
        <v>1.1065E-2</v>
      </c>
      <c r="F968" s="48"/>
      <c r="G968" s="47"/>
      <c r="H968" s="48"/>
      <c r="I968" s="48"/>
      <c r="J968" s="50"/>
      <c r="K968" s="50"/>
      <c r="L968" s="48"/>
      <c r="M968" s="47"/>
      <c r="N968" s="48"/>
      <c r="O968" s="48"/>
      <c r="P968" s="48"/>
    </row>
    <row r="969" spans="1:16">
      <c r="A969" s="47">
        <v>38835</v>
      </c>
      <c r="B969" s="48">
        <v>11404</v>
      </c>
      <c r="C969" s="48" t="s">
        <v>28</v>
      </c>
      <c r="D969" s="50">
        <v>-8.7360000000000007E-3</v>
      </c>
      <c r="E969" s="14">
        <v>1.2187E-2</v>
      </c>
      <c r="F969" s="48"/>
      <c r="G969" s="47"/>
      <c r="H969" s="48"/>
      <c r="I969" s="48"/>
      <c r="J969" s="50"/>
      <c r="K969" s="50"/>
      <c r="L969" s="48"/>
      <c r="M969" s="47"/>
      <c r="N969" s="48"/>
      <c r="O969" s="48"/>
      <c r="P969" s="48"/>
    </row>
    <row r="970" spans="1:16">
      <c r="A970" s="47">
        <v>38868</v>
      </c>
      <c r="B970" s="48">
        <v>11404</v>
      </c>
      <c r="C970" s="48" t="s">
        <v>28</v>
      </c>
      <c r="D970" s="50">
        <v>3.6061999999999997E-2</v>
      </c>
      <c r="E970" s="14">
        <v>-3.0917E-2</v>
      </c>
      <c r="F970" s="48"/>
      <c r="G970" s="47"/>
      <c r="H970" s="48"/>
      <c r="I970" s="48"/>
      <c r="J970" s="50"/>
      <c r="K970" s="50"/>
      <c r="L970" s="48"/>
      <c r="M970" s="47"/>
      <c r="N970" s="48"/>
      <c r="O970" s="48"/>
      <c r="P970" s="48"/>
    </row>
    <row r="971" spans="1:16">
      <c r="A971" s="47">
        <v>38898</v>
      </c>
      <c r="B971" s="48">
        <v>11404</v>
      </c>
      <c r="C971" s="48" t="s">
        <v>28</v>
      </c>
      <c r="D971" s="50">
        <v>7.7099999999999998E-3</v>
      </c>
      <c r="E971" s="14">
        <v>8.7000000000000001E-5</v>
      </c>
      <c r="F971" s="48"/>
      <c r="G971" s="47"/>
      <c r="H971" s="48"/>
      <c r="I971" s="48"/>
      <c r="J971" s="50"/>
      <c r="K971" s="50"/>
      <c r="L971" s="48"/>
      <c r="M971" s="47"/>
      <c r="N971" s="48"/>
      <c r="O971" s="48"/>
      <c r="P971" s="48"/>
    </row>
    <row r="972" spans="1:16">
      <c r="A972" s="47">
        <v>38929</v>
      </c>
      <c r="B972" s="48">
        <v>11404</v>
      </c>
      <c r="C972" s="48" t="s">
        <v>28</v>
      </c>
      <c r="D972" s="50">
        <v>5.4679999999999999E-2</v>
      </c>
      <c r="E972" s="14">
        <v>5.0860000000000002E-3</v>
      </c>
      <c r="F972" s="48"/>
      <c r="G972" s="47"/>
      <c r="H972" s="48"/>
      <c r="I972" s="48"/>
      <c r="J972" s="50"/>
      <c r="K972" s="50"/>
      <c r="L972" s="48"/>
      <c r="M972" s="47"/>
      <c r="N972" s="48"/>
      <c r="O972" s="48"/>
      <c r="P972" s="48"/>
    </row>
    <row r="973" spans="1:16">
      <c r="A973" s="47">
        <v>38960</v>
      </c>
      <c r="B973" s="48">
        <v>11404</v>
      </c>
      <c r="C973" s="48" t="s">
        <v>28</v>
      </c>
      <c r="D973" s="50">
        <v>-2.0270000000000002E-3</v>
      </c>
      <c r="E973" s="14">
        <v>2.1274000000000001E-2</v>
      </c>
      <c r="F973" s="48"/>
      <c r="G973" s="47"/>
      <c r="H973" s="48"/>
      <c r="I973" s="48"/>
      <c r="J973" s="50"/>
      <c r="K973" s="50"/>
      <c r="L973" s="48"/>
      <c r="M973" s="47"/>
      <c r="N973" s="48"/>
      <c r="O973" s="48"/>
      <c r="P973" s="48"/>
    </row>
    <row r="974" spans="1:16">
      <c r="A974" s="47">
        <v>38989</v>
      </c>
      <c r="B974" s="48">
        <v>11404</v>
      </c>
      <c r="C974" s="48" t="s">
        <v>28</v>
      </c>
      <c r="D974" s="50">
        <v>0</v>
      </c>
      <c r="E974" s="14">
        <v>2.4566000000000001E-2</v>
      </c>
      <c r="F974" s="48"/>
      <c r="G974" s="47"/>
      <c r="H974" s="48"/>
      <c r="I974" s="48"/>
      <c r="J974" s="50"/>
      <c r="K974" s="50"/>
      <c r="L974" s="48"/>
      <c r="M974" s="47"/>
      <c r="N974" s="48"/>
      <c r="O974" s="48"/>
      <c r="P974" s="48"/>
    </row>
    <row r="975" spans="1:16">
      <c r="A975" s="47">
        <v>39021</v>
      </c>
      <c r="B975" s="48">
        <v>11404</v>
      </c>
      <c r="C975" s="48" t="s">
        <v>28</v>
      </c>
      <c r="D975" s="50">
        <v>4.6537000000000002E-2</v>
      </c>
      <c r="E975" s="14">
        <v>3.1508000000000001E-2</v>
      </c>
      <c r="F975" s="48"/>
      <c r="G975" s="47"/>
      <c r="H975" s="48"/>
      <c r="I975" s="48"/>
      <c r="J975" s="50"/>
      <c r="K975" s="50"/>
      <c r="L975" s="48"/>
      <c r="M975" s="47"/>
      <c r="N975" s="48"/>
      <c r="O975" s="48"/>
      <c r="P975" s="48"/>
    </row>
    <row r="976" spans="1:16">
      <c r="A976" s="47">
        <v>39051</v>
      </c>
      <c r="B976" s="48">
        <v>11404</v>
      </c>
      <c r="C976" s="48" t="s">
        <v>28</v>
      </c>
      <c r="D976" s="50">
        <v>9.2040000000000004E-3</v>
      </c>
      <c r="E976" s="14">
        <v>1.6466999999999999E-2</v>
      </c>
      <c r="F976" s="48"/>
      <c r="G976" s="47"/>
      <c r="H976" s="48"/>
      <c r="I976" s="48"/>
      <c r="J976" s="50"/>
      <c r="K976" s="50"/>
      <c r="L976" s="48"/>
      <c r="M976" s="47"/>
      <c r="N976" s="48"/>
      <c r="O976" s="48"/>
      <c r="P976" s="48"/>
    </row>
    <row r="977" spans="1:16">
      <c r="A977" s="47">
        <v>39080</v>
      </c>
      <c r="B977" s="48">
        <v>11404</v>
      </c>
      <c r="C977" s="48" t="s">
        <v>28</v>
      </c>
      <c r="D977" s="50">
        <v>-3.1110000000000001E-3</v>
      </c>
      <c r="E977" s="14">
        <v>1.2616E-2</v>
      </c>
      <c r="F977" s="48"/>
      <c r="G977" s="47"/>
      <c r="H977" s="48"/>
      <c r="I977" s="48"/>
      <c r="J977" s="50"/>
      <c r="K977" s="50"/>
      <c r="L977" s="48"/>
      <c r="M977" s="47"/>
      <c r="N977" s="48"/>
      <c r="O977" s="48"/>
      <c r="P977" s="48"/>
    </row>
    <row r="978" spans="1:16">
      <c r="A978" s="47">
        <v>39113</v>
      </c>
      <c r="B978" s="48">
        <v>11404</v>
      </c>
      <c r="C978" s="48" t="s">
        <v>28</v>
      </c>
      <c r="D978" s="50">
        <v>4.3689999999999996E-3</v>
      </c>
      <c r="E978" s="14">
        <v>1.4059E-2</v>
      </c>
      <c r="F978" s="48"/>
      <c r="G978" s="47"/>
      <c r="H978" s="48"/>
      <c r="I978" s="48"/>
      <c r="J978" s="50"/>
      <c r="K978" s="50"/>
      <c r="L978" s="48"/>
      <c r="M978" s="47"/>
      <c r="N978" s="48"/>
      <c r="O978" s="48"/>
      <c r="P978" s="48"/>
    </row>
    <row r="979" spans="1:16">
      <c r="A979" s="47">
        <v>39141</v>
      </c>
      <c r="B979" s="48">
        <v>11404</v>
      </c>
      <c r="C979" s="48" t="s">
        <v>28</v>
      </c>
      <c r="D979" s="50">
        <v>1.8227E-2</v>
      </c>
      <c r="E979" s="14">
        <v>-2.1846000000000001E-2</v>
      </c>
      <c r="F979" s="48"/>
      <c r="G979" s="47"/>
      <c r="H979" s="48"/>
      <c r="I979" s="48"/>
      <c r="J979" s="50"/>
      <c r="K979" s="50"/>
      <c r="L979" s="48"/>
      <c r="M979" s="47"/>
      <c r="N979" s="48"/>
      <c r="O979" s="48"/>
      <c r="P979" s="48"/>
    </row>
    <row r="980" spans="1:16">
      <c r="A980" s="47">
        <v>39171</v>
      </c>
      <c r="B980" s="48">
        <v>11404</v>
      </c>
      <c r="C980" s="48" t="s">
        <v>28</v>
      </c>
      <c r="D980" s="50">
        <v>5.1049999999999998E-2</v>
      </c>
      <c r="E980" s="14">
        <v>9.9799999999999993E-3</v>
      </c>
      <c r="F980" s="48"/>
      <c r="G980" s="47"/>
      <c r="H980" s="48"/>
      <c r="I980" s="48"/>
      <c r="J980" s="50"/>
      <c r="K980" s="50"/>
      <c r="L980" s="48"/>
      <c r="M980" s="47"/>
      <c r="N980" s="48"/>
      <c r="O980" s="48"/>
      <c r="P980" s="48"/>
    </row>
    <row r="981" spans="1:16">
      <c r="A981" s="47">
        <v>39202</v>
      </c>
      <c r="B981" s="48">
        <v>11404</v>
      </c>
      <c r="C981" s="48" t="s">
        <v>28</v>
      </c>
      <c r="D981" s="50">
        <v>3.9170000000000003E-3</v>
      </c>
      <c r="E981" s="14">
        <v>4.3291000000000003E-2</v>
      </c>
      <c r="F981" s="48"/>
      <c r="G981" s="47"/>
      <c r="H981" s="48"/>
      <c r="I981" s="48"/>
      <c r="J981" s="50"/>
      <c r="K981" s="50"/>
      <c r="L981" s="48"/>
      <c r="M981" s="47"/>
      <c r="N981" s="48"/>
      <c r="O981" s="48"/>
      <c r="P981" s="48"/>
    </row>
    <row r="982" spans="1:16">
      <c r="A982" s="47">
        <v>39233</v>
      </c>
      <c r="B982" s="48">
        <v>11404</v>
      </c>
      <c r="C982" s="48" t="s">
        <v>28</v>
      </c>
      <c r="D982" s="50">
        <v>-3.6285999999999999E-2</v>
      </c>
      <c r="E982" s="14">
        <v>3.2549000000000002E-2</v>
      </c>
      <c r="F982" s="48"/>
      <c r="G982" s="47"/>
      <c r="H982" s="48"/>
      <c r="I982" s="48"/>
      <c r="J982" s="50"/>
      <c r="K982" s="50"/>
      <c r="L982" s="48"/>
      <c r="M982" s="47"/>
      <c r="N982" s="48"/>
      <c r="O982" s="48"/>
      <c r="P982" s="48"/>
    </row>
    <row r="983" spans="1:16">
      <c r="A983" s="47">
        <v>39262</v>
      </c>
      <c r="B983" s="48">
        <v>11404</v>
      </c>
      <c r="C983" s="48" t="s">
        <v>28</v>
      </c>
      <c r="D983" s="50">
        <v>-7.5788999999999995E-2</v>
      </c>
      <c r="E983" s="14">
        <v>-1.7815999999999999E-2</v>
      </c>
      <c r="F983" s="48"/>
      <c r="G983" s="47"/>
      <c r="H983" s="48"/>
      <c r="I983" s="48"/>
      <c r="J983" s="50"/>
      <c r="K983" s="50"/>
      <c r="L983" s="48"/>
      <c r="M983" s="47"/>
      <c r="N983" s="48"/>
      <c r="O983" s="48"/>
      <c r="P983" s="48"/>
    </row>
    <row r="984" spans="1:16">
      <c r="A984" s="47">
        <v>39294</v>
      </c>
      <c r="B984" s="48">
        <v>11404</v>
      </c>
      <c r="C984" s="48" t="s">
        <v>28</v>
      </c>
      <c r="D984" s="50">
        <v>-3.1914999999999999E-2</v>
      </c>
      <c r="E984" s="14">
        <v>-3.1981999999999997E-2</v>
      </c>
      <c r="F984" s="48"/>
      <c r="G984" s="47"/>
      <c r="H984" s="48"/>
      <c r="I984" s="48"/>
      <c r="J984" s="50"/>
      <c r="K984" s="50"/>
      <c r="L984" s="48"/>
      <c r="M984" s="47"/>
      <c r="N984" s="48"/>
      <c r="O984" s="48"/>
      <c r="P984" s="48"/>
    </row>
    <row r="985" spans="1:16">
      <c r="A985" s="47">
        <v>39325</v>
      </c>
      <c r="B985" s="48">
        <v>11404</v>
      </c>
      <c r="C985" s="48" t="s">
        <v>28</v>
      </c>
      <c r="D985" s="50">
        <v>6.5018000000000006E-2</v>
      </c>
      <c r="E985" s="14">
        <v>1.2864E-2</v>
      </c>
      <c r="F985" s="48"/>
      <c r="G985" s="47"/>
      <c r="H985" s="48"/>
      <c r="I985" s="48"/>
      <c r="J985" s="50"/>
      <c r="K985" s="50"/>
      <c r="L985" s="48"/>
      <c r="M985" s="47"/>
      <c r="N985" s="48"/>
      <c r="O985" s="48"/>
      <c r="P985" s="48"/>
    </row>
    <row r="986" spans="1:16">
      <c r="A986" s="47">
        <v>39353</v>
      </c>
      <c r="B986" s="48">
        <v>11404</v>
      </c>
      <c r="C986" s="48" t="s">
        <v>28</v>
      </c>
      <c r="D986" s="50">
        <v>7.8359999999999992E-3</v>
      </c>
      <c r="E986" s="14">
        <v>3.5793999999999999E-2</v>
      </c>
      <c r="F986" s="48"/>
      <c r="G986" s="47"/>
      <c r="H986" s="48"/>
      <c r="I986" s="48"/>
      <c r="J986" s="50"/>
      <c r="K986" s="50"/>
      <c r="L986" s="48"/>
      <c r="M986" s="47"/>
      <c r="N986" s="48"/>
      <c r="O986" s="48"/>
      <c r="P986" s="48"/>
    </row>
    <row r="987" spans="1:16">
      <c r="A987" s="47">
        <v>39386</v>
      </c>
      <c r="B987" s="48">
        <v>11404</v>
      </c>
      <c r="C987" s="48" t="s">
        <v>28</v>
      </c>
      <c r="D987" s="50">
        <v>1.7062999999999998E-2</v>
      </c>
      <c r="E987" s="14">
        <v>1.4822E-2</v>
      </c>
      <c r="F987" s="48"/>
      <c r="G987" s="47"/>
      <c r="H987" s="48"/>
      <c r="I987" s="48"/>
      <c r="J987" s="50"/>
      <c r="K987" s="50"/>
      <c r="L987" s="48"/>
      <c r="M987" s="47"/>
      <c r="N987" s="48"/>
      <c r="O987" s="48"/>
      <c r="P987" s="48"/>
    </row>
    <row r="988" spans="1:16">
      <c r="A988" s="47">
        <v>39416</v>
      </c>
      <c r="B988" s="48">
        <v>11404</v>
      </c>
      <c r="C988" s="48" t="s">
        <v>28</v>
      </c>
      <c r="D988" s="50">
        <v>4.1197999999999999E-2</v>
      </c>
      <c r="E988" s="14">
        <v>-4.4042999999999999E-2</v>
      </c>
      <c r="F988" s="48"/>
      <c r="G988" s="47"/>
      <c r="H988" s="48"/>
      <c r="I988" s="48"/>
      <c r="J988" s="50"/>
      <c r="K988" s="50"/>
      <c r="L988" s="48"/>
      <c r="M988" s="47"/>
      <c r="N988" s="48"/>
      <c r="O988" s="48"/>
      <c r="P988" s="48"/>
    </row>
    <row r="989" spans="1:16">
      <c r="A989" s="47">
        <v>39447</v>
      </c>
      <c r="B989" s="48">
        <v>11404</v>
      </c>
      <c r="C989" s="48" t="s">
        <v>28</v>
      </c>
      <c r="D989" s="50">
        <v>8.2559999999999995E-3</v>
      </c>
      <c r="E989" s="14">
        <v>-8.6280000000000003E-3</v>
      </c>
      <c r="F989" s="48"/>
      <c r="G989" s="47"/>
      <c r="H989" s="48"/>
      <c r="I989" s="48"/>
      <c r="J989" s="50"/>
      <c r="K989" s="50"/>
      <c r="L989" s="48"/>
      <c r="M989" s="47"/>
      <c r="N989" s="48"/>
      <c r="O989" s="48"/>
      <c r="P989" s="48"/>
    </row>
    <row r="990" spans="1:16">
      <c r="A990" s="47">
        <v>39478</v>
      </c>
      <c r="B990" s="48">
        <v>11404</v>
      </c>
      <c r="C990" s="48" t="s">
        <v>28</v>
      </c>
      <c r="D990" s="50">
        <v>-0.108086</v>
      </c>
      <c r="E990" s="14">
        <v>-6.1163000000000002E-2</v>
      </c>
      <c r="F990" s="48"/>
      <c r="G990" s="47"/>
      <c r="H990" s="48"/>
      <c r="I990" s="48"/>
      <c r="J990" s="50"/>
      <c r="K990" s="50"/>
      <c r="L990" s="48"/>
      <c r="M990" s="47"/>
      <c r="N990" s="48"/>
      <c r="O990" s="48"/>
      <c r="P990" s="48"/>
    </row>
    <row r="991" spans="1:16">
      <c r="A991" s="47">
        <v>39507</v>
      </c>
      <c r="B991" s="48">
        <v>11404</v>
      </c>
      <c r="C991" s="48" t="s">
        <v>28</v>
      </c>
      <c r="D991" s="50">
        <v>-4.8084000000000002E-2</v>
      </c>
      <c r="E991" s="14">
        <v>-3.4761E-2</v>
      </c>
      <c r="F991" s="48"/>
      <c r="G991" s="47"/>
      <c r="H991" s="48"/>
      <c r="I991" s="48"/>
      <c r="J991" s="50"/>
      <c r="K991" s="50"/>
      <c r="L991" s="48"/>
      <c r="M991" s="47"/>
      <c r="N991" s="48"/>
      <c r="O991" s="48"/>
      <c r="P991" s="48"/>
    </row>
    <row r="992" spans="1:16">
      <c r="A992" s="47">
        <v>39538</v>
      </c>
      <c r="B992" s="48">
        <v>11404</v>
      </c>
      <c r="C992" s="48" t="s">
        <v>28</v>
      </c>
      <c r="D992" s="50">
        <v>-2.9101999999999999E-2</v>
      </c>
      <c r="E992" s="14">
        <v>-5.96E-3</v>
      </c>
      <c r="F992" s="48"/>
      <c r="G992" s="47"/>
      <c r="H992" s="48"/>
      <c r="I992" s="48"/>
      <c r="J992" s="50"/>
      <c r="K992" s="50"/>
      <c r="L992" s="48"/>
      <c r="M992" s="47"/>
      <c r="N992" s="48"/>
      <c r="O992" s="48"/>
      <c r="P992" s="48"/>
    </row>
    <row r="993" spans="1:16">
      <c r="A993" s="47">
        <v>39568</v>
      </c>
      <c r="B993" s="48">
        <v>11404</v>
      </c>
      <c r="C993" s="48" t="s">
        <v>28</v>
      </c>
      <c r="D993" s="50">
        <v>4.7858999999999999E-2</v>
      </c>
      <c r="E993" s="14">
        <v>4.7546999999999999E-2</v>
      </c>
      <c r="F993" s="48"/>
      <c r="G993" s="47"/>
      <c r="H993" s="48"/>
      <c r="I993" s="48"/>
      <c r="J993" s="50"/>
      <c r="K993" s="50"/>
      <c r="L993" s="48"/>
      <c r="M993" s="47"/>
      <c r="N993" s="48"/>
      <c r="O993" s="48"/>
      <c r="P993" s="48"/>
    </row>
    <row r="994" spans="1:16">
      <c r="A994" s="47">
        <v>39598</v>
      </c>
      <c r="B994" s="48">
        <v>11404</v>
      </c>
      <c r="C994" s="48" t="s">
        <v>28</v>
      </c>
      <c r="D994" s="50">
        <v>6.8510000000000003E-3</v>
      </c>
      <c r="E994" s="14">
        <v>1.0673999999999999E-2</v>
      </c>
      <c r="F994" s="48"/>
      <c r="G994" s="47"/>
      <c r="H994" s="48"/>
      <c r="I994" s="48"/>
      <c r="J994" s="50"/>
      <c r="K994" s="50"/>
      <c r="L994" s="48"/>
      <c r="M994" s="47"/>
      <c r="N994" s="48"/>
      <c r="O994" s="48"/>
      <c r="P994" s="48"/>
    </row>
    <row r="995" spans="1:16">
      <c r="A995" s="47">
        <v>39629</v>
      </c>
      <c r="B995" s="48">
        <v>11404</v>
      </c>
      <c r="C995" s="48" t="s">
        <v>28</v>
      </c>
      <c r="D995" s="50">
        <v>-5.3511000000000003E-2</v>
      </c>
      <c r="E995" s="14">
        <v>-8.5961999999999997E-2</v>
      </c>
      <c r="F995" s="48"/>
      <c r="G995" s="47"/>
      <c r="H995" s="48"/>
      <c r="I995" s="48"/>
      <c r="J995" s="50"/>
      <c r="K995" s="50"/>
      <c r="L995" s="48"/>
      <c r="M995" s="47"/>
      <c r="N995" s="48"/>
      <c r="O995" s="48"/>
      <c r="P995" s="48"/>
    </row>
    <row r="996" spans="1:16">
      <c r="A996" s="47">
        <v>39660</v>
      </c>
      <c r="B996" s="48">
        <v>11404</v>
      </c>
      <c r="C996" s="48" t="s">
        <v>28</v>
      </c>
      <c r="D996" s="50">
        <v>1.5605000000000001E-2</v>
      </c>
      <c r="E996" s="14">
        <v>-9.8589999999999997E-3</v>
      </c>
      <c r="F996" s="48"/>
      <c r="G996" s="47"/>
      <c r="H996" s="48"/>
      <c r="I996" s="48"/>
      <c r="J996" s="50"/>
      <c r="K996" s="50"/>
      <c r="L996" s="48"/>
      <c r="M996" s="47"/>
      <c r="N996" s="48"/>
      <c r="O996" s="48"/>
      <c r="P996" s="48"/>
    </row>
    <row r="997" spans="1:16">
      <c r="A997" s="47">
        <v>39689</v>
      </c>
      <c r="B997" s="48">
        <v>11404</v>
      </c>
      <c r="C997" s="48" t="s">
        <v>28</v>
      </c>
      <c r="D997" s="50">
        <v>4.4962000000000002E-2</v>
      </c>
      <c r="E997" s="14">
        <v>1.2191E-2</v>
      </c>
      <c r="F997" s="48"/>
      <c r="G997" s="47"/>
      <c r="H997" s="48"/>
      <c r="I997" s="48"/>
      <c r="J997" s="50"/>
      <c r="K997" s="50"/>
      <c r="L997" s="48"/>
      <c r="M997" s="47"/>
      <c r="N997" s="48"/>
      <c r="O997" s="48"/>
      <c r="P997" s="48"/>
    </row>
    <row r="998" spans="1:16">
      <c r="A998" s="47">
        <v>39721</v>
      </c>
      <c r="B998" s="48">
        <v>11404</v>
      </c>
      <c r="C998" s="48" t="s">
        <v>28</v>
      </c>
      <c r="D998" s="50">
        <v>5.0367000000000002E-2</v>
      </c>
      <c r="E998" s="14">
        <v>-9.0790999999999997E-2</v>
      </c>
      <c r="F998" s="48"/>
      <c r="G998" s="47"/>
      <c r="H998" s="48"/>
      <c r="I998" s="48"/>
      <c r="J998" s="50"/>
      <c r="K998" s="50"/>
      <c r="L998" s="48"/>
      <c r="M998" s="47"/>
      <c r="N998" s="48"/>
      <c r="O998" s="48"/>
      <c r="P998" s="48"/>
    </row>
    <row r="999" spans="1:16">
      <c r="A999" s="47">
        <v>39752</v>
      </c>
      <c r="B999" s="48">
        <v>11404</v>
      </c>
      <c r="C999" s="48" t="s">
        <v>28</v>
      </c>
      <c r="D999" s="50">
        <v>8.3800000000000003E-3</v>
      </c>
      <c r="E999" s="14">
        <v>-0.16942499999999999</v>
      </c>
      <c r="F999" s="48"/>
      <c r="G999" s="47"/>
      <c r="H999" s="48"/>
      <c r="I999" s="48"/>
      <c r="J999" s="50"/>
      <c r="K999" s="50"/>
      <c r="L999" s="48"/>
      <c r="M999" s="47"/>
      <c r="N999" s="48"/>
      <c r="O999" s="48"/>
      <c r="P999" s="48"/>
    </row>
    <row r="1000" spans="1:16">
      <c r="A1000" s="47">
        <v>39780</v>
      </c>
      <c r="B1000" s="48">
        <v>11404</v>
      </c>
      <c r="C1000" s="48" t="s">
        <v>28</v>
      </c>
      <c r="D1000" s="50">
        <v>-5.4132E-2</v>
      </c>
      <c r="E1000" s="14">
        <v>-7.4848999999999999E-2</v>
      </c>
      <c r="F1000" s="48"/>
      <c r="G1000" s="47"/>
      <c r="H1000" s="48"/>
      <c r="I1000" s="48"/>
      <c r="J1000" s="50"/>
      <c r="K1000" s="50"/>
      <c r="L1000" s="48"/>
      <c r="M1000" s="47"/>
      <c r="N1000" s="48"/>
      <c r="O1000" s="48"/>
      <c r="P1000" s="48"/>
    </row>
    <row r="1001" spans="1:16">
      <c r="A1001" s="47">
        <v>39813</v>
      </c>
      <c r="B1001" s="48">
        <v>11404</v>
      </c>
      <c r="C1001" s="48" t="s">
        <v>28</v>
      </c>
      <c r="D1001" s="50">
        <v>-3.6148E-2</v>
      </c>
      <c r="E1001" s="14">
        <v>7.8220000000000008E-3</v>
      </c>
      <c r="F1001" s="48"/>
      <c r="G1001" s="47"/>
      <c r="H1001" s="48"/>
      <c r="I1001" s="48"/>
      <c r="J1001" s="50"/>
      <c r="K1001" s="50"/>
      <c r="L1001" s="48"/>
      <c r="M1001" s="47"/>
      <c r="N1001" s="48"/>
      <c r="O1001" s="48"/>
      <c r="P1001" s="48"/>
    </row>
    <row r="1002" spans="1:16">
      <c r="A1002" s="47">
        <v>39843</v>
      </c>
      <c r="B1002" s="48">
        <v>11404</v>
      </c>
      <c r="C1002" s="48" t="s">
        <v>28</v>
      </c>
      <c r="D1002" s="50">
        <v>4.6751000000000001E-2</v>
      </c>
      <c r="E1002" s="14">
        <v>-8.5656999999999997E-2</v>
      </c>
      <c r="F1002" s="48"/>
      <c r="G1002" s="47"/>
      <c r="H1002" s="48"/>
      <c r="I1002" s="48"/>
      <c r="J1002" s="50"/>
      <c r="K1002" s="50"/>
      <c r="L1002" s="48"/>
      <c r="M1002" s="47"/>
      <c r="N1002" s="48"/>
      <c r="O1002" s="48"/>
      <c r="P1002" s="48"/>
    </row>
    <row r="1003" spans="1:16">
      <c r="A1003" s="47">
        <v>39871</v>
      </c>
      <c r="B1003" s="48">
        <v>11404</v>
      </c>
      <c r="C1003" s="48" t="s">
        <v>28</v>
      </c>
      <c r="D1003" s="50">
        <v>-9.6933000000000005E-2</v>
      </c>
      <c r="E1003" s="14">
        <v>-0.109931</v>
      </c>
      <c r="F1003" s="48"/>
      <c r="G1003" s="47"/>
      <c r="H1003" s="48"/>
      <c r="I1003" s="48"/>
      <c r="J1003" s="50"/>
      <c r="K1003" s="50"/>
      <c r="L1003" s="48"/>
      <c r="M1003" s="47"/>
      <c r="N1003" s="48"/>
      <c r="O1003" s="48"/>
      <c r="P1003" s="48"/>
    </row>
    <row r="1004" spans="1:16">
      <c r="A1004" s="47">
        <v>39903</v>
      </c>
      <c r="B1004" s="48">
        <v>11404</v>
      </c>
      <c r="C1004" s="48" t="s">
        <v>28</v>
      </c>
      <c r="D1004" s="50">
        <v>9.3896999999999994E-2</v>
      </c>
      <c r="E1004" s="14">
        <v>8.5404999999999995E-2</v>
      </c>
      <c r="F1004" s="48"/>
      <c r="G1004" s="47"/>
      <c r="H1004" s="48"/>
      <c r="I1004" s="48"/>
      <c r="J1004" s="50"/>
      <c r="K1004" s="50"/>
      <c r="L1004" s="48"/>
      <c r="M1004" s="47"/>
      <c r="N1004" s="48"/>
      <c r="O1004" s="48"/>
      <c r="P1004" s="48"/>
    </row>
    <row r="1005" spans="1:16">
      <c r="A1005" s="47">
        <v>39933</v>
      </c>
      <c r="B1005" s="48">
        <v>11404</v>
      </c>
      <c r="C1005" s="48" t="s">
        <v>28</v>
      </c>
      <c r="D1005" s="50">
        <v>-6.2609999999999999E-2</v>
      </c>
      <c r="E1005" s="14">
        <v>9.3924999999999995E-2</v>
      </c>
      <c r="F1005" s="48"/>
      <c r="G1005" s="47"/>
      <c r="H1005" s="48"/>
      <c r="I1005" s="48"/>
      <c r="J1005" s="50"/>
      <c r="K1005" s="50"/>
      <c r="L1005" s="48"/>
      <c r="M1005" s="47"/>
      <c r="N1005" s="48"/>
      <c r="O1005" s="48"/>
      <c r="P1005" s="48"/>
    </row>
    <row r="1006" spans="1:16">
      <c r="A1006" s="47">
        <v>39962</v>
      </c>
      <c r="B1006" s="48">
        <v>11404</v>
      </c>
      <c r="C1006" s="48" t="s">
        <v>28</v>
      </c>
      <c r="D1006" s="50">
        <v>-2.9086999999999998E-2</v>
      </c>
      <c r="E1006" s="14">
        <v>5.3081000000000003E-2</v>
      </c>
      <c r="F1006" s="48"/>
      <c r="G1006" s="47"/>
      <c r="H1006" s="48"/>
      <c r="I1006" s="48"/>
      <c r="J1006" s="50"/>
      <c r="K1006" s="50"/>
      <c r="L1006" s="48"/>
      <c r="M1006" s="47"/>
      <c r="N1006" s="48"/>
      <c r="O1006" s="48"/>
      <c r="P1006" s="48"/>
    </row>
    <row r="1007" spans="1:16">
      <c r="A1007" s="47">
        <v>39994</v>
      </c>
      <c r="B1007" s="48">
        <v>11404</v>
      </c>
      <c r="C1007" s="48" t="s">
        <v>28</v>
      </c>
      <c r="D1007" s="50">
        <v>5.5273999999999997E-2</v>
      </c>
      <c r="E1007" s="14">
        <v>1.9599999999999999E-4</v>
      </c>
      <c r="F1007" s="48"/>
      <c r="G1007" s="47"/>
      <c r="H1007" s="48"/>
      <c r="I1007" s="48"/>
      <c r="J1007" s="50"/>
      <c r="K1007" s="50"/>
      <c r="L1007" s="48"/>
      <c r="M1007" s="47"/>
      <c r="N1007" s="48"/>
      <c r="O1007" s="48"/>
      <c r="P1007" s="48"/>
    </row>
    <row r="1008" spans="1:16">
      <c r="A1008" s="47">
        <v>40025</v>
      </c>
      <c r="B1008" s="48">
        <v>11404</v>
      </c>
      <c r="C1008" s="48" t="s">
        <v>28</v>
      </c>
      <c r="D1008" s="50">
        <v>5.1844000000000001E-2</v>
      </c>
      <c r="E1008" s="14">
        <v>7.4142E-2</v>
      </c>
      <c r="F1008" s="48"/>
      <c r="G1008" s="47"/>
      <c r="H1008" s="48"/>
      <c r="I1008" s="48"/>
      <c r="J1008" s="50"/>
      <c r="K1008" s="50"/>
      <c r="L1008" s="48"/>
      <c r="M1008" s="47"/>
      <c r="N1008" s="48"/>
      <c r="O1008" s="48"/>
      <c r="P1008" s="48"/>
    </row>
    <row r="1009" spans="1:16">
      <c r="A1009" s="47">
        <v>40056</v>
      </c>
      <c r="B1009" s="48">
        <v>11404</v>
      </c>
      <c r="C1009" s="48" t="s">
        <v>28</v>
      </c>
      <c r="D1009" s="50">
        <v>3.6076999999999998E-2</v>
      </c>
      <c r="E1009" s="14">
        <v>3.356E-2</v>
      </c>
      <c r="F1009" s="48"/>
      <c r="G1009" s="47"/>
      <c r="H1009" s="48"/>
      <c r="I1009" s="48"/>
      <c r="J1009" s="50"/>
      <c r="K1009" s="50"/>
      <c r="L1009" s="48"/>
      <c r="M1009" s="47"/>
      <c r="N1009" s="48"/>
      <c r="O1009" s="48"/>
      <c r="P1009" s="48"/>
    </row>
    <row r="1010" spans="1:16">
      <c r="A1010" s="47">
        <v>40086</v>
      </c>
      <c r="B1010" s="48">
        <v>11404</v>
      </c>
      <c r="C1010" s="48" t="s">
        <v>28</v>
      </c>
      <c r="D1010" s="50">
        <v>1.8661000000000001E-2</v>
      </c>
      <c r="E1010" s="14">
        <v>3.5722999999999998E-2</v>
      </c>
      <c r="F1010" s="48"/>
      <c r="G1010" s="47"/>
      <c r="H1010" s="48"/>
      <c r="I1010" s="48"/>
      <c r="J1010" s="50"/>
      <c r="K1010" s="50"/>
      <c r="L1010" s="48"/>
      <c r="M1010" s="47"/>
      <c r="N1010" s="48"/>
      <c r="O1010" s="48"/>
      <c r="P1010" s="48"/>
    </row>
    <row r="1011" spans="1:16">
      <c r="A1011" s="47">
        <v>40116</v>
      </c>
      <c r="B1011" s="48">
        <v>11404</v>
      </c>
      <c r="C1011" s="48" t="s">
        <v>28</v>
      </c>
      <c r="D1011" s="50">
        <v>-6.3509999999999999E-3</v>
      </c>
      <c r="E1011" s="14">
        <v>-1.9761999999999998E-2</v>
      </c>
      <c r="F1011" s="48"/>
      <c r="G1011" s="47"/>
      <c r="H1011" s="48"/>
      <c r="I1011" s="48"/>
      <c r="J1011" s="50"/>
      <c r="K1011" s="50"/>
      <c r="L1011" s="48"/>
      <c r="M1011" s="47"/>
      <c r="N1011" s="48"/>
      <c r="O1011" s="48"/>
      <c r="P1011" s="48"/>
    </row>
    <row r="1012" spans="1:16">
      <c r="A1012" s="47">
        <v>40147</v>
      </c>
      <c r="B1012" s="48">
        <v>11404</v>
      </c>
      <c r="C1012" s="48" t="s">
        <v>28</v>
      </c>
      <c r="D1012" s="50">
        <v>6.9321999999999995E-2</v>
      </c>
      <c r="E1012" s="14">
        <v>5.7363999999999998E-2</v>
      </c>
      <c r="F1012" s="48"/>
      <c r="G1012" s="47"/>
      <c r="H1012" s="48"/>
      <c r="I1012" s="48"/>
      <c r="J1012" s="50"/>
      <c r="K1012" s="50"/>
      <c r="L1012" s="48"/>
      <c r="M1012" s="47"/>
      <c r="N1012" s="48"/>
      <c r="O1012" s="48"/>
      <c r="P1012" s="48"/>
    </row>
    <row r="1013" spans="1:16">
      <c r="A1013" s="47">
        <v>40178</v>
      </c>
      <c r="B1013" s="48">
        <v>11404</v>
      </c>
      <c r="C1013" s="48" t="s">
        <v>28</v>
      </c>
      <c r="D1013" s="50">
        <v>5.8728000000000002E-2</v>
      </c>
      <c r="E1013" s="14">
        <v>1.7770999999999999E-2</v>
      </c>
      <c r="F1013" s="48"/>
      <c r="G1013" s="47"/>
      <c r="H1013" s="48"/>
      <c r="I1013" s="48"/>
      <c r="J1013" s="50"/>
      <c r="K1013" s="50"/>
      <c r="L1013" s="48"/>
      <c r="M1013" s="47"/>
      <c r="N1013" s="48"/>
      <c r="O1013" s="48"/>
      <c r="P1013" s="48"/>
    </row>
    <row r="1014" spans="1:16">
      <c r="A1014" s="47">
        <v>40207</v>
      </c>
      <c r="B1014" s="48">
        <v>11404</v>
      </c>
      <c r="C1014" s="48" t="s">
        <v>28</v>
      </c>
      <c r="D1014" s="50">
        <v>-3.7199999999999997E-2</v>
      </c>
      <c r="E1014" s="14">
        <v>-3.6974E-2</v>
      </c>
      <c r="F1014" s="48"/>
      <c r="G1014" s="47"/>
      <c r="H1014" s="48"/>
      <c r="I1014" s="48"/>
      <c r="J1014" s="50"/>
      <c r="K1014" s="50"/>
      <c r="L1014" s="48"/>
      <c r="M1014" s="47"/>
      <c r="N1014" s="48"/>
      <c r="O1014" s="48"/>
      <c r="P1014" s="48"/>
    </row>
    <row r="1015" spans="1:16">
      <c r="A1015" s="47">
        <v>40235</v>
      </c>
      <c r="B1015" s="48">
        <v>11404</v>
      </c>
      <c r="C1015" s="48" t="s">
        <v>28</v>
      </c>
      <c r="D1015" s="50">
        <v>-9.0310000000000008E-3</v>
      </c>
      <c r="E1015" s="14">
        <v>2.8514000000000001E-2</v>
      </c>
      <c r="F1015" s="48"/>
      <c r="G1015" s="47"/>
      <c r="H1015" s="48"/>
      <c r="I1015" s="48"/>
      <c r="J1015" s="50"/>
      <c r="K1015" s="50"/>
      <c r="L1015" s="48"/>
      <c r="M1015" s="47"/>
      <c r="N1015" s="48"/>
      <c r="O1015" s="48"/>
      <c r="P1015" s="48"/>
    </row>
    <row r="1016" spans="1:16">
      <c r="A1016" s="47">
        <v>40268</v>
      </c>
      <c r="B1016" s="48">
        <v>11404</v>
      </c>
      <c r="C1016" s="48" t="s">
        <v>28</v>
      </c>
      <c r="D1016" s="50">
        <v>4.1870999999999998E-2</v>
      </c>
      <c r="E1016" s="14">
        <v>5.8796000000000001E-2</v>
      </c>
      <c r="F1016" s="48"/>
      <c r="G1016" s="47"/>
      <c r="H1016" s="48"/>
      <c r="I1016" s="48"/>
      <c r="J1016" s="50"/>
      <c r="K1016" s="50"/>
      <c r="L1016" s="48"/>
      <c r="M1016" s="47"/>
      <c r="N1016" s="48"/>
      <c r="O1016" s="48"/>
      <c r="P1016" s="48"/>
    </row>
    <row r="1017" spans="1:16">
      <c r="A1017" s="47">
        <v>40298</v>
      </c>
      <c r="B1017" s="48">
        <v>11404</v>
      </c>
      <c r="C1017" s="48" t="s">
        <v>28</v>
      </c>
      <c r="D1017" s="50">
        <v>1.4818E-2</v>
      </c>
      <c r="E1017" s="14">
        <v>1.4759E-2</v>
      </c>
      <c r="F1017" s="48"/>
      <c r="G1017" s="47"/>
      <c r="H1017" s="48"/>
      <c r="I1017" s="48"/>
      <c r="J1017" s="50"/>
      <c r="K1017" s="50"/>
      <c r="L1017" s="48"/>
      <c r="M1017" s="47"/>
      <c r="N1017" s="48"/>
      <c r="O1017" s="48"/>
      <c r="P1017" s="48"/>
    </row>
    <row r="1018" spans="1:16">
      <c r="A1018" s="47">
        <v>40326</v>
      </c>
      <c r="B1018" s="48">
        <v>11404</v>
      </c>
      <c r="C1018" s="48" t="s">
        <v>28</v>
      </c>
      <c r="D1018" s="50">
        <v>-4.4580000000000002E-2</v>
      </c>
      <c r="E1018" s="14">
        <v>-8.1975999999999993E-2</v>
      </c>
      <c r="F1018" s="48"/>
      <c r="G1018" s="47"/>
      <c r="H1018" s="48"/>
      <c r="I1018" s="48"/>
      <c r="J1018" s="50"/>
      <c r="K1018" s="50"/>
      <c r="L1018" s="48"/>
      <c r="M1018" s="47"/>
      <c r="N1018" s="48"/>
      <c r="O1018" s="48"/>
      <c r="P1018" s="48"/>
    </row>
    <row r="1019" spans="1:16">
      <c r="A1019" s="47">
        <v>40359</v>
      </c>
      <c r="B1019" s="48">
        <v>11404</v>
      </c>
      <c r="C1019" s="48" t="s">
        <v>28</v>
      </c>
      <c r="D1019" s="50">
        <v>1.1975E-2</v>
      </c>
      <c r="E1019" s="14">
        <v>-5.3881999999999999E-2</v>
      </c>
      <c r="F1019" s="48"/>
      <c r="G1019" s="47"/>
      <c r="H1019" s="48"/>
      <c r="I1019" s="48"/>
      <c r="J1019" s="50"/>
      <c r="K1019" s="50"/>
      <c r="L1019" s="48"/>
      <c r="M1019" s="47"/>
      <c r="N1019" s="48"/>
      <c r="O1019" s="48"/>
      <c r="P1019" s="48"/>
    </row>
    <row r="1020" spans="1:16">
      <c r="A1020" s="47">
        <v>40389</v>
      </c>
      <c r="B1020" s="48">
        <v>11404</v>
      </c>
      <c r="C1020" s="48" t="s">
        <v>28</v>
      </c>
      <c r="D1020" s="50">
        <v>7.0069999999999993E-2</v>
      </c>
      <c r="E1020" s="14">
        <v>6.8778000000000006E-2</v>
      </c>
      <c r="F1020" s="48"/>
      <c r="G1020" s="47"/>
      <c r="H1020" s="48"/>
      <c r="I1020" s="48"/>
      <c r="J1020" s="50"/>
      <c r="K1020" s="50"/>
      <c r="L1020" s="48"/>
      <c r="M1020" s="47"/>
      <c r="N1020" s="48"/>
      <c r="O1020" s="48"/>
      <c r="P1020" s="48"/>
    </row>
    <row r="1021" spans="1:16">
      <c r="A1021" s="47">
        <v>40421</v>
      </c>
      <c r="B1021" s="48">
        <v>11404</v>
      </c>
      <c r="C1021" s="48" t="s">
        <v>28</v>
      </c>
      <c r="D1021" s="50">
        <v>4.3473999999999999E-2</v>
      </c>
      <c r="E1021" s="14">
        <v>-4.7448999999999998E-2</v>
      </c>
      <c r="F1021" s="48"/>
      <c r="G1021" s="47"/>
      <c r="H1021" s="48"/>
      <c r="I1021" s="48"/>
      <c r="J1021" s="50"/>
      <c r="K1021" s="50"/>
      <c r="L1021" s="48"/>
      <c r="M1021" s="47"/>
      <c r="N1021" s="48"/>
      <c r="O1021" s="48"/>
      <c r="P1021" s="48"/>
    </row>
    <row r="1022" spans="1:16">
      <c r="A1022" s="47">
        <v>40451</v>
      </c>
      <c r="B1022" s="48">
        <v>11404</v>
      </c>
      <c r="C1022" s="48" t="s">
        <v>28</v>
      </c>
      <c r="D1022" s="50">
        <v>1.4517E-2</v>
      </c>
      <c r="E1022" s="14">
        <v>8.7551000000000004E-2</v>
      </c>
      <c r="F1022" s="48"/>
      <c r="G1022" s="47"/>
      <c r="H1022" s="48"/>
      <c r="I1022" s="48"/>
      <c r="J1022" s="50"/>
      <c r="K1022" s="50"/>
      <c r="L1022" s="48"/>
      <c r="M1022" s="47"/>
      <c r="N1022" s="48"/>
      <c r="O1022" s="48"/>
      <c r="P1022" s="48"/>
    </row>
    <row r="1023" spans="1:16">
      <c r="A1023" s="47">
        <v>40480</v>
      </c>
      <c r="B1023" s="48">
        <v>11404</v>
      </c>
      <c r="C1023" s="48" t="s">
        <v>28</v>
      </c>
      <c r="D1023" s="50">
        <v>3.1106999999999999E-2</v>
      </c>
      <c r="E1023" s="14">
        <v>3.6856E-2</v>
      </c>
      <c r="F1023" s="48"/>
      <c r="G1023" s="47"/>
      <c r="H1023" s="48"/>
      <c r="I1023" s="48"/>
      <c r="J1023" s="50"/>
      <c r="K1023" s="50"/>
      <c r="L1023" s="48"/>
      <c r="M1023" s="47"/>
      <c r="N1023" s="48"/>
      <c r="O1023" s="48"/>
      <c r="P1023" s="48"/>
    </row>
    <row r="1024" spans="1:16">
      <c r="A1024" s="47">
        <v>40512</v>
      </c>
      <c r="B1024" s="48">
        <v>11404</v>
      </c>
      <c r="C1024" s="48" t="s">
        <v>28</v>
      </c>
      <c r="D1024" s="50">
        <v>-1.5185000000000001E-2</v>
      </c>
      <c r="E1024" s="14">
        <v>-2.2899999999999999E-3</v>
      </c>
      <c r="F1024" s="48"/>
      <c r="G1024" s="47"/>
      <c r="H1024" s="48"/>
      <c r="I1024" s="48"/>
      <c r="J1024" s="50"/>
      <c r="K1024" s="50"/>
      <c r="L1024" s="48"/>
      <c r="M1024" s="47"/>
      <c r="N1024" s="48"/>
      <c r="O1024" s="48"/>
      <c r="P1024" s="48"/>
    </row>
    <row r="1025" spans="1:16">
      <c r="A1025" s="47">
        <v>40543</v>
      </c>
      <c r="B1025" s="48">
        <v>11404</v>
      </c>
      <c r="C1025" s="48" t="s">
        <v>28</v>
      </c>
      <c r="D1025" s="50">
        <v>2.4809000000000001E-2</v>
      </c>
      <c r="E1025" s="14">
        <v>6.5299999999999997E-2</v>
      </c>
      <c r="F1025" s="48"/>
      <c r="G1025" s="47"/>
      <c r="H1025" s="48"/>
      <c r="I1025" s="48"/>
      <c r="J1025" s="50"/>
      <c r="K1025" s="50"/>
      <c r="L1025" s="48"/>
      <c r="M1025" s="47"/>
      <c r="N1025" s="48"/>
      <c r="O1025" s="48"/>
      <c r="P1025" s="48"/>
    </row>
    <row r="1026" spans="1:16">
      <c r="A1026" s="47">
        <v>40574</v>
      </c>
      <c r="B1026" s="48">
        <v>11404</v>
      </c>
      <c r="C1026" s="48" t="s">
        <v>28</v>
      </c>
      <c r="D1026" s="50">
        <v>6.8589999999999996E-3</v>
      </c>
      <c r="E1026" s="14">
        <v>2.2645999999999999E-2</v>
      </c>
      <c r="F1026" s="48"/>
      <c r="G1026" s="47"/>
      <c r="H1026" s="48"/>
      <c r="I1026" s="48"/>
      <c r="J1026" s="50"/>
      <c r="K1026" s="50"/>
      <c r="L1026" s="48"/>
      <c r="M1026" s="47"/>
      <c r="N1026" s="48"/>
      <c r="O1026" s="48"/>
      <c r="P1026" s="48"/>
    </row>
    <row r="1027" spans="1:16">
      <c r="A1027" s="47">
        <v>40602</v>
      </c>
      <c r="B1027" s="48">
        <v>11404</v>
      </c>
      <c r="C1027" s="48" t="s">
        <v>28</v>
      </c>
      <c r="D1027" s="50">
        <v>1.3424E-2</v>
      </c>
      <c r="E1027" s="14">
        <v>3.1956999999999999E-2</v>
      </c>
      <c r="F1027" s="48"/>
      <c r="G1027" s="47"/>
      <c r="H1027" s="48"/>
      <c r="I1027" s="48"/>
      <c r="J1027" s="50"/>
      <c r="K1027" s="50"/>
      <c r="L1027" s="48"/>
      <c r="M1027" s="47"/>
      <c r="N1027" s="48"/>
      <c r="O1027" s="48"/>
      <c r="P1027" s="48"/>
    </row>
    <row r="1028" spans="1:16">
      <c r="A1028" s="47">
        <v>40633</v>
      </c>
      <c r="B1028" s="48">
        <v>11404</v>
      </c>
      <c r="C1028" s="48" t="s">
        <v>28</v>
      </c>
      <c r="D1028" s="50">
        <v>1.4806E-2</v>
      </c>
      <c r="E1028" s="14">
        <v>-1.047E-3</v>
      </c>
      <c r="F1028" s="48"/>
      <c r="G1028" s="47"/>
      <c r="H1028" s="48"/>
      <c r="I1028" s="48"/>
      <c r="J1028" s="50"/>
      <c r="K1028" s="50"/>
      <c r="L1028" s="48"/>
      <c r="M1028" s="47"/>
      <c r="N1028" s="48"/>
      <c r="O1028" s="48"/>
      <c r="P1028" s="48"/>
    </row>
    <row r="1029" spans="1:16">
      <c r="A1029" s="47">
        <v>40662</v>
      </c>
      <c r="B1029" s="48">
        <v>11404</v>
      </c>
      <c r="C1029" s="48" t="s">
        <v>28</v>
      </c>
      <c r="D1029" s="50">
        <v>2.7602000000000002E-2</v>
      </c>
      <c r="E1029" s="14">
        <v>2.8494999999999999E-2</v>
      </c>
      <c r="F1029" s="48"/>
      <c r="G1029" s="47"/>
      <c r="H1029" s="48"/>
      <c r="I1029" s="48"/>
      <c r="J1029" s="50"/>
      <c r="K1029" s="50"/>
      <c r="L1029" s="48"/>
      <c r="M1029" s="47"/>
      <c r="N1029" s="48"/>
      <c r="O1029" s="48"/>
      <c r="P1029" s="48"/>
    </row>
    <row r="1030" spans="1:16">
      <c r="A1030" s="47">
        <v>40694</v>
      </c>
      <c r="B1030" s="48">
        <v>11404</v>
      </c>
      <c r="C1030" s="48" t="s">
        <v>28</v>
      </c>
      <c r="D1030" s="50">
        <v>2.9547E-2</v>
      </c>
      <c r="E1030" s="14">
        <v>-1.3501000000000001E-2</v>
      </c>
      <c r="F1030" s="48"/>
      <c r="G1030" s="47"/>
      <c r="H1030" s="48"/>
      <c r="I1030" s="48"/>
      <c r="J1030" s="50"/>
      <c r="K1030" s="50"/>
      <c r="L1030" s="48"/>
      <c r="M1030" s="47"/>
      <c r="N1030" s="48"/>
      <c r="O1030" s="48"/>
      <c r="P1030" s="48"/>
    </row>
    <row r="1031" spans="1:16">
      <c r="A1031" s="47">
        <v>40724</v>
      </c>
      <c r="B1031" s="48">
        <v>11404</v>
      </c>
      <c r="C1031" s="48" t="s">
        <v>28</v>
      </c>
      <c r="D1031" s="50">
        <v>3.392E-3</v>
      </c>
      <c r="E1031" s="14">
        <v>-1.8258E-2</v>
      </c>
      <c r="F1031" s="48"/>
      <c r="G1031" s="47"/>
      <c r="H1031" s="48"/>
      <c r="I1031" s="48"/>
      <c r="J1031" s="50"/>
      <c r="K1031" s="50"/>
      <c r="L1031" s="48"/>
      <c r="M1031" s="47"/>
      <c r="N1031" s="48"/>
      <c r="O1031" s="48"/>
      <c r="P1031" s="48"/>
    </row>
    <row r="1032" spans="1:16">
      <c r="A1032" s="47">
        <v>40753</v>
      </c>
      <c r="B1032" s="48">
        <v>11404</v>
      </c>
      <c r="C1032" s="48" t="s">
        <v>28</v>
      </c>
      <c r="D1032" s="50">
        <v>-1.2021E-2</v>
      </c>
      <c r="E1032" s="14">
        <v>-2.1474E-2</v>
      </c>
      <c r="F1032" s="48"/>
      <c r="G1032" s="47"/>
      <c r="H1032" s="48"/>
      <c r="I1032" s="48"/>
      <c r="J1032" s="50"/>
      <c r="K1032" s="50"/>
      <c r="L1032" s="48"/>
      <c r="M1032" s="47"/>
      <c r="N1032" s="48"/>
      <c r="O1032" s="48"/>
      <c r="P1032" s="48"/>
    </row>
    <row r="1033" spans="1:16">
      <c r="A1033" s="47">
        <v>40786</v>
      </c>
      <c r="B1033" s="48">
        <v>11404</v>
      </c>
      <c r="C1033" s="48" t="s">
        <v>28</v>
      </c>
      <c r="D1033" s="50">
        <v>8.0037999999999998E-2</v>
      </c>
      <c r="E1033" s="14">
        <v>-5.6791000000000001E-2</v>
      </c>
      <c r="F1033" s="48"/>
      <c r="G1033" s="47"/>
      <c r="H1033" s="48"/>
      <c r="I1033" s="48"/>
      <c r="J1033" s="50"/>
      <c r="K1033" s="50"/>
      <c r="L1033" s="48"/>
      <c r="M1033" s="47"/>
      <c r="N1033" s="48"/>
      <c r="O1033" s="48"/>
      <c r="P1033" s="48"/>
    </row>
    <row r="1034" spans="1:16">
      <c r="A1034" s="47">
        <v>40816</v>
      </c>
      <c r="B1034" s="48">
        <v>11404</v>
      </c>
      <c r="C1034" s="48" t="s">
        <v>28</v>
      </c>
      <c r="D1034" s="50">
        <v>1.4409999999999999E-2</v>
      </c>
      <c r="E1034" s="14">
        <v>-7.1762000000000006E-2</v>
      </c>
      <c r="F1034" s="48"/>
      <c r="G1034" s="47"/>
      <c r="H1034" s="48"/>
      <c r="I1034" s="48"/>
      <c r="J1034" s="50"/>
      <c r="K1034" s="50"/>
      <c r="L1034" s="48"/>
      <c r="M1034" s="47"/>
      <c r="N1034" s="48"/>
      <c r="O1034" s="48"/>
      <c r="P1034" s="48"/>
    </row>
    <row r="1035" spans="1:16">
      <c r="A1035" s="47">
        <v>40847</v>
      </c>
      <c r="B1035" s="48">
        <v>11404</v>
      </c>
      <c r="C1035" s="48" t="s">
        <v>28</v>
      </c>
      <c r="D1035" s="50">
        <v>1.4907E-2</v>
      </c>
      <c r="E1035" s="14">
        <v>0.107723</v>
      </c>
      <c r="F1035" s="48"/>
      <c r="G1035" s="47"/>
      <c r="H1035" s="48"/>
      <c r="I1035" s="48"/>
      <c r="J1035" s="50"/>
      <c r="K1035" s="50"/>
      <c r="L1035" s="48"/>
      <c r="M1035" s="47"/>
      <c r="N1035" s="48"/>
      <c r="O1035" s="48"/>
      <c r="P1035" s="48"/>
    </row>
    <row r="1036" spans="1:16">
      <c r="A1036" s="47">
        <v>40877</v>
      </c>
      <c r="B1036" s="48">
        <v>11404</v>
      </c>
      <c r="C1036" s="48" t="s">
        <v>28</v>
      </c>
      <c r="D1036" s="50">
        <v>3.7151999999999998E-2</v>
      </c>
      <c r="E1036" s="14">
        <v>-5.0590000000000001E-3</v>
      </c>
      <c r="F1036" s="48"/>
      <c r="G1036" s="47"/>
      <c r="H1036" s="48"/>
      <c r="I1036" s="48"/>
      <c r="J1036" s="50"/>
      <c r="K1036" s="50"/>
      <c r="L1036" s="48"/>
      <c r="M1036" s="47"/>
      <c r="N1036" s="48"/>
      <c r="O1036" s="48"/>
      <c r="P1036" s="48"/>
    </row>
    <row r="1037" spans="1:16">
      <c r="A1037" s="47">
        <v>40907</v>
      </c>
      <c r="B1037" s="48">
        <v>11404</v>
      </c>
      <c r="C1037" s="48" t="s">
        <v>28</v>
      </c>
      <c r="D1037" s="50">
        <v>4.3924999999999999E-2</v>
      </c>
      <c r="E1037" s="14">
        <v>8.5330000000000007E-3</v>
      </c>
      <c r="F1037" s="48"/>
      <c r="G1037" s="47"/>
      <c r="H1037" s="48"/>
      <c r="I1037" s="48"/>
      <c r="J1037" s="50"/>
      <c r="K1037" s="50"/>
      <c r="L1037" s="48"/>
      <c r="M1037" s="47"/>
      <c r="N1037" s="48"/>
      <c r="O1037" s="48"/>
      <c r="P1037" s="48"/>
    </row>
    <row r="1038" spans="1:16">
      <c r="A1038" s="47">
        <v>40939</v>
      </c>
      <c r="B1038" s="48">
        <v>11404</v>
      </c>
      <c r="C1038" s="48" t="s">
        <v>28</v>
      </c>
      <c r="D1038" s="50">
        <v>-4.9492000000000001E-2</v>
      </c>
      <c r="E1038" s="14">
        <v>4.3582999999999997E-2</v>
      </c>
      <c r="F1038" s="48"/>
      <c r="G1038" s="47"/>
      <c r="H1038" s="48"/>
      <c r="I1038" s="48"/>
      <c r="J1038" s="50"/>
      <c r="K1038" s="50"/>
      <c r="L1038" s="48"/>
      <c r="M1038" s="47"/>
      <c r="N1038" s="48"/>
      <c r="O1038" s="48"/>
      <c r="P1038" s="48"/>
    </row>
    <row r="1039" spans="1:16">
      <c r="A1039" s="47">
        <v>40968</v>
      </c>
      <c r="B1039" s="48">
        <v>11404</v>
      </c>
      <c r="C1039" s="48" t="s">
        <v>28</v>
      </c>
      <c r="D1039" s="50">
        <v>-4.3249999999999999E-3</v>
      </c>
      <c r="E1039" s="14">
        <v>4.0589E-2</v>
      </c>
      <c r="F1039" s="48"/>
      <c r="G1039" s="47"/>
      <c r="H1039" s="48"/>
      <c r="I1039" s="48"/>
      <c r="J1039" s="50"/>
      <c r="K1039" s="50"/>
      <c r="L1039" s="48"/>
      <c r="M1039" s="47"/>
      <c r="N1039" s="48"/>
      <c r="O1039" s="48"/>
      <c r="P1039" s="48"/>
    </row>
    <row r="1040" spans="1:16">
      <c r="A1040" s="47">
        <v>40998</v>
      </c>
      <c r="B1040" s="48">
        <v>11404</v>
      </c>
      <c r="C1040" s="48" t="s">
        <v>28</v>
      </c>
      <c r="D1040" s="50">
        <v>5.5079999999999999E-3</v>
      </c>
      <c r="E1040" s="14">
        <v>3.1331999999999999E-2</v>
      </c>
      <c r="F1040" s="48"/>
      <c r="G1040" s="47"/>
      <c r="H1040" s="48"/>
      <c r="I1040" s="48"/>
      <c r="J1040" s="50"/>
      <c r="K1040" s="50"/>
      <c r="L1040" s="48"/>
      <c r="M1040" s="47"/>
      <c r="N1040" s="48"/>
      <c r="O1040" s="48"/>
      <c r="P1040" s="48"/>
    </row>
    <row r="1041" spans="1:16">
      <c r="A1041" s="47">
        <v>41029</v>
      </c>
      <c r="B1041" s="48">
        <v>11404</v>
      </c>
      <c r="C1041" s="48" t="s">
        <v>28</v>
      </c>
      <c r="D1041" s="50">
        <v>1.7631000000000001E-2</v>
      </c>
      <c r="E1041" s="14">
        <v>-7.4970000000000002E-3</v>
      </c>
      <c r="F1041" s="48"/>
      <c r="G1041" s="47"/>
      <c r="H1041" s="48"/>
      <c r="I1041" s="48"/>
      <c r="J1041" s="50"/>
      <c r="K1041" s="50"/>
      <c r="L1041" s="48"/>
      <c r="M1041" s="47"/>
      <c r="N1041" s="48"/>
      <c r="O1041" s="48"/>
      <c r="P1041" s="48"/>
    </row>
    <row r="1042" spans="1:16">
      <c r="A1042" s="47">
        <v>41060</v>
      </c>
      <c r="B1042" s="48">
        <v>11404</v>
      </c>
      <c r="C1042" s="48" t="s">
        <v>28</v>
      </c>
      <c r="D1042" s="50">
        <v>2.5484E-2</v>
      </c>
      <c r="E1042" s="14">
        <v>-6.2650999999999998E-2</v>
      </c>
      <c r="F1042" s="48"/>
      <c r="G1042" s="47"/>
      <c r="H1042" s="48"/>
      <c r="I1042" s="48"/>
      <c r="J1042" s="50"/>
      <c r="K1042" s="50"/>
      <c r="L1042" s="48"/>
      <c r="M1042" s="47"/>
      <c r="N1042" s="48"/>
      <c r="O1042" s="48"/>
      <c r="P1042" s="48"/>
    </row>
    <row r="1043" spans="1:16">
      <c r="A1043" s="47">
        <v>41089</v>
      </c>
      <c r="B1043" s="48">
        <v>11404</v>
      </c>
      <c r="C1043" s="48" t="s">
        <v>28</v>
      </c>
      <c r="D1043" s="50">
        <v>3.0318000000000001E-2</v>
      </c>
      <c r="E1043" s="14">
        <v>3.9555E-2</v>
      </c>
      <c r="F1043" s="48"/>
      <c r="G1043" s="47"/>
      <c r="H1043" s="48"/>
      <c r="I1043" s="48"/>
      <c r="J1043" s="50"/>
      <c r="K1043" s="50"/>
      <c r="L1043" s="48"/>
      <c r="M1043" s="47"/>
      <c r="N1043" s="48"/>
      <c r="O1043" s="48"/>
      <c r="P1043" s="48"/>
    </row>
    <row r="1044" spans="1:16">
      <c r="A1044" s="47">
        <v>41121</v>
      </c>
      <c r="B1044" s="48">
        <v>11404</v>
      </c>
      <c r="C1044" s="48" t="s">
        <v>28</v>
      </c>
      <c r="D1044" s="50">
        <v>3.7144000000000003E-2</v>
      </c>
      <c r="E1044" s="14">
        <v>1.2598E-2</v>
      </c>
      <c r="F1044" s="48"/>
      <c r="G1044" s="47"/>
      <c r="H1044" s="48"/>
      <c r="I1044" s="48"/>
      <c r="J1044" s="50"/>
      <c r="K1044" s="50"/>
      <c r="L1044" s="48"/>
      <c r="M1044" s="47"/>
      <c r="N1044" s="48"/>
      <c r="O1044" s="48"/>
      <c r="P1044" s="48"/>
    </row>
    <row r="1045" spans="1:16">
      <c r="A1045" s="47">
        <v>41152</v>
      </c>
      <c r="B1045" s="48">
        <v>11404</v>
      </c>
      <c r="C1045" s="48" t="s">
        <v>28</v>
      </c>
      <c r="D1045" s="50">
        <v>-5.0775000000000001E-2</v>
      </c>
      <c r="E1045" s="14">
        <v>1.9762999999999999E-2</v>
      </c>
      <c r="F1045" s="48"/>
      <c r="G1045" s="47"/>
      <c r="H1045" s="48"/>
      <c r="I1045" s="48"/>
      <c r="J1045" s="50"/>
      <c r="K1045" s="50"/>
      <c r="L1045" s="48"/>
      <c r="M1045" s="47"/>
      <c r="N1045" s="48"/>
      <c r="O1045" s="48"/>
      <c r="P1045" s="48"/>
    </row>
    <row r="1046" spans="1:16">
      <c r="A1046" s="47">
        <v>41180</v>
      </c>
      <c r="B1046" s="48">
        <v>11404</v>
      </c>
      <c r="C1046" s="48" t="s">
        <v>28</v>
      </c>
      <c r="D1046" s="50">
        <v>-1.2042000000000001E-2</v>
      </c>
      <c r="E1046" s="14">
        <v>2.4236000000000001E-2</v>
      </c>
      <c r="F1046" s="48"/>
      <c r="G1046" s="47"/>
      <c r="H1046" s="48"/>
      <c r="I1046" s="48"/>
      <c r="J1046" s="50"/>
      <c r="K1046" s="50"/>
      <c r="L1046" s="48"/>
      <c r="M1046" s="47"/>
      <c r="N1046" s="48"/>
      <c r="O1046" s="48"/>
      <c r="P1046" s="48"/>
    </row>
    <row r="1047" spans="1:16">
      <c r="A1047" s="47">
        <v>41213</v>
      </c>
      <c r="B1047" s="48">
        <v>11404</v>
      </c>
      <c r="C1047" s="48" t="s">
        <v>28</v>
      </c>
      <c r="D1047" s="50">
        <v>8.182E-3</v>
      </c>
      <c r="E1047" s="14">
        <v>-1.9789000000000001E-2</v>
      </c>
      <c r="F1047" s="48"/>
      <c r="G1047" s="47"/>
      <c r="H1047" s="48"/>
      <c r="I1047" s="48"/>
      <c r="J1047" s="50"/>
      <c r="K1047" s="50"/>
      <c r="L1047" s="48"/>
      <c r="M1047" s="47"/>
      <c r="N1047" s="48"/>
      <c r="O1047" s="48"/>
      <c r="P1047" s="48"/>
    </row>
    <row r="1048" spans="1:16">
      <c r="A1048" s="47">
        <v>41243</v>
      </c>
      <c r="B1048" s="48">
        <v>11404</v>
      </c>
      <c r="C1048" s="48" t="s">
        <v>28</v>
      </c>
      <c r="D1048" s="50">
        <v>-6.5999000000000002E-2</v>
      </c>
      <c r="E1048" s="14">
        <v>2.8470000000000001E-3</v>
      </c>
      <c r="F1048" s="48"/>
      <c r="G1048" s="47"/>
      <c r="H1048" s="48"/>
      <c r="I1048" s="48"/>
      <c r="J1048" s="50"/>
      <c r="K1048" s="50"/>
      <c r="L1048" s="48"/>
      <c r="M1048" s="47"/>
      <c r="N1048" s="48"/>
      <c r="O1048" s="48"/>
      <c r="P1048" s="48"/>
    </row>
    <row r="1049" spans="1:16">
      <c r="A1049" s="47">
        <v>41274</v>
      </c>
      <c r="B1049" s="48">
        <v>11404</v>
      </c>
      <c r="C1049" s="48" t="s">
        <v>28</v>
      </c>
      <c r="D1049" s="50">
        <v>-4.4809999999999997E-3</v>
      </c>
      <c r="E1049" s="14">
        <v>7.0679999999999996E-3</v>
      </c>
      <c r="F1049" s="48"/>
      <c r="G1049" s="47"/>
      <c r="H1049" s="48"/>
      <c r="I1049" s="48"/>
      <c r="J1049" s="50"/>
      <c r="K1049" s="50"/>
      <c r="L1049" s="48"/>
      <c r="M1049" s="47"/>
      <c r="N1049" s="48"/>
      <c r="O1049" s="48"/>
      <c r="P1049" s="48"/>
    </row>
    <row r="1050" spans="1:16">
      <c r="A1050" s="47">
        <v>41305</v>
      </c>
      <c r="B1050" s="48">
        <v>11404</v>
      </c>
      <c r="C1050" s="48" t="s">
        <v>28</v>
      </c>
      <c r="D1050" s="50">
        <v>2.4126999999999999E-2</v>
      </c>
      <c r="E1050" s="14">
        <v>5.0428000000000001E-2</v>
      </c>
      <c r="F1050" s="48"/>
      <c r="G1050" s="47"/>
      <c r="H1050" s="48"/>
      <c r="I1050" s="48"/>
      <c r="J1050" s="50"/>
      <c r="K1050" s="50"/>
      <c r="L1050" s="48"/>
      <c r="M1050" s="47"/>
      <c r="N1050" s="48"/>
      <c r="O1050" s="48"/>
      <c r="P1050" s="48"/>
    </row>
    <row r="1051" spans="1:16">
      <c r="A1051" s="47">
        <v>41333</v>
      </c>
      <c r="B1051" s="48">
        <v>11404</v>
      </c>
      <c r="C1051" s="48" t="s">
        <v>28</v>
      </c>
      <c r="D1051" s="50">
        <v>4.8084000000000002E-2</v>
      </c>
      <c r="E1051" s="14">
        <v>1.1061E-2</v>
      </c>
      <c r="F1051" s="48"/>
      <c r="G1051" s="47"/>
      <c r="H1051" s="48"/>
      <c r="I1051" s="48"/>
      <c r="J1051" s="50"/>
      <c r="K1051" s="50"/>
      <c r="L1051" s="48"/>
      <c r="M1051" s="47"/>
      <c r="N1051" s="48"/>
      <c r="O1051" s="48"/>
      <c r="P1051" s="48"/>
    </row>
    <row r="1052" spans="1:16">
      <c r="A1052" s="47">
        <v>41361</v>
      </c>
      <c r="B1052" s="48">
        <v>11404</v>
      </c>
      <c r="C1052" s="48" t="s">
        <v>28</v>
      </c>
      <c r="D1052" s="50">
        <v>3.4407E-2</v>
      </c>
      <c r="E1052" s="14">
        <v>3.5987999999999999E-2</v>
      </c>
      <c r="F1052" s="48"/>
      <c r="G1052" s="47"/>
      <c r="H1052" s="48"/>
      <c r="I1052" s="48"/>
      <c r="J1052" s="50"/>
      <c r="K1052" s="50"/>
      <c r="L1052" s="48"/>
      <c r="M1052" s="47"/>
      <c r="N1052" s="48"/>
      <c r="O1052" s="48"/>
      <c r="P1052" s="48"/>
    </row>
    <row r="1053" spans="1:16">
      <c r="A1053" s="47">
        <v>41394</v>
      </c>
      <c r="B1053" s="48">
        <v>11404</v>
      </c>
      <c r="C1053" s="48" t="s">
        <v>28</v>
      </c>
      <c r="D1053" s="50">
        <v>4.2930000000000003E-2</v>
      </c>
      <c r="E1053" s="14">
        <v>1.8086000000000001E-2</v>
      </c>
      <c r="F1053" s="48"/>
      <c r="G1053" s="47"/>
      <c r="H1053" s="48"/>
      <c r="I1053" s="48"/>
      <c r="J1053" s="50"/>
      <c r="K1053" s="50"/>
      <c r="L1053" s="48"/>
      <c r="M1053" s="47"/>
      <c r="N1053" s="48"/>
      <c r="O1053" s="48"/>
      <c r="P1053" s="48"/>
    </row>
    <row r="1054" spans="1:16">
      <c r="A1054" s="47">
        <v>41425</v>
      </c>
      <c r="B1054" s="48">
        <v>11404</v>
      </c>
      <c r="C1054" s="48" t="s">
        <v>28</v>
      </c>
      <c r="D1054" s="50">
        <v>-9.3715999999999994E-2</v>
      </c>
      <c r="E1054" s="14">
        <v>2.0763E-2</v>
      </c>
      <c r="F1054" s="48"/>
      <c r="G1054" s="47"/>
      <c r="H1054" s="48"/>
      <c r="I1054" s="48"/>
      <c r="J1054" s="50"/>
      <c r="K1054" s="50"/>
      <c r="L1054" s="48"/>
      <c r="M1054" s="47"/>
      <c r="N1054" s="48"/>
      <c r="O1054" s="48"/>
      <c r="P1054" s="48"/>
    </row>
    <row r="1055" spans="1:16">
      <c r="A1055" s="47">
        <v>41453</v>
      </c>
      <c r="B1055" s="48">
        <v>11404</v>
      </c>
      <c r="C1055" s="48" t="s">
        <v>28</v>
      </c>
      <c r="D1055" s="50">
        <v>2.1728000000000001E-2</v>
      </c>
      <c r="E1055" s="14">
        <v>-1.4999E-2</v>
      </c>
      <c r="F1055" s="48"/>
      <c r="G1055" s="47"/>
      <c r="H1055" s="48"/>
      <c r="I1055" s="48"/>
      <c r="J1055" s="50"/>
      <c r="K1055" s="50"/>
      <c r="L1055" s="48"/>
      <c r="M1055" s="47"/>
      <c r="N1055" s="48"/>
      <c r="O1055" s="48"/>
      <c r="P1055" s="48"/>
    </row>
    <row r="1056" spans="1:16">
      <c r="A1056" s="47">
        <v>41486</v>
      </c>
      <c r="B1056" s="48">
        <v>11404</v>
      </c>
      <c r="C1056" s="48" t="s">
        <v>28</v>
      </c>
      <c r="D1056" s="50">
        <v>2.7268000000000001E-2</v>
      </c>
      <c r="E1056" s="14">
        <v>4.9461999999999999E-2</v>
      </c>
      <c r="F1056" s="48"/>
      <c r="G1056" s="47"/>
      <c r="H1056" s="48"/>
      <c r="I1056" s="48"/>
      <c r="J1056" s="50"/>
      <c r="K1056" s="50"/>
      <c r="L1056" s="48"/>
      <c r="M1056" s="47"/>
      <c r="N1056" s="48"/>
      <c r="O1056" s="48"/>
      <c r="P1056" s="48"/>
    </row>
    <row r="1057" spans="1:16">
      <c r="A1057" s="47">
        <v>41516</v>
      </c>
      <c r="B1057" s="48">
        <v>11404</v>
      </c>
      <c r="C1057" s="48" t="s">
        <v>28</v>
      </c>
      <c r="D1057" s="50">
        <v>-5.1001999999999999E-2</v>
      </c>
      <c r="E1057" s="14">
        <v>-3.1297999999999999E-2</v>
      </c>
      <c r="F1057" s="48"/>
      <c r="G1057" s="47"/>
      <c r="H1057" s="48"/>
      <c r="I1057" s="48"/>
      <c r="J1057" s="50"/>
      <c r="K1057" s="50"/>
      <c r="L1057" s="48"/>
      <c r="M1057" s="47"/>
      <c r="N1057" s="48"/>
      <c r="O1057" s="48"/>
      <c r="P1057" s="48"/>
    </row>
    <row r="1058" spans="1:16">
      <c r="A1058" s="47">
        <v>41547</v>
      </c>
      <c r="B1058" s="48">
        <v>11404</v>
      </c>
      <c r="C1058" s="48" t="s">
        <v>28</v>
      </c>
      <c r="D1058" s="50">
        <v>-1.9384999999999999E-2</v>
      </c>
      <c r="E1058" s="14">
        <v>2.9749000000000001E-2</v>
      </c>
      <c r="F1058" s="48"/>
      <c r="G1058" s="47"/>
      <c r="H1058" s="48"/>
      <c r="I1058" s="48"/>
      <c r="J1058" s="50"/>
      <c r="K1058" s="50"/>
      <c r="L1058" s="48"/>
      <c r="M1058" s="47"/>
      <c r="N1058" s="48"/>
      <c r="O1058" s="48"/>
      <c r="P1058" s="48"/>
    </row>
    <row r="1059" spans="1:16">
      <c r="A1059" s="47">
        <v>41578</v>
      </c>
      <c r="B1059" s="48">
        <v>11404</v>
      </c>
      <c r="C1059" s="48" t="s">
        <v>28</v>
      </c>
      <c r="D1059" s="50">
        <v>5.5857999999999998E-2</v>
      </c>
      <c r="E1059" s="14">
        <v>4.4595999999999997E-2</v>
      </c>
      <c r="F1059" s="48"/>
      <c r="G1059" s="47"/>
      <c r="H1059" s="48"/>
      <c r="I1059" s="48"/>
      <c r="J1059" s="50"/>
      <c r="K1059" s="50"/>
      <c r="L1059" s="48"/>
      <c r="M1059" s="47"/>
      <c r="N1059" s="48"/>
      <c r="O1059" s="48"/>
      <c r="P1059" s="48"/>
    </row>
    <row r="1060" spans="1:16">
      <c r="A1060" s="47">
        <v>41607</v>
      </c>
      <c r="B1060" s="48">
        <v>11404</v>
      </c>
      <c r="C1060" s="48" t="s">
        <v>28</v>
      </c>
      <c r="D1060" s="50">
        <v>-4.1137E-2</v>
      </c>
      <c r="E1060" s="14">
        <v>2.8049000000000001E-2</v>
      </c>
      <c r="F1060" s="48"/>
      <c r="G1060" s="47"/>
      <c r="H1060" s="48"/>
      <c r="I1060" s="48"/>
      <c r="J1060" s="50"/>
      <c r="K1060" s="50"/>
      <c r="L1060" s="48"/>
      <c r="M1060" s="47"/>
      <c r="N1060" s="48"/>
      <c r="O1060" s="48"/>
      <c r="P1060" s="48"/>
    </row>
    <row r="1061" spans="1:16">
      <c r="A1061" s="47">
        <v>41639</v>
      </c>
      <c r="B1061" s="48">
        <v>11404</v>
      </c>
      <c r="C1061" s="48" t="s">
        <v>28</v>
      </c>
      <c r="D1061" s="50">
        <v>1.268E-3</v>
      </c>
      <c r="E1061" s="14">
        <v>2.3563000000000001E-2</v>
      </c>
      <c r="F1061" s="48"/>
      <c r="G1061" s="47"/>
      <c r="H1061" s="48"/>
      <c r="I1061" s="48"/>
      <c r="J1061" s="50"/>
      <c r="K1061" s="50"/>
      <c r="L1061" s="48"/>
      <c r="M1061" s="47"/>
      <c r="N1061" s="48"/>
      <c r="O1061" s="48"/>
      <c r="P1061" s="48"/>
    </row>
    <row r="1062" spans="1:16">
      <c r="A1062" s="47">
        <v>41670</v>
      </c>
      <c r="B1062" s="48">
        <v>11404</v>
      </c>
      <c r="C1062" s="48" t="s">
        <v>28</v>
      </c>
      <c r="D1062" s="50">
        <v>-1.5737999999999999E-2</v>
      </c>
      <c r="E1062" s="14">
        <v>-3.5582999999999997E-2</v>
      </c>
      <c r="F1062" s="48"/>
      <c r="G1062" s="47"/>
      <c r="H1062" s="48"/>
      <c r="I1062" s="48"/>
      <c r="J1062" s="50"/>
      <c r="K1062" s="50"/>
      <c r="L1062" s="48"/>
      <c r="M1062" s="47"/>
      <c r="N1062" s="48"/>
      <c r="O1062" s="48"/>
      <c r="P1062" s="48"/>
    </row>
    <row r="1063" spans="1:16">
      <c r="A1063" s="47">
        <v>41698</v>
      </c>
      <c r="B1063" s="48">
        <v>11404</v>
      </c>
      <c r="C1063" s="48" t="s">
        <v>28</v>
      </c>
      <c r="D1063" s="50">
        <v>4.172E-2</v>
      </c>
      <c r="E1063" s="14">
        <v>4.3117000000000003E-2</v>
      </c>
      <c r="F1063" s="48"/>
      <c r="G1063" s="47"/>
      <c r="H1063" s="48"/>
      <c r="I1063" s="48"/>
      <c r="J1063" s="50"/>
      <c r="K1063" s="50"/>
      <c r="L1063" s="48"/>
      <c r="M1063" s="47"/>
      <c r="N1063" s="48"/>
      <c r="O1063" s="48"/>
      <c r="P1063" s="48"/>
    </row>
    <row r="1064" spans="1:16">
      <c r="A1064" s="47">
        <v>41729</v>
      </c>
      <c r="B1064" s="48">
        <v>11404</v>
      </c>
      <c r="C1064" s="48" t="s">
        <v>28</v>
      </c>
      <c r="D1064" s="50">
        <v>-4.2819000000000003E-2</v>
      </c>
      <c r="E1064" s="14">
        <v>6.9319999999999998E-3</v>
      </c>
      <c r="F1064" s="48"/>
      <c r="G1064" s="47"/>
      <c r="H1064" s="48"/>
      <c r="I1064" s="48"/>
      <c r="J1064" s="50"/>
      <c r="K1064" s="50"/>
      <c r="L1064" s="48"/>
      <c r="M1064" s="47"/>
      <c r="N1064" s="48"/>
      <c r="O1064" s="48"/>
      <c r="P1064" s="48"/>
    </row>
    <row r="1065" spans="1:16">
      <c r="A1065" s="47">
        <v>41759</v>
      </c>
      <c r="B1065" s="48">
        <v>11404</v>
      </c>
      <c r="C1065" s="48" t="s">
        <v>28</v>
      </c>
      <c r="D1065" s="50">
        <v>8.1640000000000004E-2</v>
      </c>
      <c r="E1065" s="14">
        <v>6.2009999999999999E-3</v>
      </c>
      <c r="F1065" s="48"/>
      <c r="G1065" s="47"/>
      <c r="H1065" s="48"/>
      <c r="I1065" s="48"/>
      <c r="J1065" s="50"/>
      <c r="K1065" s="50"/>
      <c r="L1065" s="48"/>
      <c r="M1065" s="47"/>
      <c r="N1065" s="48"/>
      <c r="O1065" s="48"/>
      <c r="P1065" s="48"/>
    </row>
    <row r="1066" spans="1:16">
      <c r="A1066" s="47">
        <v>41789</v>
      </c>
      <c r="B1066" s="48">
        <v>11404</v>
      </c>
      <c r="C1066" s="48" t="s">
        <v>28</v>
      </c>
      <c r="D1066" s="50">
        <v>-4.1186E-2</v>
      </c>
      <c r="E1066" s="14">
        <v>2.103E-2</v>
      </c>
      <c r="F1066" s="48"/>
      <c r="G1066" s="47"/>
      <c r="H1066" s="48"/>
      <c r="I1066" s="48"/>
      <c r="J1066" s="50"/>
      <c r="K1066" s="50"/>
      <c r="L1066" s="48"/>
      <c r="M1066" s="47"/>
      <c r="N1066" s="48"/>
      <c r="O1066" s="48"/>
      <c r="P1066" s="48"/>
    </row>
    <row r="1067" spans="1:16">
      <c r="A1067" s="47">
        <v>41820</v>
      </c>
      <c r="B1067" s="48">
        <v>11404</v>
      </c>
      <c r="C1067" s="48" t="s">
        <v>28</v>
      </c>
      <c r="D1067" s="50">
        <v>4.9626999999999998E-2</v>
      </c>
      <c r="E1067" s="14">
        <v>1.9057999999999999E-2</v>
      </c>
      <c r="F1067" s="48"/>
      <c r="G1067" s="47"/>
      <c r="H1067" s="48"/>
      <c r="I1067" s="48"/>
      <c r="J1067" s="50"/>
      <c r="K1067" s="50"/>
      <c r="L1067" s="48"/>
      <c r="M1067" s="47"/>
      <c r="N1067" s="48"/>
      <c r="O1067" s="48"/>
      <c r="P1067" s="48"/>
    </row>
    <row r="1068" spans="1:16">
      <c r="A1068" s="47">
        <v>41851</v>
      </c>
      <c r="B1068" s="48">
        <v>11404</v>
      </c>
      <c r="C1068" s="48" t="s">
        <v>28</v>
      </c>
      <c r="D1068" s="50">
        <v>-2.8576000000000001E-2</v>
      </c>
      <c r="E1068" s="14">
        <v>-1.508E-2</v>
      </c>
      <c r="F1068" s="48"/>
      <c r="G1068" s="47"/>
      <c r="H1068" s="48"/>
      <c r="I1068" s="48"/>
      <c r="J1068" s="50"/>
      <c r="K1068" s="50"/>
      <c r="L1068" s="48"/>
      <c r="M1068" s="47"/>
      <c r="N1068" s="48"/>
      <c r="O1068" s="48"/>
      <c r="P1068" s="48"/>
    </row>
    <row r="1069" spans="1:16">
      <c r="A1069" s="47">
        <v>41880</v>
      </c>
      <c r="B1069" s="48">
        <v>11404</v>
      </c>
      <c r="C1069" s="48" t="s">
        <v>28</v>
      </c>
      <c r="D1069" s="50">
        <v>4.3323E-2</v>
      </c>
      <c r="E1069" s="14">
        <v>3.7655000000000001E-2</v>
      </c>
      <c r="F1069" s="48"/>
      <c r="G1069" s="47"/>
      <c r="H1069" s="48"/>
      <c r="I1069" s="48"/>
      <c r="J1069" s="50"/>
      <c r="K1069" s="50"/>
      <c r="L1069" s="48"/>
      <c r="M1069" s="47"/>
      <c r="N1069" s="48"/>
      <c r="O1069" s="48"/>
      <c r="P1069" s="48"/>
    </row>
    <row r="1070" spans="1:16">
      <c r="A1070" s="47">
        <v>41912</v>
      </c>
      <c r="B1070" s="48">
        <v>11404</v>
      </c>
      <c r="C1070" s="48" t="s">
        <v>28</v>
      </c>
      <c r="D1070" s="50">
        <v>-2.1246999999999999E-2</v>
      </c>
      <c r="E1070" s="14">
        <v>-1.5514E-2</v>
      </c>
      <c r="F1070" s="48"/>
      <c r="G1070" s="47"/>
      <c r="H1070" s="48"/>
      <c r="I1070" s="48"/>
      <c r="J1070" s="50"/>
      <c r="K1070" s="50"/>
      <c r="L1070" s="48"/>
      <c r="M1070" s="47"/>
      <c r="N1070" s="48"/>
      <c r="O1070" s="48"/>
      <c r="P1070" s="48"/>
    </row>
    <row r="1071" spans="1:16">
      <c r="A1071" s="47">
        <v>41943</v>
      </c>
      <c r="B1071" s="48">
        <v>11404</v>
      </c>
      <c r="C1071" s="48" t="s">
        <v>28</v>
      </c>
      <c r="D1071" s="50">
        <v>0.11824900000000001</v>
      </c>
      <c r="E1071" s="14">
        <v>2.3200999999999999E-2</v>
      </c>
      <c r="F1071" s="48"/>
      <c r="G1071" s="47"/>
      <c r="H1071" s="48"/>
      <c r="I1071" s="48"/>
      <c r="J1071" s="50"/>
      <c r="K1071" s="50"/>
      <c r="L1071" s="48"/>
      <c r="M1071" s="47"/>
      <c r="N1071" s="48"/>
      <c r="O1071" s="48"/>
      <c r="P1071" s="48"/>
    </row>
    <row r="1072" spans="1:16">
      <c r="A1072" s="47">
        <v>41971</v>
      </c>
      <c r="B1072" s="48">
        <v>11404</v>
      </c>
      <c r="C1072" s="48" t="s">
        <v>28</v>
      </c>
      <c r="D1072" s="50">
        <v>6.6290000000000003E-3</v>
      </c>
      <c r="E1072" s="14">
        <v>2.4534E-2</v>
      </c>
      <c r="F1072" s="48"/>
      <c r="G1072" s="47"/>
      <c r="H1072" s="48"/>
      <c r="I1072" s="48"/>
      <c r="J1072" s="50"/>
      <c r="K1072" s="50"/>
      <c r="L1072" s="48"/>
      <c r="M1072" s="47"/>
      <c r="N1072" s="48"/>
      <c r="O1072" s="48"/>
      <c r="P1072" s="48"/>
    </row>
    <row r="1073" spans="1:16">
      <c r="A1073" s="47">
        <v>42004</v>
      </c>
      <c r="B1073" s="48">
        <v>11404</v>
      </c>
      <c r="C1073" s="48" t="s">
        <v>28</v>
      </c>
      <c r="D1073" s="50">
        <v>4.5289000000000003E-2</v>
      </c>
      <c r="E1073" s="14">
        <v>-4.189E-3</v>
      </c>
      <c r="F1073" s="48"/>
      <c r="G1073" s="47"/>
      <c r="H1073" s="48"/>
      <c r="I1073" s="48"/>
      <c r="J1073" s="50"/>
      <c r="K1073" s="50"/>
      <c r="L1073" s="48"/>
      <c r="M1073" s="47"/>
      <c r="N1073" s="48"/>
      <c r="O1073" s="48"/>
      <c r="P1073" s="48"/>
    </row>
    <row r="1074" spans="1:16">
      <c r="A1074" s="47">
        <v>42034</v>
      </c>
      <c r="B1074" s="48">
        <v>11404</v>
      </c>
      <c r="C1074" s="48" t="s">
        <v>28</v>
      </c>
      <c r="D1074" s="50">
        <v>4.9537999999999999E-2</v>
      </c>
      <c r="E1074" s="14">
        <v>-3.1040999999999999E-2</v>
      </c>
      <c r="F1074" s="48"/>
      <c r="G1074" s="47"/>
      <c r="H1074" s="48"/>
      <c r="I1074" s="48"/>
      <c r="J1074" s="50"/>
      <c r="K1074" s="50"/>
      <c r="L1074" s="48"/>
      <c r="M1074" s="47"/>
      <c r="N1074" s="48"/>
      <c r="O1074" s="48"/>
      <c r="P1074" s="48"/>
    </row>
    <row r="1075" spans="1:16">
      <c r="A1075" s="47">
        <v>42062</v>
      </c>
      <c r="B1075" s="48">
        <v>11404</v>
      </c>
      <c r="C1075" s="48" t="s">
        <v>28</v>
      </c>
      <c r="D1075" s="50">
        <v>-7.9243999999999995E-2</v>
      </c>
      <c r="E1075" s="14">
        <v>5.4892999999999997E-2</v>
      </c>
      <c r="F1075" s="48"/>
      <c r="G1075" s="47"/>
      <c r="H1075" s="48"/>
      <c r="I1075" s="48"/>
      <c r="J1075" s="50"/>
      <c r="K1075" s="50"/>
      <c r="L1075" s="48"/>
      <c r="M1075" s="47"/>
      <c r="N1075" s="48"/>
      <c r="O1075" s="48"/>
      <c r="P1075" s="48"/>
    </row>
    <row r="1076" spans="1:16">
      <c r="A1076" s="47">
        <v>42094</v>
      </c>
      <c r="B1076" s="48">
        <v>11404</v>
      </c>
      <c r="C1076" s="48" t="s">
        <v>28</v>
      </c>
      <c r="D1076" s="50">
        <v>-3.3893E-2</v>
      </c>
      <c r="E1076" s="14">
        <v>-1.7395999999999998E-2</v>
      </c>
      <c r="F1076" s="48"/>
      <c r="G1076" s="47"/>
      <c r="H1076" s="48"/>
      <c r="I1076" s="48"/>
      <c r="J1076" s="50"/>
      <c r="K1076" s="50"/>
      <c r="L1076" s="48"/>
      <c r="M1076" s="47"/>
      <c r="N1076" s="48"/>
      <c r="O1076" s="48"/>
      <c r="P1076" s="48"/>
    </row>
    <row r="1077" spans="1:16">
      <c r="A1077" s="47">
        <v>42124</v>
      </c>
      <c r="B1077" s="48">
        <v>11404</v>
      </c>
      <c r="C1077" s="48" t="s">
        <v>28</v>
      </c>
      <c r="D1077" s="50">
        <v>9.0159999999999997E-3</v>
      </c>
      <c r="E1077" s="14">
        <v>8.5210000000000008E-3</v>
      </c>
      <c r="F1077" s="48"/>
      <c r="G1077" s="47"/>
      <c r="H1077" s="48"/>
      <c r="I1077" s="48"/>
      <c r="J1077" s="50"/>
      <c r="K1077" s="50"/>
      <c r="L1077" s="48"/>
      <c r="M1077" s="47"/>
      <c r="N1077" s="48"/>
      <c r="O1077" s="48"/>
      <c r="P1077" s="48"/>
    </row>
    <row r="1078" spans="1:16">
      <c r="A1078" s="47">
        <v>42153</v>
      </c>
      <c r="B1078" s="48">
        <v>11404</v>
      </c>
      <c r="C1078" s="48" t="s">
        <v>28</v>
      </c>
      <c r="D1078" s="50">
        <v>1.5272000000000001E-2</v>
      </c>
      <c r="E1078" s="14">
        <v>1.0491E-2</v>
      </c>
      <c r="F1078" s="48"/>
      <c r="G1078" s="47"/>
      <c r="H1078" s="48"/>
      <c r="I1078" s="48"/>
      <c r="J1078" s="50"/>
      <c r="K1078" s="50"/>
      <c r="L1078" s="48"/>
      <c r="M1078" s="47"/>
      <c r="N1078" s="48"/>
      <c r="O1078" s="48"/>
      <c r="P1078" s="48"/>
    </row>
    <row r="1079" spans="1:16">
      <c r="A1079" s="47">
        <v>42185</v>
      </c>
      <c r="B1079" s="48">
        <v>11404</v>
      </c>
      <c r="C1079" s="48" t="s">
        <v>28</v>
      </c>
      <c r="D1079" s="50">
        <v>-6.4035999999999996E-2</v>
      </c>
      <c r="E1079" s="14">
        <v>-2.1011999999999999E-2</v>
      </c>
      <c r="F1079" s="48"/>
      <c r="G1079" s="47"/>
      <c r="H1079" s="48"/>
      <c r="I1079" s="48"/>
      <c r="J1079" s="50"/>
      <c r="K1079" s="50"/>
      <c r="L1079" s="48"/>
      <c r="M1079" s="47"/>
      <c r="N1079" s="48"/>
      <c r="O1079" s="48"/>
      <c r="P1079" s="48"/>
    </row>
    <row r="1080" spans="1:16">
      <c r="A1080" s="47">
        <v>42216</v>
      </c>
      <c r="B1080" s="48">
        <v>11404</v>
      </c>
      <c r="C1080" s="48" t="s">
        <v>28</v>
      </c>
      <c r="D1080" s="50">
        <v>9.8652000000000004E-2</v>
      </c>
      <c r="E1080" s="14">
        <v>1.9741999999999999E-2</v>
      </c>
      <c r="F1080" s="48"/>
      <c r="G1080" s="47"/>
      <c r="H1080" s="48"/>
      <c r="I1080" s="48"/>
      <c r="J1080" s="50"/>
      <c r="K1080" s="50"/>
      <c r="L1080" s="48"/>
      <c r="M1080" s="47"/>
      <c r="N1080" s="48"/>
      <c r="O1080" s="48"/>
      <c r="P1080" s="48"/>
    </row>
    <row r="1081" spans="1:16">
      <c r="A1081" s="47">
        <v>42247</v>
      </c>
      <c r="B1081" s="48">
        <v>11404</v>
      </c>
      <c r="C1081" s="48" t="s">
        <v>28</v>
      </c>
      <c r="D1081" s="50">
        <v>-4.7199999999999998E-4</v>
      </c>
      <c r="E1081" s="14">
        <v>-6.2580999999999998E-2</v>
      </c>
      <c r="F1081" s="48"/>
      <c r="G1081" s="47"/>
      <c r="H1081" s="48"/>
      <c r="I1081" s="48"/>
      <c r="J1081" s="50"/>
      <c r="K1081" s="50"/>
      <c r="L1081" s="48"/>
      <c r="M1081" s="47"/>
      <c r="N1081" s="48"/>
      <c r="O1081" s="48"/>
      <c r="P1081" s="48"/>
    </row>
    <row r="1082" spans="1:16">
      <c r="A1082" s="47">
        <v>42277</v>
      </c>
      <c r="B1082" s="48">
        <v>11404</v>
      </c>
      <c r="C1082" s="48" t="s">
        <v>28</v>
      </c>
      <c r="D1082" s="50">
        <v>6.2629000000000004E-2</v>
      </c>
      <c r="E1082" s="14">
        <v>-2.6443000000000001E-2</v>
      </c>
      <c r="F1082" s="48"/>
      <c r="G1082" s="47"/>
      <c r="H1082" s="48"/>
      <c r="I1082" s="48"/>
      <c r="J1082" s="50"/>
      <c r="K1082" s="50"/>
      <c r="L1082" s="48"/>
      <c r="M1082" s="47"/>
      <c r="N1082" s="48"/>
      <c r="O1082" s="48"/>
      <c r="P1082" s="48"/>
    </row>
    <row r="1083" spans="1:16">
      <c r="A1083" s="47">
        <v>42307</v>
      </c>
      <c r="B1083" s="48">
        <v>11404</v>
      </c>
      <c r="C1083" s="48" t="s">
        <v>28</v>
      </c>
      <c r="D1083" s="50">
        <v>-1.6455000000000001E-2</v>
      </c>
      <c r="E1083" s="14">
        <v>8.2983000000000001E-2</v>
      </c>
      <c r="F1083" s="48"/>
      <c r="G1083" s="47"/>
      <c r="H1083" s="48"/>
      <c r="I1083" s="48"/>
      <c r="J1083" s="50"/>
      <c r="K1083" s="50"/>
      <c r="L1083" s="48"/>
      <c r="M1083" s="47"/>
      <c r="N1083" s="48"/>
      <c r="O1083" s="48"/>
      <c r="P1083" s="48"/>
    </row>
    <row r="1084" spans="1:16">
      <c r="A1084" s="47">
        <v>42338</v>
      </c>
      <c r="B1084" s="48">
        <v>11404</v>
      </c>
      <c r="C1084" s="48" t="s">
        <v>28</v>
      </c>
      <c r="D1084" s="50">
        <v>-4.4866999999999997E-2</v>
      </c>
      <c r="E1084" s="14">
        <v>5.0500000000000002E-4</v>
      </c>
      <c r="F1084" s="48"/>
      <c r="G1084" s="47"/>
      <c r="H1084" s="48"/>
      <c r="I1084" s="48"/>
      <c r="J1084" s="50"/>
      <c r="K1084" s="50"/>
      <c r="L1084" s="48"/>
      <c r="M1084" s="47"/>
      <c r="N1084" s="48"/>
      <c r="O1084" s="48"/>
      <c r="P1084" s="48"/>
    </row>
    <row r="1085" spans="1:16">
      <c r="A1085" s="47">
        <v>42369</v>
      </c>
      <c r="B1085" s="48">
        <v>11404</v>
      </c>
      <c r="C1085" s="48" t="s">
        <v>28</v>
      </c>
      <c r="D1085" s="50">
        <v>3.4111000000000002E-2</v>
      </c>
      <c r="E1085" s="14">
        <v>-1.753E-2</v>
      </c>
      <c r="F1085" s="48"/>
      <c r="G1085" s="47"/>
      <c r="H1085" s="48"/>
      <c r="I1085" s="48"/>
      <c r="J1085" s="50"/>
      <c r="K1085" s="50"/>
      <c r="L1085" s="48"/>
      <c r="M1085" s="47"/>
      <c r="N1085" s="48"/>
      <c r="O1085" s="48"/>
      <c r="P1085" s="48"/>
    </row>
    <row r="1086" spans="1:16">
      <c r="A1086" s="47">
        <v>42398</v>
      </c>
      <c r="B1086" s="48">
        <v>11404</v>
      </c>
      <c r="C1086" s="48" t="s">
        <v>28</v>
      </c>
      <c r="D1086" s="50">
        <v>7.9663999999999999E-2</v>
      </c>
      <c r="E1086" s="14">
        <v>-5.0735000000000002E-2</v>
      </c>
      <c r="F1086" s="48"/>
      <c r="G1086" s="47"/>
      <c r="H1086" s="48"/>
      <c r="I1086" s="48"/>
      <c r="J1086" s="50"/>
      <c r="K1086" s="50"/>
      <c r="L1086" s="48"/>
      <c r="M1086" s="47"/>
      <c r="N1086" s="48"/>
      <c r="O1086" s="48"/>
      <c r="P1086" s="48"/>
    </row>
    <row r="1087" spans="1:16">
      <c r="A1087" s="47">
        <v>42429</v>
      </c>
      <c r="B1087" s="48">
        <v>11404</v>
      </c>
      <c r="C1087" s="48" t="s">
        <v>28</v>
      </c>
      <c r="D1087" s="50">
        <v>1.8591E-2</v>
      </c>
      <c r="E1087" s="14">
        <v>-4.1279999999999997E-3</v>
      </c>
      <c r="F1087" s="48"/>
      <c r="G1087" s="47"/>
      <c r="H1087" s="48"/>
      <c r="I1087" s="48"/>
      <c r="J1087" s="50"/>
      <c r="K1087" s="50"/>
      <c r="L1087" s="48"/>
      <c r="M1087" s="47"/>
      <c r="N1087" s="48"/>
      <c r="O1087" s="48"/>
      <c r="P1087" s="48"/>
    </row>
    <row r="1088" spans="1:16">
      <c r="A1088" s="47">
        <v>42460</v>
      </c>
      <c r="B1088" s="48">
        <v>11404</v>
      </c>
      <c r="C1088" s="48" t="s">
        <v>28</v>
      </c>
      <c r="D1088" s="50">
        <v>9.4414999999999999E-2</v>
      </c>
      <c r="E1088" s="14">
        <v>6.5990999999999994E-2</v>
      </c>
      <c r="F1088" s="48"/>
      <c r="G1088" s="47"/>
      <c r="H1088" s="48"/>
      <c r="I1088" s="48"/>
      <c r="J1088" s="50"/>
      <c r="K1088" s="50"/>
      <c r="L1088" s="48"/>
      <c r="M1088" s="47"/>
      <c r="N1088" s="48"/>
      <c r="O1088" s="48"/>
      <c r="P1088" s="48"/>
    </row>
    <row r="1089" spans="1:16">
      <c r="A1089" s="47">
        <v>42489</v>
      </c>
      <c r="B1089" s="48">
        <v>11404</v>
      </c>
      <c r="C1089" s="48" t="s">
        <v>28</v>
      </c>
      <c r="D1089" s="50">
        <v>-2.6363999999999999E-2</v>
      </c>
      <c r="E1089" s="14">
        <v>2.699E-3</v>
      </c>
      <c r="F1089" s="48"/>
      <c r="G1089" s="47"/>
      <c r="H1089" s="48"/>
      <c r="I1089" s="48"/>
      <c r="J1089" s="50"/>
      <c r="K1089" s="50"/>
      <c r="L1089" s="48"/>
      <c r="M1089" s="47"/>
      <c r="N1089" s="48"/>
      <c r="O1089" s="48"/>
      <c r="P1089" s="48"/>
    </row>
    <row r="1090" spans="1:16">
      <c r="A1090" s="47">
        <v>42521</v>
      </c>
      <c r="B1090" s="48">
        <v>11404</v>
      </c>
      <c r="C1090" s="48" t="s">
        <v>28</v>
      </c>
      <c r="D1090" s="50">
        <v>-8.9809999999999994E-3</v>
      </c>
      <c r="E1090" s="14">
        <v>1.5329000000000001E-2</v>
      </c>
      <c r="F1090" s="48"/>
      <c r="G1090" s="47"/>
      <c r="H1090" s="48"/>
      <c r="I1090" s="48"/>
      <c r="J1090" s="50"/>
      <c r="K1090" s="50"/>
      <c r="L1090" s="48"/>
      <c r="M1090" s="47"/>
      <c r="N1090" s="48"/>
      <c r="O1090" s="48"/>
      <c r="P1090" s="48"/>
    </row>
    <row r="1091" spans="1:16">
      <c r="A1091" s="47">
        <v>42551</v>
      </c>
      <c r="B1091" s="48">
        <v>11404</v>
      </c>
      <c r="C1091" s="48" t="s">
        <v>28</v>
      </c>
      <c r="D1091" s="50">
        <v>9.8006999999999997E-2</v>
      </c>
      <c r="E1091" s="14">
        <v>9.0600000000000001E-4</v>
      </c>
      <c r="F1091" s="48"/>
      <c r="G1091" s="47"/>
      <c r="H1091" s="48"/>
      <c r="I1091" s="48"/>
      <c r="J1091" s="50"/>
      <c r="K1091" s="50"/>
      <c r="L1091" s="48"/>
      <c r="M1091" s="47"/>
      <c r="N1091" s="48"/>
      <c r="O1091" s="48"/>
      <c r="P1091" s="48"/>
    </row>
    <row r="1092" spans="1:16">
      <c r="A1092" s="47">
        <v>42580</v>
      </c>
      <c r="B1092" s="48">
        <v>11404</v>
      </c>
      <c r="C1092" s="48" t="s">
        <v>28</v>
      </c>
      <c r="D1092" s="50">
        <v>-4.4749999999999998E-3</v>
      </c>
      <c r="E1092" s="14">
        <v>3.5610000000000003E-2</v>
      </c>
      <c r="F1092" s="48"/>
      <c r="G1092" s="47"/>
      <c r="H1092" s="48"/>
      <c r="I1092" s="48"/>
      <c r="J1092" s="50"/>
      <c r="K1092" s="50"/>
      <c r="L1092" s="48"/>
      <c r="M1092" s="47"/>
      <c r="N1092" s="48"/>
      <c r="O1092" s="48"/>
      <c r="P1092" s="48"/>
    </row>
    <row r="1093" spans="1:16">
      <c r="A1093" s="47">
        <v>42613</v>
      </c>
      <c r="B1093" s="48">
        <v>11404</v>
      </c>
      <c r="C1093" s="48" t="s">
        <v>28</v>
      </c>
      <c r="D1093" s="50">
        <v>-5.1948000000000001E-2</v>
      </c>
      <c r="E1093" s="14">
        <v>-1.219E-3</v>
      </c>
      <c r="F1093" s="48"/>
      <c r="G1093" s="47"/>
      <c r="H1093" s="48"/>
      <c r="I1093" s="48"/>
      <c r="J1093" s="50"/>
      <c r="K1093" s="50"/>
      <c r="L1093" s="48"/>
      <c r="M1093" s="47"/>
      <c r="N1093" s="48"/>
      <c r="O1093" s="48"/>
      <c r="P1093" s="48"/>
    </row>
    <row r="1094" spans="1:16">
      <c r="A1094" s="47">
        <v>42643</v>
      </c>
      <c r="B1094" s="48">
        <v>11404</v>
      </c>
      <c r="C1094" s="48" t="s">
        <v>28</v>
      </c>
      <c r="D1094" s="50">
        <v>6.6399999999999999E-4</v>
      </c>
      <c r="E1094" s="14">
        <v>-1.2340000000000001E-3</v>
      </c>
      <c r="F1094" s="48"/>
      <c r="G1094" s="47"/>
      <c r="H1094" s="48"/>
      <c r="I1094" s="48"/>
      <c r="J1094" s="50"/>
      <c r="K1094" s="50"/>
      <c r="L1094" s="48"/>
      <c r="M1094" s="47"/>
      <c r="N1094" s="48"/>
      <c r="O1094" s="48"/>
      <c r="P1094" s="48"/>
    </row>
    <row r="1095" spans="1:16">
      <c r="A1095" s="47">
        <v>42674</v>
      </c>
      <c r="B1095" s="48">
        <v>11404</v>
      </c>
      <c r="C1095" s="48" t="s">
        <v>28</v>
      </c>
      <c r="D1095" s="50">
        <v>3.32E-3</v>
      </c>
      <c r="E1095" s="14">
        <v>-1.9425999999999999E-2</v>
      </c>
      <c r="F1095" s="48"/>
      <c r="G1095" s="47"/>
      <c r="H1095" s="48"/>
      <c r="I1095" s="48"/>
      <c r="J1095" s="50"/>
      <c r="K1095" s="50"/>
      <c r="L1095" s="48"/>
      <c r="M1095" s="47"/>
      <c r="N1095" s="48"/>
      <c r="O1095" s="48"/>
      <c r="P1095" s="48"/>
    </row>
    <row r="1096" spans="1:16">
      <c r="A1096" s="47">
        <v>42704</v>
      </c>
      <c r="B1096" s="48">
        <v>11404</v>
      </c>
      <c r="C1096" s="48" t="s">
        <v>28</v>
      </c>
      <c r="D1096" s="50">
        <v>-6.7637000000000003E-2</v>
      </c>
      <c r="E1096" s="14">
        <v>3.4174000000000003E-2</v>
      </c>
      <c r="F1096" s="48"/>
      <c r="G1096" s="47"/>
      <c r="H1096" s="48"/>
      <c r="I1096" s="48"/>
      <c r="J1096" s="50"/>
      <c r="K1096" s="50"/>
      <c r="L1096" s="48"/>
      <c r="M1096" s="47"/>
      <c r="N1096" s="48"/>
      <c r="O1096" s="48"/>
      <c r="P1096" s="48"/>
    </row>
    <row r="1097" spans="1:16">
      <c r="A1097" s="47">
        <v>42734</v>
      </c>
      <c r="B1097" s="48">
        <v>11404</v>
      </c>
      <c r="C1097" s="48" t="s">
        <v>28</v>
      </c>
      <c r="D1097" s="50">
        <v>5.6041000000000001E-2</v>
      </c>
      <c r="E1097" s="14">
        <v>1.8200999999999998E-2</v>
      </c>
      <c r="F1097" s="48"/>
      <c r="G1097" s="47"/>
      <c r="H1097" s="48"/>
      <c r="I1097" s="48"/>
      <c r="J1097" s="50"/>
      <c r="K1097" s="50"/>
      <c r="L1097" s="48"/>
      <c r="M1097" s="47"/>
      <c r="N1097" s="48"/>
      <c r="O1097" s="48"/>
      <c r="P1097" s="48"/>
    </row>
    <row r="1098" spans="1:16">
      <c r="A1098" s="47">
        <v>42766</v>
      </c>
      <c r="B1098" s="48">
        <v>11404</v>
      </c>
      <c r="C1098" s="48" t="s">
        <v>28</v>
      </c>
      <c r="D1098" s="50">
        <v>9.0930000000000004E-3</v>
      </c>
      <c r="E1098" s="14">
        <v>1.7884000000000001E-2</v>
      </c>
      <c r="F1098" s="48"/>
      <c r="G1098" s="47"/>
      <c r="H1098" s="48"/>
      <c r="I1098" s="48"/>
      <c r="J1098" s="50"/>
      <c r="K1098" s="50"/>
      <c r="L1098" s="48"/>
      <c r="M1098" s="47"/>
      <c r="N1098" s="48"/>
      <c r="O1098" s="48"/>
      <c r="P1098" s="48"/>
    </row>
    <row r="1099" spans="1:16">
      <c r="A1099" s="47">
        <v>42794</v>
      </c>
      <c r="B1099" s="48">
        <v>11404</v>
      </c>
      <c r="C1099" s="48" t="s">
        <v>28</v>
      </c>
      <c r="D1099" s="50">
        <v>4.5461000000000001E-2</v>
      </c>
      <c r="E1099" s="14">
        <v>3.7198000000000002E-2</v>
      </c>
      <c r="F1099" s="48"/>
      <c r="G1099" s="47"/>
      <c r="H1099" s="48"/>
      <c r="I1099" s="48"/>
      <c r="J1099" s="50"/>
      <c r="K1099" s="50"/>
      <c r="L1099" s="48"/>
      <c r="M1099" s="47"/>
      <c r="N1099" s="48"/>
      <c r="O1099" s="48"/>
      <c r="P1099" s="48"/>
    </row>
    <row r="1100" spans="1:16">
      <c r="A1100" s="47">
        <v>42825</v>
      </c>
      <c r="B1100" s="48">
        <v>11404</v>
      </c>
      <c r="C1100" s="48" t="s">
        <v>28</v>
      </c>
      <c r="D1100" s="50">
        <v>8.0479999999999996E-3</v>
      </c>
      <c r="E1100" s="14">
        <v>-3.8900000000000002E-4</v>
      </c>
      <c r="F1100" s="48"/>
      <c r="G1100" s="47"/>
      <c r="H1100" s="48"/>
      <c r="I1100" s="48"/>
      <c r="J1100" s="50"/>
      <c r="K1100" s="50"/>
      <c r="L1100" s="48"/>
      <c r="M1100" s="47"/>
      <c r="N1100" s="48"/>
      <c r="O1100" s="48"/>
      <c r="P1100" s="48"/>
    </row>
    <row r="1101" spans="1:16">
      <c r="A1101" s="47">
        <v>42853</v>
      </c>
      <c r="B1101" s="48">
        <v>11404</v>
      </c>
      <c r="C1101" s="48" t="s">
        <v>28</v>
      </c>
      <c r="D1101" s="50">
        <v>2.086E-2</v>
      </c>
      <c r="E1101" s="14">
        <v>9.0910000000000001E-3</v>
      </c>
      <c r="F1101" s="48"/>
      <c r="G1101" s="47"/>
      <c r="H1101" s="48"/>
      <c r="I1101" s="48"/>
      <c r="J1101" s="50"/>
      <c r="K1101" s="50"/>
      <c r="L1101" s="48"/>
      <c r="M1101" s="47"/>
      <c r="N1101" s="48"/>
      <c r="O1101" s="48"/>
      <c r="P1101" s="48"/>
    </row>
    <row r="1102" spans="1:16">
      <c r="A1102" s="47">
        <v>42886</v>
      </c>
      <c r="B1102" s="48">
        <v>11404</v>
      </c>
      <c r="C1102" s="48" t="s">
        <v>28</v>
      </c>
      <c r="D1102" s="50">
        <v>5.2977000000000003E-2</v>
      </c>
      <c r="E1102" s="14">
        <v>1.1575999999999999E-2</v>
      </c>
      <c r="F1102" s="48"/>
      <c r="G1102" s="47"/>
      <c r="H1102" s="48"/>
      <c r="I1102" s="48"/>
      <c r="J1102" s="50"/>
      <c r="K1102" s="50"/>
      <c r="L1102" s="48"/>
      <c r="M1102" s="47"/>
      <c r="N1102" s="48"/>
      <c r="O1102" s="48"/>
      <c r="P1102" s="48"/>
    </row>
    <row r="1103" spans="1:16">
      <c r="A1103" s="47">
        <v>42916</v>
      </c>
      <c r="B1103" s="48">
        <v>11404</v>
      </c>
      <c r="C1103" s="48" t="s">
        <v>28</v>
      </c>
      <c r="D1103" s="50">
        <v>-2.3795E-2</v>
      </c>
      <c r="E1103" s="14">
        <v>4.8139999999999997E-3</v>
      </c>
      <c r="F1103" s="48"/>
      <c r="G1103" s="47"/>
      <c r="H1103" s="48"/>
      <c r="I1103" s="48"/>
      <c r="J1103" s="50"/>
      <c r="K1103" s="50"/>
      <c r="L1103" s="48"/>
      <c r="M1103" s="47"/>
      <c r="N1103" s="48"/>
      <c r="O1103" s="48"/>
      <c r="P1103" s="48"/>
    </row>
    <row r="1104" spans="1:16">
      <c r="A1104" s="47">
        <v>42947</v>
      </c>
      <c r="B1104" s="48">
        <v>11404</v>
      </c>
      <c r="C1104" s="48" t="s">
        <v>28</v>
      </c>
      <c r="D1104" s="50">
        <v>2.5241E-2</v>
      </c>
      <c r="E1104" s="14">
        <v>1.9349000000000002E-2</v>
      </c>
      <c r="F1104" s="48"/>
      <c r="G1104" s="47"/>
      <c r="H1104" s="48"/>
      <c r="I1104" s="48"/>
      <c r="J1104" s="50"/>
      <c r="K1104" s="50"/>
      <c r="L1104" s="48"/>
      <c r="M1104" s="47"/>
      <c r="N1104" s="48"/>
      <c r="O1104" s="48"/>
      <c r="P1104" s="48"/>
    </row>
    <row r="1105" spans="1:16">
      <c r="A1105" s="47">
        <v>42978</v>
      </c>
      <c r="B1105" s="48">
        <v>11404</v>
      </c>
      <c r="C1105" s="48" t="s">
        <v>28</v>
      </c>
      <c r="D1105" s="50">
        <v>2.5343999999999998E-2</v>
      </c>
      <c r="E1105" s="14">
        <v>5.4600000000000004E-4</v>
      </c>
      <c r="F1105" s="48"/>
      <c r="G1105" s="47"/>
      <c r="H1105" s="48"/>
      <c r="I1105" s="48"/>
      <c r="J1105" s="50"/>
      <c r="K1105" s="50"/>
      <c r="L1105" s="48"/>
      <c r="M1105" s="47"/>
      <c r="N1105" s="48"/>
      <c r="O1105" s="48"/>
      <c r="P1105" s="48"/>
    </row>
    <row r="1106" spans="1:16">
      <c r="A1106" s="47">
        <v>43007</v>
      </c>
      <c r="B1106" s="48">
        <v>11404</v>
      </c>
      <c r="C1106" s="48" t="s">
        <v>28</v>
      </c>
      <c r="D1106" s="50">
        <v>-4.2601E-2</v>
      </c>
      <c r="E1106" s="14">
        <v>1.9303000000000001E-2</v>
      </c>
      <c r="F1106" s="48"/>
      <c r="G1106" s="47"/>
      <c r="H1106" s="48"/>
      <c r="I1106" s="48"/>
      <c r="J1106" s="50"/>
      <c r="K1106" s="50"/>
      <c r="L1106" s="48"/>
      <c r="M1106" s="47"/>
      <c r="N1106" s="48"/>
      <c r="O1106" s="48"/>
      <c r="P1106" s="48"/>
    </row>
    <row r="1107" spans="1:16">
      <c r="A1107" s="47">
        <v>43039</v>
      </c>
      <c r="B1107" s="48">
        <v>11404</v>
      </c>
      <c r="C1107" s="48" t="s">
        <v>28</v>
      </c>
      <c r="D1107" s="50">
        <v>6.6558999999999993E-2</v>
      </c>
      <c r="E1107" s="14">
        <v>2.2187999999999999E-2</v>
      </c>
      <c r="F1107" s="48"/>
      <c r="G1107" s="47"/>
      <c r="H1107" s="48"/>
      <c r="I1107" s="48"/>
      <c r="J1107" s="50"/>
      <c r="K1107" s="50"/>
      <c r="L1107" s="48"/>
      <c r="M1107" s="47"/>
      <c r="N1107" s="48"/>
      <c r="O1107" s="48"/>
      <c r="P1107" s="48"/>
    </row>
    <row r="1108" spans="1:16">
      <c r="A1108" s="47">
        <v>43069</v>
      </c>
      <c r="B1108" s="48">
        <v>11404</v>
      </c>
      <c r="C1108" s="48" t="s">
        <v>28</v>
      </c>
      <c r="D1108" s="50">
        <v>4.2765999999999998E-2</v>
      </c>
      <c r="E1108" s="14">
        <v>2.8083E-2</v>
      </c>
      <c r="F1108" s="48"/>
      <c r="G1108" s="47"/>
      <c r="H1108" s="48"/>
      <c r="I1108" s="48"/>
      <c r="J1108" s="50"/>
      <c r="K1108" s="50"/>
      <c r="L1108" s="48"/>
      <c r="M1108" s="47"/>
      <c r="N1108" s="48"/>
      <c r="O1108" s="48"/>
      <c r="P1108" s="48"/>
    </row>
    <row r="1109" spans="1:16">
      <c r="A1109" s="47">
        <v>43098</v>
      </c>
      <c r="B1109" s="48">
        <v>11404</v>
      </c>
      <c r="C1109" s="48" t="s">
        <v>28</v>
      </c>
      <c r="D1109" s="50">
        <v>-4.5934000000000003E-2</v>
      </c>
      <c r="E1109" s="14">
        <v>9.8320000000000005E-3</v>
      </c>
      <c r="F1109" s="48"/>
      <c r="G1109" s="47"/>
      <c r="H1109" s="48"/>
      <c r="I1109" s="48"/>
      <c r="J1109" s="50"/>
      <c r="K1109" s="50"/>
      <c r="L1109" s="48"/>
      <c r="M1109" s="47"/>
      <c r="N1109" s="48"/>
      <c r="O1109" s="48"/>
      <c r="P1109" s="48"/>
    </row>
    <row r="1110" spans="1:16">
      <c r="A1110" s="47">
        <v>43131</v>
      </c>
      <c r="B1110" s="48">
        <v>11404</v>
      </c>
      <c r="C1110" s="48" t="s">
        <v>28</v>
      </c>
      <c r="D1110" s="50">
        <v>-5.4031999999999997E-2</v>
      </c>
      <c r="E1110" s="14">
        <v>5.6179E-2</v>
      </c>
      <c r="F1110" s="48"/>
      <c r="G1110" s="47"/>
      <c r="H1110" s="48"/>
      <c r="I1110" s="48"/>
      <c r="J1110" s="50"/>
      <c r="K1110" s="50"/>
      <c r="L1110" s="48"/>
      <c r="M1110" s="47"/>
      <c r="N1110" s="48"/>
      <c r="O1110" s="48"/>
      <c r="P1110" s="48"/>
    </row>
    <row r="1111" spans="1:16">
      <c r="A1111" s="47">
        <v>43159</v>
      </c>
      <c r="B1111" s="48">
        <v>11404</v>
      </c>
      <c r="C1111" s="48" t="s">
        <v>28</v>
      </c>
      <c r="D1111" s="50">
        <v>-5.9171000000000001E-2</v>
      </c>
      <c r="E1111" s="14">
        <v>-3.8947000000000002E-2</v>
      </c>
      <c r="F1111" s="48"/>
      <c r="G1111" s="47"/>
      <c r="H1111" s="48"/>
      <c r="I1111" s="48"/>
      <c r="J1111" s="50"/>
      <c r="K1111" s="50"/>
      <c r="L1111" s="48"/>
      <c r="M1111" s="47"/>
      <c r="N1111" s="48"/>
      <c r="O1111" s="48"/>
      <c r="P1111" s="48"/>
    </row>
    <row r="1112" spans="1:16">
      <c r="A1112" s="47">
        <v>43188</v>
      </c>
      <c r="B1112" s="48">
        <v>11404</v>
      </c>
      <c r="C1112" s="48" t="s">
        <v>28</v>
      </c>
      <c r="D1112" s="50">
        <v>4.0725999999999998E-2</v>
      </c>
      <c r="E1112" s="14">
        <v>-2.6884999999999999E-2</v>
      </c>
      <c r="F1112" s="48"/>
      <c r="G1112" s="47"/>
      <c r="H1112" s="48"/>
      <c r="I1112" s="48"/>
      <c r="J1112" s="50"/>
      <c r="K1112" s="50"/>
      <c r="L1112" s="48"/>
      <c r="M1112" s="47"/>
      <c r="N1112" s="48"/>
      <c r="O1112" s="48"/>
      <c r="P1112" s="48"/>
    </row>
    <row r="1113" spans="1:16">
      <c r="A1113" s="47">
        <v>43220</v>
      </c>
      <c r="B1113" s="48">
        <v>11404</v>
      </c>
      <c r="C1113" s="48" t="s">
        <v>28</v>
      </c>
      <c r="D1113" s="50">
        <v>2.8098000000000001E-2</v>
      </c>
      <c r="E1113" s="14">
        <v>2.7190000000000001E-3</v>
      </c>
      <c r="F1113" s="48"/>
      <c r="G1113" s="47"/>
      <c r="H1113" s="48"/>
      <c r="I1113" s="48"/>
      <c r="J1113" s="50"/>
      <c r="K1113" s="50"/>
      <c r="L1113" s="48"/>
      <c r="M1113" s="47"/>
      <c r="N1113" s="48"/>
      <c r="O1113" s="48"/>
      <c r="P1113" s="48"/>
    </row>
    <row r="1114" spans="1:16">
      <c r="A1114" s="47">
        <v>43251</v>
      </c>
      <c r="B1114" s="48">
        <v>11404</v>
      </c>
      <c r="C1114" s="48" t="s">
        <v>28</v>
      </c>
      <c r="D1114" s="50">
        <v>-3.3508000000000003E-2</v>
      </c>
      <c r="E1114" s="14">
        <v>2.1607999999999999E-2</v>
      </c>
      <c r="F1114" s="48"/>
      <c r="G1114" s="47"/>
      <c r="H1114" s="48"/>
      <c r="I1114" s="48"/>
      <c r="J1114" s="50"/>
      <c r="K1114" s="50"/>
      <c r="L1114" s="48"/>
      <c r="M1114" s="47"/>
      <c r="N1114" s="48"/>
      <c r="O1114" s="48"/>
      <c r="P1114" s="48"/>
    </row>
    <row r="1115" spans="1:16">
      <c r="A1115" s="47">
        <v>43280</v>
      </c>
      <c r="B1115" s="48">
        <v>11404</v>
      </c>
      <c r="C1115" s="48" t="s">
        <v>28</v>
      </c>
      <c r="D1115" s="50">
        <v>1.6291E-2</v>
      </c>
      <c r="E1115" s="14">
        <v>4.8419999999999999E-3</v>
      </c>
      <c r="F1115" s="48"/>
      <c r="G1115" s="47"/>
      <c r="H1115" s="48"/>
      <c r="I1115" s="48"/>
      <c r="J1115" s="50"/>
      <c r="K1115" s="50"/>
      <c r="L1115" s="48"/>
      <c r="M1115" s="47"/>
      <c r="N1115" s="48"/>
      <c r="O1115" s="48"/>
      <c r="P1115" s="48"/>
    </row>
    <row r="1116" spans="1:16">
      <c r="A1116" s="47">
        <v>43312</v>
      </c>
      <c r="B1116" s="48">
        <v>11404</v>
      </c>
      <c r="C1116" s="48" t="s">
        <v>28</v>
      </c>
      <c r="D1116" s="50">
        <v>1.2182999999999999E-2</v>
      </c>
      <c r="E1116" s="14">
        <v>3.6021999999999998E-2</v>
      </c>
      <c r="F1116" s="48"/>
      <c r="G1116" s="47"/>
      <c r="H1116" s="48"/>
      <c r="I1116" s="48"/>
      <c r="J1116" s="50"/>
      <c r="K1116" s="50"/>
      <c r="L1116" s="48"/>
      <c r="M1116" s="47"/>
      <c r="N1116" s="48"/>
      <c r="O1116" s="48"/>
      <c r="P1116" s="48"/>
    </row>
    <row r="1117" spans="1:16">
      <c r="A1117" s="47">
        <v>43343</v>
      </c>
      <c r="B1117" s="48">
        <v>11404</v>
      </c>
      <c r="C1117" s="48" t="s">
        <v>28</v>
      </c>
      <c r="D1117" s="50">
        <v>9.0589999999999993E-3</v>
      </c>
      <c r="E1117" s="14">
        <v>3.0263000000000002E-2</v>
      </c>
      <c r="F1117" s="48"/>
      <c r="G1117" s="47"/>
      <c r="H1117" s="48"/>
      <c r="I1117" s="48"/>
      <c r="J1117" s="50"/>
      <c r="K1117" s="50"/>
      <c r="L1117" s="48"/>
      <c r="M1117" s="47"/>
      <c r="N1117" s="48"/>
      <c r="O1117" s="48"/>
      <c r="P1117" s="48"/>
    </row>
    <row r="1118" spans="1:16">
      <c r="A1118" s="47">
        <v>43371</v>
      </c>
      <c r="B1118" s="48">
        <v>11404</v>
      </c>
      <c r="C1118" s="48" t="s">
        <v>28</v>
      </c>
      <c r="D1118" s="50">
        <v>-3.4714000000000002E-2</v>
      </c>
      <c r="E1118" s="14">
        <v>4.2940000000000001E-3</v>
      </c>
      <c r="F1118" s="48"/>
      <c r="G1118" s="47"/>
      <c r="H1118" s="48"/>
      <c r="I1118" s="48"/>
      <c r="J1118" s="50"/>
      <c r="K1118" s="50"/>
      <c r="L1118" s="48"/>
      <c r="M1118" s="47"/>
      <c r="N1118" s="48"/>
      <c r="O1118" s="48"/>
      <c r="P1118" s="48"/>
    </row>
    <row r="1119" spans="1:16">
      <c r="A1119" s="47">
        <v>43404</v>
      </c>
      <c r="B1119" s="48">
        <v>11404</v>
      </c>
      <c r="C1119" s="48" t="s">
        <v>28</v>
      </c>
      <c r="D1119" s="50">
        <v>-2.4940000000000001E-3</v>
      </c>
      <c r="E1119" s="14">
        <v>-6.9403000000000006E-2</v>
      </c>
      <c r="F1119" s="48"/>
      <c r="G1119" s="47"/>
      <c r="H1119" s="48"/>
      <c r="I1119" s="48"/>
      <c r="J1119" s="50"/>
      <c r="K1119" s="50"/>
      <c r="L1119" s="48"/>
      <c r="M1119" s="47"/>
      <c r="N1119" s="48"/>
      <c r="O1119" s="48"/>
      <c r="P1119" s="48"/>
    </row>
    <row r="1120" spans="1:16">
      <c r="A1120" s="47">
        <v>43434</v>
      </c>
      <c r="B1120" s="48">
        <v>11404</v>
      </c>
      <c r="C1120" s="48" t="s">
        <v>28</v>
      </c>
      <c r="D1120" s="50">
        <v>6.6644999999999996E-2</v>
      </c>
      <c r="E1120" s="14">
        <v>1.7859E-2</v>
      </c>
      <c r="F1120" s="48"/>
      <c r="G1120" s="47"/>
      <c r="H1120" s="48"/>
      <c r="I1120" s="48"/>
      <c r="J1120" s="50"/>
      <c r="K1120" s="50"/>
      <c r="L1120" s="48"/>
      <c r="M1120" s="47"/>
      <c r="N1120" s="48"/>
      <c r="O1120" s="48"/>
      <c r="P1120" s="48"/>
    </row>
    <row r="1121" spans="1:16">
      <c r="A1121" s="47">
        <v>43465</v>
      </c>
      <c r="B1121" s="48">
        <v>11404</v>
      </c>
      <c r="C1121" s="48" t="s">
        <v>28</v>
      </c>
      <c r="D1121" s="50">
        <v>-4.8412999999999998E-2</v>
      </c>
      <c r="E1121" s="14">
        <v>-9.1776999999999997E-2</v>
      </c>
      <c r="F1121" s="48"/>
      <c r="G1121" s="47"/>
      <c r="H1121" s="48"/>
      <c r="I1121" s="48"/>
      <c r="J1121" s="50"/>
      <c r="K1121" s="50"/>
      <c r="L1121" s="48"/>
      <c r="M1121" s="47"/>
      <c r="N1121" s="48"/>
      <c r="O1121" s="48"/>
      <c r="P1121" s="48"/>
    </row>
    <row r="1122" spans="1:16">
      <c r="A1122" s="47">
        <v>43496</v>
      </c>
      <c r="B1122" s="48">
        <v>11404</v>
      </c>
      <c r="C1122" s="48" t="s">
        <v>28</v>
      </c>
      <c r="D1122" s="50">
        <v>1.5564E-2</v>
      </c>
      <c r="E1122" s="14">
        <v>7.8684000000000004E-2</v>
      </c>
      <c r="F1122" s="48"/>
      <c r="G1122" s="47"/>
      <c r="H1122" s="48"/>
      <c r="I1122" s="48"/>
      <c r="J1122" s="50"/>
      <c r="K1122" s="50"/>
      <c r="L1122" s="48"/>
      <c r="M1122" s="47"/>
      <c r="N1122" s="48"/>
      <c r="O1122" s="48"/>
      <c r="P1122" s="48"/>
    </row>
    <row r="1123" spans="1:16">
      <c r="A1123" s="47">
        <v>43524</v>
      </c>
      <c r="B1123" s="48">
        <v>11404</v>
      </c>
      <c r="C1123" s="48" t="s">
        <v>28</v>
      </c>
      <c r="D1123" s="50">
        <v>7.1346000000000007E-2</v>
      </c>
      <c r="E1123" s="14">
        <v>2.9728999999999998E-2</v>
      </c>
      <c r="F1123" s="48"/>
      <c r="G1123" s="47"/>
      <c r="H1123" s="48"/>
      <c r="I1123" s="48"/>
      <c r="J1123" s="50"/>
      <c r="K1123" s="50"/>
      <c r="L1123" s="48"/>
      <c r="M1123" s="47"/>
      <c r="N1123" s="48"/>
      <c r="O1123" s="48"/>
      <c r="P1123" s="48"/>
    </row>
    <row r="1124" spans="1:16">
      <c r="A1124" s="47">
        <v>43553</v>
      </c>
      <c r="B1124" s="48">
        <v>11404</v>
      </c>
      <c r="C1124" s="48" t="s">
        <v>28</v>
      </c>
      <c r="D1124" s="50">
        <v>2.8622999999999999E-2</v>
      </c>
      <c r="E1124" s="14">
        <v>1.7923999999999999E-2</v>
      </c>
      <c r="F1124" s="48"/>
      <c r="G1124" s="47"/>
      <c r="H1124" s="48"/>
      <c r="I1124" s="48"/>
      <c r="J1124" s="50"/>
      <c r="K1124" s="50"/>
      <c r="L1124" s="48"/>
      <c r="M1124" s="47"/>
      <c r="N1124" s="48"/>
      <c r="O1124" s="48"/>
      <c r="P1124" s="48"/>
    </row>
    <row r="1125" spans="1:16">
      <c r="A1125" s="47">
        <v>43585</v>
      </c>
      <c r="B1125" s="48">
        <v>11404</v>
      </c>
      <c r="C1125" s="48" t="s">
        <v>28</v>
      </c>
      <c r="D1125" s="50">
        <v>1.5918000000000002E-2</v>
      </c>
      <c r="E1125" s="14">
        <v>3.9313000000000001E-2</v>
      </c>
      <c r="F1125" s="48"/>
      <c r="G1125" s="47"/>
      <c r="H1125" s="48"/>
      <c r="I1125" s="48"/>
      <c r="J1125" s="50"/>
      <c r="K1125" s="50"/>
      <c r="L1125" s="48"/>
      <c r="M1125" s="47"/>
      <c r="N1125" s="48"/>
      <c r="O1125" s="48"/>
      <c r="P1125" s="48"/>
    </row>
    <row r="1126" spans="1:16">
      <c r="A1126" s="47">
        <v>43616</v>
      </c>
      <c r="B1126" s="48">
        <v>11404</v>
      </c>
      <c r="C1126" s="48" t="s">
        <v>28</v>
      </c>
      <c r="D1126" s="50">
        <v>1.0214000000000001E-2</v>
      </c>
      <c r="E1126" s="14">
        <v>-6.5778000000000003E-2</v>
      </c>
      <c r="F1126" s="48"/>
      <c r="G1126" s="47"/>
      <c r="H1126" s="48"/>
      <c r="I1126" s="48"/>
      <c r="J1126" s="50"/>
      <c r="K1126" s="50"/>
      <c r="L1126" s="48"/>
      <c r="M1126" s="47"/>
      <c r="N1126" s="48"/>
      <c r="O1126" s="48"/>
      <c r="P1126" s="48"/>
    </row>
    <row r="1127" spans="1:16">
      <c r="A1127" s="47">
        <v>43644</v>
      </c>
      <c r="B1127" s="48">
        <v>11404</v>
      </c>
      <c r="C1127" s="48" t="s">
        <v>28</v>
      </c>
      <c r="D1127" s="50">
        <v>1.5990999999999998E-2</v>
      </c>
      <c r="E1127" s="14">
        <v>6.8930000000000005E-2</v>
      </c>
      <c r="F1127" s="48"/>
      <c r="G1127" s="47"/>
      <c r="H1127" s="48"/>
      <c r="I1127" s="48"/>
      <c r="J1127" s="50"/>
      <c r="K1127" s="50"/>
      <c r="L1127" s="48"/>
      <c r="M1127" s="47"/>
      <c r="N1127" s="48"/>
      <c r="O1127" s="48"/>
      <c r="P1127" s="48"/>
    </row>
    <row r="1128" spans="1:16">
      <c r="A1128" s="47">
        <v>43677</v>
      </c>
      <c r="B1128" s="48">
        <v>11404</v>
      </c>
      <c r="C1128" s="48" t="s">
        <v>28</v>
      </c>
      <c r="D1128" s="50">
        <v>-3.1022000000000001E-2</v>
      </c>
      <c r="E1128" s="14">
        <v>1.3128000000000001E-2</v>
      </c>
      <c r="F1128" s="48"/>
      <c r="G1128" s="47"/>
      <c r="H1128" s="48"/>
      <c r="I1128" s="48"/>
      <c r="J1128" s="50"/>
      <c r="K1128" s="50"/>
      <c r="L1128" s="48"/>
      <c r="M1128" s="47"/>
      <c r="N1128" s="48"/>
      <c r="O1128" s="48"/>
      <c r="P1128" s="48"/>
    </row>
    <row r="1129" spans="1:16">
      <c r="A1129" s="47">
        <v>43707</v>
      </c>
      <c r="B1129" s="48">
        <v>11404</v>
      </c>
      <c r="C1129" s="48" t="s">
        <v>28</v>
      </c>
      <c r="D1129" s="50">
        <v>5.5085000000000002E-2</v>
      </c>
      <c r="E1129" s="14">
        <v>-1.8092E-2</v>
      </c>
      <c r="F1129" s="48"/>
      <c r="G1129" s="47"/>
      <c r="H1129" s="48"/>
      <c r="I1129" s="48"/>
      <c r="J1129" s="50"/>
      <c r="K1129" s="50"/>
      <c r="L1129" s="48"/>
      <c r="M1129" s="47"/>
      <c r="N1129" s="48"/>
      <c r="O1129" s="48"/>
      <c r="P1129" s="48"/>
    </row>
    <row r="1130" spans="1:16">
      <c r="A1130" s="47">
        <v>43738</v>
      </c>
      <c r="B1130" s="48">
        <v>11404</v>
      </c>
      <c r="C1130" s="48" t="s">
        <v>28</v>
      </c>
      <c r="D1130" s="50">
        <v>6.2655000000000002E-2</v>
      </c>
      <c r="E1130" s="14">
        <v>1.7180999999999998E-2</v>
      </c>
      <c r="F1130" s="48"/>
      <c r="G1130" s="47"/>
      <c r="H1130" s="48"/>
      <c r="I1130" s="48"/>
      <c r="J1130" s="50"/>
      <c r="K1130" s="50"/>
      <c r="L1130" s="48"/>
      <c r="M1130" s="47"/>
      <c r="N1130" s="48"/>
      <c r="O1130" s="48"/>
      <c r="P1130" s="48"/>
    </row>
    <row r="1131" spans="1:16">
      <c r="A1131" s="47">
        <v>43769</v>
      </c>
      <c r="B1131" s="48">
        <v>11404</v>
      </c>
      <c r="C1131" s="48" t="s">
        <v>28</v>
      </c>
      <c r="D1131" s="50">
        <v>-2.3817000000000001E-2</v>
      </c>
      <c r="E1131" s="14">
        <v>2.0431999999999999E-2</v>
      </c>
      <c r="F1131" s="48"/>
      <c r="G1131" s="47"/>
      <c r="H1131" s="48"/>
      <c r="I1131" s="48"/>
      <c r="J1131" s="50"/>
      <c r="K1131" s="50"/>
      <c r="L1131" s="48"/>
      <c r="M1131" s="47"/>
      <c r="N1131" s="48"/>
      <c r="O1131" s="48"/>
      <c r="P1131" s="48"/>
    </row>
    <row r="1132" spans="1:16">
      <c r="A1132" s="47">
        <v>43798</v>
      </c>
      <c r="B1132" s="48">
        <v>11404</v>
      </c>
      <c r="C1132" s="48" t="s">
        <v>28</v>
      </c>
      <c r="D1132" s="50">
        <v>-4.9771999999999997E-2</v>
      </c>
      <c r="E1132" s="14">
        <v>3.4047000000000001E-2</v>
      </c>
      <c r="F1132" s="48"/>
      <c r="G1132" s="47"/>
      <c r="H1132" s="48"/>
      <c r="I1132" s="48"/>
      <c r="J1132" s="50"/>
      <c r="K1132" s="50"/>
      <c r="L1132" s="48"/>
      <c r="M1132" s="47"/>
      <c r="N1132" s="48"/>
      <c r="O1132" s="48"/>
      <c r="P1132" s="48"/>
    </row>
    <row r="1133" spans="1:16">
      <c r="A1133" s="47">
        <v>43830</v>
      </c>
      <c r="B1133" s="48">
        <v>11404</v>
      </c>
      <c r="C1133" s="48" t="s">
        <v>28</v>
      </c>
      <c r="D1133" s="50">
        <v>4.1202000000000003E-2</v>
      </c>
      <c r="E1133" s="14">
        <v>2.8590000000000001E-2</v>
      </c>
      <c r="F1133" s="48"/>
      <c r="G1133" s="47"/>
      <c r="H1133" s="48"/>
      <c r="I1133" s="48"/>
      <c r="J1133" s="50"/>
      <c r="K1133" s="50"/>
      <c r="L1133" s="48"/>
      <c r="M1133" s="47"/>
      <c r="N1133" s="48"/>
      <c r="O1133" s="48"/>
      <c r="P1133" s="48"/>
    </row>
    <row r="1134" spans="1:16">
      <c r="A1134" s="47">
        <v>43861</v>
      </c>
      <c r="B1134" s="48">
        <v>11404</v>
      </c>
      <c r="C1134" s="48" t="s">
        <v>28</v>
      </c>
      <c r="D1134" s="50">
        <v>3.9017999999999997E-2</v>
      </c>
      <c r="E1134" s="14">
        <v>-1.6280000000000001E-3</v>
      </c>
      <c r="F1134" s="48"/>
      <c r="G1134" s="47"/>
      <c r="H1134" s="48"/>
      <c r="I1134" s="48"/>
      <c r="J1134" s="50"/>
      <c r="K1134" s="50"/>
      <c r="L1134" s="48"/>
      <c r="M1134" s="47"/>
      <c r="N1134" s="48"/>
      <c r="O1134" s="48"/>
      <c r="P1134" s="48"/>
    </row>
    <row r="1135" spans="1:16">
      <c r="A1135" s="47">
        <v>43889</v>
      </c>
      <c r="B1135" s="48">
        <v>11404</v>
      </c>
      <c r="C1135" s="48" t="s">
        <v>28</v>
      </c>
      <c r="D1135" s="50">
        <v>-0.15335099999999999</v>
      </c>
      <c r="E1135" s="14">
        <v>-8.4110000000000004E-2</v>
      </c>
      <c r="F1135" s="48"/>
      <c r="G1135" s="47"/>
      <c r="H1135" s="48"/>
      <c r="I1135" s="48"/>
      <c r="J1135" s="50"/>
      <c r="K1135" s="50"/>
      <c r="L1135" s="48"/>
      <c r="M1135" s="47"/>
      <c r="N1135" s="48"/>
      <c r="O1135" s="48"/>
      <c r="P1135" s="48"/>
    </row>
    <row r="1136" spans="1:16">
      <c r="A1136" s="47">
        <v>43921</v>
      </c>
      <c r="B1136" s="48">
        <v>11404</v>
      </c>
      <c r="C1136" s="48" t="s">
        <v>28</v>
      </c>
      <c r="D1136" s="50">
        <v>-1.0403000000000001E-2</v>
      </c>
      <c r="E1136" s="14">
        <v>-0.12511900000000001</v>
      </c>
      <c r="F1136" s="48"/>
      <c r="G1136" s="47"/>
      <c r="H1136" s="48"/>
      <c r="I1136" s="48"/>
      <c r="J1136" s="50"/>
      <c r="K1136" s="50"/>
      <c r="L1136" s="48"/>
      <c r="M1136" s="47"/>
      <c r="N1136" s="48"/>
      <c r="O1136" s="48"/>
      <c r="P1136" s="48"/>
    </row>
    <row r="1137" spans="1:16">
      <c r="A1137" s="47">
        <v>43951</v>
      </c>
      <c r="B1137" s="48">
        <v>11404</v>
      </c>
      <c r="C1137" s="48" t="s">
        <v>28</v>
      </c>
      <c r="D1137" s="50">
        <v>1.0255999999999999E-2</v>
      </c>
      <c r="E1137" s="14">
        <v>0.12684400000000001</v>
      </c>
      <c r="F1137" s="48"/>
      <c r="G1137" s="47"/>
      <c r="H1137" s="48"/>
      <c r="I1137" s="48"/>
      <c r="J1137" s="50"/>
      <c r="K1137" s="50"/>
      <c r="L1137" s="48"/>
      <c r="M1137" s="47"/>
      <c r="N1137" s="48"/>
      <c r="O1137" s="48"/>
      <c r="P1137" s="48"/>
    </row>
    <row r="1138" spans="1:16">
      <c r="A1138" s="47">
        <v>43980</v>
      </c>
      <c r="B1138" s="48">
        <v>11404</v>
      </c>
      <c r="C1138" s="48" t="s">
        <v>28</v>
      </c>
      <c r="D1138" s="50">
        <v>-3.7754000000000003E-2</v>
      </c>
      <c r="E1138" s="14">
        <v>4.5282000000000003E-2</v>
      </c>
      <c r="F1138" s="48"/>
      <c r="G1138" s="47"/>
      <c r="H1138" s="48"/>
      <c r="I1138" s="48"/>
      <c r="J1138" s="50"/>
      <c r="K1138" s="50"/>
      <c r="L1138" s="48"/>
      <c r="M1138" s="47"/>
      <c r="N1138" s="48"/>
      <c r="O1138" s="48"/>
      <c r="P1138" s="48"/>
    </row>
    <row r="1139" spans="1:16">
      <c r="A1139" s="47">
        <v>44012</v>
      </c>
      <c r="B1139" s="48">
        <v>11404</v>
      </c>
      <c r="C1139" s="48" t="s">
        <v>28</v>
      </c>
      <c r="D1139" s="50">
        <v>-4.1700000000000001E-2</v>
      </c>
      <c r="E1139" s="14">
        <v>1.8388000000000002E-2</v>
      </c>
      <c r="F1139" s="48"/>
      <c r="G1139" s="47"/>
      <c r="H1139" s="48"/>
      <c r="I1139" s="48"/>
      <c r="J1139" s="50"/>
      <c r="K1139" s="50"/>
      <c r="L1139" s="48"/>
      <c r="M1139" s="47"/>
      <c r="N1139" s="48"/>
      <c r="O1139" s="48"/>
      <c r="P1139" s="48"/>
    </row>
    <row r="1140" spans="1:16">
      <c r="A1140" s="47">
        <v>44043</v>
      </c>
      <c r="B1140" s="48">
        <v>11404</v>
      </c>
      <c r="C1140" s="48" t="s">
        <v>28</v>
      </c>
      <c r="D1140" s="50">
        <v>6.8122000000000002E-2</v>
      </c>
      <c r="E1140" s="14">
        <v>5.5100999999999997E-2</v>
      </c>
      <c r="F1140" s="48"/>
      <c r="G1140" s="47"/>
      <c r="H1140" s="48"/>
      <c r="I1140" s="48"/>
      <c r="J1140" s="50"/>
      <c r="K1140" s="50"/>
      <c r="L1140" s="48"/>
      <c r="M1140" s="47"/>
      <c r="N1140" s="48"/>
      <c r="O1140" s="48"/>
      <c r="P1140" s="48"/>
    </row>
    <row r="1141" spans="1:16">
      <c r="A1141" s="47">
        <v>44074</v>
      </c>
      <c r="B1141" s="48">
        <v>11404</v>
      </c>
      <c r="C1141" s="48" t="s">
        <v>28</v>
      </c>
      <c r="D1141" s="50">
        <v>-6.1498999999999998E-2</v>
      </c>
      <c r="E1141" s="14">
        <v>7.0065000000000002E-2</v>
      </c>
      <c r="F1141" s="48"/>
      <c r="G1141" s="47"/>
      <c r="H1141" s="48"/>
      <c r="I1141" s="48"/>
      <c r="J1141" s="50"/>
      <c r="K1141" s="50"/>
      <c r="L1141" s="48"/>
      <c r="M1141" s="47"/>
      <c r="N1141" s="48"/>
      <c r="O1141" s="48"/>
      <c r="P1141" s="48"/>
    </row>
    <row r="1142" spans="1:16">
      <c r="A1142" s="47">
        <v>44104</v>
      </c>
      <c r="B1142" s="48">
        <v>11404</v>
      </c>
      <c r="C1142" s="48" t="s">
        <v>28</v>
      </c>
      <c r="D1142" s="50">
        <v>9.0551999999999994E-2</v>
      </c>
      <c r="E1142" s="14">
        <v>-3.9227999999999999E-2</v>
      </c>
      <c r="F1142" s="48"/>
      <c r="G1142" s="47"/>
      <c r="H1142" s="48"/>
      <c r="I1142" s="48"/>
      <c r="J1142" s="50"/>
      <c r="K1142" s="50"/>
      <c r="L1142" s="48"/>
      <c r="M1142" s="47"/>
      <c r="N1142" s="48"/>
      <c r="O1142" s="48"/>
      <c r="P1142" s="48"/>
    </row>
    <row r="1143" spans="1:16">
      <c r="A1143" s="47">
        <v>44134</v>
      </c>
      <c r="B1143" s="48">
        <v>11404</v>
      </c>
      <c r="C1143" s="48" t="s">
        <v>28</v>
      </c>
      <c r="D1143" s="50">
        <v>8.8690000000000001E-3</v>
      </c>
      <c r="E1143" s="14">
        <v>-2.7666E-2</v>
      </c>
      <c r="F1143" s="48"/>
      <c r="G1143" s="47"/>
      <c r="H1143" s="48"/>
      <c r="I1143" s="48"/>
      <c r="J1143" s="50"/>
      <c r="K1143" s="50"/>
      <c r="L1143" s="48"/>
      <c r="M1143" s="47"/>
      <c r="N1143" s="48"/>
      <c r="O1143" s="48"/>
      <c r="P1143" s="48"/>
    </row>
    <row r="1144" spans="1:16">
      <c r="A1144" s="47">
        <v>44165</v>
      </c>
      <c r="B1144" s="48">
        <v>11404</v>
      </c>
      <c r="C1144" s="48" t="s">
        <v>28</v>
      </c>
      <c r="D1144" s="50">
        <v>-1.8792E-2</v>
      </c>
      <c r="E1144" s="14">
        <v>0.107546</v>
      </c>
      <c r="F1144" s="48"/>
      <c r="G1144" s="47"/>
      <c r="H1144" s="48"/>
      <c r="I1144" s="48"/>
      <c r="J1144" s="50"/>
      <c r="K1144" s="50"/>
      <c r="L1144" s="48"/>
      <c r="M1144" s="47"/>
      <c r="N1144" s="48"/>
      <c r="O1144" s="48"/>
      <c r="P1144" s="48"/>
    </row>
    <row r="1145" spans="1:16">
      <c r="A1145" s="47">
        <v>44196</v>
      </c>
      <c r="B1145" s="48">
        <v>11404</v>
      </c>
      <c r="C1145" s="48" t="s">
        <v>28</v>
      </c>
      <c r="D1145" s="50">
        <v>-5.2197E-2</v>
      </c>
      <c r="E1145" s="14">
        <v>3.7121000000000001E-2</v>
      </c>
      <c r="F1145" s="48"/>
      <c r="G1145" s="47"/>
      <c r="H1145" s="48"/>
      <c r="I1145" s="48"/>
      <c r="J1145" s="50"/>
      <c r="K1145" s="50"/>
      <c r="L1145" s="48"/>
      <c r="M1145" s="47"/>
      <c r="N1145" s="48"/>
      <c r="O1145" s="48"/>
      <c r="P1145" s="48"/>
    </row>
    <row r="1146" spans="1:16">
      <c r="A1146" s="47">
        <v>44225</v>
      </c>
      <c r="B1146" s="48">
        <v>11404</v>
      </c>
      <c r="C1146" s="48" t="s">
        <v>28</v>
      </c>
      <c r="D1146" s="50">
        <v>-2.0617E-2</v>
      </c>
      <c r="E1146" s="14">
        <v>-1.1136999999999999E-2</v>
      </c>
      <c r="F1146" s="48"/>
      <c r="G1146" s="47"/>
      <c r="H1146" s="48"/>
      <c r="I1146" s="48"/>
      <c r="J1146" s="50"/>
      <c r="K1146" s="50"/>
      <c r="L1146" s="48"/>
      <c r="M1146" s="47"/>
      <c r="N1146" s="48"/>
      <c r="O1146" s="48"/>
      <c r="P1146" s="48"/>
    </row>
    <row r="1147" spans="1:16">
      <c r="A1147" s="47">
        <v>44253</v>
      </c>
      <c r="B1147" s="48">
        <v>11404</v>
      </c>
      <c r="C1147" s="48" t="s">
        <v>28</v>
      </c>
      <c r="D1147" s="50">
        <v>-6.1529E-2</v>
      </c>
      <c r="E1147" s="14">
        <v>2.6091E-2</v>
      </c>
      <c r="F1147" s="48"/>
      <c r="G1147" s="47"/>
      <c r="H1147" s="48"/>
      <c r="I1147" s="48"/>
      <c r="J1147" s="50"/>
      <c r="K1147" s="50"/>
      <c r="L1147" s="48"/>
      <c r="M1147" s="47"/>
      <c r="N1147" s="48"/>
      <c r="O1147" s="48"/>
      <c r="P1147" s="48"/>
    </row>
    <row r="1148" spans="1:16">
      <c r="A1148" s="47">
        <v>44286</v>
      </c>
      <c r="B1148" s="48">
        <v>11404</v>
      </c>
      <c r="C1148" s="48" t="s">
        <v>28</v>
      </c>
      <c r="D1148" s="50">
        <v>0.139376</v>
      </c>
      <c r="E1148" s="14">
        <v>4.2438999999999998E-2</v>
      </c>
      <c r="F1148" s="48"/>
      <c r="G1148" s="47"/>
      <c r="H1148" s="48"/>
      <c r="I1148" s="48"/>
      <c r="J1148" s="50"/>
      <c r="K1148" s="50"/>
      <c r="L1148" s="48"/>
      <c r="M1148" s="47"/>
      <c r="N1148" s="48"/>
      <c r="O1148" s="48"/>
      <c r="P1148" s="48"/>
    </row>
    <row r="1149" spans="1:16">
      <c r="A1149" s="47">
        <v>44316</v>
      </c>
      <c r="B1149" s="48">
        <v>11404</v>
      </c>
      <c r="C1149" s="48" t="s">
        <v>28</v>
      </c>
      <c r="D1149" s="50">
        <v>3.4893E-2</v>
      </c>
      <c r="E1149" s="14">
        <v>5.2424999999999999E-2</v>
      </c>
      <c r="F1149" s="48"/>
      <c r="G1149" s="47"/>
      <c r="H1149" s="48"/>
      <c r="I1149" s="48"/>
      <c r="J1149" s="50"/>
      <c r="K1149" s="50"/>
      <c r="L1149" s="48"/>
      <c r="M1149" s="47"/>
      <c r="N1149" s="48"/>
      <c r="O1149" s="48"/>
      <c r="P1149" s="48"/>
    </row>
    <row r="1150" spans="1:16">
      <c r="A1150" s="47">
        <v>44344</v>
      </c>
      <c r="B1150" s="48">
        <v>11404</v>
      </c>
      <c r="C1150" s="48" t="s">
        <v>28</v>
      </c>
      <c r="D1150" s="50">
        <v>7.8150000000000008E-3</v>
      </c>
      <c r="E1150" s="14">
        <v>5.4869999999999997E-3</v>
      </c>
      <c r="F1150" s="48"/>
      <c r="G1150" s="47"/>
      <c r="H1150" s="48"/>
      <c r="I1150" s="48"/>
      <c r="J1150" s="50"/>
      <c r="K1150" s="50"/>
      <c r="L1150" s="48"/>
      <c r="M1150" s="47"/>
      <c r="N1150" s="48"/>
      <c r="O1150" s="48"/>
      <c r="P1150" s="48"/>
    </row>
    <row r="1151" spans="1:16">
      <c r="A1151" s="47">
        <v>44377</v>
      </c>
      <c r="B1151" s="48">
        <v>11404</v>
      </c>
      <c r="C1151" s="48" t="s">
        <v>28</v>
      </c>
      <c r="D1151" s="50">
        <v>-7.1466000000000002E-2</v>
      </c>
      <c r="E1151" s="14">
        <v>2.2214000000000001E-2</v>
      </c>
      <c r="F1151" s="48"/>
      <c r="G1151" s="47"/>
      <c r="H1151" s="48"/>
      <c r="I1151" s="48"/>
      <c r="J1151" s="50"/>
      <c r="K1151" s="50"/>
      <c r="L1151" s="48"/>
      <c r="M1151" s="47"/>
      <c r="N1151" s="48"/>
      <c r="O1151" s="48"/>
      <c r="P1151" s="48"/>
    </row>
    <row r="1152" spans="1:16">
      <c r="A1152" s="47">
        <v>44407</v>
      </c>
      <c r="B1152" s="48">
        <v>11404</v>
      </c>
      <c r="C1152" s="48" t="s">
        <v>28</v>
      </c>
      <c r="D1152" s="50">
        <v>2.8583000000000001E-2</v>
      </c>
      <c r="E1152" s="14">
        <v>2.2748000000000001E-2</v>
      </c>
      <c r="F1152" s="48"/>
      <c r="G1152" s="47"/>
      <c r="H1152" s="48"/>
      <c r="I1152" s="48"/>
      <c r="J1152" s="50"/>
      <c r="K1152" s="50"/>
      <c r="L1152" s="48"/>
      <c r="M1152" s="47"/>
      <c r="N1152" s="48"/>
      <c r="O1152" s="48"/>
      <c r="P1152" s="48"/>
    </row>
    <row r="1153" spans="1:16">
      <c r="A1153" s="47">
        <v>44439</v>
      </c>
      <c r="B1153" s="48">
        <v>11404</v>
      </c>
      <c r="C1153" s="48" t="s">
        <v>28</v>
      </c>
      <c r="D1153" s="50">
        <v>3.3279000000000003E-2</v>
      </c>
      <c r="E1153" s="14">
        <v>2.8989999999999998E-2</v>
      </c>
      <c r="F1153" s="48"/>
      <c r="G1153" s="47"/>
      <c r="H1153" s="48"/>
      <c r="I1153" s="48"/>
      <c r="J1153" s="50"/>
      <c r="K1153" s="50"/>
      <c r="L1153" s="48"/>
      <c r="M1153" s="47"/>
      <c r="N1153" s="48"/>
      <c r="O1153" s="48"/>
      <c r="P1153" s="48"/>
    </row>
    <row r="1154" spans="1:16">
      <c r="A1154" s="47">
        <v>44469</v>
      </c>
      <c r="B1154" s="48">
        <v>11404</v>
      </c>
      <c r="C1154" s="48" t="s">
        <v>28</v>
      </c>
      <c r="D1154" s="50">
        <v>-3.7906000000000002E-2</v>
      </c>
      <c r="E1154" s="14">
        <v>-4.7569E-2</v>
      </c>
      <c r="F1154" s="48"/>
      <c r="G1154" s="47"/>
      <c r="H1154" s="48"/>
      <c r="I1154" s="48"/>
      <c r="J1154" s="50"/>
      <c r="K1154" s="50"/>
      <c r="L1154" s="48"/>
      <c r="M1154" s="47"/>
      <c r="N1154" s="48"/>
      <c r="O1154" s="48"/>
      <c r="P1154" s="48"/>
    </row>
    <row r="1155" spans="1:16">
      <c r="A1155" s="47">
        <v>44498</v>
      </c>
      <c r="B1155" s="48">
        <v>11404</v>
      </c>
      <c r="C1155" s="48" t="s">
        <v>28</v>
      </c>
      <c r="D1155" s="50">
        <v>3.8711000000000002E-2</v>
      </c>
      <c r="E1155" s="14">
        <v>6.9143999999999997E-2</v>
      </c>
      <c r="F1155" s="48"/>
      <c r="G1155" s="47"/>
      <c r="H1155" s="48"/>
      <c r="I1155" s="48"/>
      <c r="J1155" s="50"/>
      <c r="K1155" s="50"/>
      <c r="L1155" s="48"/>
      <c r="M1155" s="47"/>
      <c r="N1155" s="48"/>
      <c r="O1155" s="48"/>
      <c r="P1155" s="48"/>
    </row>
    <row r="1156" spans="1:16">
      <c r="A1156" s="47">
        <v>44530</v>
      </c>
      <c r="B1156" s="48">
        <v>11404</v>
      </c>
      <c r="C1156" s="48" t="s">
        <v>28</v>
      </c>
      <c r="D1156" s="50">
        <v>3.9987000000000002E-2</v>
      </c>
      <c r="E1156" s="14">
        <v>-8.3339999999999994E-3</v>
      </c>
      <c r="F1156" s="48"/>
      <c r="G1156" s="47"/>
      <c r="H1156" s="48"/>
      <c r="I1156" s="48"/>
      <c r="J1156" s="50"/>
      <c r="K1156" s="50"/>
      <c r="L1156" s="48"/>
      <c r="M1156" s="47"/>
      <c r="N1156" s="48"/>
      <c r="O1156" s="48"/>
      <c r="P1156" s="48"/>
    </row>
    <row r="1157" spans="1:16">
      <c r="A1157" s="47">
        <v>44561</v>
      </c>
      <c r="B1157" s="48">
        <v>11404</v>
      </c>
      <c r="C1157" s="48" t="s">
        <v>28</v>
      </c>
      <c r="D1157" s="50">
        <v>9.8918000000000006E-2</v>
      </c>
      <c r="E1157" s="14">
        <v>4.3612999999999999E-2</v>
      </c>
      <c r="F1157" s="48"/>
      <c r="G1157" s="47"/>
      <c r="H1157" s="48"/>
      <c r="I1157" s="48"/>
      <c r="J1157" s="50"/>
      <c r="K1157" s="50"/>
      <c r="L1157" s="48"/>
      <c r="M1157" s="47"/>
      <c r="N1157" s="48"/>
      <c r="O1157" s="48"/>
      <c r="P1157" s="48"/>
    </row>
    <row r="1158" spans="1:16">
      <c r="A1158" s="47">
        <v>44592</v>
      </c>
      <c r="B1158" s="48">
        <v>11404</v>
      </c>
      <c r="C1158" s="48" t="s">
        <v>28</v>
      </c>
      <c r="D1158" s="50">
        <v>1.3244000000000001E-2</v>
      </c>
      <c r="E1158" s="14">
        <v>-5.2585E-2</v>
      </c>
      <c r="F1158" s="48"/>
      <c r="G1158" s="47"/>
      <c r="H1158" s="48"/>
      <c r="I1158" s="48"/>
      <c r="J1158" s="50"/>
      <c r="K1158" s="50"/>
      <c r="L1158" s="48"/>
      <c r="M1158" s="47"/>
      <c r="N1158" s="48"/>
      <c r="O1158" s="48"/>
      <c r="P1158" s="48"/>
    </row>
    <row r="1159" spans="1:16">
      <c r="A1159" s="47">
        <v>44620</v>
      </c>
      <c r="B1159" s="48">
        <v>11404</v>
      </c>
      <c r="C1159" s="48" t="s">
        <v>28</v>
      </c>
      <c r="D1159" s="50">
        <v>1.2719999999999999E-3</v>
      </c>
      <c r="E1159" s="14">
        <v>-3.1361E-2</v>
      </c>
      <c r="F1159" s="48"/>
      <c r="G1159" s="47"/>
      <c r="H1159" s="48"/>
      <c r="I1159" s="48"/>
      <c r="J1159" s="50"/>
      <c r="K1159" s="50"/>
      <c r="L1159" s="48"/>
      <c r="M1159" s="47"/>
      <c r="N1159" s="48"/>
      <c r="O1159" s="48"/>
      <c r="P1159" s="48"/>
    </row>
    <row r="1160" spans="1:16">
      <c r="A1160" s="47">
        <v>44651</v>
      </c>
      <c r="B1160" s="48">
        <v>11404</v>
      </c>
      <c r="C1160" s="48" t="s">
        <v>28</v>
      </c>
      <c r="D1160" s="50">
        <v>0.103883</v>
      </c>
      <c r="E1160" s="14">
        <v>3.5772999999999999E-2</v>
      </c>
      <c r="F1160" s="48"/>
      <c r="G1160" s="47"/>
      <c r="H1160" s="48"/>
      <c r="I1160" s="48"/>
      <c r="J1160" s="50"/>
      <c r="K1160" s="50"/>
      <c r="L1160" s="48"/>
      <c r="M1160" s="47"/>
      <c r="N1160" s="48"/>
      <c r="O1160" s="48"/>
      <c r="P1160" s="48"/>
    </row>
    <row r="1161" spans="1:16">
      <c r="A1161" s="47">
        <v>44680</v>
      </c>
      <c r="B1161" s="48">
        <v>11404</v>
      </c>
      <c r="C1161" s="48" t="s">
        <v>28</v>
      </c>
      <c r="D1161" s="50">
        <v>-2.0490000000000001E-2</v>
      </c>
      <c r="E1161" s="14">
        <v>-8.7956999999999994E-2</v>
      </c>
      <c r="F1161" s="48"/>
      <c r="G1161" s="47"/>
      <c r="H1161" s="48"/>
      <c r="I1161" s="48"/>
      <c r="J1161" s="50"/>
      <c r="K1161" s="50"/>
      <c r="L1161" s="48"/>
      <c r="M1161" s="47"/>
      <c r="N1161" s="48"/>
      <c r="O1161" s="48"/>
      <c r="P1161" s="48"/>
    </row>
    <row r="1162" spans="1:16">
      <c r="A1162" s="47">
        <v>44712</v>
      </c>
      <c r="B1162" s="48">
        <v>11404</v>
      </c>
      <c r="C1162" s="48" t="s">
        <v>28</v>
      </c>
      <c r="D1162" s="50">
        <v>7.8823000000000004E-2</v>
      </c>
      <c r="E1162" s="14">
        <v>5.3000000000000001E-5</v>
      </c>
      <c r="F1162" s="48"/>
      <c r="G1162" s="47"/>
      <c r="H1162" s="48"/>
      <c r="I1162" s="48"/>
      <c r="J1162" s="50"/>
      <c r="K1162" s="50"/>
      <c r="L1162" s="48"/>
      <c r="M1162" s="47"/>
      <c r="N1162" s="48"/>
      <c r="O1162" s="48"/>
      <c r="P1162" s="48"/>
    </row>
    <row r="1163" spans="1:16">
      <c r="A1163" s="47">
        <v>44742</v>
      </c>
      <c r="B1163" s="48">
        <v>11404</v>
      </c>
      <c r="C1163" s="48" t="s">
        <v>28</v>
      </c>
      <c r="D1163" s="50">
        <v>-4.1910000000000003E-2</v>
      </c>
      <c r="E1163" s="14">
        <v>-8.3919999999999995E-2</v>
      </c>
      <c r="F1163" s="48"/>
      <c r="G1163" s="47"/>
      <c r="H1163" s="48"/>
      <c r="I1163" s="48"/>
      <c r="J1163" s="50"/>
      <c r="K1163" s="50"/>
      <c r="L1163" s="48"/>
      <c r="M1163" s="47"/>
      <c r="N1163" s="48"/>
      <c r="O1163" s="48"/>
      <c r="P1163" s="48"/>
    </row>
    <row r="1164" spans="1:16">
      <c r="A1164" s="47">
        <v>44771</v>
      </c>
      <c r="B1164" s="48">
        <v>11404</v>
      </c>
      <c r="C1164" s="48" t="s">
        <v>28</v>
      </c>
      <c r="D1164" s="50">
        <v>4.3848999999999999E-2</v>
      </c>
      <c r="E1164" s="14">
        <v>9.1116000000000003E-2</v>
      </c>
      <c r="F1164" s="48"/>
      <c r="G1164" s="47"/>
      <c r="H1164" s="48"/>
      <c r="I1164" s="48"/>
      <c r="J1164" s="50"/>
      <c r="K1164" s="50"/>
      <c r="L1164" s="48"/>
      <c r="M1164" s="47"/>
      <c r="N1164" s="48"/>
      <c r="O1164" s="48"/>
      <c r="P1164" s="48"/>
    </row>
    <row r="1165" spans="1:16">
      <c r="A1165" s="47">
        <v>44804</v>
      </c>
      <c r="B1165" s="48">
        <v>11404</v>
      </c>
      <c r="C1165" s="48" t="s">
        <v>28</v>
      </c>
      <c r="D1165" s="50">
        <v>-7.4539999999999997E-3</v>
      </c>
      <c r="E1165" s="14">
        <v>-4.2439999999999999E-2</v>
      </c>
      <c r="F1165" s="48"/>
      <c r="G1165" s="47"/>
      <c r="H1165" s="48"/>
      <c r="I1165" s="48"/>
      <c r="J1165" s="50"/>
      <c r="K1165" s="50"/>
      <c r="L1165" s="48"/>
      <c r="M1165" s="47"/>
      <c r="N1165" s="48"/>
      <c r="O1165" s="48"/>
      <c r="P1165" s="48"/>
    </row>
    <row r="1166" spans="1:16">
      <c r="A1166" s="47">
        <v>44834</v>
      </c>
      <c r="B1166" s="48">
        <v>11404</v>
      </c>
      <c r="C1166" s="48" t="s">
        <v>28</v>
      </c>
      <c r="D1166" s="50">
        <v>-0.12257</v>
      </c>
      <c r="E1166" s="14">
        <v>-9.3396000000000007E-2</v>
      </c>
      <c r="F1166" s="48"/>
      <c r="G1166" s="47"/>
      <c r="H1166" s="48"/>
      <c r="I1166" s="48"/>
      <c r="J1166" s="50"/>
      <c r="K1166" s="50"/>
      <c r="L1166" s="48"/>
      <c r="M1166" s="47"/>
      <c r="N1166" s="48"/>
      <c r="O1166" s="48"/>
      <c r="P1166" s="48"/>
    </row>
    <row r="1167" spans="1:16">
      <c r="A1167" s="47">
        <v>44865</v>
      </c>
      <c r="B1167" s="48">
        <v>11404</v>
      </c>
      <c r="C1167" s="48" t="s">
        <v>28</v>
      </c>
      <c r="D1167" s="50">
        <v>2.5652999999999999E-2</v>
      </c>
      <c r="E1167" s="14">
        <v>7.9863000000000003E-2</v>
      </c>
      <c r="F1167" s="48"/>
      <c r="G1167" s="47"/>
      <c r="H1167" s="48"/>
      <c r="I1167" s="48"/>
      <c r="J1167" s="50"/>
      <c r="K1167" s="50"/>
      <c r="L1167" s="48"/>
      <c r="M1167" s="47"/>
      <c r="N1167" s="48"/>
      <c r="O1167" s="48"/>
      <c r="P1167" s="48"/>
    </row>
    <row r="1168" spans="1:16">
      <c r="A1168" s="47">
        <v>44895</v>
      </c>
      <c r="B1168" s="48">
        <v>11404</v>
      </c>
      <c r="C1168" s="48" t="s">
        <v>28</v>
      </c>
      <c r="D1168" s="50">
        <v>0.12357899999999999</v>
      </c>
      <c r="E1168" s="14">
        <v>5.3753000000000002E-2</v>
      </c>
      <c r="F1168" s="48"/>
      <c r="G1168" s="47"/>
      <c r="H1168" s="48"/>
      <c r="I1168" s="48"/>
      <c r="J1168" s="50"/>
      <c r="K1168" s="50"/>
      <c r="L1168" s="48"/>
      <c r="M1168" s="47"/>
      <c r="N1168" s="48"/>
      <c r="O1168" s="48"/>
      <c r="P1168" s="48"/>
    </row>
    <row r="1169" spans="1:16">
      <c r="A1169" s="47">
        <v>44925</v>
      </c>
      <c r="B1169" s="48">
        <v>11404</v>
      </c>
      <c r="C1169" s="48" t="s">
        <v>28</v>
      </c>
      <c r="D1169" s="50">
        <v>-2.7845999999999999E-2</v>
      </c>
      <c r="E1169" s="14">
        <v>-5.8971000000000003E-2</v>
      </c>
      <c r="F1169" s="48"/>
      <c r="G1169" s="47"/>
      <c r="H1169" s="48"/>
      <c r="I1169" s="48"/>
      <c r="J1169" s="50"/>
      <c r="K1169" s="50"/>
      <c r="L1169" s="48"/>
      <c r="M1169" s="47"/>
      <c r="N1169" s="48"/>
      <c r="O1169" s="48"/>
      <c r="P1169" s="48"/>
    </row>
    <row r="1170" spans="1:16">
      <c r="A1170" s="47">
        <v>44957</v>
      </c>
      <c r="B1170" s="48">
        <v>11404</v>
      </c>
      <c r="C1170" s="48" t="s">
        <v>28</v>
      </c>
      <c r="D1170" s="50">
        <v>0</v>
      </c>
      <c r="E1170" s="14">
        <v>6.1753000000000002E-2</v>
      </c>
      <c r="F1170" s="48"/>
      <c r="G1170" s="47"/>
      <c r="H1170" s="48"/>
      <c r="I1170" s="48"/>
      <c r="J1170" s="50"/>
      <c r="K1170" s="50"/>
      <c r="L1170" s="48"/>
      <c r="M1170" s="47"/>
      <c r="N1170" s="48"/>
      <c r="O1170" s="48"/>
      <c r="P1170" s="48"/>
    </row>
    <row r="1171" spans="1:16">
      <c r="A1171" s="47">
        <v>44985</v>
      </c>
      <c r="B1171" s="48">
        <v>11404</v>
      </c>
      <c r="C1171" s="48" t="s">
        <v>28</v>
      </c>
      <c r="D1171" s="50">
        <v>-5.4033999999999999E-2</v>
      </c>
      <c r="E1171" s="14">
        <v>-2.6112E-2</v>
      </c>
      <c r="F1171" s="48"/>
      <c r="G1171" s="47"/>
      <c r="H1171" s="48"/>
      <c r="I1171" s="48"/>
      <c r="J1171" s="50"/>
      <c r="K1171" s="50"/>
      <c r="L1171" s="48"/>
      <c r="M1171" s="47"/>
      <c r="N1171" s="48"/>
      <c r="O1171" s="48"/>
      <c r="P1171" s="48"/>
    </row>
    <row r="1172" spans="1:16">
      <c r="A1172" s="47">
        <v>45016</v>
      </c>
      <c r="B1172" s="48">
        <v>11404</v>
      </c>
      <c r="C1172" s="48" t="s">
        <v>28</v>
      </c>
      <c r="D1172" s="50">
        <v>7.0733000000000004E-2</v>
      </c>
      <c r="E1172" s="14">
        <v>3.5052E-2</v>
      </c>
      <c r="F1172" s="48"/>
      <c r="G1172" s="47"/>
      <c r="H1172" s="48"/>
      <c r="I1172" s="48"/>
      <c r="J1172" s="50"/>
      <c r="K1172" s="50"/>
      <c r="L1172" s="48"/>
      <c r="M1172" s="47"/>
      <c r="N1172" s="48"/>
      <c r="O1172" s="48"/>
      <c r="P1172" s="48"/>
    </row>
    <row r="1173" spans="1:16">
      <c r="A1173" s="47">
        <v>45044</v>
      </c>
      <c r="B1173" s="48">
        <v>11404</v>
      </c>
      <c r="C1173" s="48" t="s">
        <v>28</v>
      </c>
      <c r="D1173" s="50">
        <v>2.9267000000000001E-2</v>
      </c>
      <c r="E1173" s="14">
        <v>1.4642000000000001E-2</v>
      </c>
      <c r="F1173" s="48"/>
      <c r="G1173" s="47"/>
      <c r="H1173" s="48"/>
      <c r="I1173" s="48"/>
      <c r="J1173" s="50"/>
      <c r="K1173" s="50"/>
      <c r="L1173" s="48"/>
      <c r="M1173" s="47"/>
      <c r="N1173" s="48"/>
      <c r="O1173" s="48"/>
      <c r="P1173" s="48"/>
    </row>
    <row r="1174" spans="1:16">
      <c r="A1174" s="47">
        <v>45077</v>
      </c>
      <c r="B1174" s="48">
        <v>11404</v>
      </c>
      <c r="C1174" s="48" t="s">
        <v>28</v>
      </c>
      <c r="D1174" s="50">
        <v>-4.4276999999999997E-2</v>
      </c>
      <c r="E1174" s="14">
        <v>2.4819999999999998E-3</v>
      </c>
      <c r="F1174" s="48"/>
      <c r="G1174" s="47"/>
      <c r="H1174" s="48"/>
      <c r="I1174" s="48"/>
      <c r="J1174" s="50"/>
      <c r="K1174" s="50"/>
      <c r="L1174" s="48"/>
      <c r="M1174" s="47"/>
      <c r="N1174" s="48"/>
      <c r="O1174" s="48"/>
      <c r="P1174" s="48"/>
    </row>
    <row r="1175" spans="1:16">
      <c r="A1175" s="47">
        <v>45107</v>
      </c>
      <c r="B1175" s="48">
        <v>11404</v>
      </c>
      <c r="C1175" s="48" t="s">
        <v>28</v>
      </c>
      <c r="D1175" s="50">
        <v>-3.1083E-2</v>
      </c>
      <c r="E1175" s="14">
        <v>6.4727999999999994E-2</v>
      </c>
      <c r="F1175" s="48"/>
      <c r="G1175" s="47"/>
      <c r="H1175" s="48"/>
      <c r="I1175" s="48"/>
      <c r="J1175" s="50"/>
      <c r="K1175" s="50"/>
      <c r="L1175" s="48"/>
      <c r="M1175" s="47"/>
      <c r="N1175" s="48"/>
      <c r="O1175" s="48"/>
      <c r="P1175" s="48"/>
    </row>
    <row r="1176" spans="1:16">
      <c r="A1176" s="47">
        <v>45138</v>
      </c>
      <c r="B1176" s="48">
        <v>11404</v>
      </c>
      <c r="C1176" s="48" t="s">
        <v>28</v>
      </c>
      <c r="D1176" s="50">
        <v>4.9335999999999998E-2</v>
      </c>
      <c r="E1176" s="14">
        <v>3.1139E-2</v>
      </c>
      <c r="F1176" s="48"/>
      <c r="G1176" s="47"/>
      <c r="H1176" s="48"/>
      <c r="I1176" s="48"/>
      <c r="J1176" s="50"/>
      <c r="K1176" s="50"/>
      <c r="L1176" s="48"/>
      <c r="M1176" s="47"/>
      <c r="N1176" s="48"/>
      <c r="O1176" s="48"/>
      <c r="P1176" s="48"/>
    </row>
    <row r="1177" spans="1:16">
      <c r="A1177" s="47">
        <v>45169</v>
      </c>
      <c r="B1177" s="48">
        <v>11404</v>
      </c>
      <c r="C1177" s="48" t="s">
        <v>28</v>
      </c>
      <c r="D1177" s="50">
        <v>-5.3657999999999997E-2</v>
      </c>
      <c r="E1177" s="14">
        <v>-1.7715999999999999E-2</v>
      </c>
      <c r="F1177" s="48"/>
      <c r="G1177" s="47"/>
      <c r="H1177" s="48"/>
      <c r="I1177" s="48"/>
      <c r="J1177" s="50"/>
      <c r="K1177" s="50"/>
      <c r="L1177" s="48"/>
      <c r="M1177" s="47"/>
      <c r="N1177" s="48"/>
      <c r="O1177" s="48"/>
      <c r="P1177" s="48"/>
    </row>
    <row r="1178" spans="1:16">
      <c r="A1178" s="47">
        <v>45198</v>
      </c>
      <c r="B1178" s="48">
        <v>11404</v>
      </c>
      <c r="C1178" s="48" t="s">
        <v>28</v>
      </c>
      <c r="D1178" s="50">
        <v>-3.8557000000000001E-2</v>
      </c>
      <c r="E1178" s="14">
        <v>-4.8718999999999998E-2</v>
      </c>
      <c r="F1178" s="48"/>
      <c r="G1178" s="47"/>
      <c r="H1178" s="48"/>
      <c r="I1178" s="48"/>
      <c r="J1178" s="50"/>
      <c r="K1178" s="50"/>
      <c r="L1178" s="48"/>
      <c r="M1178" s="47"/>
      <c r="N1178" s="48"/>
      <c r="O1178" s="48"/>
      <c r="P1178" s="48"/>
    </row>
    <row r="1179" spans="1:16">
      <c r="A1179" s="47">
        <v>45230</v>
      </c>
      <c r="B1179" s="48">
        <v>11404</v>
      </c>
      <c r="C1179" s="48" t="s">
        <v>28</v>
      </c>
      <c r="D1179" s="50">
        <v>2.6424E-2</v>
      </c>
      <c r="E1179" s="14">
        <v>-2.198E-2</v>
      </c>
      <c r="F1179" s="48"/>
      <c r="G1179" s="47"/>
      <c r="H1179" s="48"/>
      <c r="I1179" s="48"/>
      <c r="J1179" s="50"/>
      <c r="K1179" s="50"/>
      <c r="L1179" s="48"/>
      <c r="M1179" s="47"/>
      <c r="N1179" s="48"/>
      <c r="O1179" s="48"/>
      <c r="P1179" s="48"/>
    </row>
    <row r="1180" spans="1:16">
      <c r="A1180" s="47">
        <v>45260</v>
      </c>
      <c r="B1180" s="48">
        <v>11404</v>
      </c>
      <c r="C1180" s="48" t="s">
        <v>28</v>
      </c>
      <c r="D1180" s="50">
        <v>3.5652999999999997E-2</v>
      </c>
      <c r="E1180" s="14">
        <v>8.9178999999999994E-2</v>
      </c>
      <c r="F1180" s="48"/>
      <c r="G1180" s="47"/>
      <c r="H1180" s="48"/>
      <c r="I1180" s="48"/>
      <c r="J1180" s="50"/>
      <c r="K1180" s="50"/>
      <c r="L1180" s="48"/>
      <c r="M1180" s="47"/>
      <c r="N1180" s="48"/>
      <c r="O1180" s="48"/>
      <c r="P1180" s="48"/>
    </row>
    <row r="1181" spans="1:16">
      <c r="A1181" s="47">
        <v>45289</v>
      </c>
      <c r="B1181" s="48">
        <v>11404</v>
      </c>
      <c r="C1181" s="48" t="s">
        <v>28</v>
      </c>
      <c r="D1181" s="50">
        <v>9.5440000000000004E-3</v>
      </c>
      <c r="E1181" s="14">
        <v>4.4228999999999997E-2</v>
      </c>
      <c r="F1181" s="48"/>
      <c r="G1181" s="47"/>
      <c r="H1181" s="48"/>
      <c r="I1181" s="48"/>
      <c r="J1181" s="50"/>
      <c r="K1181" s="50"/>
      <c r="L1181" s="48"/>
      <c r="M1181" s="47"/>
      <c r="N1181" s="48"/>
      <c r="O1181" s="48"/>
      <c r="P1181" s="48"/>
    </row>
  </sheetData>
  <mergeCells count="9">
    <mergeCell ref="M1:P1"/>
    <mergeCell ref="M2:P2"/>
    <mergeCell ref="M3:P3"/>
    <mergeCell ref="A1:E1"/>
    <mergeCell ref="A2:E2"/>
    <mergeCell ref="A3:E3"/>
    <mergeCell ref="G1:K1"/>
    <mergeCell ref="G2:K2"/>
    <mergeCell ref="G3:K3"/>
  </mergeCells>
  <conditionalFormatting sqref="D3:D4">
    <cfRule type="cellIs" dxfId="5" priority="5" operator="equal">
      <formula>-66</formula>
    </cfRule>
    <cfRule type="cellIs" dxfId="4" priority="6" operator="equal">
      <formula>-88</formula>
    </cfRule>
  </conditionalFormatting>
  <conditionalFormatting sqref="J3:J4">
    <cfRule type="cellIs" dxfId="3" priority="3" operator="equal">
      <formula>-66</formula>
    </cfRule>
    <cfRule type="cellIs" dxfId="2" priority="4" operator="equal">
      <formula>-88</formula>
    </cfRule>
  </conditionalFormatting>
  <conditionalFormatting sqref="N4:O4">
    <cfRule type="cellIs" dxfId="1" priority="1" operator="equal">
      <formula>-66</formula>
    </cfRule>
    <cfRule type="cellIs" dxfId="0" priority="2" operator="equal">
      <formula>-88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B458D-8A78-43C9-9535-2739543D00BA}">
  <dimension ref="A1:K215"/>
  <sheetViews>
    <sheetView showGridLines="0" zoomScale="66" zoomScaleNormal="70" workbookViewId="0">
      <selection activeCell="B6" sqref="B6"/>
    </sheetView>
  </sheetViews>
  <sheetFormatPr defaultRowHeight="14.5"/>
  <cols>
    <col min="1" max="1" width="25.36328125" style="51" customWidth="1"/>
    <col min="2" max="2" width="12.90625" style="51" customWidth="1"/>
    <col min="3" max="3" width="8.7265625" style="51"/>
    <col min="4" max="4" width="28.90625" style="52" customWidth="1"/>
    <col min="5" max="5" width="18" style="51" customWidth="1"/>
    <col min="6" max="6" width="8.7265625" style="51"/>
    <col min="7" max="7" width="38.36328125" style="52" bestFit="1" customWidth="1"/>
    <col min="8" max="8" width="18.26953125" style="51" customWidth="1"/>
    <col min="9" max="9" width="8.7265625" style="51"/>
    <col min="10" max="10" width="25.54296875" style="52" bestFit="1" customWidth="1"/>
    <col min="11" max="11" width="13.6328125" style="51" customWidth="1"/>
    <col min="12" max="16384" width="8.7265625" style="51"/>
  </cols>
  <sheetData>
    <row r="1" spans="1:11">
      <c r="A1" s="173" t="s">
        <v>37</v>
      </c>
      <c r="B1" s="173"/>
      <c r="D1" s="174" t="s">
        <v>39</v>
      </c>
      <c r="E1" s="174"/>
      <c r="G1" s="174" t="s">
        <v>42</v>
      </c>
      <c r="H1" s="174"/>
    </row>
    <row r="2" spans="1:11">
      <c r="A2" s="53" t="s">
        <v>31</v>
      </c>
      <c r="B2" s="54" t="s">
        <v>32</v>
      </c>
      <c r="D2" s="175" t="s">
        <v>40</v>
      </c>
      <c r="E2" s="175"/>
      <c r="G2" s="175" t="s">
        <v>43</v>
      </c>
      <c r="H2" s="175"/>
      <c r="J2" s="171" t="s">
        <v>44</v>
      </c>
      <c r="K2" s="172"/>
    </row>
    <row r="3" spans="1:11">
      <c r="A3" s="53" t="s">
        <v>33</v>
      </c>
      <c r="B3" s="54" t="s">
        <v>34</v>
      </c>
      <c r="D3" s="55" t="s">
        <v>18</v>
      </c>
      <c r="E3" s="56" t="s">
        <v>41</v>
      </c>
      <c r="G3" s="57" t="s">
        <v>18</v>
      </c>
      <c r="H3" s="58" t="s">
        <v>41</v>
      </c>
      <c r="J3" s="59" t="s">
        <v>18</v>
      </c>
      <c r="K3" s="60" t="s">
        <v>41</v>
      </c>
    </row>
    <row r="4" spans="1:11">
      <c r="A4" s="53" t="s">
        <v>35</v>
      </c>
      <c r="B4" s="61">
        <v>45292</v>
      </c>
      <c r="D4" s="62">
        <v>45293</v>
      </c>
      <c r="E4" s="63">
        <v>249.87</v>
      </c>
      <c r="F4" s="48"/>
      <c r="G4" s="64">
        <v>45293</v>
      </c>
      <c r="H4" s="63">
        <v>249.87</v>
      </c>
      <c r="I4" s="48"/>
      <c r="J4" s="65">
        <f>G5</f>
        <v>45322</v>
      </c>
      <c r="K4" s="9">
        <f>(H5/H4)-1</f>
        <v>-6.6434545963901193E-2</v>
      </c>
    </row>
    <row r="5" spans="1:11" ht="16" customHeight="1">
      <c r="A5" s="53" t="s">
        <v>38</v>
      </c>
      <c r="B5" s="61">
        <v>45657</v>
      </c>
      <c r="D5" s="66">
        <v>45294</v>
      </c>
      <c r="E5" s="67">
        <v>242.74</v>
      </c>
      <c r="F5" s="48"/>
      <c r="G5" s="64">
        <v>45322</v>
      </c>
      <c r="H5" s="63">
        <v>233.27</v>
      </c>
      <c r="I5" s="48"/>
      <c r="J5" s="65">
        <f>G7</f>
        <v>45351</v>
      </c>
      <c r="K5" s="9">
        <f>(H7/H6)-1</f>
        <v>-2.6094276094276059E-2</v>
      </c>
    </row>
    <row r="6" spans="1:11">
      <c r="A6" s="53" t="s">
        <v>36</v>
      </c>
      <c r="B6" s="78">
        <v>1</v>
      </c>
      <c r="D6" s="66">
        <v>45295</v>
      </c>
      <c r="E6" s="67">
        <v>243.8</v>
      </c>
      <c r="F6" s="48"/>
      <c r="G6" s="64">
        <v>45323</v>
      </c>
      <c r="H6" s="68">
        <v>237.6</v>
      </c>
      <c r="I6" s="48"/>
      <c r="J6" s="65">
        <f>G9</f>
        <v>45379</v>
      </c>
      <c r="K6" s="9">
        <f>(H9/H8)-1</f>
        <v>4.4544950292272789E-2</v>
      </c>
    </row>
    <row r="7" spans="1:11">
      <c r="D7" s="66">
        <v>45296</v>
      </c>
      <c r="E7" s="67">
        <v>243.58</v>
      </c>
      <c r="F7" s="48"/>
      <c r="G7" s="64">
        <v>45351</v>
      </c>
      <c r="H7" s="63">
        <v>231.4</v>
      </c>
      <c r="I7" s="48"/>
      <c r="J7" s="65">
        <f>G11</f>
        <v>45412</v>
      </c>
      <c r="K7" s="9">
        <f>(H11/H10)-1</f>
        <v>2.745441648933955E-2</v>
      </c>
    </row>
    <row r="8" spans="1:11">
      <c r="D8" s="66">
        <v>45299</v>
      </c>
      <c r="E8" s="67">
        <v>248.33</v>
      </c>
      <c r="F8" s="48"/>
      <c r="G8" s="64">
        <v>45352</v>
      </c>
      <c r="H8" s="63">
        <v>234.37</v>
      </c>
      <c r="I8" s="48"/>
      <c r="J8" s="65">
        <f>G13</f>
        <v>45443</v>
      </c>
      <c r="K8" s="9">
        <f>(H13/H12)-1</f>
        <v>5.833706766610991E-2</v>
      </c>
    </row>
    <row r="9" spans="1:11">
      <c r="D9" s="66">
        <v>45300</v>
      </c>
      <c r="E9" s="67">
        <v>247.88</v>
      </c>
      <c r="F9" s="48"/>
      <c r="G9" s="64">
        <v>45379</v>
      </c>
      <c r="H9" s="63">
        <v>244.81</v>
      </c>
      <c r="I9" s="48"/>
      <c r="J9" s="65">
        <f>G15</f>
        <v>45471</v>
      </c>
      <c r="K9" s="9">
        <f>(H15/H14)-1</f>
        <v>4.439243371829793E-2</v>
      </c>
    </row>
    <row r="10" spans="1:11">
      <c r="D10" s="66">
        <v>45301</v>
      </c>
      <c r="E10" s="67">
        <v>247.88</v>
      </c>
      <c r="F10" s="48"/>
      <c r="G10" s="64">
        <v>45383</v>
      </c>
      <c r="H10" s="63">
        <v>239.67</v>
      </c>
      <c r="I10" s="48"/>
      <c r="J10" s="65">
        <f>G17</f>
        <v>45504</v>
      </c>
      <c r="K10" s="9">
        <f>(H17/H16)-1</f>
        <v>2.0306429147423311E-2</v>
      </c>
    </row>
    <row r="11" spans="1:11">
      <c r="D11" s="66">
        <v>45302</v>
      </c>
      <c r="E11" s="67">
        <v>248.08</v>
      </c>
      <c r="F11" s="48"/>
      <c r="G11" s="64">
        <v>45412</v>
      </c>
      <c r="H11" s="63">
        <v>246.25</v>
      </c>
      <c r="I11" s="48"/>
      <c r="J11" s="65">
        <f>G19</f>
        <v>45534</v>
      </c>
      <c r="K11" s="9">
        <f>(H19/H18)-1</f>
        <v>5.6354790157163492E-2</v>
      </c>
    </row>
    <row r="12" spans="1:11">
      <c r="D12" s="66">
        <v>45303</v>
      </c>
      <c r="E12" s="67">
        <v>249.08</v>
      </c>
      <c r="F12" s="48"/>
      <c r="G12" s="64">
        <v>45413</v>
      </c>
      <c r="H12" s="63">
        <v>245.47</v>
      </c>
      <c r="I12" s="48"/>
      <c r="J12" s="65">
        <f>G21</f>
        <v>45565</v>
      </c>
      <c r="K12" s="9">
        <f>(H21/H20)-1</f>
        <v>-2.4017972182761138E-2</v>
      </c>
    </row>
    <row r="13" spans="1:11">
      <c r="D13" s="66">
        <v>45307</v>
      </c>
      <c r="E13" s="67">
        <v>248.77</v>
      </c>
      <c r="F13" s="48"/>
      <c r="G13" s="64">
        <v>45443</v>
      </c>
      <c r="H13" s="63">
        <v>259.79000000000002</v>
      </c>
      <c r="I13" s="48"/>
      <c r="J13" s="65">
        <f>G23</f>
        <v>45596</v>
      </c>
      <c r="K13" s="9">
        <f>(H24/H23)-1</f>
        <v>-1</v>
      </c>
    </row>
    <row r="14" spans="1:11">
      <c r="D14" s="66">
        <v>45308</v>
      </c>
      <c r="E14" s="67">
        <v>241.69</v>
      </c>
      <c r="F14" s="48"/>
      <c r="G14" s="64">
        <v>45446</v>
      </c>
      <c r="H14" s="63">
        <v>260.63</v>
      </c>
      <c r="I14" s="48"/>
      <c r="J14" s="47"/>
      <c r="K14" s="48"/>
    </row>
    <row r="15" spans="1:11">
      <c r="D15" s="66">
        <v>45309</v>
      </c>
      <c r="E15" s="67">
        <v>238.85</v>
      </c>
      <c r="F15" s="48"/>
      <c r="G15" s="64">
        <v>45471</v>
      </c>
      <c r="H15" s="63">
        <v>272.2</v>
      </c>
      <c r="I15" s="48"/>
      <c r="J15" s="47"/>
      <c r="K15" s="48"/>
    </row>
    <row r="16" spans="1:11">
      <c r="D16" s="66">
        <v>45310</v>
      </c>
      <c r="E16" s="67">
        <v>240.85</v>
      </c>
      <c r="F16" s="48"/>
      <c r="G16" s="64">
        <v>45474</v>
      </c>
      <c r="H16" s="63">
        <v>272.82</v>
      </c>
      <c r="I16" s="48"/>
      <c r="J16" s="47"/>
      <c r="K16" s="48"/>
    </row>
    <row r="17" spans="4:11">
      <c r="D17" s="66">
        <v>45313</v>
      </c>
      <c r="E17" s="67">
        <v>242.22</v>
      </c>
      <c r="F17" s="48"/>
      <c r="G17" s="64">
        <v>45504</v>
      </c>
      <c r="H17" s="63">
        <v>278.36</v>
      </c>
      <c r="I17" s="48"/>
      <c r="J17" s="47"/>
      <c r="K17" s="48"/>
    </row>
    <row r="18" spans="4:11">
      <c r="D18" s="66">
        <v>45314</v>
      </c>
      <c r="E18" s="67">
        <v>238.76</v>
      </c>
      <c r="F18" s="48"/>
      <c r="G18" s="64">
        <v>45505</v>
      </c>
      <c r="H18" s="63">
        <v>285.69</v>
      </c>
      <c r="I18" s="48"/>
      <c r="J18" s="47"/>
      <c r="K18" s="48"/>
    </row>
    <row r="19" spans="4:11">
      <c r="D19" s="66">
        <v>45315</v>
      </c>
      <c r="E19" s="67">
        <v>234.66</v>
      </c>
      <c r="F19" s="48"/>
      <c r="G19" s="64">
        <v>45534</v>
      </c>
      <c r="H19" s="63">
        <v>301.79000000000002</v>
      </c>
      <c r="I19" s="48"/>
      <c r="J19" s="47"/>
      <c r="K19" s="48"/>
    </row>
    <row r="20" spans="4:11">
      <c r="D20" s="66">
        <v>45316</v>
      </c>
      <c r="E20" s="67">
        <v>233.92</v>
      </c>
      <c r="F20" s="48"/>
      <c r="G20" s="64">
        <v>45538</v>
      </c>
      <c r="H20" s="63">
        <v>302.69</v>
      </c>
      <c r="I20" s="48"/>
      <c r="J20" s="47"/>
      <c r="K20" s="48"/>
    </row>
    <row r="21" spans="4:11">
      <c r="D21" s="66">
        <v>45317</v>
      </c>
      <c r="E21" s="67">
        <v>236.41</v>
      </c>
      <c r="F21" s="48"/>
      <c r="G21" s="64">
        <v>45565</v>
      </c>
      <c r="H21" s="63">
        <v>295.42</v>
      </c>
      <c r="I21" s="48"/>
      <c r="J21" s="47"/>
      <c r="K21" s="48"/>
    </row>
    <row r="22" spans="4:11">
      <c r="D22" s="66">
        <v>45320</v>
      </c>
      <c r="E22" s="67">
        <v>236.9</v>
      </c>
      <c r="F22" s="48"/>
      <c r="G22" s="64">
        <v>45566</v>
      </c>
      <c r="H22" s="63">
        <v>292.70999999999998</v>
      </c>
      <c r="I22" s="48"/>
      <c r="J22" s="47"/>
      <c r="K22" s="48"/>
    </row>
    <row r="23" spans="4:11">
      <c r="D23" s="66">
        <v>45321</v>
      </c>
      <c r="E23" s="67">
        <v>234.47</v>
      </c>
      <c r="F23" s="48"/>
      <c r="G23" s="69">
        <v>45596</v>
      </c>
      <c r="H23" s="70">
        <v>283.86</v>
      </c>
      <c r="I23" s="48"/>
      <c r="J23" s="47"/>
      <c r="K23" s="48"/>
    </row>
    <row r="24" spans="4:11">
      <c r="D24" s="62">
        <v>45322</v>
      </c>
      <c r="E24" s="63">
        <v>233.27</v>
      </c>
      <c r="F24" s="48"/>
      <c r="G24" s="71"/>
      <c r="H24" s="72"/>
      <c r="I24" s="48"/>
      <c r="J24" s="47"/>
      <c r="K24" s="48"/>
    </row>
    <row r="25" spans="4:11">
      <c r="D25" s="62">
        <v>45323</v>
      </c>
      <c r="E25" s="68">
        <v>237.6</v>
      </c>
      <c r="F25" s="48"/>
      <c r="G25" s="47"/>
      <c r="H25" s="48"/>
      <c r="I25" s="48"/>
      <c r="J25" s="47"/>
      <c r="K25" s="48"/>
    </row>
    <row r="26" spans="4:11">
      <c r="D26" s="66">
        <v>45324</v>
      </c>
      <c r="E26" s="67">
        <v>236.02</v>
      </c>
      <c r="F26" s="48"/>
      <c r="G26" s="47"/>
      <c r="H26" s="48"/>
      <c r="I26" s="48"/>
      <c r="J26" s="47"/>
      <c r="K26" s="48"/>
    </row>
    <row r="27" spans="4:11">
      <c r="D27" s="66">
        <v>45327</v>
      </c>
      <c r="E27" s="67">
        <v>230.34</v>
      </c>
      <c r="F27" s="48"/>
      <c r="G27" s="47"/>
      <c r="H27" s="48"/>
      <c r="I27" s="48"/>
      <c r="J27" s="47"/>
      <c r="K27" s="48"/>
    </row>
    <row r="28" spans="4:11">
      <c r="D28" s="66">
        <v>45328</v>
      </c>
      <c r="E28" s="67">
        <v>232.97</v>
      </c>
      <c r="F28" s="48"/>
      <c r="G28" s="47"/>
      <c r="H28" s="48"/>
      <c r="I28" s="48"/>
      <c r="J28" s="47"/>
      <c r="K28" s="48"/>
    </row>
    <row r="29" spans="4:11">
      <c r="D29" s="66">
        <v>45329</v>
      </c>
      <c r="E29" s="67">
        <v>229.02</v>
      </c>
      <c r="F29" s="48"/>
      <c r="G29" s="47"/>
      <c r="H29" s="48"/>
      <c r="I29" s="48"/>
      <c r="J29" s="47"/>
      <c r="K29" s="48"/>
    </row>
    <row r="30" spans="4:11">
      <c r="D30" s="66">
        <v>45330</v>
      </c>
      <c r="E30" s="67">
        <v>229.34</v>
      </c>
      <c r="F30" s="48"/>
      <c r="G30" s="47"/>
      <c r="H30" s="48"/>
      <c r="I30" s="48"/>
      <c r="J30" s="47"/>
      <c r="K30" s="48"/>
    </row>
    <row r="31" spans="4:11">
      <c r="D31" s="66">
        <v>45331</v>
      </c>
      <c r="E31" s="67">
        <v>229.8</v>
      </c>
      <c r="F31" s="48"/>
      <c r="G31" s="47"/>
      <c r="H31" s="48"/>
      <c r="I31" s="48"/>
      <c r="J31" s="47"/>
      <c r="K31" s="48"/>
    </row>
    <row r="32" spans="4:11">
      <c r="D32" s="66">
        <v>45334</v>
      </c>
      <c r="E32" s="67">
        <v>230.78</v>
      </c>
      <c r="F32" s="48"/>
      <c r="G32" s="47"/>
      <c r="H32" s="48"/>
      <c r="I32" s="48"/>
      <c r="J32" s="47"/>
      <c r="K32" s="48"/>
    </row>
    <row r="33" spans="4:11">
      <c r="D33" s="66">
        <v>45335</v>
      </c>
      <c r="E33" s="67">
        <v>225.59</v>
      </c>
      <c r="F33" s="48"/>
      <c r="G33" s="47"/>
      <c r="H33" s="48"/>
      <c r="I33" s="48"/>
      <c r="J33" s="47"/>
      <c r="K33" s="48"/>
    </row>
    <row r="34" spans="4:11">
      <c r="D34" s="66">
        <v>45336</v>
      </c>
      <c r="E34" s="67">
        <v>227.26</v>
      </c>
      <c r="F34" s="48"/>
      <c r="G34" s="47"/>
      <c r="H34" s="48"/>
      <c r="I34" s="48"/>
      <c r="J34" s="47"/>
      <c r="K34" s="48"/>
    </row>
    <row r="35" spans="4:11">
      <c r="D35" s="66">
        <v>45337</v>
      </c>
      <c r="E35" s="67">
        <v>234.62</v>
      </c>
      <c r="F35" s="48"/>
      <c r="G35" s="47"/>
      <c r="H35" s="48"/>
      <c r="I35" s="48"/>
      <c r="J35" s="47"/>
      <c r="K35" s="48"/>
    </row>
    <row r="36" spans="4:11">
      <c r="D36" s="66">
        <v>45338</v>
      </c>
      <c r="E36" s="67">
        <v>235.37</v>
      </c>
      <c r="F36" s="48"/>
      <c r="G36" s="47"/>
      <c r="H36" s="48"/>
      <c r="I36" s="48"/>
      <c r="J36" s="47"/>
      <c r="K36" s="48"/>
    </row>
    <row r="37" spans="4:11">
      <c r="D37" s="66">
        <v>45342</v>
      </c>
      <c r="E37" s="67">
        <v>232.95</v>
      </c>
      <c r="F37" s="48"/>
      <c r="G37" s="47"/>
      <c r="H37" s="48"/>
      <c r="I37" s="48"/>
      <c r="J37" s="47"/>
      <c r="K37" s="48"/>
    </row>
    <row r="38" spans="4:11">
      <c r="D38" s="66">
        <v>45343</v>
      </c>
      <c r="E38" s="67">
        <v>235.23</v>
      </c>
      <c r="F38" s="48"/>
      <c r="G38" s="47"/>
      <c r="H38" s="48"/>
      <c r="I38" s="48"/>
      <c r="J38" s="47"/>
      <c r="K38" s="48"/>
    </row>
    <row r="39" spans="4:11">
      <c r="D39" s="66">
        <v>45344</v>
      </c>
      <c r="E39" s="67">
        <v>229.95</v>
      </c>
      <c r="F39" s="48"/>
      <c r="G39" s="47"/>
      <c r="H39" s="48"/>
      <c r="I39" s="48"/>
      <c r="J39" s="47"/>
      <c r="K39" s="48"/>
    </row>
    <row r="40" spans="4:11">
      <c r="D40" s="66">
        <v>45345</v>
      </c>
      <c r="E40" s="67">
        <v>229.34</v>
      </c>
      <c r="F40" s="48"/>
      <c r="G40" s="47"/>
      <c r="H40" s="48"/>
      <c r="I40" s="48"/>
      <c r="J40" s="47"/>
      <c r="K40" s="48"/>
    </row>
    <row r="41" spans="4:11">
      <c r="D41" s="66">
        <v>45348</v>
      </c>
      <c r="E41" s="67">
        <v>225.79</v>
      </c>
      <c r="F41" s="48"/>
      <c r="G41" s="47"/>
      <c r="H41" s="48"/>
      <c r="I41" s="48"/>
      <c r="J41" s="47"/>
      <c r="K41" s="48"/>
    </row>
    <row r="42" spans="4:11">
      <c r="D42" s="66">
        <v>45349</v>
      </c>
      <c r="E42" s="67">
        <v>227.73</v>
      </c>
      <c r="F42" s="48"/>
      <c r="G42" s="47"/>
      <c r="H42" s="48"/>
      <c r="I42" s="48"/>
      <c r="J42" s="47"/>
      <c r="K42" s="48"/>
    </row>
    <row r="43" spans="4:11">
      <c r="D43" s="66">
        <v>45350</v>
      </c>
      <c r="E43" s="67">
        <v>229.63</v>
      </c>
      <c r="F43" s="48"/>
      <c r="G43" s="47"/>
      <c r="H43" s="48"/>
      <c r="I43" s="48"/>
      <c r="J43" s="47"/>
      <c r="K43" s="48"/>
    </row>
    <row r="44" spans="4:11">
      <c r="D44" s="62">
        <v>45351</v>
      </c>
      <c r="E44" s="63">
        <v>231.4</v>
      </c>
      <c r="F44" s="48"/>
      <c r="G44" s="47"/>
      <c r="H44" s="48"/>
      <c r="I44" s="48"/>
      <c r="J44" s="47"/>
      <c r="K44" s="48"/>
    </row>
    <row r="45" spans="4:11">
      <c r="D45" s="62">
        <v>45352</v>
      </c>
      <c r="E45" s="63">
        <v>234.37</v>
      </c>
      <c r="F45" s="48"/>
      <c r="G45" s="47"/>
      <c r="H45" s="48"/>
      <c r="I45" s="48"/>
      <c r="J45" s="47"/>
      <c r="K45" s="48"/>
    </row>
    <row r="46" spans="4:11">
      <c r="D46" s="66">
        <v>45355</v>
      </c>
      <c r="E46" s="67">
        <v>243.58</v>
      </c>
      <c r="F46" s="48"/>
      <c r="G46" s="47"/>
      <c r="H46" s="48"/>
      <c r="I46" s="48"/>
      <c r="J46" s="47"/>
      <c r="K46" s="48"/>
    </row>
    <row r="47" spans="4:11">
      <c r="D47" s="66">
        <v>45356</v>
      </c>
      <c r="E47" s="67">
        <v>242.8</v>
      </c>
      <c r="F47" s="48"/>
      <c r="G47" s="47"/>
      <c r="H47" s="48"/>
      <c r="I47" s="48"/>
      <c r="J47" s="47"/>
      <c r="K47" s="48"/>
    </row>
    <row r="48" spans="4:11">
      <c r="D48" s="66">
        <v>45357</v>
      </c>
      <c r="E48" s="67">
        <v>242.7</v>
      </c>
      <c r="F48" s="48"/>
      <c r="G48" s="47"/>
      <c r="H48" s="48"/>
      <c r="I48" s="48"/>
      <c r="J48" s="47"/>
      <c r="K48" s="48"/>
    </row>
    <row r="49" spans="4:11">
      <c r="D49" s="66">
        <v>45358</v>
      </c>
      <c r="E49" s="67">
        <v>242.5</v>
      </c>
      <c r="F49" s="48"/>
      <c r="G49" s="47"/>
      <c r="H49" s="48"/>
      <c r="I49" s="48"/>
      <c r="J49" s="47"/>
      <c r="K49" s="48"/>
    </row>
    <row r="50" spans="4:11">
      <c r="D50" s="66">
        <v>45359</v>
      </c>
      <c r="E50" s="67">
        <v>245.44</v>
      </c>
      <c r="F50" s="48"/>
      <c r="G50" s="47"/>
      <c r="H50" s="48"/>
      <c r="I50" s="48"/>
      <c r="J50" s="47"/>
      <c r="K50" s="48"/>
    </row>
    <row r="51" spans="4:11">
      <c r="D51" s="66">
        <v>45362</v>
      </c>
      <c r="E51" s="67">
        <v>242.97</v>
      </c>
      <c r="F51" s="48"/>
      <c r="G51" s="47"/>
      <c r="H51" s="48"/>
      <c r="I51" s="48"/>
      <c r="J51" s="47"/>
      <c r="K51" s="48"/>
    </row>
    <row r="52" spans="4:11">
      <c r="D52" s="66">
        <v>45363</v>
      </c>
      <c r="E52" s="67">
        <v>240.63</v>
      </c>
      <c r="F52" s="48"/>
      <c r="G52" s="47"/>
      <c r="H52" s="48"/>
      <c r="I52" s="48"/>
      <c r="J52" s="47"/>
      <c r="K52" s="48"/>
    </row>
    <row r="53" spans="4:11">
      <c r="D53" s="66">
        <v>45364</v>
      </c>
      <c r="E53" s="67">
        <v>242.34</v>
      </c>
      <c r="F53" s="48"/>
      <c r="G53" s="47"/>
      <c r="H53" s="48"/>
      <c r="I53" s="48"/>
      <c r="J53" s="47"/>
      <c r="K53" s="48"/>
    </row>
    <row r="54" spans="4:11">
      <c r="D54" s="66">
        <v>45365</v>
      </c>
      <c r="E54" s="67">
        <v>237.13</v>
      </c>
      <c r="F54" s="48"/>
      <c r="G54" s="47"/>
      <c r="H54" s="48"/>
      <c r="I54" s="48"/>
      <c r="J54" s="47"/>
      <c r="K54" s="48"/>
    </row>
    <row r="55" spans="4:11">
      <c r="D55" s="66">
        <v>45366</v>
      </c>
      <c r="E55" s="67">
        <v>239.07</v>
      </c>
      <c r="F55" s="48"/>
      <c r="G55" s="47"/>
      <c r="H55" s="48"/>
      <c r="I55" s="48"/>
      <c r="J55" s="47"/>
      <c r="K55" s="48"/>
    </row>
    <row r="56" spans="4:11">
      <c r="D56" s="66">
        <v>45369</v>
      </c>
      <c r="E56" s="67">
        <v>237.6</v>
      </c>
      <c r="F56" s="48"/>
      <c r="G56" s="47"/>
      <c r="H56" s="48"/>
      <c r="I56" s="48"/>
      <c r="J56" s="47"/>
      <c r="K56" s="48"/>
    </row>
    <row r="57" spans="4:11">
      <c r="D57" s="66">
        <v>45370</v>
      </c>
      <c r="E57" s="67">
        <v>236.13</v>
      </c>
      <c r="F57" s="48"/>
      <c r="G57" s="47"/>
      <c r="H57" s="48"/>
      <c r="I57" s="48"/>
      <c r="J57" s="47"/>
      <c r="K57" s="48"/>
    </row>
    <row r="58" spans="4:11">
      <c r="D58" s="66">
        <v>45371</v>
      </c>
      <c r="E58" s="67">
        <v>240.7</v>
      </c>
      <c r="F58" s="48"/>
      <c r="G58" s="47"/>
      <c r="H58" s="48"/>
      <c r="I58" s="48"/>
      <c r="J58" s="47"/>
      <c r="K58" s="48"/>
    </row>
    <row r="59" spans="4:11">
      <c r="D59" s="66">
        <v>45372</v>
      </c>
      <c r="E59" s="67">
        <v>244.01</v>
      </c>
      <c r="F59" s="48"/>
      <c r="G59" s="47"/>
      <c r="H59" s="48"/>
      <c r="I59" s="48"/>
      <c r="J59" s="47"/>
      <c r="K59" s="48"/>
    </row>
    <row r="60" spans="4:11">
      <c r="D60" s="66">
        <v>45373</v>
      </c>
      <c r="E60" s="67">
        <v>241.99</v>
      </c>
      <c r="F60" s="48"/>
      <c r="G60" s="47"/>
      <c r="H60" s="48"/>
      <c r="I60" s="48"/>
      <c r="J60" s="47"/>
      <c r="K60" s="48"/>
    </row>
    <row r="61" spans="4:11">
      <c r="D61" s="66">
        <v>45376</v>
      </c>
      <c r="E61" s="67">
        <v>239.53</v>
      </c>
      <c r="F61" s="48"/>
      <c r="G61" s="47"/>
      <c r="H61" s="48"/>
      <c r="I61" s="48"/>
      <c r="J61" s="47"/>
      <c r="K61" s="48"/>
    </row>
    <row r="62" spans="4:11">
      <c r="D62" s="66">
        <v>45377</v>
      </c>
      <c r="E62" s="67">
        <v>237.73</v>
      </c>
      <c r="F62" s="48"/>
      <c r="G62" s="47"/>
      <c r="H62" s="48"/>
      <c r="I62" s="48"/>
      <c r="J62" s="47"/>
      <c r="K62" s="48"/>
    </row>
    <row r="63" spans="4:11">
      <c r="D63" s="66">
        <v>45378</v>
      </c>
      <c r="E63" s="67">
        <v>241.41</v>
      </c>
      <c r="F63" s="48"/>
      <c r="G63" s="47"/>
      <c r="H63" s="48"/>
      <c r="I63" s="48"/>
      <c r="J63" s="47"/>
      <c r="K63" s="48"/>
    </row>
    <row r="64" spans="4:11">
      <c r="D64" s="62">
        <v>45379</v>
      </c>
      <c r="E64" s="63">
        <v>244.81</v>
      </c>
      <c r="F64" s="48"/>
      <c r="G64" s="47"/>
      <c r="H64" s="48"/>
      <c r="I64" s="48"/>
      <c r="J64" s="47"/>
      <c r="K64" s="48"/>
    </row>
    <row r="65" spans="4:11">
      <c r="D65" s="62">
        <v>45383</v>
      </c>
      <c r="E65" s="63">
        <v>239.67</v>
      </c>
      <c r="F65" s="48"/>
      <c r="G65" s="47"/>
      <c r="H65" s="48"/>
      <c r="I65" s="48"/>
      <c r="J65" s="47"/>
      <c r="K65" s="48"/>
    </row>
    <row r="66" spans="4:11">
      <c r="D66" s="66">
        <v>45384</v>
      </c>
      <c r="E66" s="67">
        <v>235.5</v>
      </c>
      <c r="F66" s="48"/>
      <c r="G66" s="47"/>
      <c r="H66" s="48"/>
      <c r="I66" s="48"/>
      <c r="J66" s="47"/>
      <c r="K66" s="48"/>
    </row>
    <row r="67" spans="4:11">
      <c r="D67" s="66">
        <v>45385</v>
      </c>
      <c r="E67" s="67">
        <v>237.5</v>
      </c>
      <c r="F67" s="48"/>
      <c r="G67" s="47"/>
      <c r="H67" s="48"/>
      <c r="I67" s="48"/>
      <c r="J67" s="47"/>
      <c r="K67" s="48"/>
    </row>
    <row r="68" spans="4:11">
      <c r="D68" s="66">
        <v>45386</v>
      </c>
      <c r="E68" s="67">
        <v>235.98</v>
      </c>
      <c r="F68" s="48"/>
      <c r="G68" s="47"/>
      <c r="H68" s="48"/>
      <c r="I68" s="48"/>
      <c r="J68" s="47"/>
      <c r="K68" s="48"/>
    </row>
    <row r="69" spans="4:11">
      <c r="D69" s="66">
        <v>45387</v>
      </c>
      <c r="E69" s="67">
        <v>237.68</v>
      </c>
      <c r="F69" s="48"/>
      <c r="G69" s="47"/>
      <c r="H69" s="48"/>
      <c r="I69" s="48"/>
      <c r="J69" s="47"/>
      <c r="K69" s="48"/>
    </row>
    <row r="70" spans="4:11">
      <c r="D70" s="66">
        <v>45390</v>
      </c>
      <c r="E70" s="67">
        <v>243.5</v>
      </c>
      <c r="F70" s="48"/>
      <c r="G70" s="47"/>
      <c r="H70" s="48"/>
      <c r="I70" s="48"/>
      <c r="J70" s="47"/>
      <c r="K70" s="48"/>
    </row>
    <row r="71" spans="4:11">
      <c r="D71" s="66">
        <v>45391</v>
      </c>
      <c r="E71" s="67">
        <v>249.59</v>
      </c>
      <c r="F71" s="48"/>
      <c r="G71" s="47"/>
      <c r="H71" s="48"/>
      <c r="I71" s="48"/>
      <c r="J71" s="47"/>
      <c r="K71" s="48"/>
    </row>
    <row r="72" spans="4:11">
      <c r="D72" s="66">
        <v>45392</v>
      </c>
      <c r="E72" s="67">
        <v>244.01</v>
      </c>
      <c r="F72" s="48"/>
      <c r="G72" s="47"/>
      <c r="H72" s="48"/>
      <c r="I72" s="48"/>
      <c r="J72" s="47"/>
      <c r="K72" s="48"/>
    </row>
    <row r="73" spans="4:11">
      <c r="D73" s="66">
        <v>45393</v>
      </c>
      <c r="E73" s="67">
        <v>244.25</v>
      </c>
      <c r="F73" s="48"/>
      <c r="G73" s="47"/>
      <c r="H73" s="48"/>
      <c r="I73" s="48"/>
      <c r="J73" s="47"/>
      <c r="K73" s="48"/>
    </row>
    <row r="74" spans="4:11">
      <c r="D74" s="66">
        <v>45394</v>
      </c>
      <c r="E74" s="67">
        <v>239.29</v>
      </c>
      <c r="F74" s="48"/>
      <c r="G74" s="47"/>
      <c r="H74" s="48"/>
      <c r="I74" s="48"/>
      <c r="J74" s="47"/>
      <c r="K74" s="48"/>
    </row>
    <row r="75" spans="4:11">
      <c r="D75" s="66">
        <v>45397</v>
      </c>
      <c r="E75" s="67">
        <v>235.59</v>
      </c>
      <c r="F75" s="48"/>
      <c r="G75" s="47"/>
      <c r="H75" s="48"/>
      <c r="I75" s="48"/>
      <c r="J75" s="47"/>
      <c r="K75" s="48"/>
    </row>
    <row r="76" spans="4:11">
      <c r="D76" s="66">
        <v>45398</v>
      </c>
      <c r="E76" s="67">
        <v>232.7</v>
      </c>
      <c r="F76" s="48"/>
      <c r="G76" s="47"/>
      <c r="H76" s="48"/>
      <c r="I76" s="48"/>
      <c r="J76" s="47"/>
      <c r="K76" s="48"/>
    </row>
    <row r="77" spans="4:11">
      <c r="D77" s="66">
        <v>45399</v>
      </c>
      <c r="E77" s="67">
        <v>232.65</v>
      </c>
      <c r="F77" s="48"/>
      <c r="G77" s="47"/>
      <c r="H77" s="48"/>
      <c r="I77" s="48"/>
      <c r="J77" s="47"/>
      <c r="K77" s="48"/>
    </row>
    <row r="78" spans="4:11">
      <c r="D78" s="66">
        <v>45400</v>
      </c>
      <c r="E78" s="67">
        <v>233.97</v>
      </c>
      <c r="F78" s="48"/>
      <c r="G78" s="47"/>
      <c r="H78" s="48"/>
      <c r="I78" s="48"/>
      <c r="J78" s="47"/>
      <c r="K78" s="48"/>
    </row>
    <row r="79" spans="4:11">
      <c r="D79" s="66">
        <v>45401</v>
      </c>
      <c r="E79" s="67">
        <v>235.17</v>
      </c>
      <c r="F79" s="48"/>
      <c r="G79" s="47"/>
      <c r="H79" s="48"/>
      <c r="I79" s="48"/>
      <c r="J79" s="47"/>
      <c r="K79" s="48"/>
    </row>
    <row r="80" spans="4:11">
      <c r="D80" s="66">
        <v>45404</v>
      </c>
      <c r="E80" s="67">
        <v>239.89</v>
      </c>
      <c r="F80" s="48"/>
      <c r="G80" s="47"/>
      <c r="H80" s="48"/>
      <c r="I80" s="48"/>
      <c r="J80" s="47"/>
      <c r="K80" s="48"/>
    </row>
    <row r="81" spans="4:11">
      <c r="D81" s="66">
        <v>45405</v>
      </c>
      <c r="E81" s="67">
        <v>242.15</v>
      </c>
      <c r="F81" s="48"/>
      <c r="G81" s="47"/>
      <c r="H81" s="48"/>
      <c r="I81" s="48"/>
      <c r="J81" s="47"/>
      <c r="K81" s="48"/>
    </row>
    <row r="82" spans="4:11">
      <c r="D82" s="66">
        <v>45406</v>
      </c>
      <c r="E82" s="67">
        <v>247.74</v>
      </c>
      <c r="F82" s="48"/>
      <c r="G82" s="47"/>
      <c r="H82" s="48"/>
      <c r="I82" s="48"/>
      <c r="J82" s="47"/>
      <c r="K82" s="48"/>
    </row>
    <row r="83" spans="4:11">
      <c r="D83" s="66">
        <v>45407</v>
      </c>
      <c r="E83" s="67">
        <v>247.21</v>
      </c>
      <c r="F83" s="48"/>
      <c r="G83" s="47"/>
      <c r="H83" s="48"/>
      <c r="I83" s="48"/>
      <c r="J83" s="47"/>
      <c r="K83" s="48"/>
    </row>
    <row r="84" spans="4:11">
      <c r="D84" s="66">
        <v>45408</v>
      </c>
      <c r="E84" s="67">
        <v>246.92</v>
      </c>
      <c r="F84" s="48"/>
      <c r="G84" s="47"/>
      <c r="H84" s="48"/>
      <c r="I84" s="48"/>
      <c r="J84" s="47"/>
      <c r="K84" s="48"/>
    </row>
    <row r="85" spans="4:11">
      <c r="D85" s="66">
        <v>45411</v>
      </c>
      <c r="E85" s="67">
        <v>248.02</v>
      </c>
      <c r="F85" s="48"/>
      <c r="G85" s="47"/>
      <c r="H85" s="48"/>
      <c r="I85" s="48"/>
      <c r="J85" s="47"/>
      <c r="K85" s="48"/>
    </row>
    <row r="86" spans="4:11">
      <c r="D86" s="62">
        <v>45412</v>
      </c>
      <c r="E86" s="63">
        <v>246.25</v>
      </c>
      <c r="F86" s="48"/>
      <c r="G86" s="47"/>
      <c r="H86" s="48"/>
      <c r="I86" s="48"/>
      <c r="J86" s="47"/>
      <c r="K86" s="48"/>
    </row>
    <row r="87" spans="4:11">
      <c r="D87" s="62">
        <v>45413</v>
      </c>
      <c r="E87" s="63">
        <v>245.47</v>
      </c>
      <c r="F87" s="48"/>
      <c r="G87" s="47"/>
      <c r="H87" s="48"/>
      <c r="I87" s="48"/>
      <c r="J87" s="47"/>
      <c r="K87" s="48"/>
    </row>
    <row r="88" spans="4:11">
      <c r="D88" s="66">
        <v>45414</v>
      </c>
      <c r="E88" s="67">
        <v>249.8</v>
      </c>
      <c r="F88" s="48"/>
      <c r="G88" s="47"/>
      <c r="H88" s="48"/>
      <c r="I88" s="48"/>
      <c r="J88" s="47"/>
      <c r="K88" s="48"/>
    </row>
    <row r="89" spans="4:11">
      <c r="D89" s="66">
        <v>45415</v>
      </c>
      <c r="E89" s="67">
        <v>250.31</v>
      </c>
      <c r="F89" s="48"/>
      <c r="G89" s="47"/>
      <c r="H89" s="48"/>
      <c r="I89" s="48"/>
      <c r="J89" s="47"/>
      <c r="K89" s="48"/>
    </row>
    <row r="90" spans="4:11">
      <c r="D90" s="66">
        <v>45418</v>
      </c>
      <c r="E90" s="67">
        <v>255.49</v>
      </c>
      <c r="F90" s="48"/>
      <c r="G90" s="47"/>
      <c r="H90" s="48"/>
      <c r="I90" s="48"/>
      <c r="J90" s="47"/>
      <c r="K90" s="48"/>
    </row>
    <row r="91" spans="4:11">
      <c r="D91" s="66">
        <v>45419</v>
      </c>
      <c r="E91" s="67">
        <v>257.67</v>
      </c>
      <c r="F91" s="48"/>
      <c r="G91" s="47"/>
      <c r="H91" s="48"/>
      <c r="I91" s="48"/>
      <c r="J91" s="47"/>
      <c r="K91" s="48"/>
    </row>
    <row r="92" spans="4:11">
      <c r="D92" s="66">
        <v>45420</v>
      </c>
      <c r="E92" s="67">
        <v>254.5</v>
      </c>
      <c r="F92" s="48"/>
      <c r="G92" s="47"/>
      <c r="H92" s="48"/>
      <c r="I92" s="48"/>
      <c r="J92" s="47"/>
      <c r="K92" s="48"/>
    </row>
    <row r="93" spans="4:11">
      <c r="D93" s="66">
        <v>45421</v>
      </c>
      <c r="E93" s="67">
        <v>259.58</v>
      </c>
      <c r="F93" s="48"/>
      <c r="G93" s="47"/>
      <c r="H93" s="48"/>
      <c r="I93" s="48"/>
      <c r="J93" s="47"/>
      <c r="K93" s="48"/>
    </row>
    <row r="94" spans="4:11">
      <c r="D94" s="66">
        <v>45422</v>
      </c>
      <c r="E94" s="67">
        <v>258.95</v>
      </c>
      <c r="F94" s="48"/>
      <c r="G94" s="47"/>
      <c r="H94" s="48"/>
      <c r="I94" s="48"/>
      <c r="J94" s="47"/>
      <c r="K94" s="48"/>
    </row>
    <row r="95" spans="4:11">
      <c r="D95" s="66">
        <v>45425</v>
      </c>
      <c r="E95" s="67">
        <v>260.56</v>
      </c>
      <c r="F95" s="48"/>
      <c r="G95" s="47"/>
      <c r="H95" s="48"/>
      <c r="I95" s="48"/>
      <c r="J95" s="47"/>
      <c r="K95" s="48"/>
    </row>
    <row r="96" spans="4:11">
      <c r="D96" s="66">
        <v>45426</v>
      </c>
      <c r="E96" s="67">
        <v>264.97000000000003</v>
      </c>
      <c r="F96" s="48"/>
      <c r="G96" s="47"/>
      <c r="H96" s="48"/>
      <c r="I96" s="48"/>
      <c r="J96" s="47"/>
      <c r="K96" s="48"/>
    </row>
    <row r="97" spans="4:11">
      <c r="D97" s="66">
        <v>45427</v>
      </c>
      <c r="E97" s="67">
        <v>267.83999999999997</v>
      </c>
      <c r="F97" s="48"/>
      <c r="G97" s="47"/>
      <c r="H97" s="48"/>
      <c r="I97" s="48"/>
      <c r="J97" s="47"/>
      <c r="K97" s="48"/>
    </row>
    <row r="98" spans="4:11">
      <c r="D98" s="66">
        <v>45428</v>
      </c>
      <c r="E98" s="67">
        <v>264.70999999999998</v>
      </c>
      <c r="F98" s="48"/>
      <c r="G98" s="47"/>
      <c r="H98" s="48"/>
      <c r="I98" s="48"/>
      <c r="J98" s="47"/>
      <c r="K98" s="48"/>
    </row>
    <row r="99" spans="4:11">
      <c r="D99" s="66">
        <v>45429</v>
      </c>
      <c r="E99" s="67">
        <v>266.29000000000002</v>
      </c>
      <c r="F99" s="48"/>
      <c r="G99" s="47"/>
      <c r="H99" s="48"/>
      <c r="I99" s="48"/>
      <c r="J99" s="47"/>
      <c r="K99" s="48"/>
    </row>
    <row r="100" spans="4:11">
      <c r="D100" s="66">
        <v>45432</v>
      </c>
      <c r="E100" s="67">
        <v>263.41000000000003</v>
      </c>
      <c r="F100" s="48"/>
      <c r="G100" s="47"/>
      <c r="H100" s="48"/>
      <c r="I100" s="48"/>
      <c r="J100" s="47"/>
      <c r="K100" s="48"/>
    </row>
    <row r="101" spans="4:11">
      <c r="D101" s="66">
        <v>45433</v>
      </c>
      <c r="E101" s="67">
        <v>264.16000000000003</v>
      </c>
      <c r="F101" s="48"/>
      <c r="G101" s="47"/>
      <c r="H101" s="48"/>
      <c r="I101" s="48"/>
      <c r="J101" s="47"/>
      <c r="K101" s="48"/>
    </row>
    <row r="102" spans="4:11">
      <c r="D102" s="66">
        <v>45434</v>
      </c>
      <c r="E102" s="67">
        <v>262.94</v>
      </c>
      <c r="F102" s="48"/>
      <c r="G102" s="47"/>
      <c r="H102" s="48"/>
      <c r="I102" s="48"/>
      <c r="J102" s="47"/>
      <c r="K102" s="48"/>
    </row>
    <row r="103" spans="4:11">
      <c r="D103" s="66">
        <v>45435</v>
      </c>
      <c r="E103" s="67">
        <v>257.97000000000003</v>
      </c>
      <c r="F103" s="48"/>
      <c r="G103" s="47"/>
      <c r="H103" s="48"/>
      <c r="I103" s="48"/>
      <c r="J103" s="47"/>
      <c r="K103" s="48"/>
    </row>
    <row r="104" spans="4:11">
      <c r="D104" s="66">
        <v>45436</v>
      </c>
      <c r="E104" s="67">
        <v>259.39999999999998</v>
      </c>
      <c r="F104" s="48"/>
      <c r="G104" s="47"/>
      <c r="H104" s="48"/>
      <c r="I104" s="48"/>
      <c r="J104" s="47"/>
      <c r="K104" s="48"/>
    </row>
    <row r="105" spans="4:11">
      <c r="D105" s="66">
        <v>45440</v>
      </c>
      <c r="E105" s="67">
        <v>255.33</v>
      </c>
      <c r="F105" s="48"/>
      <c r="G105" s="47"/>
      <c r="H105" s="48"/>
      <c r="I105" s="48"/>
      <c r="J105" s="47"/>
      <c r="K105" s="48"/>
    </row>
    <row r="106" spans="4:11">
      <c r="D106" s="66">
        <v>45441</v>
      </c>
      <c r="E106" s="67">
        <v>252.91</v>
      </c>
      <c r="F106" s="48"/>
      <c r="G106" s="47"/>
      <c r="H106" s="48"/>
      <c r="I106" s="48"/>
      <c r="J106" s="47"/>
      <c r="K106" s="48"/>
    </row>
    <row r="107" spans="4:11">
      <c r="D107" s="66">
        <v>45442</v>
      </c>
      <c r="E107" s="67">
        <v>255.6</v>
      </c>
      <c r="F107" s="48"/>
      <c r="G107" s="47"/>
      <c r="H107" s="48"/>
      <c r="I107" s="48"/>
      <c r="J107" s="47"/>
      <c r="K107" s="48"/>
    </row>
    <row r="108" spans="4:11">
      <c r="D108" s="62">
        <v>45443</v>
      </c>
      <c r="E108" s="63">
        <v>259.79000000000002</v>
      </c>
      <c r="F108" s="48"/>
      <c r="G108" s="47"/>
      <c r="H108" s="48"/>
      <c r="I108" s="48"/>
      <c r="J108" s="47"/>
      <c r="K108" s="48"/>
    </row>
    <row r="109" spans="4:11">
      <c r="D109" s="62">
        <v>45446</v>
      </c>
      <c r="E109" s="63">
        <v>260.63</v>
      </c>
      <c r="F109" s="48"/>
      <c r="G109" s="47"/>
      <c r="H109" s="48"/>
      <c r="I109" s="48"/>
      <c r="J109" s="47"/>
      <c r="K109" s="48"/>
    </row>
    <row r="110" spans="4:11">
      <c r="D110" s="66">
        <v>45447</v>
      </c>
      <c r="E110" s="67">
        <v>263.81</v>
      </c>
      <c r="F110" s="48"/>
      <c r="G110" s="47"/>
      <c r="H110" s="48"/>
      <c r="I110" s="48"/>
      <c r="J110" s="47"/>
      <c r="K110" s="48"/>
    </row>
    <row r="111" spans="4:11">
      <c r="D111" s="66">
        <v>45448</v>
      </c>
      <c r="E111" s="67">
        <v>268.08</v>
      </c>
      <c r="F111" s="48"/>
      <c r="G111" s="47"/>
      <c r="H111" s="48"/>
      <c r="I111" s="48"/>
      <c r="J111" s="47"/>
      <c r="K111" s="48"/>
    </row>
    <row r="112" spans="4:11">
      <c r="D112" s="66">
        <v>45449</v>
      </c>
      <c r="E112" s="67">
        <v>268.32</v>
      </c>
      <c r="F112" s="48"/>
      <c r="G112" s="47"/>
      <c r="H112" s="48"/>
      <c r="I112" s="48"/>
      <c r="J112" s="47"/>
      <c r="K112" s="48"/>
    </row>
    <row r="113" spans="4:11">
      <c r="D113" s="66">
        <v>45450</v>
      </c>
      <c r="E113" s="67">
        <v>268.07</v>
      </c>
      <c r="F113" s="48"/>
      <c r="G113" s="47"/>
      <c r="H113" s="48"/>
      <c r="I113" s="48"/>
      <c r="J113" s="47"/>
      <c r="K113" s="48"/>
    </row>
    <row r="114" spans="4:11">
      <c r="D114" s="66">
        <v>45453</v>
      </c>
      <c r="E114" s="67">
        <v>269.37</v>
      </c>
      <c r="F114" s="48"/>
      <c r="G114" s="47"/>
      <c r="H114" s="48"/>
      <c r="I114" s="48"/>
      <c r="J114" s="47"/>
      <c r="K114" s="48"/>
    </row>
    <row r="115" spans="4:11">
      <c r="D115" s="66">
        <v>45454</v>
      </c>
      <c r="E115" s="67">
        <v>265.64</v>
      </c>
      <c r="F115" s="48"/>
      <c r="G115" s="47"/>
      <c r="H115" s="48"/>
      <c r="I115" s="48"/>
      <c r="J115" s="47"/>
      <c r="K115" s="48"/>
    </row>
    <row r="116" spans="4:11">
      <c r="D116" s="66">
        <v>45455</v>
      </c>
      <c r="E116" s="67">
        <v>271.44</v>
      </c>
      <c r="F116" s="48"/>
      <c r="G116" s="47"/>
      <c r="H116" s="48"/>
      <c r="I116" s="48"/>
      <c r="J116" s="47"/>
      <c r="K116" s="48"/>
    </row>
    <row r="117" spans="4:11">
      <c r="D117" s="66">
        <v>45456</v>
      </c>
      <c r="E117" s="67">
        <v>275.2</v>
      </c>
      <c r="F117" s="48"/>
      <c r="G117" s="47"/>
      <c r="H117" s="48"/>
      <c r="I117" s="48"/>
      <c r="J117" s="47"/>
      <c r="K117" s="48"/>
    </row>
    <row r="118" spans="4:11">
      <c r="D118" s="66">
        <v>45457</v>
      </c>
      <c r="E118" s="67">
        <v>278.5</v>
      </c>
      <c r="F118" s="48"/>
      <c r="G118" s="47"/>
      <c r="H118" s="48"/>
      <c r="I118" s="48"/>
      <c r="J118" s="47"/>
      <c r="K118" s="48"/>
    </row>
    <row r="119" spans="4:11">
      <c r="D119" s="66">
        <v>45460</v>
      </c>
      <c r="E119" s="67">
        <v>281.29000000000002</v>
      </c>
      <c r="F119" s="48"/>
      <c r="G119" s="47"/>
      <c r="H119" s="48"/>
      <c r="I119" s="48"/>
      <c r="J119" s="47"/>
      <c r="K119" s="48"/>
    </row>
    <row r="120" spans="4:11">
      <c r="D120" s="66">
        <v>45461</v>
      </c>
      <c r="E120" s="67">
        <v>284.58999999999997</v>
      </c>
      <c r="F120" s="48"/>
      <c r="G120" s="47"/>
      <c r="H120" s="48"/>
      <c r="I120" s="48"/>
      <c r="J120" s="47"/>
      <c r="K120" s="48"/>
    </row>
    <row r="121" spans="4:11">
      <c r="D121" s="66">
        <v>45463</v>
      </c>
      <c r="E121" s="67">
        <v>280.08</v>
      </c>
      <c r="F121" s="48"/>
      <c r="G121" s="47"/>
      <c r="H121" s="48"/>
      <c r="I121" s="48"/>
      <c r="J121" s="47"/>
      <c r="K121" s="48"/>
    </row>
    <row r="122" spans="4:11">
      <c r="D122" s="66">
        <v>45464</v>
      </c>
      <c r="E122" s="67">
        <v>278.22000000000003</v>
      </c>
      <c r="F122" s="48"/>
      <c r="G122" s="47"/>
      <c r="H122" s="48"/>
      <c r="I122" s="48"/>
      <c r="J122" s="47"/>
      <c r="K122" s="48"/>
    </row>
    <row r="123" spans="4:11">
      <c r="D123" s="66">
        <v>45467</v>
      </c>
      <c r="E123" s="67">
        <v>279.19</v>
      </c>
      <c r="F123" s="48"/>
      <c r="G123" s="47"/>
      <c r="H123" s="48"/>
      <c r="I123" s="48"/>
      <c r="J123" s="47"/>
      <c r="K123" s="48"/>
    </row>
    <row r="124" spans="4:11">
      <c r="D124" s="66">
        <v>45468</v>
      </c>
      <c r="E124" s="67">
        <v>275.62</v>
      </c>
      <c r="F124" s="48"/>
      <c r="G124" s="47"/>
      <c r="H124" s="48"/>
      <c r="I124" s="48"/>
      <c r="J124" s="47"/>
      <c r="K124" s="48"/>
    </row>
    <row r="125" spans="4:11">
      <c r="D125" s="66">
        <v>45469</v>
      </c>
      <c r="E125" s="67">
        <v>273.23</v>
      </c>
      <c r="F125" s="48"/>
      <c r="G125" s="47"/>
      <c r="H125" s="48"/>
      <c r="I125" s="48"/>
      <c r="J125" s="47"/>
      <c r="K125" s="48"/>
    </row>
    <row r="126" spans="4:11">
      <c r="D126" s="66">
        <v>45470</v>
      </c>
      <c r="E126" s="67">
        <v>273.38</v>
      </c>
      <c r="F126" s="48"/>
      <c r="G126" s="47"/>
      <c r="H126" s="48"/>
      <c r="I126" s="48"/>
      <c r="J126" s="47"/>
      <c r="K126" s="48"/>
    </row>
    <row r="127" spans="4:11">
      <c r="D127" s="62">
        <v>45471</v>
      </c>
      <c r="E127" s="63">
        <v>272.2</v>
      </c>
      <c r="F127" s="48"/>
      <c r="G127" s="47"/>
      <c r="H127" s="48"/>
      <c r="I127" s="48"/>
      <c r="J127" s="47"/>
      <c r="K127" s="48"/>
    </row>
    <row r="128" spans="4:11">
      <c r="D128" s="62">
        <v>45474</v>
      </c>
      <c r="E128" s="63">
        <v>272.82</v>
      </c>
      <c r="F128" s="48"/>
      <c r="G128" s="47"/>
      <c r="H128" s="48"/>
      <c r="I128" s="48"/>
      <c r="J128" s="47"/>
      <c r="K128" s="48"/>
    </row>
    <row r="129" spans="4:11">
      <c r="D129" s="66">
        <v>45475</v>
      </c>
      <c r="E129" s="67">
        <v>272.99</v>
      </c>
      <c r="F129" s="48"/>
      <c r="G129" s="47"/>
      <c r="H129" s="48"/>
      <c r="I129" s="48"/>
      <c r="J129" s="47"/>
      <c r="K129" s="48"/>
    </row>
    <row r="130" spans="4:11">
      <c r="D130" s="66">
        <v>45476</v>
      </c>
      <c r="E130" s="67">
        <v>269.60000000000002</v>
      </c>
      <c r="F130" s="48"/>
      <c r="G130" s="47"/>
      <c r="H130" s="48"/>
      <c r="I130" s="48"/>
      <c r="J130" s="47"/>
      <c r="K130" s="48"/>
    </row>
    <row r="131" spans="4:11">
      <c r="D131" s="66">
        <v>45478</v>
      </c>
      <c r="E131" s="67">
        <v>272.24</v>
      </c>
      <c r="F131" s="48"/>
      <c r="G131" s="47"/>
      <c r="H131" s="48"/>
      <c r="I131" s="48"/>
      <c r="J131" s="47"/>
      <c r="K131" s="48"/>
    </row>
    <row r="132" spans="4:11">
      <c r="D132" s="66">
        <v>45481</v>
      </c>
      <c r="E132" s="67">
        <v>273.10000000000002</v>
      </c>
      <c r="F132" s="48"/>
      <c r="G132" s="47"/>
      <c r="H132" s="48"/>
      <c r="I132" s="48"/>
      <c r="J132" s="47"/>
      <c r="K132" s="48"/>
    </row>
    <row r="133" spans="4:11">
      <c r="D133" s="66">
        <v>45482</v>
      </c>
      <c r="E133" s="67">
        <v>275.97000000000003</v>
      </c>
      <c r="F133" s="48"/>
      <c r="G133" s="47"/>
      <c r="H133" s="48"/>
      <c r="I133" s="48"/>
      <c r="J133" s="47"/>
      <c r="K133" s="48"/>
    </row>
    <row r="134" spans="4:11">
      <c r="D134" s="66">
        <v>45483</v>
      </c>
      <c r="E134" s="67">
        <v>276.38</v>
      </c>
      <c r="F134" s="48"/>
      <c r="G134" s="47"/>
      <c r="H134" s="48"/>
      <c r="I134" s="48"/>
      <c r="J134" s="47"/>
      <c r="K134" s="48"/>
    </row>
    <row r="135" spans="4:11">
      <c r="D135" s="66">
        <v>45484</v>
      </c>
      <c r="E135" s="67">
        <v>278.41000000000003</v>
      </c>
      <c r="F135" s="48"/>
      <c r="G135" s="47"/>
      <c r="H135" s="48"/>
      <c r="I135" s="48"/>
      <c r="J135" s="47"/>
      <c r="K135" s="48"/>
    </row>
    <row r="136" spans="4:11">
      <c r="D136" s="66">
        <v>45485</v>
      </c>
      <c r="E136" s="67">
        <v>274.33</v>
      </c>
      <c r="F136" s="48"/>
      <c r="G136" s="47"/>
      <c r="H136" s="48"/>
      <c r="I136" s="48"/>
      <c r="J136" s="47"/>
      <c r="K136" s="48"/>
    </row>
    <row r="137" spans="4:11">
      <c r="D137" s="66">
        <v>45488</v>
      </c>
      <c r="E137" s="67">
        <v>276.08999999999997</v>
      </c>
      <c r="F137" s="48"/>
      <c r="G137" s="47"/>
      <c r="H137" s="48"/>
      <c r="I137" s="48"/>
      <c r="J137" s="47"/>
      <c r="K137" s="48"/>
    </row>
    <row r="138" spans="4:11">
      <c r="D138" s="66">
        <v>45489</v>
      </c>
      <c r="E138" s="67">
        <v>278.75</v>
      </c>
      <c r="F138" s="48"/>
      <c r="G138" s="47"/>
      <c r="H138" s="48"/>
      <c r="I138" s="48"/>
      <c r="J138" s="47"/>
      <c r="K138" s="48"/>
    </row>
    <row r="139" spans="4:11">
      <c r="D139" s="66">
        <v>45490</v>
      </c>
      <c r="E139" s="67">
        <v>283.98</v>
      </c>
      <c r="F139" s="48"/>
      <c r="G139" s="47"/>
      <c r="H139" s="48"/>
      <c r="I139" s="48"/>
      <c r="J139" s="47"/>
      <c r="K139" s="48"/>
    </row>
    <row r="140" spans="4:11">
      <c r="D140" s="66">
        <v>45491</v>
      </c>
      <c r="E140" s="67">
        <v>284.14</v>
      </c>
      <c r="F140" s="48"/>
      <c r="G140" s="47"/>
      <c r="H140" s="48"/>
      <c r="I140" s="48"/>
      <c r="J140" s="47"/>
      <c r="K140" s="48"/>
    </row>
    <row r="141" spans="4:11">
      <c r="D141" s="66">
        <v>45492</v>
      </c>
      <c r="E141" s="67">
        <v>284.79000000000002</v>
      </c>
      <c r="F141" s="48"/>
      <c r="G141" s="47"/>
      <c r="H141" s="48"/>
      <c r="I141" s="48"/>
      <c r="J141" s="47"/>
      <c r="K141" s="48"/>
    </row>
    <row r="142" spans="4:11">
      <c r="D142" s="66">
        <v>45495</v>
      </c>
      <c r="E142" s="67">
        <v>290.13</v>
      </c>
      <c r="F142" s="48"/>
      <c r="G142" s="47"/>
      <c r="H142" s="48"/>
      <c r="I142" s="48"/>
      <c r="J142" s="47"/>
      <c r="K142" s="48"/>
    </row>
    <row r="143" spans="4:11">
      <c r="D143" s="66">
        <v>45496</v>
      </c>
      <c r="E143" s="67">
        <v>291.06</v>
      </c>
      <c r="F143" s="48"/>
      <c r="G143" s="47"/>
      <c r="H143" s="48"/>
      <c r="I143" s="48"/>
      <c r="J143" s="47"/>
      <c r="K143" s="48"/>
    </row>
    <row r="144" spans="4:11">
      <c r="D144" s="66">
        <v>45497</v>
      </c>
      <c r="E144" s="67">
        <v>285.95999999999998</v>
      </c>
      <c r="F144" s="48"/>
      <c r="G144" s="47"/>
      <c r="H144" s="48"/>
      <c r="I144" s="48"/>
      <c r="J144" s="47"/>
      <c r="K144" s="48"/>
    </row>
    <row r="145" spans="4:11">
      <c r="D145" s="66">
        <v>45498</v>
      </c>
      <c r="E145" s="67">
        <v>282.72000000000003</v>
      </c>
      <c r="F145" s="48"/>
      <c r="G145" s="47"/>
      <c r="H145" s="48"/>
      <c r="I145" s="48"/>
      <c r="J145" s="47"/>
      <c r="K145" s="48"/>
    </row>
    <row r="146" spans="4:11">
      <c r="D146" s="66">
        <v>45499</v>
      </c>
      <c r="E146" s="67">
        <v>286.74</v>
      </c>
      <c r="F146" s="48"/>
      <c r="G146" s="47"/>
      <c r="H146" s="48"/>
      <c r="I146" s="48"/>
      <c r="J146" s="47"/>
      <c r="K146" s="48"/>
    </row>
    <row r="147" spans="4:11">
      <c r="D147" s="66">
        <v>45502</v>
      </c>
      <c r="E147" s="67">
        <v>286</v>
      </c>
      <c r="F147" s="48"/>
      <c r="G147" s="47"/>
      <c r="H147" s="48"/>
      <c r="I147" s="48"/>
      <c r="J147" s="47"/>
      <c r="K147" s="48"/>
    </row>
    <row r="148" spans="4:11">
      <c r="D148" s="66">
        <v>45503</v>
      </c>
      <c r="E148" s="67">
        <v>280.8</v>
      </c>
      <c r="F148" s="48"/>
      <c r="G148" s="47"/>
      <c r="H148" s="48"/>
      <c r="I148" s="48"/>
      <c r="J148" s="47"/>
      <c r="K148" s="48"/>
    </row>
    <row r="149" spans="4:11">
      <c r="D149" s="62">
        <v>45504</v>
      </c>
      <c r="E149" s="63">
        <v>278.36</v>
      </c>
      <c r="F149" s="48"/>
      <c r="G149" s="47"/>
      <c r="H149" s="48"/>
      <c r="I149" s="48"/>
      <c r="J149" s="47"/>
      <c r="K149" s="48"/>
    </row>
    <row r="150" spans="4:11">
      <c r="D150" s="62">
        <v>45505</v>
      </c>
      <c r="E150" s="63">
        <v>285.69</v>
      </c>
      <c r="F150" s="48"/>
      <c r="G150" s="47"/>
      <c r="H150" s="48"/>
      <c r="I150" s="48"/>
      <c r="J150" s="47"/>
      <c r="K150" s="48"/>
    </row>
    <row r="151" spans="4:11">
      <c r="D151" s="66">
        <v>45506</v>
      </c>
      <c r="E151" s="67">
        <v>281.66000000000003</v>
      </c>
      <c r="F151" s="48"/>
      <c r="G151" s="47"/>
      <c r="H151" s="48"/>
      <c r="I151" s="48"/>
      <c r="J151" s="47"/>
      <c r="K151" s="48"/>
    </row>
    <row r="152" spans="4:11">
      <c r="D152" s="66">
        <v>45509</v>
      </c>
      <c r="E152" s="67">
        <v>272.62</v>
      </c>
      <c r="F152" s="48"/>
      <c r="G152" s="47"/>
      <c r="H152" s="48"/>
      <c r="I152" s="48"/>
      <c r="J152" s="47"/>
      <c r="K152" s="48"/>
    </row>
    <row r="153" spans="4:11">
      <c r="D153" s="66">
        <v>45510</v>
      </c>
      <c r="E153" s="67">
        <v>280.39</v>
      </c>
      <c r="F153" s="48"/>
      <c r="G153" s="47"/>
      <c r="H153" s="48"/>
      <c r="I153" s="48"/>
      <c r="J153" s="47"/>
      <c r="K153" s="48"/>
    </row>
    <row r="154" spans="4:11">
      <c r="D154" s="66">
        <v>45511</v>
      </c>
      <c r="E154" s="67">
        <v>277.43</v>
      </c>
      <c r="F154" s="48"/>
      <c r="G154" s="47"/>
      <c r="H154" s="48"/>
      <c r="I154" s="48"/>
      <c r="J154" s="47"/>
      <c r="K154" s="48"/>
    </row>
    <row r="155" spans="4:11">
      <c r="D155" s="66">
        <v>45512</v>
      </c>
      <c r="E155" s="67">
        <v>279.29000000000002</v>
      </c>
      <c r="F155" s="48"/>
      <c r="G155" s="47"/>
      <c r="H155" s="48"/>
      <c r="I155" s="48"/>
      <c r="J155" s="47"/>
      <c r="K155" s="48"/>
    </row>
    <row r="156" spans="4:11">
      <c r="D156" s="66">
        <v>45517</v>
      </c>
      <c r="E156" s="67">
        <v>282.64</v>
      </c>
      <c r="F156" s="48"/>
      <c r="G156" s="47"/>
      <c r="H156" s="48"/>
      <c r="I156" s="48"/>
      <c r="J156" s="47"/>
      <c r="K156" s="48"/>
    </row>
    <row r="157" spans="4:11">
      <c r="D157" s="66">
        <v>45516</v>
      </c>
      <c r="E157" s="67">
        <v>281.58999999999997</v>
      </c>
      <c r="F157" s="48"/>
      <c r="G157" s="47"/>
      <c r="H157" s="48"/>
      <c r="I157" s="48"/>
      <c r="J157" s="47"/>
      <c r="K157" s="48"/>
    </row>
    <row r="158" spans="4:11">
      <c r="D158" s="66">
        <v>45517</v>
      </c>
      <c r="E158" s="67">
        <v>284.45999999999998</v>
      </c>
      <c r="F158" s="48"/>
      <c r="G158" s="47"/>
      <c r="H158" s="48"/>
      <c r="I158" s="48"/>
      <c r="J158" s="47"/>
      <c r="K158" s="48"/>
    </row>
    <row r="159" spans="4:11">
      <c r="D159" s="66">
        <v>45518</v>
      </c>
      <c r="E159" s="67">
        <v>286.16000000000003</v>
      </c>
      <c r="F159" s="48"/>
      <c r="G159" s="47"/>
      <c r="H159" s="48"/>
      <c r="I159" s="48"/>
      <c r="J159" s="47"/>
      <c r="K159" s="48"/>
    </row>
    <row r="160" spans="4:11">
      <c r="D160" s="66">
        <v>45519</v>
      </c>
      <c r="E160" s="67">
        <v>285</v>
      </c>
      <c r="F160" s="48"/>
      <c r="G160" s="47"/>
      <c r="H160" s="48"/>
      <c r="I160" s="48"/>
      <c r="J160" s="47"/>
      <c r="K160" s="48"/>
    </row>
    <row r="161" spans="4:11">
      <c r="D161" s="66">
        <v>45520</v>
      </c>
      <c r="E161" s="67">
        <v>284.01</v>
      </c>
      <c r="F161" s="48"/>
      <c r="G161" s="47"/>
      <c r="H161" s="48"/>
      <c r="I161" s="48"/>
      <c r="J161" s="47"/>
      <c r="K161" s="48"/>
    </row>
    <row r="162" spans="4:11">
      <c r="D162" s="66">
        <v>45523</v>
      </c>
      <c r="E162" s="67">
        <v>285.41000000000003</v>
      </c>
      <c r="F162" s="48"/>
      <c r="G162" s="47"/>
      <c r="H162" s="48"/>
      <c r="I162" s="48"/>
      <c r="J162" s="47"/>
      <c r="K162" s="48"/>
    </row>
    <row r="163" spans="4:11">
      <c r="D163" s="66">
        <v>45524</v>
      </c>
      <c r="E163" s="67">
        <v>287.14</v>
      </c>
      <c r="F163" s="48"/>
      <c r="G163" s="47"/>
      <c r="H163" s="48"/>
      <c r="I163" s="48"/>
      <c r="J163" s="47"/>
      <c r="K163" s="48"/>
    </row>
    <row r="164" spans="4:11">
      <c r="D164" s="66">
        <v>45525</v>
      </c>
      <c r="E164" s="67">
        <v>289.20999999999998</v>
      </c>
      <c r="F164" s="48"/>
      <c r="G164" s="47"/>
      <c r="H164" s="48"/>
      <c r="I164" s="48"/>
      <c r="J164" s="47"/>
      <c r="K164" s="48"/>
    </row>
    <row r="165" spans="4:11">
      <c r="D165" s="66">
        <v>45526</v>
      </c>
      <c r="E165" s="67">
        <v>290.33999999999997</v>
      </c>
      <c r="F165" s="48"/>
      <c r="G165" s="47"/>
      <c r="H165" s="48"/>
      <c r="I165" s="48"/>
      <c r="J165" s="47"/>
      <c r="K165" s="48"/>
    </row>
    <row r="166" spans="4:11">
      <c r="D166" s="66">
        <v>45527</v>
      </c>
      <c r="E166" s="67">
        <v>296.08999999999997</v>
      </c>
      <c r="F166" s="48"/>
      <c r="G166" s="47"/>
      <c r="H166" s="48"/>
      <c r="I166" s="48"/>
      <c r="J166" s="47"/>
      <c r="K166" s="48"/>
    </row>
    <row r="167" spans="4:11">
      <c r="D167" s="66">
        <v>45530</v>
      </c>
      <c r="E167" s="67">
        <v>294.62</v>
      </c>
      <c r="F167" s="48"/>
      <c r="G167" s="47"/>
      <c r="H167" s="48"/>
      <c r="I167" s="48"/>
      <c r="J167" s="47"/>
      <c r="K167" s="48"/>
    </row>
    <row r="168" spans="4:11">
      <c r="D168" s="66">
        <v>45531</v>
      </c>
      <c r="E168" s="67">
        <v>295.54000000000002</v>
      </c>
      <c r="F168" s="48"/>
      <c r="G168" s="47"/>
      <c r="H168" s="48"/>
      <c r="I168" s="48"/>
      <c r="J168" s="47"/>
      <c r="K168" s="48"/>
    </row>
    <row r="169" spans="4:11">
      <c r="D169" s="66">
        <v>45532</v>
      </c>
      <c r="E169" s="67">
        <v>296.08999999999997</v>
      </c>
      <c r="F169" s="48"/>
      <c r="G169" s="47"/>
      <c r="H169" s="48"/>
      <c r="I169" s="48"/>
      <c r="J169" s="47"/>
      <c r="K169" s="48"/>
    </row>
    <row r="170" spans="4:11">
      <c r="D170" s="66">
        <v>45533</v>
      </c>
      <c r="E170" s="67">
        <v>298.05</v>
      </c>
      <c r="F170" s="48"/>
      <c r="G170" s="47"/>
      <c r="H170" s="48"/>
      <c r="I170" s="48"/>
      <c r="J170" s="47"/>
      <c r="K170" s="48"/>
    </row>
    <row r="171" spans="4:11">
      <c r="D171" s="62">
        <v>45534</v>
      </c>
      <c r="E171" s="63">
        <v>301.79000000000002</v>
      </c>
      <c r="F171" s="48"/>
      <c r="G171" s="47"/>
      <c r="H171" s="48"/>
      <c r="I171" s="48"/>
      <c r="J171" s="47"/>
      <c r="K171" s="48"/>
    </row>
    <row r="172" spans="4:11">
      <c r="D172" s="62">
        <v>45538</v>
      </c>
      <c r="E172" s="63">
        <v>302.69</v>
      </c>
      <c r="F172" s="48"/>
      <c r="G172" s="47"/>
      <c r="H172" s="48"/>
      <c r="I172" s="48"/>
      <c r="J172" s="47"/>
      <c r="K172" s="48"/>
    </row>
    <row r="173" spans="4:11">
      <c r="D173" s="66">
        <v>45539</v>
      </c>
      <c r="E173" s="67">
        <v>301.63</v>
      </c>
      <c r="F173" s="48"/>
      <c r="G173" s="47"/>
      <c r="H173" s="48"/>
      <c r="I173" s="48"/>
      <c r="J173" s="47"/>
      <c r="K173" s="48"/>
    </row>
    <row r="174" spans="4:11">
      <c r="D174" s="66">
        <v>45540</v>
      </c>
      <c r="E174" s="67">
        <v>302.01</v>
      </c>
      <c r="F174" s="48"/>
      <c r="G174" s="47"/>
      <c r="H174" s="48"/>
      <c r="I174" s="48"/>
      <c r="J174" s="47"/>
      <c r="K174" s="48"/>
    </row>
    <row r="175" spans="4:11">
      <c r="D175" s="66">
        <v>45541</v>
      </c>
      <c r="E175" s="67">
        <v>298.20999999999998</v>
      </c>
      <c r="F175" s="48"/>
      <c r="G175" s="47"/>
      <c r="H175" s="48"/>
      <c r="I175" s="48"/>
      <c r="J175" s="47"/>
      <c r="K175" s="48"/>
    </row>
    <row r="176" spans="4:11">
      <c r="D176" s="66">
        <v>45544</v>
      </c>
      <c r="E176" s="67">
        <v>300.05</v>
      </c>
      <c r="F176" s="48"/>
      <c r="G176" s="47"/>
      <c r="H176" s="48"/>
      <c r="I176" s="48"/>
      <c r="J176" s="47"/>
      <c r="K176" s="48"/>
    </row>
    <row r="177" spans="4:11">
      <c r="D177" s="66">
        <v>45545</v>
      </c>
      <c r="E177" s="67">
        <v>308.27</v>
      </c>
      <c r="F177" s="48"/>
      <c r="G177" s="47"/>
      <c r="H177" s="48"/>
      <c r="I177" s="48"/>
      <c r="J177" s="47"/>
      <c r="K177" s="48"/>
    </row>
    <row r="178" spans="4:11">
      <c r="D178" s="66">
        <v>45546</v>
      </c>
      <c r="E178" s="67">
        <v>308.26</v>
      </c>
      <c r="F178" s="48"/>
      <c r="G178" s="47"/>
      <c r="H178" s="48"/>
      <c r="I178" s="48"/>
      <c r="J178" s="47"/>
      <c r="K178" s="48"/>
    </row>
    <row r="179" spans="4:11">
      <c r="D179" s="66">
        <v>45547</v>
      </c>
      <c r="E179" s="67">
        <v>310.22000000000003</v>
      </c>
      <c r="F179" s="48"/>
      <c r="G179" s="47"/>
      <c r="H179" s="48"/>
      <c r="I179" s="48"/>
      <c r="J179" s="47"/>
      <c r="K179" s="48"/>
    </row>
    <row r="180" spans="4:11">
      <c r="D180" s="66">
        <v>45548</v>
      </c>
      <c r="E180" s="67">
        <v>314.05</v>
      </c>
      <c r="F180" s="48"/>
      <c r="G180" s="47"/>
      <c r="H180" s="48"/>
      <c r="I180" s="48"/>
      <c r="J180" s="47"/>
      <c r="K180" s="48"/>
    </row>
    <row r="181" spans="4:11">
      <c r="D181" s="66">
        <v>45551</v>
      </c>
      <c r="E181" s="67">
        <v>315.14999999999998</v>
      </c>
      <c r="F181" s="48"/>
      <c r="G181" s="47"/>
      <c r="H181" s="48"/>
      <c r="I181" s="48"/>
      <c r="J181" s="47"/>
      <c r="K181" s="48"/>
    </row>
    <row r="182" spans="4:11">
      <c r="D182" s="66">
        <v>45552</v>
      </c>
      <c r="E182" s="67">
        <v>312.14</v>
      </c>
      <c r="F182" s="48"/>
      <c r="G182" s="47"/>
      <c r="H182" s="48"/>
      <c r="I182" s="48"/>
      <c r="J182" s="47"/>
      <c r="K182" s="48"/>
    </row>
    <row r="183" spans="4:11">
      <c r="D183" s="66">
        <v>45553</v>
      </c>
      <c r="E183" s="67">
        <v>312.24</v>
      </c>
      <c r="F183" s="48"/>
      <c r="G183" s="47"/>
      <c r="H183" s="48"/>
      <c r="I183" s="48"/>
      <c r="J183" s="47"/>
      <c r="K183" s="48"/>
    </row>
    <row r="184" spans="4:11">
      <c r="D184" s="66">
        <v>45554</v>
      </c>
      <c r="E184" s="67">
        <v>312.42</v>
      </c>
      <c r="F184" s="48"/>
      <c r="G184" s="47"/>
      <c r="H184" s="48"/>
      <c r="I184" s="48"/>
      <c r="J184" s="47"/>
      <c r="K184" s="48"/>
    </row>
    <row r="185" spans="4:11">
      <c r="D185" s="66">
        <v>45555</v>
      </c>
      <c r="E185" s="67">
        <v>306.20999999999998</v>
      </c>
      <c r="F185" s="48"/>
      <c r="G185" s="47"/>
      <c r="H185" s="48"/>
      <c r="I185" s="48"/>
      <c r="J185" s="47"/>
      <c r="K185" s="48"/>
    </row>
    <row r="186" spans="4:11">
      <c r="D186" s="66">
        <v>45558</v>
      </c>
      <c r="E186" s="67">
        <v>309.64999999999998</v>
      </c>
      <c r="F186" s="48"/>
      <c r="G186" s="47"/>
      <c r="H186" s="48"/>
      <c r="I186" s="48"/>
      <c r="J186" s="47"/>
      <c r="K186" s="48"/>
    </row>
    <row r="187" spans="4:11">
      <c r="D187" s="66">
        <v>45559</v>
      </c>
      <c r="E187" s="67">
        <v>300.23</v>
      </c>
      <c r="F187" s="48"/>
      <c r="G187" s="47"/>
      <c r="H187" s="48"/>
      <c r="I187" s="48"/>
      <c r="J187" s="47"/>
      <c r="K187" s="48"/>
    </row>
    <row r="188" spans="4:11">
      <c r="D188" s="66">
        <v>45560</v>
      </c>
      <c r="E188" s="67">
        <v>297.5</v>
      </c>
      <c r="F188" s="48"/>
      <c r="G188" s="47"/>
      <c r="H188" s="48"/>
      <c r="I188" s="48"/>
      <c r="J188" s="47"/>
      <c r="K188" s="48"/>
    </row>
    <row r="189" spans="4:11">
      <c r="D189" s="66">
        <v>45561</v>
      </c>
      <c r="E189" s="67">
        <v>294.17</v>
      </c>
      <c r="F189" s="48"/>
      <c r="G189" s="47"/>
      <c r="H189" s="48"/>
      <c r="I189" s="48"/>
      <c r="J189" s="47"/>
      <c r="K189" s="48"/>
    </row>
    <row r="190" spans="4:11">
      <c r="D190" s="66">
        <v>45562</v>
      </c>
      <c r="E190" s="67">
        <v>294.60000000000002</v>
      </c>
      <c r="F190" s="48"/>
      <c r="G190" s="47"/>
      <c r="H190" s="48"/>
      <c r="I190" s="48"/>
      <c r="J190" s="47"/>
      <c r="K190" s="48"/>
    </row>
    <row r="191" spans="4:11">
      <c r="D191" s="62">
        <v>45565</v>
      </c>
      <c r="E191" s="63">
        <v>295.42</v>
      </c>
      <c r="F191" s="48"/>
      <c r="G191" s="47"/>
      <c r="H191" s="48"/>
      <c r="I191" s="48"/>
      <c r="J191" s="47"/>
      <c r="K191" s="48"/>
    </row>
    <row r="192" spans="4:11">
      <c r="D192" s="62">
        <v>45566</v>
      </c>
      <c r="E192" s="63">
        <v>292.70999999999998</v>
      </c>
      <c r="F192" s="48"/>
      <c r="G192" s="47"/>
      <c r="H192" s="48"/>
      <c r="I192" s="48"/>
      <c r="J192" s="47"/>
      <c r="K192" s="48"/>
    </row>
    <row r="193" spans="4:11">
      <c r="D193" s="66">
        <v>45567</v>
      </c>
      <c r="E193" s="67">
        <v>293.04000000000002</v>
      </c>
      <c r="F193" s="48"/>
      <c r="G193" s="47"/>
      <c r="H193" s="48"/>
      <c r="I193" s="48"/>
      <c r="J193" s="47"/>
      <c r="K193" s="48"/>
    </row>
    <row r="194" spans="4:11">
      <c r="D194" s="66">
        <v>45568</v>
      </c>
      <c r="E194" s="67">
        <v>289.73</v>
      </c>
      <c r="F194" s="48"/>
      <c r="G194" s="47"/>
      <c r="H194" s="48"/>
      <c r="I194" s="48"/>
      <c r="J194" s="47"/>
      <c r="K194" s="48"/>
    </row>
    <row r="195" spans="4:11">
      <c r="D195" s="66">
        <v>45569</v>
      </c>
      <c r="E195" s="67">
        <v>289.88</v>
      </c>
      <c r="F195" s="48"/>
      <c r="G195" s="47"/>
      <c r="H195" s="48"/>
      <c r="I195" s="48"/>
      <c r="J195" s="47"/>
      <c r="K195" s="48"/>
    </row>
    <row r="196" spans="4:11">
      <c r="D196" s="66">
        <v>45572</v>
      </c>
      <c r="E196" s="67">
        <v>287.91000000000003</v>
      </c>
      <c r="F196" s="48"/>
      <c r="G196" s="47"/>
      <c r="H196" s="48"/>
      <c r="I196" s="48"/>
      <c r="J196" s="47"/>
      <c r="K196" s="48"/>
    </row>
    <row r="197" spans="4:11">
      <c r="D197" s="66">
        <v>45573</v>
      </c>
      <c r="E197" s="67">
        <v>288.48</v>
      </c>
      <c r="F197" s="48"/>
      <c r="G197" s="47"/>
      <c r="H197" s="48"/>
      <c r="I197" s="48"/>
      <c r="J197" s="47"/>
      <c r="K197" s="48"/>
    </row>
    <row r="198" spans="4:11">
      <c r="D198" s="66">
        <v>45574</v>
      </c>
      <c r="E198" s="67">
        <v>288.19</v>
      </c>
      <c r="F198" s="48"/>
      <c r="G198" s="47"/>
      <c r="H198" s="48"/>
      <c r="I198" s="48"/>
      <c r="J198" s="47"/>
      <c r="K198" s="48"/>
    </row>
    <row r="199" spans="4:11">
      <c r="D199" s="66">
        <v>45575</v>
      </c>
      <c r="E199" s="67">
        <v>285.31</v>
      </c>
      <c r="F199" s="48"/>
      <c r="G199" s="47"/>
      <c r="H199" s="48"/>
      <c r="I199" s="48"/>
      <c r="J199" s="47"/>
      <c r="K199" s="48"/>
    </row>
    <row r="200" spans="4:11">
      <c r="D200" s="66">
        <v>45576</v>
      </c>
      <c r="E200" s="67">
        <v>288.08</v>
      </c>
      <c r="F200" s="48"/>
      <c r="G200" s="47"/>
      <c r="H200" s="48"/>
      <c r="I200" s="48"/>
      <c r="J200" s="47"/>
      <c r="K200" s="48"/>
    </row>
    <row r="201" spans="4:11">
      <c r="D201" s="66">
        <v>45579</v>
      </c>
      <c r="E201" s="67">
        <v>291.35000000000002</v>
      </c>
      <c r="F201" s="48"/>
      <c r="G201" s="47"/>
      <c r="H201" s="48"/>
      <c r="I201" s="48"/>
      <c r="J201" s="47"/>
      <c r="K201" s="48"/>
    </row>
    <row r="202" spans="4:11">
      <c r="D202" s="66">
        <v>45580</v>
      </c>
      <c r="E202" s="67">
        <v>292.62</v>
      </c>
      <c r="F202" s="48"/>
      <c r="G202" s="47"/>
      <c r="H202" s="48"/>
      <c r="I202" s="48"/>
      <c r="J202" s="47"/>
      <c r="K202" s="48"/>
    </row>
    <row r="203" spans="4:11">
      <c r="D203" s="66">
        <v>45581</v>
      </c>
      <c r="E203" s="67">
        <v>297.48</v>
      </c>
      <c r="F203" s="48"/>
      <c r="G203" s="47"/>
      <c r="H203" s="48"/>
      <c r="I203" s="48"/>
      <c r="J203" s="47"/>
      <c r="K203" s="48"/>
    </row>
    <row r="204" spans="4:11">
      <c r="D204" s="66">
        <v>45582</v>
      </c>
      <c r="E204" s="67">
        <v>294.25</v>
      </c>
      <c r="F204" s="48"/>
      <c r="G204" s="47"/>
      <c r="H204" s="48"/>
      <c r="I204" s="48"/>
      <c r="J204" s="47"/>
      <c r="K204" s="48"/>
    </row>
    <row r="205" spans="4:11">
      <c r="D205" s="66">
        <v>45583</v>
      </c>
      <c r="E205" s="67">
        <v>296.5</v>
      </c>
      <c r="F205" s="48"/>
      <c r="G205" s="47"/>
      <c r="H205" s="48"/>
      <c r="I205" s="48"/>
      <c r="J205" s="47"/>
      <c r="K205" s="48"/>
    </row>
    <row r="206" spans="4:11">
      <c r="D206" s="66">
        <v>45586</v>
      </c>
      <c r="E206" s="67">
        <v>291.37</v>
      </c>
      <c r="F206" s="48"/>
      <c r="G206" s="47"/>
      <c r="H206" s="48"/>
      <c r="I206" s="48"/>
      <c r="J206" s="47"/>
      <c r="K206" s="48"/>
    </row>
    <row r="207" spans="4:11">
      <c r="D207" s="66">
        <v>45587</v>
      </c>
      <c r="E207" s="67">
        <v>293.39999999999998</v>
      </c>
      <c r="F207" s="48"/>
      <c r="G207" s="47"/>
      <c r="H207" s="48"/>
      <c r="I207" s="48"/>
      <c r="J207" s="47"/>
      <c r="K207" s="48"/>
    </row>
    <row r="208" spans="4:11">
      <c r="D208" s="66">
        <v>45588</v>
      </c>
      <c r="E208" s="67">
        <v>299.95999999999998</v>
      </c>
      <c r="F208" s="48"/>
      <c r="G208" s="47"/>
      <c r="H208" s="48"/>
      <c r="I208" s="48"/>
      <c r="J208" s="47"/>
      <c r="K208" s="48"/>
    </row>
    <row r="209" spans="4:11">
      <c r="D209" s="66">
        <v>45589</v>
      </c>
      <c r="E209" s="67">
        <v>301.76</v>
      </c>
      <c r="F209" s="48"/>
      <c r="G209" s="47"/>
      <c r="H209" s="48"/>
      <c r="I209" s="48"/>
      <c r="J209" s="47"/>
      <c r="K209" s="48"/>
    </row>
    <row r="210" spans="4:11">
      <c r="D210" s="66">
        <v>45590</v>
      </c>
      <c r="E210" s="67">
        <v>295.64999999999998</v>
      </c>
      <c r="F210" s="48"/>
      <c r="G210" s="47"/>
      <c r="H210" s="48"/>
      <c r="I210" s="48"/>
      <c r="J210" s="47"/>
      <c r="K210" s="48"/>
    </row>
    <row r="211" spans="4:11">
      <c r="D211" s="66">
        <v>45593</v>
      </c>
      <c r="E211" s="67">
        <v>299.67</v>
      </c>
      <c r="F211" s="48"/>
      <c r="G211" s="47"/>
      <c r="H211" s="48"/>
      <c r="I211" s="48"/>
      <c r="J211" s="47"/>
      <c r="K211" s="48"/>
    </row>
    <row r="212" spans="4:11">
      <c r="D212" s="66">
        <v>45594</v>
      </c>
      <c r="E212" s="67">
        <v>298.43</v>
      </c>
      <c r="F212" s="48"/>
      <c r="G212" s="47"/>
      <c r="H212" s="48"/>
      <c r="I212" s="48"/>
      <c r="J212" s="47"/>
      <c r="K212" s="48"/>
    </row>
    <row r="213" spans="4:11">
      <c r="D213" s="66">
        <v>45595</v>
      </c>
      <c r="E213" s="67">
        <v>294.02</v>
      </c>
      <c r="F213" s="48"/>
      <c r="G213" s="47"/>
      <c r="H213" s="48"/>
      <c r="I213" s="48"/>
      <c r="J213" s="47"/>
      <c r="K213" s="48"/>
    </row>
    <row r="214" spans="4:11">
      <c r="D214" s="62">
        <v>45596</v>
      </c>
      <c r="E214" s="63">
        <v>283.86</v>
      </c>
      <c r="F214" s="48"/>
      <c r="G214" s="47"/>
      <c r="H214" s="48"/>
      <c r="I214" s="48"/>
      <c r="J214" s="47"/>
      <c r="K214" s="48"/>
    </row>
    <row r="215" spans="4:11">
      <c r="D215" s="62">
        <v>45597</v>
      </c>
      <c r="E215" s="68">
        <v>276.97000000000003</v>
      </c>
      <c r="F215" s="48"/>
      <c r="G215" s="47"/>
      <c r="H215" s="48"/>
      <c r="I215" s="48"/>
      <c r="J215" s="47"/>
      <c r="K215" s="48"/>
    </row>
  </sheetData>
  <autoFilter ref="D3:E215" xr:uid="{933B458D-8A78-43C9-9535-2739543D00BA}"/>
  <mergeCells count="6">
    <mergeCell ref="J2:K2"/>
    <mergeCell ref="A1:B1"/>
    <mergeCell ref="D1:E1"/>
    <mergeCell ref="D2:E2"/>
    <mergeCell ref="G1:H1"/>
    <mergeCell ref="G2: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EF07AC-3E38-478D-8547-9B0D070C3779}">
  <dimension ref="A1:K215"/>
  <sheetViews>
    <sheetView showGridLines="0" zoomScale="74" workbookViewId="0">
      <selection activeCell="G28" sqref="G28"/>
    </sheetView>
  </sheetViews>
  <sheetFormatPr defaultRowHeight="14.5"/>
  <cols>
    <col min="1" max="1" width="23.453125" customWidth="1"/>
    <col min="2" max="2" width="12.7265625" customWidth="1"/>
    <col min="4" max="4" width="21.26953125" customWidth="1"/>
    <col min="5" max="5" width="20" customWidth="1"/>
    <col min="7" max="7" width="20.90625" customWidth="1"/>
    <col min="8" max="8" width="22.26953125" customWidth="1"/>
    <col min="10" max="10" width="14.90625" customWidth="1"/>
    <col min="11" max="11" width="16.54296875" customWidth="1"/>
  </cols>
  <sheetData>
    <row r="1" spans="1:11">
      <c r="A1" s="178" t="s">
        <v>37</v>
      </c>
      <c r="B1" s="178"/>
      <c r="D1" s="179" t="s">
        <v>39</v>
      </c>
      <c r="E1" s="179"/>
      <c r="G1" s="179" t="s">
        <v>42</v>
      </c>
      <c r="H1" s="179"/>
      <c r="J1" s="176" t="s">
        <v>44</v>
      </c>
      <c r="K1" s="177"/>
    </row>
    <row r="2" spans="1:11" ht="17" customHeight="1">
      <c r="A2" s="21" t="s">
        <v>31</v>
      </c>
      <c r="B2" s="20" t="s">
        <v>45</v>
      </c>
      <c r="D2" s="180" t="s">
        <v>40</v>
      </c>
      <c r="E2" s="180"/>
      <c r="G2" s="180" t="s">
        <v>43</v>
      </c>
      <c r="H2" s="180"/>
      <c r="J2" s="31" t="s">
        <v>18</v>
      </c>
      <c r="K2" s="26" t="s">
        <v>41</v>
      </c>
    </row>
    <row r="3" spans="1:11">
      <c r="A3" s="21" t="s">
        <v>33</v>
      </c>
      <c r="B3" s="20" t="s">
        <v>34</v>
      </c>
      <c r="D3" s="36" t="s">
        <v>18</v>
      </c>
      <c r="E3" s="38" t="s">
        <v>41</v>
      </c>
      <c r="G3" s="30">
        <v>45293</v>
      </c>
      <c r="H3" s="42">
        <v>92.41</v>
      </c>
      <c r="J3" s="32">
        <f>G4</f>
        <v>45322</v>
      </c>
      <c r="K3" s="22">
        <f>(H4/H3)-1</f>
        <v>-1.6340222919597358E-2</v>
      </c>
    </row>
    <row r="4" spans="1:11" ht="13.5" customHeight="1">
      <c r="A4" s="21" t="s">
        <v>35</v>
      </c>
      <c r="B4" s="33">
        <v>45292</v>
      </c>
      <c r="D4" s="30">
        <v>45293</v>
      </c>
      <c r="E4" s="42">
        <v>92.41</v>
      </c>
      <c r="G4" s="30">
        <v>45322</v>
      </c>
      <c r="H4" s="42">
        <v>90.9</v>
      </c>
      <c r="J4" s="32">
        <f>G6</f>
        <v>45351</v>
      </c>
      <c r="K4" s="22">
        <f>(H6/H5)-1</f>
        <v>-6.0034490191851808E-2</v>
      </c>
    </row>
    <row r="5" spans="1:11" ht="13.5" customHeight="1">
      <c r="A5" s="21" t="s">
        <v>38</v>
      </c>
      <c r="B5" s="33">
        <v>45657</v>
      </c>
      <c r="D5" s="43">
        <v>45294</v>
      </c>
      <c r="E5" s="44">
        <v>93</v>
      </c>
      <c r="G5" s="30">
        <v>45323</v>
      </c>
      <c r="H5" s="42">
        <v>92.78</v>
      </c>
      <c r="J5" s="32">
        <f>G8</f>
        <v>45379</v>
      </c>
      <c r="K5" s="22">
        <f>(H8/H7)-1</f>
        <v>4.3673141018273798E-2</v>
      </c>
    </row>
    <row r="6" spans="1:11">
      <c r="A6" s="21" t="s">
        <v>36</v>
      </c>
      <c r="B6" s="23">
        <v>1</v>
      </c>
      <c r="D6" s="43">
        <v>45295</v>
      </c>
      <c r="E6" s="44">
        <v>93.25</v>
      </c>
      <c r="G6" s="30">
        <v>45351</v>
      </c>
      <c r="H6" s="42">
        <v>87.21</v>
      </c>
      <c r="J6" s="32">
        <f>G10</f>
        <v>45412</v>
      </c>
      <c r="K6" s="22">
        <f>(H10/H9)-1</f>
        <v>4.5057013173917859E-2</v>
      </c>
    </row>
    <row r="7" spans="1:11">
      <c r="D7" s="43">
        <v>45296</v>
      </c>
      <c r="E7" s="44">
        <v>93.52</v>
      </c>
      <c r="G7" s="30">
        <v>45352</v>
      </c>
      <c r="H7" s="42">
        <v>87.01</v>
      </c>
      <c r="J7" s="32">
        <f>G12</f>
        <v>45443</v>
      </c>
      <c r="K7" s="22">
        <f>(H12/H11)-1</f>
        <v>-2.6371308016878148E-3</v>
      </c>
    </row>
    <row r="8" spans="1:11">
      <c r="D8" s="43">
        <v>45299</v>
      </c>
      <c r="E8" s="44">
        <v>93.81</v>
      </c>
      <c r="G8" s="30">
        <v>45379</v>
      </c>
      <c r="H8" s="42">
        <v>90.81</v>
      </c>
      <c r="J8" s="32">
        <f>G14</f>
        <v>45471</v>
      </c>
      <c r="K8" s="22">
        <f>(H14/H13)-1</f>
        <v>-4.5473953885567964E-2</v>
      </c>
    </row>
    <row r="9" spans="1:11">
      <c r="D9" s="43">
        <v>45300</v>
      </c>
      <c r="E9" s="44">
        <v>93.7</v>
      </c>
      <c r="G9" s="30">
        <v>45383</v>
      </c>
      <c r="H9" s="42">
        <v>90.33</v>
      </c>
      <c r="J9" s="32">
        <f>G16</f>
        <v>45504</v>
      </c>
      <c r="K9" s="22">
        <f>(H16/H15)-1</f>
        <v>9.8074541155275252E-2</v>
      </c>
    </row>
    <row r="10" spans="1:11">
      <c r="D10" s="43">
        <v>45301</v>
      </c>
      <c r="E10" s="44">
        <v>94.32</v>
      </c>
      <c r="G10" s="30">
        <v>45412</v>
      </c>
      <c r="H10" s="42">
        <v>94.4</v>
      </c>
      <c r="J10" s="32">
        <f>G18</f>
        <v>45534</v>
      </c>
      <c r="K10" s="22">
        <f>(H18/H17)-1</f>
        <v>1.3471709410238564E-2</v>
      </c>
    </row>
    <row r="11" spans="1:11">
      <c r="D11" s="43">
        <v>45302</v>
      </c>
      <c r="E11" s="44">
        <v>91.25</v>
      </c>
      <c r="G11" s="30">
        <v>45413</v>
      </c>
      <c r="H11" s="42">
        <v>94.8</v>
      </c>
      <c r="J11" s="32">
        <f>G20</f>
        <v>45565</v>
      </c>
      <c r="K11" s="22">
        <f>(H20/H19)-1</f>
        <v>8.2300542215336669E-3</v>
      </c>
    </row>
    <row r="12" spans="1:11">
      <c r="D12" s="43">
        <v>45303</v>
      </c>
      <c r="E12" s="44">
        <v>91.62</v>
      </c>
      <c r="G12" s="30">
        <v>45443</v>
      </c>
      <c r="H12" s="42">
        <v>94.55</v>
      </c>
      <c r="J12" s="32">
        <f>G22</f>
        <v>45596</v>
      </c>
      <c r="K12" s="22">
        <f>(H22/H21)-1</f>
        <v>-3.3000475511174465E-2</v>
      </c>
    </row>
    <row r="13" spans="1:11">
      <c r="D13" s="43">
        <v>45307</v>
      </c>
      <c r="E13" s="44">
        <v>91.56</v>
      </c>
      <c r="G13" s="30">
        <v>45446</v>
      </c>
      <c r="H13" s="42">
        <v>93.68</v>
      </c>
    </row>
    <row r="14" spans="1:11">
      <c r="D14" s="43">
        <v>45308</v>
      </c>
      <c r="E14" s="44">
        <v>90.55</v>
      </c>
      <c r="G14" s="30">
        <v>45471</v>
      </c>
      <c r="H14" s="42">
        <v>89.42</v>
      </c>
    </row>
    <row r="15" spans="1:11">
      <c r="D15" s="43">
        <v>45309</v>
      </c>
      <c r="E15" s="44">
        <v>89.4</v>
      </c>
      <c r="G15" s="30">
        <v>45474</v>
      </c>
      <c r="H15" s="42">
        <v>88.81</v>
      </c>
    </row>
    <row r="16" spans="1:11">
      <c r="D16" s="43">
        <v>45310</v>
      </c>
      <c r="E16" s="44">
        <v>89.86</v>
      </c>
      <c r="G16" s="30">
        <v>45504</v>
      </c>
      <c r="H16" s="42">
        <v>97.52</v>
      </c>
    </row>
    <row r="17" spans="4:8">
      <c r="D17" s="43">
        <v>45313</v>
      </c>
      <c r="E17" s="44">
        <v>89.2</v>
      </c>
      <c r="G17" s="30">
        <v>45505</v>
      </c>
      <c r="H17" s="42">
        <v>100.21</v>
      </c>
    </row>
    <row r="18" spans="4:8">
      <c r="D18" s="43">
        <v>45314</v>
      </c>
      <c r="E18" s="44">
        <v>89.12</v>
      </c>
      <c r="G18" s="30">
        <v>45534</v>
      </c>
      <c r="H18" s="42">
        <v>101.56</v>
      </c>
    </row>
    <row r="19" spans="4:8">
      <c r="D19" s="43">
        <v>45315</v>
      </c>
      <c r="E19" s="44">
        <v>88.32</v>
      </c>
      <c r="G19" s="30">
        <v>45538</v>
      </c>
      <c r="H19" s="42">
        <v>103.28</v>
      </c>
    </row>
    <row r="20" spans="4:8">
      <c r="D20" s="43">
        <v>45316</v>
      </c>
      <c r="E20" s="44">
        <v>89.67</v>
      </c>
      <c r="G20" s="30">
        <v>45565</v>
      </c>
      <c r="H20" s="42">
        <v>104.13</v>
      </c>
    </row>
    <row r="21" spans="4:8">
      <c r="D21" s="43">
        <v>45317</v>
      </c>
      <c r="E21" s="44">
        <v>90.02</v>
      </c>
      <c r="G21" s="30">
        <v>45566</v>
      </c>
      <c r="H21" s="42">
        <v>105.15</v>
      </c>
    </row>
    <row r="22" spans="4:8">
      <c r="D22" s="43">
        <v>45320</v>
      </c>
      <c r="E22" s="44">
        <v>90.59</v>
      </c>
      <c r="G22" s="30">
        <v>45596</v>
      </c>
      <c r="H22" s="42">
        <v>101.68</v>
      </c>
    </row>
    <row r="23" spans="4:8">
      <c r="D23" s="43">
        <v>45321</v>
      </c>
      <c r="E23" s="44">
        <v>90.68</v>
      </c>
      <c r="G23" s="40"/>
      <c r="H23" s="41"/>
    </row>
    <row r="24" spans="4:8">
      <c r="D24" s="30">
        <v>45322</v>
      </c>
      <c r="E24" s="42">
        <v>90.9</v>
      </c>
    </row>
    <row r="25" spans="4:8">
      <c r="D25" s="30">
        <v>45323</v>
      </c>
      <c r="E25" s="42">
        <v>92.78</v>
      </c>
    </row>
    <row r="26" spans="4:8">
      <c r="D26" s="43">
        <v>45324</v>
      </c>
      <c r="E26" s="44">
        <v>91.1</v>
      </c>
    </row>
    <row r="27" spans="4:8">
      <c r="D27" s="43">
        <v>45327</v>
      </c>
      <c r="E27" s="44">
        <v>89.67</v>
      </c>
    </row>
    <row r="28" spans="4:8">
      <c r="D28" s="43">
        <v>45328</v>
      </c>
      <c r="E28" s="44">
        <v>89.77</v>
      </c>
    </row>
    <row r="29" spans="4:8">
      <c r="D29" s="43">
        <v>45329</v>
      </c>
      <c r="E29" s="44">
        <v>89.47</v>
      </c>
    </row>
    <row r="30" spans="4:8">
      <c r="D30" s="43">
        <v>45330</v>
      </c>
      <c r="E30" s="44">
        <v>88.67</v>
      </c>
    </row>
    <row r="31" spans="4:8">
      <c r="D31" s="43">
        <v>45331</v>
      </c>
      <c r="E31" s="44">
        <v>89.06</v>
      </c>
    </row>
    <row r="32" spans="4:8">
      <c r="D32" s="43">
        <v>45334</v>
      </c>
      <c r="E32" s="44">
        <v>89.45</v>
      </c>
    </row>
    <row r="33" spans="4:5">
      <c r="D33" s="43">
        <v>45335</v>
      </c>
      <c r="E33" s="44">
        <v>86.67</v>
      </c>
    </row>
    <row r="34" spans="4:5">
      <c r="D34" s="43">
        <v>45336</v>
      </c>
      <c r="E34" s="44">
        <v>86.84</v>
      </c>
    </row>
    <row r="35" spans="4:5">
      <c r="D35" s="43">
        <v>45337</v>
      </c>
      <c r="E35" s="44">
        <v>88.22</v>
      </c>
    </row>
    <row r="36" spans="4:5">
      <c r="D36" s="43">
        <v>45338</v>
      </c>
      <c r="E36" s="44">
        <v>87.32</v>
      </c>
    </row>
    <row r="37" spans="4:5">
      <c r="D37" s="43">
        <v>45342</v>
      </c>
      <c r="E37" s="44">
        <v>87.58</v>
      </c>
    </row>
    <row r="38" spans="4:5">
      <c r="D38" s="43">
        <v>45343</v>
      </c>
      <c r="E38" s="44">
        <v>88.61</v>
      </c>
    </row>
    <row r="39" spans="4:5">
      <c r="D39" s="43">
        <v>45344</v>
      </c>
      <c r="E39" s="44">
        <v>87.91</v>
      </c>
    </row>
    <row r="40" spans="4:5">
      <c r="D40" s="43">
        <v>45345</v>
      </c>
      <c r="E40" s="44">
        <v>87.93</v>
      </c>
    </row>
    <row r="41" spans="4:5">
      <c r="D41" s="43">
        <v>45348</v>
      </c>
      <c r="E41" s="44">
        <v>86.21</v>
      </c>
    </row>
    <row r="42" spans="4:5">
      <c r="D42" s="43">
        <v>45349</v>
      </c>
      <c r="E42" s="44">
        <v>86.88</v>
      </c>
    </row>
    <row r="43" spans="4:5">
      <c r="D43" s="43">
        <v>45350</v>
      </c>
      <c r="E43" s="44">
        <v>86.65</v>
      </c>
    </row>
    <row r="44" spans="4:5">
      <c r="D44" s="30">
        <v>45351</v>
      </c>
      <c r="E44" s="42">
        <v>87.21</v>
      </c>
    </row>
    <row r="45" spans="4:5">
      <c r="D45" s="30">
        <v>45352</v>
      </c>
      <c r="E45" s="42">
        <v>87.01</v>
      </c>
    </row>
    <row r="46" spans="4:5">
      <c r="D46" s="43">
        <v>45355</v>
      </c>
      <c r="E46" s="44">
        <v>89.13</v>
      </c>
    </row>
    <row r="47" spans="4:5">
      <c r="D47" s="43">
        <v>45356</v>
      </c>
      <c r="E47" s="44">
        <v>88.99</v>
      </c>
    </row>
    <row r="48" spans="4:5">
      <c r="D48" s="43">
        <v>45357</v>
      </c>
      <c r="E48" s="44">
        <v>89.85</v>
      </c>
    </row>
    <row r="49" spans="4:5">
      <c r="D49" s="43">
        <v>45358</v>
      </c>
      <c r="E49" s="44">
        <v>89.94</v>
      </c>
    </row>
    <row r="50" spans="4:5">
      <c r="D50" s="43">
        <v>45359</v>
      </c>
      <c r="E50" s="44">
        <v>90.12</v>
      </c>
    </row>
    <row r="51" spans="4:5">
      <c r="D51" s="43">
        <v>45362</v>
      </c>
      <c r="E51" s="44">
        <v>90.8</v>
      </c>
    </row>
    <row r="52" spans="4:5">
      <c r="D52" s="43">
        <v>45363</v>
      </c>
      <c r="E52" s="44">
        <v>89.93</v>
      </c>
    </row>
    <row r="53" spans="4:5">
      <c r="D53" s="43">
        <v>45364</v>
      </c>
      <c r="E53" s="44">
        <v>89.57</v>
      </c>
    </row>
    <row r="54" spans="4:5">
      <c r="D54" s="43">
        <v>45365</v>
      </c>
      <c r="E54" s="44">
        <v>88.67</v>
      </c>
    </row>
    <row r="55" spans="4:5">
      <c r="D55" s="43">
        <v>45366</v>
      </c>
      <c r="E55" s="44">
        <v>88.94</v>
      </c>
    </row>
    <row r="56" spans="4:5">
      <c r="D56" s="43">
        <v>45369</v>
      </c>
      <c r="E56" s="44">
        <v>88.99</v>
      </c>
    </row>
    <row r="57" spans="4:5">
      <c r="D57" s="43">
        <v>45370</v>
      </c>
      <c r="E57" s="44">
        <v>89.71</v>
      </c>
    </row>
    <row r="58" spans="4:5">
      <c r="D58" s="43">
        <v>45371</v>
      </c>
      <c r="E58" s="44">
        <v>89.04</v>
      </c>
    </row>
    <row r="59" spans="4:5">
      <c r="D59" s="43">
        <v>45372</v>
      </c>
      <c r="E59" s="44">
        <v>88.65</v>
      </c>
    </row>
    <row r="60" spans="4:5">
      <c r="D60" s="43">
        <v>45373</v>
      </c>
      <c r="E60" s="44">
        <v>88.6</v>
      </c>
    </row>
    <row r="61" spans="4:5">
      <c r="D61" s="43">
        <v>45376</v>
      </c>
      <c r="E61" s="44">
        <v>88.5</v>
      </c>
    </row>
    <row r="62" spans="4:5">
      <c r="D62" s="43">
        <v>45377</v>
      </c>
      <c r="E62" s="44">
        <v>87.45</v>
      </c>
    </row>
    <row r="63" spans="4:5">
      <c r="D63" s="43">
        <v>45378</v>
      </c>
      <c r="E63" s="44">
        <v>90.05</v>
      </c>
    </row>
    <row r="64" spans="4:5">
      <c r="D64" s="30">
        <v>45379</v>
      </c>
      <c r="E64" s="42">
        <v>90.81</v>
      </c>
    </row>
    <row r="65" spans="4:5">
      <c r="D65" s="30">
        <v>45383</v>
      </c>
      <c r="E65" s="42">
        <v>90.33</v>
      </c>
    </row>
    <row r="66" spans="4:5">
      <c r="D66" s="43">
        <v>45384</v>
      </c>
      <c r="E66" s="44">
        <v>90.6</v>
      </c>
    </row>
    <row r="67" spans="4:5">
      <c r="D67" s="43">
        <v>45385</v>
      </c>
      <c r="E67" s="44">
        <v>89.89</v>
      </c>
    </row>
    <row r="68" spans="4:5">
      <c r="D68" s="43">
        <v>45386</v>
      </c>
      <c r="E68" s="44">
        <v>90.19</v>
      </c>
    </row>
    <row r="69" spans="4:5">
      <c r="D69" s="43">
        <v>45387</v>
      </c>
      <c r="E69" s="44">
        <v>89.65</v>
      </c>
    </row>
    <row r="70" spans="4:5">
      <c r="D70" s="43">
        <v>45390</v>
      </c>
      <c r="E70" s="44">
        <v>90.6</v>
      </c>
    </row>
    <row r="71" spans="4:5">
      <c r="D71" s="43">
        <v>45391</v>
      </c>
      <c r="E71" s="44">
        <v>91.13</v>
      </c>
    </row>
    <row r="72" spans="4:5">
      <c r="D72" s="43">
        <v>45392</v>
      </c>
      <c r="E72" s="44">
        <v>88.89</v>
      </c>
    </row>
    <row r="73" spans="4:5">
      <c r="D73" s="43">
        <v>45393</v>
      </c>
      <c r="E73" s="44">
        <v>88.55</v>
      </c>
    </row>
    <row r="74" spans="4:5">
      <c r="D74" s="43">
        <v>45394</v>
      </c>
      <c r="E74" s="44">
        <v>88.63</v>
      </c>
    </row>
    <row r="75" spans="4:5">
      <c r="D75" s="43">
        <v>45397</v>
      </c>
      <c r="E75" s="44">
        <v>89.32</v>
      </c>
    </row>
    <row r="76" spans="4:5">
      <c r="D76" s="43">
        <v>45398</v>
      </c>
      <c r="E76" s="44">
        <v>87.42</v>
      </c>
    </row>
    <row r="77" spans="4:5">
      <c r="D77" s="43">
        <v>45399</v>
      </c>
      <c r="E77" s="44">
        <v>90.33</v>
      </c>
    </row>
    <row r="78" spans="4:5">
      <c r="D78" s="43">
        <v>45400</v>
      </c>
      <c r="E78" s="44">
        <v>90.9</v>
      </c>
    </row>
    <row r="79" spans="4:5">
      <c r="D79" s="43">
        <v>45401</v>
      </c>
      <c r="E79" s="44">
        <v>91.77</v>
      </c>
    </row>
    <row r="80" spans="4:5">
      <c r="D80" s="43">
        <v>45404</v>
      </c>
      <c r="E80" s="44">
        <v>92.73</v>
      </c>
    </row>
    <row r="81" spans="4:5">
      <c r="D81" s="43">
        <v>45405</v>
      </c>
      <c r="E81" s="44">
        <v>92.84</v>
      </c>
    </row>
    <row r="82" spans="4:5">
      <c r="D82" s="43">
        <v>45406</v>
      </c>
      <c r="E82" s="44">
        <v>93.43</v>
      </c>
    </row>
    <row r="83" spans="4:5">
      <c r="D83" s="43">
        <v>45407</v>
      </c>
      <c r="E83" s="44">
        <v>94.11</v>
      </c>
    </row>
    <row r="84" spans="4:5">
      <c r="D84" s="43">
        <v>45408</v>
      </c>
      <c r="E84" s="44">
        <v>92.93</v>
      </c>
    </row>
    <row r="85" spans="4:5">
      <c r="D85" s="43">
        <v>45411</v>
      </c>
      <c r="E85" s="44">
        <v>93.97</v>
      </c>
    </row>
    <row r="86" spans="4:5">
      <c r="D86" s="30">
        <v>45412</v>
      </c>
      <c r="E86" s="42">
        <v>94.4</v>
      </c>
    </row>
    <row r="87" spans="4:5">
      <c r="D87" s="30">
        <v>45413</v>
      </c>
      <c r="E87" s="42">
        <v>94.8</v>
      </c>
    </row>
    <row r="88" spans="4:5">
      <c r="D88" s="43">
        <v>45414</v>
      </c>
      <c r="E88" s="44">
        <v>95.25</v>
      </c>
    </row>
    <row r="89" spans="4:5">
      <c r="D89" s="43">
        <v>45415</v>
      </c>
      <c r="E89" s="44">
        <v>95.56</v>
      </c>
    </row>
    <row r="90" spans="4:5">
      <c r="D90" s="43">
        <v>45418</v>
      </c>
      <c r="E90" s="44">
        <v>96.13</v>
      </c>
    </row>
    <row r="91" spans="4:5">
      <c r="D91" s="43">
        <v>45419</v>
      </c>
      <c r="E91" s="44">
        <v>97.5</v>
      </c>
    </row>
    <row r="92" spans="4:5">
      <c r="D92" s="43">
        <v>45420</v>
      </c>
      <c r="E92" s="44">
        <v>97.57</v>
      </c>
    </row>
    <row r="93" spans="4:5">
      <c r="D93" s="43">
        <v>45421</v>
      </c>
      <c r="E93" s="44">
        <v>98.12</v>
      </c>
    </row>
    <row r="94" spans="4:5">
      <c r="D94" s="43">
        <v>45422</v>
      </c>
      <c r="E94" s="44">
        <v>97.7</v>
      </c>
    </row>
    <row r="95" spans="4:5">
      <c r="D95" s="43">
        <v>45425</v>
      </c>
      <c r="E95" s="44">
        <v>97.64</v>
      </c>
    </row>
    <row r="96" spans="4:5">
      <c r="D96" s="43">
        <v>45426</v>
      </c>
      <c r="E96" s="44">
        <v>96.64</v>
      </c>
    </row>
    <row r="97" spans="4:5">
      <c r="D97" s="43">
        <v>45427</v>
      </c>
      <c r="E97" s="44">
        <v>96.91</v>
      </c>
    </row>
    <row r="98" spans="4:5">
      <c r="D98" s="43">
        <v>45428</v>
      </c>
      <c r="E98" s="44">
        <v>96.91</v>
      </c>
    </row>
    <row r="99" spans="4:5">
      <c r="D99" s="43">
        <v>45429</v>
      </c>
      <c r="E99" s="44">
        <v>97.1</v>
      </c>
    </row>
    <row r="100" spans="4:5">
      <c r="D100" s="43">
        <v>45432</v>
      </c>
      <c r="E100" s="44">
        <v>96.51</v>
      </c>
    </row>
    <row r="101" spans="4:5">
      <c r="D101" s="43">
        <v>45433</v>
      </c>
      <c r="E101" s="44">
        <v>96.34</v>
      </c>
    </row>
    <row r="102" spans="4:5">
      <c r="D102" s="43">
        <v>45434</v>
      </c>
      <c r="E102" s="44">
        <v>96.13</v>
      </c>
    </row>
    <row r="103" spans="4:5">
      <c r="D103" s="43">
        <v>45435</v>
      </c>
      <c r="E103" s="44">
        <v>93.87</v>
      </c>
    </row>
    <row r="104" spans="4:5">
      <c r="D104" s="43">
        <v>45436</v>
      </c>
      <c r="E104" s="44">
        <v>94.43</v>
      </c>
    </row>
    <row r="105" spans="4:5">
      <c r="D105" s="43">
        <v>45440</v>
      </c>
      <c r="E105" s="44">
        <v>93.21</v>
      </c>
    </row>
    <row r="106" spans="4:5">
      <c r="D106" s="43">
        <v>45441</v>
      </c>
      <c r="E106" s="44">
        <v>91.91</v>
      </c>
    </row>
    <row r="107" spans="4:5">
      <c r="D107" s="43">
        <v>45442</v>
      </c>
      <c r="E107" s="44">
        <v>92.45</v>
      </c>
    </row>
    <row r="108" spans="4:5">
      <c r="D108" s="30">
        <v>45443</v>
      </c>
      <c r="E108" s="42">
        <v>94.55</v>
      </c>
    </row>
    <row r="109" spans="4:5">
      <c r="D109" s="30">
        <v>45446</v>
      </c>
      <c r="E109" s="42">
        <v>93.68</v>
      </c>
    </row>
    <row r="110" spans="4:5">
      <c r="D110" s="43">
        <v>45447</v>
      </c>
      <c r="E110" s="44">
        <v>93.72</v>
      </c>
    </row>
    <row r="111" spans="4:5">
      <c r="D111" s="43">
        <v>45448</v>
      </c>
      <c r="E111" s="44">
        <v>92.6</v>
      </c>
    </row>
    <row r="112" spans="4:5">
      <c r="D112" s="43">
        <v>45449</v>
      </c>
      <c r="E112" s="44">
        <v>91.89</v>
      </c>
    </row>
    <row r="113" spans="4:5">
      <c r="D113" s="43">
        <v>45450</v>
      </c>
      <c r="E113" s="44">
        <v>91.61</v>
      </c>
    </row>
    <row r="114" spans="4:5">
      <c r="D114" s="43">
        <v>45453</v>
      </c>
      <c r="E114" s="44">
        <v>92.32</v>
      </c>
    </row>
    <row r="115" spans="4:5">
      <c r="D115" s="43">
        <v>45454</v>
      </c>
      <c r="E115" s="44">
        <v>91.75</v>
      </c>
    </row>
    <row r="116" spans="4:5">
      <c r="D116" s="43">
        <v>45455</v>
      </c>
      <c r="E116" s="44">
        <v>91.14</v>
      </c>
    </row>
    <row r="117" spans="4:5">
      <c r="D117" s="43">
        <v>45456</v>
      </c>
      <c r="E117" s="44">
        <v>90.61</v>
      </c>
    </row>
    <row r="118" spans="4:5">
      <c r="D118" s="43">
        <v>45457</v>
      </c>
      <c r="E118" s="44">
        <v>90.87</v>
      </c>
    </row>
    <row r="119" spans="4:5">
      <c r="D119" s="43">
        <v>45460</v>
      </c>
      <c r="E119" s="44">
        <v>90.65</v>
      </c>
    </row>
    <row r="120" spans="4:5">
      <c r="D120" s="43">
        <v>45461</v>
      </c>
      <c r="E120" s="44">
        <v>90.39</v>
      </c>
    </row>
    <row r="121" spans="4:5">
      <c r="D121" s="43">
        <v>45463</v>
      </c>
      <c r="E121" s="44">
        <v>90.53</v>
      </c>
    </row>
    <row r="122" spans="4:5">
      <c r="D122" s="43">
        <v>45464</v>
      </c>
      <c r="E122" s="44">
        <v>90.34</v>
      </c>
    </row>
    <row r="123" spans="4:5">
      <c r="D123" s="43">
        <v>45467</v>
      </c>
      <c r="E123" s="44">
        <v>91.27</v>
      </c>
    </row>
    <row r="124" spans="4:5">
      <c r="D124" s="43">
        <v>45468</v>
      </c>
      <c r="E124" s="44">
        <v>89.39</v>
      </c>
    </row>
    <row r="125" spans="4:5">
      <c r="D125" s="43">
        <v>45469</v>
      </c>
      <c r="E125" s="44">
        <v>89.67</v>
      </c>
    </row>
    <row r="126" spans="4:5">
      <c r="D126" s="43">
        <v>45470</v>
      </c>
      <c r="E126" s="44">
        <v>89.68</v>
      </c>
    </row>
    <row r="127" spans="4:5">
      <c r="D127" s="30">
        <v>45471</v>
      </c>
      <c r="E127" s="42">
        <v>89.42</v>
      </c>
    </row>
    <row r="128" spans="4:5">
      <c r="D128" s="30">
        <v>45474</v>
      </c>
      <c r="E128" s="42">
        <v>88.81</v>
      </c>
    </row>
    <row r="129" spans="4:5">
      <c r="D129" s="43">
        <v>45475</v>
      </c>
      <c r="E129" s="44">
        <v>88.97</v>
      </c>
    </row>
    <row r="130" spans="4:5">
      <c r="D130" s="43">
        <v>45476</v>
      </c>
      <c r="E130" s="44">
        <v>88.71</v>
      </c>
    </row>
    <row r="131" spans="4:5">
      <c r="D131" s="43">
        <v>45478</v>
      </c>
      <c r="E131" s="44">
        <v>89.27</v>
      </c>
    </row>
    <row r="132" spans="4:5">
      <c r="D132" s="43">
        <v>45481</v>
      </c>
      <c r="E132" s="44">
        <v>88.42</v>
      </c>
    </row>
    <row r="133" spans="4:5">
      <c r="D133" s="43">
        <v>45482</v>
      </c>
      <c r="E133" s="44">
        <v>88.85</v>
      </c>
    </row>
    <row r="134" spans="4:5">
      <c r="D134" s="43">
        <v>45483</v>
      </c>
      <c r="E134" s="44">
        <v>89.87</v>
      </c>
    </row>
    <row r="135" spans="4:5">
      <c r="D135" s="43">
        <v>45484</v>
      </c>
      <c r="E135" s="44">
        <v>91.46</v>
      </c>
    </row>
    <row r="136" spans="4:5">
      <c r="D136" s="43">
        <v>45485</v>
      </c>
      <c r="E136" s="44">
        <v>92.19</v>
      </c>
    </row>
    <row r="137" spans="4:5">
      <c r="D137" s="43">
        <v>45488</v>
      </c>
      <c r="E137" s="44">
        <v>90.26</v>
      </c>
    </row>
    <row r="138" spans="4:5">
      <c r="D138" s="43">
        <v>45489</v>
      </c>
      <c r="E138" s="44">
        <v>91.55</v>
      </c>
    </row>
    <row r="139" spans="4:5">
      <c r="D139" s="43">
        <v>45490</v>
      </c>
      <c r="E139" s="44">
        <v>93.76</v>
      </c>
    </row>
    <row r="140" spans="4:5">
      <c r="D140" s="43">
        <v>45491</v>
      </c>
      <c r="E140" s="44">
        <v>94.11</v>
      </c>
    </row>
    <row r="141" spans="4:5">
      <c r="D141" s="43">
        <v>45492</v>
      </c>
      <c r="E141" s="44">
        <v>94.04</v>
      </c>
    </row>
    <row r="142" spans="4:5">
      <c r="D142" s="43">
        <v>45495</v>
      </c>
      <c r="E142" s="44">
        <v>94.64</v>
      </c>
    </row>
    <row r="143" spans="4:5">
      <c r="D143" s="43">
        <v>45496</v>
      </c>
      <c r="E143" s="44">
        <v>93.25</v>
      </c>
    </row>
    <row r="144" spans="4:5">
      <c r="D144" s="43">
        <v>45497</v>
      </c>
      <c r="E144" s="44">
        <v>95.88</v>
      </c>
    </row>
    <row r="145" spans="4:5">
      <c r="D145" s="43">
        <v>45498</v>
      </c>
      <c r="E145" s="44">
        <v>95.92</v>
      </c>
    </row>
    <row r="146" spans="4:5">
      <c r="D146" s="43">
        <v>45499</v>
      </c>
      <c r="E146" s="44">
        <v>96.44</v>
      </c>
    </row>
    <row r="147" spans="4:5">
      <c r="D147" s="43">
        <v>45502</v>
      </c>
      <c r="E147" s="44">
        <v>96.87</v>
      </c>
    </row>
    <row r="148" spans="4:5">
      <c r="D148" s="43">
        <v>45503</v>
      </c>
      <c r="E148" s="44">
        <v>98.16</v>
      </c>
    </row>
    <row r="149" spans="4:5">
      <c r="D149" s="30">
        <v>45504</v>
      </c>
      <c r="E149" s="42">
        <v>97.52</v>
      </c>
    </row>
    <row r="150" spans="4:5">
      <c r="D150" s="30">
        <v>45505</v>
      </c>
      <c r="E150" s="42">
        <v>100.21</v>
      </c>
    </row>
    <row r="151" spans="4:5">
      <c r="D151" s="43">
        <v>45506</v>
      </c>
      <c r="E151" s="44">
        <v>101.83</v>
      </c>
    </row>
    <row r="152" spans="4:5">
      <c r="D152" s="43">
        <v>45509</v>
      </c>
      <c r="E152" s="44">
        <v>100.7</v>
      </c>
    </row>
    <row r="153" spans="4:5">
      <c r="D153" s="43">
        <v>45510</v>
      </c>
      <c r="E153" s="44">
        <v>100.89</v>
      </c>
    </row>
    <row r="154" spans="4:5">
      <c r="D154" s="43">
        <v>45511</v>
      </c>
      <c r="E154" s="44">
        <v>101.19</v>
      </c>
    </row>
    <row r="155" spans="4:5">
      <c r="D155" s="43">
        <v>45512</v>
      </c>
      <c r="E155" s="44">
        <v>100.5</v>
      </c>
    </row>
    <row r="156" spans="4:5">
      <c r="D156" s="43">
        <v>45513</v>
      </c>
      <c r="E156" s="44">
        <v>101.02</v>
      </c>
    </row>
    <row r="157" spans="4:5">
      <c r="D157" s="43">
        <v>45516</v>
      </c>
      <c r="E157" s="44">
        <v>101.94</v>
      </c>
    </row>
    <row r="158" spans="4:5">
      <c r="D158" s="43">
        <v>45517</v>
      </c>
      <c r="E158" s="44">
        <v>101.6</v>
      </c>
    </row>
    <row r="159" spans="4:5">
      <c r="D159" s="43">
        <v>45518</v>
      </c>
      <c r="E159" s="44">
        <v>100.86</v>
      </c>
    </row>
    <row r="160" spans="4:5">
      <c r="D160" s="43">
        <v>45519</v>
      </c>
      <c r="E160" s="44">
        <v>99.23</v>
      </c>
    </row>
    <row r="161" spans="4:5">
      <c r="D161" s="43">
        <v>45520</v>
      </c>
      <c r="E161" s="44">
        <v>100.1</v>
      </c>
    </row>
    <row r="162" spans="4:5">
      <c r="D162" s="43">
        <v>45523</v>
      </c>
      <c r="E162" s="44">
        <v>100.41</v>
      </c>
    </row>
    <row r="163" spans="4:5">
      <c r="D163" s="43">
        <v>45524</v>
      </c>
      <c r="E163" s="44">
        <v>100.17</v>
      </c>
    </row>
    <row r="164" spans="4:5">
      <c r="D164" s="43">
        <v>45525</v>
      </c>
      <c r="E164" s="44">
        <v>100.42</v>
      </c>
    </row>
    <row r="165" spans="4:5">
      <c r="D165" s="43">
        <v>45526</v>
      </c>
      <c r="E165" s="44">
        <v>100.67</v>
      </c>
    </row>
    <row r="166" spans="4:5">
      <c r="D166" s="43">
        <v>45527</v>
      </c>
      <c r="E166" s="44">
        <v>100.6</v>
      </c>
    </row>
    <row r="167" spans="4:5">
      <c r="D167" s="43">
        <v>45530</v>
      </c>
      <c r="E167" s="44">
        <v>100.9</v>
      </c>
    </row>
    <row r="168" spans="4:5">
      <c r="D168" s="43">
        <v>45531</v>
      </c>
      <c r="E168" s="44">
        <v>99.59</v>
      </c>
    </row>
    <row r="169" spans="4:5">
      <c r="D169" s="43">
        <v>45532</v>
      </c>
      <c r="E169" s="44">
        <v>100.39</v>
      </c>
    </row>
    <row r="170" spans="4:5">
      <c r="D170" s="43">
        <v>45533</v>
      </c>
      <c r="E170" s="44">
        <v>100.81</v>
      </c>
    </row>
    <row r="171" spans="4:5">
      <c r="D171" s="30">
        <v>45534</v>
      </c>
      <c r="E171" s="42">
        <v>101.56</v>
      </c>
    </row>
    <row r="172" spans="4:5">
      <c r="D172" s="30">
        <v>45538</v>
      </c>
      <c r="E172" s="42">
        <v>103.28</v>
      </c>
    </row>
    <row r="173" spans="4:5">
      <c r="D173" s="43">
        <v>45539</v>
      </c>
      <c r="E173" s="44">
        <v>104.4</v>
      </c>
    </row>
    <row r="174" spans="4:5">
      <c r="D174" s="43">
        <v>45540</v>
      </c>
      <c r="E174" s="44">
        <v>103.79</v>
      </c>
    </row>
    <row r="175" spans="4:5">
      <c r="D175" s="43">
        <v>45541</v>
      </c>
      <c r="E175" s="44">
        <v>103.28</v>
      </c>
    </row>
    <row r="176" spans="4:5">
      <c r="D176" s="43">
        <v>45544</v>
      </c>
      <c r="E176" s="44">
        <v>104.75</v>
      </c>
    </row>
    <row r="177" spans="4:5">
      <c r="D177" s="43">
        <v>45545</v>
      </c>
      <c r="E177" s="44">
        <v>104.97</v>
      </c>
    </row>
    <row r="178" spans="4:5">
      <c r="D178" s="43">
        <v>45546</v>
      </c>
      <c r="E178" s="44">
        <v>103.82</v>
      </c>
    </row>
    <row r="179" spans="4:5">
      <c r="D179" s="43">
        <v>45547</v>
      </c>
      <c r="E179" s="44">
        <v>103.39</v>
      </c>
    </row>
    <row r="180" spans="4:5">
      <c r="D180" s="43">
        <v>45548</v>
      </c>
      <c r="E180" s="44">
        <v>104.56</v>
      </c>
    </row>
    <row r="181" spans="4:5">
      <c r="D181" s="43">
        <v>45551</v>
      </c>
      <c r="E181" s="44">
        <v>104.85</v>
      </c>
    </row>
    <row r="182" spans="4:5">
      <c r="D182" s="43">
        <v>45552</v>
      </c>
      <c r="E182" s="44">
        <v>104.54</v>
      </c>
    </row>
    <row r="183" spans="4:5">
      <c r="D183" s="43">
        <v>45553</v>
      </c>
      <c r="E183" s="44">
        <v>103.41</v>
      </c>
    </row>
    <row r="184" spans="4:5">
      <c r="D184" s="43">
        <v>45554</v>
      </c>
      <c r="E184" s="44">
        <v>102.12</v>
      </c>
    </row>
    <row r="185" spans="4:5">
      <c r="D185" s="43">
        <v>45555</v>
      </c>
      <c r="E185" s="44">
        <v>103.35</v>
      </c>
    </row>
    <row r="186" spans="4:5">
      <c r="D186" s="43">
        <v>45558</v>
      </c>
      <c r="E186" s="44">
        <v>104.02</v>
      </c>
    </row>
    <row r="187" spans="4:5">
      <c r="D187" s="43">
        <v>45559</v>
      </c>
      <c r="E187" s="44">
        <v>102.82</v>
      </c>
    </row>
    <row r="188" spans="4:5">
      <c r="D188" s="43">
        <v>45560</v>
      </c>
      <c r="E188" s="44">
        <v>103.16</v>
      </c>
    </row>
    <row r="189" spans="4:5">
      <c r="D189" s="43">
        <v>45561</v>
      </c>
      <c r="E189" s="44">
        <v>103.12</v>
      </c>
    </row>
    <row r="190" spans="4:5">
      <c r="D190" s="43">
        <v>45562</v>
      </c>
      <c r="E190" s="44">
        <v>104.05</v>
      </c>
    </row>
    <row r="191" spans="4:5">
      <c r="D191" s="30">
        <v>45565</v>
      </c>
      <c r="E191" s="42">
        <v>104.13</v>
      </c>
    </row>
    <row r="192" spans="4:5">
      <c r="D192" s="30">
        <v>45566</v>
      </c>
      <c r="E192" s="42">
        <v>105.15</v>
      </c>
    </row>
    <row r="193" spans="4:5">
      <c r="D193" s="43">
        <v>45567</v>
      </c>
      <c r="E193" s="44">
        <v>104.45</v>
      </c>
    </row>
    <row r="194" spans="4:5">
      <c r="D194" s="43">
        <v>45568</v>
      </c>
      <c r="E194" s="44">
        <v>104.02</v>
      </c>
    </row>
    <row r="195" spans="4:5">
      <c r="D195" s="43">
        <v>45569</v>
      </c>
      <c r="E195" s="44">
        <v>103.15</v>
      </c>
    </row>
    <row r="196" spans="4:5">
      <c r="D196" s="43">
        <v>45572</v>
      </c>
      <c r="E196" s="44">
        <v>101.14</v>
      </c>
    </row>
    <row r="197" spans="4:5">
      <c r="D197" s="43">
        <v>45573</v>
      </c>
      <c r="E197" s="44">
        <v>102.11</v>
      </c>
    </row>
    <row r="198" spans="4:5">
      <c r="D198" s="43">
        <v>45574</v>
      </c>
      <c r="E198" s="44">
        <v>102.37</v>
      </c>
    </row>
    <row r="199" spans="4:5">
      <c r="D199" s="43">
        <v>45575</v>
      </c>
      <c r="E199" s="44">
        <v>101.58</v>
      </c>
    </row>
    <row r="200" spans="4:5">
      <c r="D200" s="43">
        <v>45576</v>
      </c>
      <c r="E200" s="44">
        <v>102.32</v>
      </c>
    </row>
    <row r="201" spans="4:5">
      <c r="D201" s="43">
        <v>45579</v>
      </c>
      <c r="E201" s="44">
        <v>103.04</v>
      </c>
    </row>
    <row r="202" spans="4:5">
      <c r="D202" s="43">
        <v>45580</v>
      </c>
      <c r="E202" s="44">
        <v>105.45</v>
      </c>
    </row>
    <row r="203" spans="4:5">
      <c r="D203" s="43">
        <v>45581</v>
      </c>
      <c r="E203" s="44">
        <v>106.14</v>
      </c>
    </row>
    <row r="204" spans="4:5">
      <c r="D204" s="43">
        <v>45582</v>
      </c>
      <c r="E204" s="44">
        <v>105.66</v>
      </c>
    </row>
    <row r="205" spans="4:5">
      <c r="D205" s="43">
        <v>45583</v>
      </c>
      <c r="E205" s="44">
        <v>106.76</v>
      </c>
    </row>
    <row r="206" spans="4:5">
      <c r="D206" s="43">
        <v>45586</v>
      </c>
      <c r="E206" s="44">
        <v>106.26</v>
      </c>
    </row>
    <row r="207" spans="4:5">
      <c r="D207" s="43">
        <v>45587</v>
      </c>
      <c r="E207" s="44">
        <v>105.7</v>
      </c>
    </row>
    <row r="208" spans="4:5">
      <c r="D208" s="43">
        <v>45588</v>
      </c>
      <c r="E208" s="44">
        <v>107.4</v>
      </c>
    </row>
    <row r="209" spans="4:5">
      <c r="D209" s="43">
        <v>45589</v>
      </c>
      <c r="E209" s="44">
        <v>107</v>
      </c>
    </row>
    <row r="210" spans="4:5">
      <c r="D210" s="43">
        <v>45590</v>
      </c>
      <c r="E210" s="44">
        <v>104.6</v>
      </c>
    </row>
    <row r="211" spans="4:5">
      <c r="D211" s="43">
        <v>45593</v>
      </c>
      <c r="E211" s="44">
        <v>104.81</v>
      </c>
    </row>
    <row r="212" spans="4:5">
      <c r="D212" s="43">
        <v>45594</v>
      </c>
      <c r="E212" s="44">
        <v>102.91</v>
      </c>
    </row>
    <row r="213" spans="4:5">
      <c r="D213" s="45">
        <v>45595</v>
      </c>
      <c r="E213" s="46">
        <v>102.72</v>
      </c>
    </row>
    <row r="214" spans="4:5">
      <c r="D214" s="30">
        <v>45596</v>
      </c>
      <c r="E214" s="42">
        <v>101.68</v>
      </c>
    </row>
    <row r="215" spans="4:5">
      <c r="D215" s="30">
        <v>45597</v>
      </c>
      <c r="E215" s="42">
        <v>100</v>
      </c>
    </row>
  </sheetData>
  <autoFilter ref="D3:E215" xr:uid="{62EF07AC-3E38-478D-8547-9B0D070C3779}"/>
  <mergeCells count="6">
    <mergeCell ref="J1:K1"/>
    <mergeCell ref="A1:B1"/>
    <mergeCell ref="D1:E1"/>
    <mergeCell ref="D2:E2"/>
    <mergeCell ref="G1:H1"/>
    <mergeCell ref="G2: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92262-4877-40D6-8742-82B13C097C0F}">
  <dimension ref="A1:H220"/>
  <sheetViews>
    <sheetView showGridLines="0" zoomScale="71" workbookViewId="0">
      <selection activeCell="N7" sqref="N7"/>
    </sheetView>
  </sheetViews>
  <sheetFormatPr defaultRowHeight="14.5"/>
  <cols>
    <col min="1" max="1" width="22.54296875" customWidth="1"/>
    <col min="2" max="2" width="17.1796875" customWidth="1"/>
    <col min="4" max="4" width="22.1796875" customWidth="1"/>
    <col min="5" max="5" width="12.453125" customWidth="1"/>
    <col min="7" max="7" width="22.36328125" customWidth="1"/>
    <col min="8" max="8" width="13.81640625" customWidth="1"/>
  </cols>
  <sheetData>
    <row r="1" spans="1:8">
      <c r="A1" s="181" t="s">
        <v>37</v>
      </c>
      <c r="B1" s="182"/>
      <c r="D1" s="183" t="s">
        <v>37</v>
      </c>
      <c r="E1" s="184"/>
      <c r="G1" s="183" t="s">
        <v>37</v>
      </c>
      <c r="H1" s="184"/>
    </row>
    <row r="2" spans="1:8">
      <c r="A2" s="79" t="s">
        <v>31</v>
      </c>
      <c r="B2" s="79" t="s">
        <v>46</v>
      </c>
      <c r="D2" s="79" t="s">
        <v>31</v>
      </c>
      <c r="E2" s="79" t="s">
        <v>32</v>
      </c>
      <c r="G2" s="79" t="s">
        <v>31</v>
      </c>
      <c r="H2" s="79" t="s">
        <v>45</v>
      </c>
    </row>
    <row r="3" spans="1:8">
      <c r="A3" s="79" t="s">
        <v>33</v>
      </c>
      <c r="B3" s="79" t="s">
        <v>34</v>
      </c>
      <c r="D3" s="79" t="s">
        <v>33</v>
      </c>
      <c r="E3" s="79" t="s">
        <v>34</v>
      </c>
      <c r="G3" s="79" t="s">
        <v>33</v>
      </c>
      <c r="H3" s="79" t="s">
        <v>34</v>
      </c>
    </row>
    <row r="4" spans="1:8">
      <c r="A4" s="79" t="s">
        <v>35</v>
      </c>
      <c r="B4" s="80">
        <v>45292</v>
      </c>
      <c r="D4" s="79" t="s">
        <v>35</v>
      </c>
      <c r="E4" s="80">
        <v>45292</v>
      </c>
      <c r="G4" s="79" t="s">
        <v>35</v>
      </c>
      <c r="H4" s="80">
        <v>45292</v>
      </c>
    </row>
    <row r="5" spans="1:8" ht="25" customHeight="1">
      <c r="A5" s="79" t="s">
        <v>38</v>
      </c>
      <c r="B5" s="80">
        <v>45657</v>
      </c>
      <c r="D5" s="79" t="s">
        <v>38</v>
      </c>
      <c r="E5" s="80">
        <v>45657</v>
      </c>
      <c r="G5" s="79" t="s">
        <v>38</v>
      </c>
      <c r="H5" s="80">
        <v>45657</v>
      </c>
    </row>
    <row r="6" spans="1:8">
      <c r="A6" s="79" t="s">
        <v>36</v>
      </c>
      <c r="B6" s="63">
        <v>1</v>
      </c>
      <c r="D6" s="79" t="s">
        <v>36</v>
      </c>
      <c r="E6" s="63">
        <v>1</v>
      </c>
      <c r="G6" s="79" t="s">
        <v>36</v>
      </c>
      <c r="H6" s="63">
        <v>1</v>
      </c>
    </row>
    <row r="7" spans="1:8">
      <c r="A7" s="81"/>
      <c r="B7" s="81"/>
      <c r="D7" s="85"/>
      <c r="E7" s="85"/>
      <c r="G7" s="77"/>
      <c r="H7" s="77"/>
    </row>
    <row r="8" spans="1:8">
      <c r="A8" s="82" t="s">
        <v>18</v>
      </c>
      <c r="B8" s="83" t="s">
        <v>41</v>
      </c>
      <c r="D8" s="82" t="s">
        <v>18</v>
      </c>
      <c r="E8" s="83" t="s">
        <v>41</v>
      </c>
      <c r="G8" s="36" t="s">
        <v>18</v>
      </c>
      <c r="H8" s="38" t="s">
        <v>41</v>
      </c>
    </row>
    <row r="9" spans="1:8">
      <c r="A9" s="64">
        <v>45293</v>
      </c>
      <c r="B9" s="68">
        <v>4742.83</v>
      </c>
      <c r="D9" s="64">
        <v>45293</v>
      </c>
      <c r="E9" s="68">
        <v>249.87</v>
      </c>
      <c r="G9" s="39">
        <v>45293</v>
      </c>
      <c r="H9" s="25">
        <v>92.41</v>
      </c>
    </row>
    <row r="10" spans="1:8">
      <c r="A10" s="84">
        <v>45294</v>
      </c>
      <c r="B10" s="67">
        <v>4704.8100000000004</v>
      </c>
      <c r="D10" s="84">
        <v>45294</v>
      </c>
      <c r="E10" s="67">
        <v>242.74</v>
      </c>
      <c r="G10" s="37">
        <v>45294</v>
      </c>
      <c r="H10" s="24">
        <v>93</v>
      </c>
    </row>
    <row r="11" spans="1:8">
      <c r="A11" s="84">
        <v>45295</v>
      </c>
      <c r="B11" s="67">
        <v>4688.68</v>
      </c>
      <c r="D11" s="84">
        <v>45295</v>
      </c>
      <c r="E11" s="67">
        <v>243.8</v>
      </c>
      <c r="G11" s="37">
        <v>45295</v>
      </c>
      <c r="H11" s="24">
        <v>93.25</v>
      </c>
    </row>
    <row r="12" spans="1:8">
      <c r="A12" s="84">
        <v>45296</v>
      </c>
      <c r="B12" s="67">
        <v>4697.24</v>
      </c>
      <c r="D12" s="84">
        <v>45296</v>
      </c>
      <c r="E12" s="67">
        <v>243.58</v>
      </c>
      <c r="G12" s="37">
        <v>45296</v>
      </c>
      <c r="H12" s="24">
        <v>93.52</v>
      </c>
    </row>
    <row r="13" spans="1:8">
      <c r="A13" s="84">
        <v>45299</v>
      </c>
      <c r="B13" s="67">
        <v>4763.54</v>
      </c>
      <c r="D13" s="84">
        <v>45299</v>
      </c>
      <c r="E13" s="67">
        <v>248.33</v>
      </c>
      <c r="G13" s="37">
        <v>45299</v>
      </c>
      <c r="H13" s="24">
        <v>93.81</v>
      </c>
    </row>
    <row r="14" spans="1:8">
      <c r="A14" s="84">
        <v>45300</v>
      </c>
      <c r="B14" s="67">
        <v>4756.5</v>
      </c>
      <c r="D14" s="84">
        <v>45300</v>
      </c>
      <c r="E14" s="67">
        <v>247.88</v>
      </c>
      <c r="G14" s="37">
        <v>45300</v>
      </c>
      <c r="H14" s="24">
        <v>93.7</v>
      </c>
    </row>
    <row r="15" spans="1:8">
      <c r="A15" s="84">
        <v>45301</v>
      </c>
      <c r="B15" s="67">
        <v>4783.45</v>
      </c>
      <c r="D15" s="84">
        <v>45301</v>
      </c>
      <c r="E15" s="67">
        <v>247.88</v>
      </c>
      <c r="G15" s="37">
        <v>45301</v>
      </c>
      <c r="H15" s="24">
        <v>94.32</v>
      </c>
    </row>
    <row r="16" spans="1:8">
      <c r="A16" s="84">
        <v>45302</v>
      </c>
      <c r="B16" s="67">
        <v>4780.24</v>
      </c>
      <c r="D16" s="84">
        <v>45302</v>
      </c>
      <c r="E16" s="67">
        <v>248.08</v>
      </c>
      <c r="G16" s="37">
        <v>45302</v>
      </c>
      <c r="H16" s="24">
        <v>91.25</v>
      </c>
    </row>
    <row r="17" spans="1:8">
      <c r="A17" s="84">
        <v>45303</v>
      </c>
      <c r="B17" s="67">
        <v>4783.83</v>
      </c>
      <c r="D17" s="84">
        <v>45303</v>
      </c>
      <c r="E17" s="67">
        <v>249.08</v>
      </c>
      <c r="G17" s="37">
        <v>45303</v>
      </c>
      <c r="H17" s="24">
        <v>91.62</v>
      </c>
    </row>
    <row r="18" spans="1:8">
      <c r="A18" s="84">
        <v>45307</v>
      </c>
      <c r="B18" s="67">
        <v>4765.9799999999996</v>
      </c>
      <c r="D18" s="84">
        <v>45307</v>
      </c>
      <c r="E18" s="67">
        <v>248.77</v>
      </c>
      <c r="G18" s="37">
        <v>45307</v>
      </c>
      <c r="H18" s="24">
        <v>91.56</v>
      </c>
    </row>
    <row r="19" spans="1:8">
      <c r="A19" s="84">
        <v>45308</v>
      </c>
      <c r="B19" s="67">
        <v>4739.21</v>
      </c>
      <c r="D19" s="84">
        <v>45308</v>
      </c>
      <c r="E19" s="67">
        <v>241.69</v>
      </c>
      <c r="G19" s="37">
        <v>45308</v>
      </c>
      <c r="H19" s="24">
        <v>90.55</v>
      </c>
    </row>
    <row r="20" spans="1:8">
      <c r="A20" s="84">
        <v>45309</v>
      </c>
      <c r="B20" s="67">
        <v>4780.9399999999996</v>
      </c>
      <c r="D20" s="84">
        <v>45309</v>
      </c>
      <c r="E20" s="67">
        <v>238.85</v>
      </c>
      <c r="G20" s="37">
        <v>45309</v>
      </c>
      <c r="H20" s="24">
        <v>89.4</v>
      </c>
    </row>
    <row r="21" spans="1:8">
      <c r="A21" s="84">
        <v>45310</v>
      </c>
      <c r="B21" s="67">
        <v>4839.8100000000004</v>
      </c>
      <c r="D21" s="84">
        <v>45310</v>
      </c>
      <c r="E21" s="67">
        <v>240.85</v>
      </c>
      <c r="G21" s="37">
        <v>45310</v>
      </c>
      <c r="H21" s="24">
        <v>89.86</v>
      </c>
    </row>
    <row r="22" spans="1:8">
      <c r="A22" s="84">
        <v>45313</v>
      </c>
      <c r="B22" s="67">
        <v>4850.43</v>
      </c>
      <c r="D22" s="84">
        <v>45313</v>
      </c>
      <c r="E22" s="67">
        <v>242.22</v>
      </c>
      <c r="G22" s="37">
        <v>45313</v>
      </c>
      <c r="H22" s="24">
        <v>89.2</v>
      </c>
    </row>
    <row r="23" spans="1:8">
      <c r="A23" s="84">
        <v>45314</v>
      </c>
      <c r="B23" s="67">
        <v>4864.6000000000004</v>
      </c>
      <c r="D23" s="84">
        <v>45314</v>
      </c>
      <c r="E23" s="67">
        <v>238.76</v>
      </c>
      <c r="G23" s="37">
        <v>45314</v>
      </c>
      <c r="H23" s="24">
        <v>89.12</v>
      </c>
    </row>
    <row r="24" spans="1:8">
      <c r="A24" s="84">
        <v>45315</v>
      </c>
      <c r="B24" s="67">
        <v>4868.55</v>
      </c>
      <c r="D24" s="84">
        <v>45315</v>
      </c>
      <c r="E24" s="67">
        <v>234.66</v>
      </c>
      <c r="G24" s="37">
        <v>45315</v>
      </c>
      <c r="H24" s="24">
        <v>88.32</v>
      </c>
    </row>
    <row r="25" spans="1:8">
      <c r="A25" s="84">
        <v>45316</v>
      </c>
      <c r="B25" s="67">
        <v>4894.16</v>
      </c>
      <c r="D25" s="84">
        <v>45316</v>
      </c>
      <c r="E25" s="67">
        <v>233.92</v>
      </c>
      <c r="G25" s="37">
        <v>45316</v>
      </c>
      <c r="H25" s="24">
        <v>89.67</v>
      </c>
    </row>
    <row r="26" spans="1:8">
      <c r="A26" s="84">
        <v>45317</v>
      </c>
      <c r="B26" s="67">
        <v>4890.97</v>
      </c>
      <c r="D26" s="84">
        <v>45317</v>
      </c>
      <c r="E26" s="67">
        <v>236.41</v>
      </c>
      <c r="G26" s="37">
        <v>45317</v>
      </c>
      <c r="H26" s="24">
        <v>90.02</v>
      </c>
    </row>
    <row r="27" spans="1:8">
      <c r="A27" s="84">
        <v>45320</v>
      </c>
      <c r="B27" s="67">
        <v>4927.93</v>
      </c>
      <c r="D27" s="84">
        <v>45320</v>
      </c>
      <c r="E27" s="67">
        <v>236.9</v>
      </c>
      <c r="G27" s="37">
        <v>45320</v>
      </c>
      <c r="H27" s="24">
        <v>90.59</v>
      </c>
    </row>
    <row r="28" spans="1:8">
      <c r="A28" s="84">
        <v>45321</v>
      </c>
      <c r="B28" s="67">
        <v>4924.97</v>
      </c>
      <c r="D28" s="84">
        <v>45321</v>
      </c>
      <c r="E28" s="67">
        <v>234.47</v>
      </c>
      <c r="G28" s="37">
        <v>45321</v>
      </c>
      <c r="H28" s="24">
        <v>90.68</v>
      </c>
    </row>
    <row r="29" spans="1:8">
      <c r="A29" s="64">
        <v>45322</v>
      </c>
      <c r="B29" s="68">
        <v>4845.6499999999996</v>
      </c>
      <c r="D29" s="64">
        <v>45322</v>
      </c>
      <c r="E29" s="68">
        <v>233.27</v>
      </c>
      <c r="G29" s="39">
        <v>45322</v>
      </c>
      <c r="H29" s="25">
        <v>90.9</v>
      </c>
    </row>
    <row r="30" spans="1:8">
      <c r="A30" s="64">
        <v>45323</v>
      </c>
      <c r="B30" s="68">
        <v>4906.1899999999996</v>
      </c>
      <c r="D30" s="64">
        <v>45323</v>
      </c>
      <c r="E30" s="68">
        <v>237.6</v>
      </c>
      <c r="G30" s="39">
        <v>45323</v>
      </c>
      <c r="H30" s="25">
        <v>92.78</v>
      </c>
    </row>
    <row r="31" spans="1:8">
      <c r="A31" s="84">
        <v>45324</v>
      </c>
      <c r="B31" s="67">
        <v>4958.6099999999997</v>
      </c>
      <c r="D31" s="84">
        <v>45324</v>
      </c>
      <c r="E31" s="67">
        <v>236.02</v>
      </c>
      <c r="G31" s="37">
        <v>45324</v>
      </c>
      <c r="H31" s="24">
        <v>91.1</v>
      </c>
    </row>
    <row r="32" spans="1:8">
      <c r="A32" s="84">
        <v>45327</v>
      </c>
      <c r="B32" s="67">
        <v>4942.8100000000004</v>
      </c>
      <c r="D32" s="84">
        <v>45327</v>
      </c>
      <c r="E32" s="67">
        <v>230.34</v>
      </c>
      <c r="G32" s="37">
        <v>45327</v>
      </c>
      <c r="H32" s="24">
        <v>89.67</v>
      </c>
    </row>
    <row r="33" spans="1:8">
      <c r="A33" s="84">
        <v>45328</v>
      </c>
      <c r="B33" s="67">
        <v>4954.2299999999996</v>
      </c>
      <c r="D33" s="84">
        <v>45328</v>
      </c>
      <c r="E33" s="67">
        <v>232.97</v>
      </c>
      <c r="G33" s="37">
        <v>45328</v>
      </c>
      <c r="H33" s="24">
        <v>89.77</v>
      </c>
    </row>
    <row r="34" spans="1:8">
      <c r="A34" s="84">
        <v>45329</v>
      </c>
      <c r="B34" s="67">
        <v>4995.0600000000004</v>
      </c>
      <c r="D34" s="84">
        <v>45329</v>
      </c>
      <c r="E34" s="67">
        <v>229.02</v>
      </c>
      <c r="G34" s="37">
        <v>45329</v>
      </c>
      <c r="H34" s="24">
        <v>89.47</v>
      </c>
    </row>
    <row r="35" spans="1:8">
      <c r="A35" s="84">
        <v>45330</v>
      </c>
      <c r="B35" s="67">
        <v>4997.91</v>
      </c>
      <c r="D35" s="84">
        <v>45330</v>
      </c>
      <c r="E35" s="67">
        <v>229.34</v>
      </c>
      <c r="G35" s="37">
        <v>45330</v>
      </c>
      <c r="H35" s="24">
        <v>88.67</v>
      </c>
    </row>
    <row r="36" spans="1:8">
      <c r="A36" s="84">
        <v>45331</v>
      </c>
      <c r="B36" s="67">
        <v>5026.6099999999997</v>
      </c>
      <c r="D36" s="84">
        <v>45331</v>
      </c>
      <c r="E36" s="67">
        <v>229.8</v>
      </c>
      <c r="G36" s="37">
        <v>45331</v>
      </c>
      <c r="H36" s="24">
        <v>89.06</v>
      </c>
    </row>
    <row r="37" spans="1:8">
      <c r="A37" s="84">
        <v>45334</v>
      </c>
      <c r="B37" s="67">
        <v>5021.84</v>
      </c>
      <c r="D37" s="84">
        <v>45334</v>
      </c>
      <c r="E37" s="67">
        <v>230.78</v>
      </c>
      <c r="G37" s="37">
        <v>45334</v>
      </c>
      <c r="H37" s="24">
        <v>89.45</v>
      </c>
    </row>
    <row r="38" spans="1:8">
      <c r="A38" s="84">
        <v>45335</v>
      </c>
      <c r="B38" s="67">
        <v>4953.17</v>
      </c>
      <c r="D38" s="84">
        <v>45335</v>
      </c>
      <c r="E38" s="67">
        <v>225.59</v>
      </c>
      <c r="G38" s="37">
        <v>45335</v>
      </c>
      <c r="H38" s="24">
        <v>86.67</v>
      </c>
    </row>
    <row r="39" spans="1:8">
      <c r="A39" s="84">
        <v>45336</v>
      </c>
      <c r="B39" s="67">
        <v>5000.62</v>
      </c>
      <c r="D39" s="84">
        <v>45336</v>
      </c>
      <c r="E39" s="67">
        <v>227.26</v>
      </c>
      <c r="G39" s="37">
        <v>45336</v>
      </c>
      <c r="H39" s="24">
        <v>86.84</v>
      </c>
    </row>
    <row r="40" spans="1:8">
      <c r="A40" s="84">
        <v>45337</v>
      </c>
      <c r="B40" s="67">
        <v>5029.7299999999996</v>
      </c>
      <c r="D40" s="84">
        <v>45337</v>
      </c>
      <c r="E40" s="67">
        <v>234.62</v>
      </c>
      <c r="G40" s="37">
        <v>45337</v>
      </c>
      <c r="H40" s="24">
        <v>88.22</v>
      </c>
    </row>
    <row r="41" spans="1:8">
      <c r="A41" s="84">
        <v>45338</v>
      </c>
      <c r="B41" s="67">
        <v>5005.57</v>
      </c>
      <c r="D41" s="84">
        <v>45338</v>
      </c>
      <c r="E41" s="67">
        <v>235.37</v>
      </c>
      <c r="G41" s="37">
        <v>45338</v>
      </c>
      <c r="H41" s="24">
        <v>87.32</v>
      </c>
    </row>
    <row r="42" spans="1:8">
      <c r="A42" s="84">
        <v>45342</v>
      </c>
      <c r="B42" s="67">
        <v>4975.51</v>
      </c>
      <c r="D42" s="84">
        <v>45342</v>
      </c>
      <c r="E42" s="67">
        <v>232.95</v>
      </c>
      <c r="G42" s="37">
        <v>45342</v>
      </c>
      <c r="H42" s="24">
        <v>87.58</v>
      </c>
    </row>
    <row r="43" spans="1:8">
      <c r="A43" s="84">
        <v>45343</v>
      </c>
      <c r="B43" s="67">
        <v>4981.8</v>
      </c>
      <c r="D43" s="84">
        <v>45343</v>
      </c>
      <c r="E43" s="67">
        <v>235.23</v>
      </c>
      <c r="G43" s="37">
        <v>45343</v>
      </c>
      <c r="H43" s="24">
        <v>88.61</v>
      </c>
    </row>
    <row r="44" spans="1:8">
      <c r="A44" s="84">
        <v>45344</v>
      </c>
      <c r="B44" s="67">
        <v>5087.03</v>
      </c>
      <c r="D44" s="84">
        <v>45344</v>
      </c>
      <c r="E44" s="67">
        <v>229.95</v>
      </c>
      <c r="G44" s="37">
        <v>45344</v>
      </c>
      <c r="H44" s="24">
        <v>87.91</v>
      </c>
    </row>
    <row r="45" spans="1:8">
      <c r="A45" s="84">
        <v>45345</v>
      </c>
      <c r="B45" s="67">
        <v>5088.8</v>
      </c>
      <c r="D45" s="84">
        <v>45345</v>
      </c>
      <c r="E45" s="67">
        <v>229.34</v>
      </c>
      <c r="G45" s="37">
        <v>45345</v>
      </c>
      <c r="H45" s="24">
        <v>87.93</v>
      </c>
    </row>
    <row r="46" spans="1:8">
      <c r="A46" s="84">
        <v>45348</v>
      </c>
      <c r="B46" s="67">
        <v>5069.53</v>
      </c>
      <c r="D46" s="84">
        <v>45348</v>
      </c>
      <c r="E46" s="67">
        <v>225.79</v>
      </c>
      <c r="G46" s="37">
        <v>45348</v>
      </c>
      <c r="H46" s="24">
        <v>86.21</v>
      </c>
    </row>
    <row r="47" spans="1:8">
      <c r="A47" s="84">
        <v>45349</v>
      </c>
      <c r="B47" s="67">
        <v>5078.18</v>
      </c>
      <c r="D47" s="84">
        <v>45349</v>
      </c>
      <c r="E47" s="67">
        <v>227.73</v>
      </c>
      <c r="G47" s="37">
        <v>45349</v>
      </c>
      <c r="H47" s="24">
        <v>86.88</v>
      </c>
    </row>
    <row r="48" spans="1:8">
      <c r="A48" s="84">
        <v>45350</v>
      </c>
      <c r="B48" s="67">
        <v>5069.76</v>
      </c>
      <c r="D48" s="84">
        <v>45350</v>
      </c>
      <c r="E48" s="67">
        <v>229.63</v>
      </c>
      <c r="G48" s="37">
        <v>45350</v>
      </c>
      <c r="H48" s="24">
        <v>86.65</v>
      </c>
    </row>
    <row r="49" spans="1:8">
      <c r="A49" s="64">
        <v>45351</v>
      </c>
      <c r="B49" s="68">
        <v>5096.2700000000004</v>
      </c>
      <c r="D49" s="64">
        <v>45351</v>
      </c>
      <c r="E49" s="68">
        <v>231.4</v>
      </c>
      <c r="G49" s="39">
        <v>45351</v>
      </c>
      <c r="H49" s="25">
        <v>87.21</v>
      </c>
    </row>
    <row r="50" spans="1:8">
      <c r="A50" s="64">
        <v>45352</v>
      </c>
      <c r="B50" s="68">
        <v>5137.08</v>
      </c>
      <c r="D50" s="64">
        <v>45352</v>
      </c>
      <c r="E50" s="68">
        <v>234.37</v>
      </c>
      <c r="G50" s="39">
        <v>45352</v>
      </c>
      <c r="H50" s="25">
        <v>87.01</v>
      </c>
    </row>
    <row r="51" spans="1:8">
      <c r="A51" s="84">
        <v>45355</v>
      </c>
      <c r="B51" s="67">
        <v>5130.95</v>
      </c>
      <c r="D51" s="84">
        <v>45355</v>
      </c>
      <c r="E51" s="67">
        <v>243.58</v>
      </c>
      <c r="G51" s="37">
        <v>45355</v>
      </c>
      <c r="H51" s="24">
        <v>89.13</v>
      </c>
    </row>
    <row r="52" spans="1:8">
      <c r="A52" s="84">
        <v>45356</v>
      </c>
      <c r="B52" s="67">
        <v>5078.6499999999996</v>
      </c>
      <c r="D52" s="84">
        <v>45356</v>
      </c>
      <c r="E52" s="67">
        <v>242.8</v>
      </c>
      <c r="G52" s="37">
        <v>45356</v>
      </c>
      <c r="H52" s="24">
        <v>88.99</v>
      </c>
    </row>
    <row r="53" spans="1:8">
      <c r="A53" s="84">
        <v>45357</v>
      </c>
      <c r="B53" s="67">
        <v>5104.76</v>
      </c>
      <c r="D53" s="84">
        <v>45357</v>
      </c>
      <c r="E53" s="67">
        <v>242.7</v>
      </c>
      <c r="G53" s="37">
        <v>45357</v>
      </c>
      <c r="H53" s="24">
        <v>89.85</v>
      </c>
    </row>
    <row r="54" spans="1:8">
      <c r="A54" s="84">
        <v>45358</v>
      </c>
      <c r="B54" s="67">
        <v>5157.3599999999997</v>
      </c>
      <c r="D54" s="84">
        <v>45358</v>
      </c>
      <c r="E54" s="67">
        <v>242.5</v>
      </c>
      <c r="G54" s="37">
        <v>45358</v>
      </c>
      <c r="H54" s="24">
        <v>89.94</v>
      </c>
    </row>
    <row r="55" spans="1:8">
      <c r="A55" s="84">
        <v>45359</v>
      </c>
      <c r="B55" s="67">
        <v>5123.6899999999996</v>
      </c>
      <c r="D55" s="84">
        <v>45359</v>
      </c>
      <c r="E55" s="67">
        <v>245.44</v>
      </c>
      <c r="G55" s="37">
        <v>45359</v>
      </c>
      <c r="H55" s="24">
        <v>90.12</v>
      </c>
    </row>
    <row r="56" spans="1:8">
      <c r="A56" s="84">
        <v>45362</v>
      </c>
      <c r="B56" s="67">
        <v>5117.9399999999996</v>
      </c>
      <c r="D56" s="84">
        <v>45362</v>
      </c>
      <c r="E56" s="67">
        <v>242.97</v>
      </c>
      <c r="G56" s="37">
        <v>45362</v>
      </c>
      <c r="H56" s="24">
        <v>90.8</v>
      </c>
    </row>
    <row r="57" spans="1:8">
      <c r="A57" s="84">
        <v>45363</v>
      </c>
      <c r="B57" s="67">
        <v>5175.2700000000004</v>
      </c>
      <c r="D57" s="84">
        <v>45363</v>
      </c>
      <c r="E57" s="67">
        <v>240.63</v>
      </c>
      <c r="G57" s="37">
        <v>45363</v>
      </c>
      <c r="H57" s="24">
        <v>89.93</v>
      </c>
    </row>
    <row r="58" spans="1:8">
      <c r="A58" s="84">
        <v>45364</v>
      </c>
      <c r="B58" s="67">
        <v>5165.3100000000004</v>
      </c>
      <c r="D58" s="84">
        <v>45364</v>
      </c>
      <c r="E58" s="67">
        <v>242.34</v>
      </c>
      <c r="G58" s="37">
        <v>45364</v>
      </c>
      <c r="H58" s="24">
        <v>89.57</v>
      </c>
    </row>
    <row r="59" spans="1:8">
      <c r="A59" s="84">
        <v>45365</v>
      </c>
      <c r="B59" s="67">
        <v>5150.4799999999996</v>
      </c>
      <c r="D59" s="84">
        <v>45365</v>
      </c>
      <c r="E59" s="67">
        <v>237.13</v>
      </c>
      <c r="G59" s="37">
        <v>45365</v>
      </c>
      <c r="H59" s="24">
        <v>88.67</v>
      </c>
    </row>
    <row r="60" spans="1:8">
      <c r="A60" s="84">
        <v>45366</v>
      </c>
      <c r="B60" s="67">
        <v>5117.09</v>
      </c>
      <c r="D60" s="84">
        <v>45366</v>
      </c>
      <c r="E60" s="67">
        <v>239.07</v>
      </c>
      <c r="G60" s="37">
        <v>45366</v>
      </c>
      <c r="H60" s="24">
        <v>88.94</v>
      </c>
    </row>
    <row r="61" spans="1:8">
      <c r="A61" s="84">
        <v>45369</v>
      </c>
      <c r="B61" s="67">
        <v>5149.42</v>
      </c>
      <c r="D61" s="84">
        <v>45369</v>
      </c>
      <c r="E61" s="67">
        <v>237.6</v>
      </c>
      <c r="G61" s="37">
        <v>45369</v>
      </c>
      <c r="H61" s="24">
        <v>88.99</v>
      </c>
    </row>
    <row r="62" spans="1:8">
      <c r="A62" s="84">
        <v>45370</v>
      </c>
      <c r="B62" s="67">
        <v>5178.51</v>
      </c>
      <c r="D62" s="84">
        <v>45370</v>
      </c>
      <c r="E62" s="67">
        <v>236.13</v>
      </c>
      <c r="G62" s="37">
        <v>45370</v>
      </c>
      <c r="H62" s="24">
        <v>89.71</v>
      </c>
    </row>
    <row r="63" spans="1:8">
      <c r="A63" s="84">
        <v>45371</v>
      </c>
      <c r="B63" s="67">
        <v>5224.62</v>
      </c>
      <c r="D63" s="84">
        <v>45371</v>
      </c>
      <c r="E63" s="67">
        <v>240.7</v>
      </c>
      <c r="G63" s="37">
        <v>45371</v>
      </c>
      <c r="H63" s="24">
        <v>89.04</v>
      </c>
    </row>
    <row r="64" spans="1:8">
      <c r="A64" s="84">
        <v>45372</v>
      </c>
      <c r="B64" s="67">
        <v>5241.53</v>
      </c>
      <c r="D64" s="84">
        <v>45372</v>
      </c>
      <c r="E64" s="67">
        <v>244.01</v>
      </c>
      <c r="G64" s="37">
        <v>45372</v>
      </c>
      <c r="H64" s="24">
        <v>88.65</v>
      </c>
    </row>
    <row r="65" spans="1:8">
      <c r="A65" s="84">
        <v>45373</v>
      </c>
      <c r="B65" s="67">
        <v>5234.18</v>
      </c>
      <c r="D65" s="84">
        <v>45373</v>
      </c>
      <c r="E65" s="67">
        <v>241.99</v>
      </c>
      <c r="G65" s="37">
        <v>45373</v>
      </c>
      <c r="H65" s="24">
        <v>88.6</v>
      </c>
    </row>
    <row r="66" spans="1:8">
      <c r="A66" s="84">
        <v>45376</v>
      </c>
      <c r="B66" s="67">
        <v>5218.1899999999996</v>
      </c>
      <c r="D66" s="84">
        <v>45376</v>
      </c>
      <c r="E66" s="67">
        <v>239.53</v>
      </c>
      <c r="G66" s="37">
        <v>45376</v>
      </c>
      <c r="H66" s="24">
        <v>88.5</v>
      </c>
    </row>
    <row r="67" spans="1:8">
      <c r="A67" s="84">
        <v>45377</v>
      </c>
      <c r="B67" s="67">
        <v>5203.58</v>
      </c>
      <c r="D67" s="84">
        <v>45377</v>
      </c>
      <c r="E67" s="67">
        <v>237.73</v>
      </c>
      <c r="G67" s="37">
        <v>45377</v>
      </c>
      <c r="H67" s="24">
        <v>87.45</v>
      </c>
    </row>
    <row r="68" spans="1:8">
      <c r="A68" s="84">
        <v>45378</v>
      </c>
      <c r="B68" s="67">
        <v>5248.49</v>
      </c>
      <c r="D68" s="84">
        <v>45378</v>
      </c>
      <c r="E68" s="67">
        <v>241.41</v>
      </c>
      <c r="G68" s="37">
        <v>45378</v>
      </c>
      <c r="H68" s="24">
        <v>90.05</v>
      </c>
    </row>
    <row r="69" spans="1:8">
      <c r="A69" s="64">
        <v>45379</v>
      </c>
      <c r="B69" s="68">
        <v>5254.35</v>
      </c>
      <c r="D69" s="64">
        <v>45379</v>
      </c>
      <c r="E69" s="68">
        <v>244.81</v>
      </c>
      <c r="G69" s="39">
        <v>45379</v>
      </c>
      <c r="H69" s="25">
        <v>90.81</v>
      </c>
    </row>
    <row r="70" spans="1:8">
      <c r="A70" s="64">
        <v>45383</v>
      </c>
      <c r="B70" s="68">
        <v>5243.77</v>
      </c>
      <c r="D70" s="64">
        <v>45383</v>
      </c>
      <c r="E70" s="68">
        <v>239.67</v>
      </c>
      <c r="G70" s="39">
        <v>45383</v>
      </c>
      <c r="H70" s="25">
        <v>90.33</v>
      </c>
    </row>
    <row r="71" spans="1:8">
      <c r="A71" s="84">
        <v>45384</v>
      </c>
      <c r="B71" s="67">
        <v>5205.8100000000004</v>
      </c>
      <c r="D71" s="84">
        <v>45384</v>
      </c>
      <c r="E71" s="67">
        <v>235.5</v>
      </c>
      <c r="G71" s="37">
        <v>45384</v>
      </c>
      <c r="H71" s="24">
        <v>90.6</v>
      </c>
    </row>
    <row r="72" spans="1:8">
      <c r="A72" s="84">
        <v>45385</v>
      </c>
      <c r="B72" s="67">
        <v>5211.49</v>
      </c>
      <c r="D72" s="84">
        <v>45385</v>
      </c>
      <c r="E72" s="67">
        <v>237.5</v>
      </c>
      <c r="G72" s="37">
        <v>45385</v>
      </c>
      <c r="H72" s="24">
        <v>89.89</v>
      </c>
    </row>
    <row r="73" spans="1:8">
      <c r="A73" s="84">
        <v>45386</v>
      </c>
      <c r="B73" s="67">
        <v>5147.21</v>
      </c>
      <c r="D73" s="84">
        <v>45386</v>
      </c>
      <c r="E73" s="67">
        <v>235.98</v>
      </c>
      <c r="G73" s="37">
        <v>45386</v>
      </c>
      <c r="H73" s="24">
        <v>90.19</v>
      </c>
    </row>
    <row r="74" spans="1:8">
      <c r="A74" s="84">
        <v>45387</v>
      </c>
      <c r="B74" s="67">
        <v>5204.34</v>
      </c>
      <c r="D74" s="84">
        <v>45387</v>
      </c>
      <c r="E74" s="67">
        <v>237.68</v>
      </c>
      <c r="G74" s="37">
        <v>45387</v>
      </c>
      <c r="H74" s="24">
        <v>89.65</v>
      </c>
    </row>
    <row r="75" spans="1:8">
      <c r="A75" s="84">
        <v>45390</v>
      </c>
      <c r="B75" s="67">
        <v>5202.3900000000003</v>
      </c>
      <c r="D75" s="84">
        <v>45390</v>
      </c>
      <c r="E75" s="67">
        <v>243.5</v>
      </c>
      <c r="G75" s="37">
        <v>45390</v>
      </c>
      <c r="H75" s="24">
        <v>90.6</v>
      </c>
    </row>
    <row r="76" spans="1:8">
      <c r="A76" s="84">
        <v>45391</v>
      </c>
      <c r="B76" s="67">
        <v>5209.91</v>
      </c>
      <c r="D76" s="84">
        <v>45391</v>
      </c>
      <c r="E76" s="67">
        <v>249.59</v>
      </c>
      <c r="G76" s="37">
        <v>45391</v>
      </c>
      <c r="H76" s="24">
        <v>91.13</v>
      </c>
    </row>
    <row r="77" spans="1:8">
      <c r="A77" s="84">
        <v>45392</v>
      </c>
      <c r="B77" s="67">
        <v>5160.6400000000003</v>
      </c>
      <c r="D77" s="84">
        <v>45392</v>
      </c>
      <c r="E77" s="67">
        <v>244.01</v>
      </c>
      <c r="G77" s="37">
        <v>45392</v>
      </c>
      <c r="H77" s="24">
        <v>88.89</v>
      </c>
    </row>
    <row r="78" spans="1:8">
      <c r="A78" s="84">
        <v>45393</v>
      </c>
      <c r="B78" s="67">
        <v>5199.0600000000004</v>
      </c>
      <c r="D78" s="84">
        <v>45393</v>
      </c>
      <c r="E78" s="67">
        <v>244.25</v>
      </c>
      <c r="G78" s="37">
        <v>45393</v>
      </c>
      <c r="H78" s="24">
        <v>88.55</v>
      </c>
    </row>
    <row r="79" spans="1:8">
      <c r="A79" s="84">
        <v>45394</v>
      </c>
      <c r="B79" s="67">
        <v>5123.41</v>
      </c>
      <c r="D79" s="84">
        <v>45394</v>
      </c>
      <c r="E79" s="67">
        <v>239.29</v>
      </c>
      <c r="G79" s="37">
        <v>45394</v>
      </c>
      <c r="H79" s="24">
        <v>88.63</v>
      </c>
    </row>
    <row r="80" spans="1:8">
      <c r="A80" s="84">
        <v>45397</v>
      </c>
      <c r="B80" s="67">
        <v>5061.82</v>
      </c>
      <c r="D80" s="84">
        <v>45397</v>
      </c>
      <c r="E80" s="67">
        <v>235.59</v>
      </c>
      <c r="G80" s="37">
        <v>45397</v>
      </c>
      <c r="H80" s="24">
        <v>89.32</v>
      </c>
    </row>
    <row r="81" spans="1:8">
      <c r="A81" s="84">
        <v>45398</v>
      </c>
      <c r="B81" s="67">
        <v>5051.41</v>
      </c>
      <c r="D81" s="84">
        <v>45398</v>
      </c>
      <c r="E81" s="67">
        <v>232.7</v>
      </c>
      <c r="G81" s="37">
        <v>45398</v>
      </c>
      <c r="H81" s="24">
        <v>87.42</v>
      </c>
    </row>
    <row r="82" spans="1:8">
      <c r="A82" s="84">
        <v>45399</v>
      </c>
      <c r="B82" s="67">
        <v>5022.21</v>
      </c>
      <c r="D82" s="84">
        <v>45399</v>
      </c>
      <c r="E82" s="67">
        <v>232.65</v>
      </c>
      <c r="G82" s="37">
        <v>45399</v>
      </c>
      <c r="H82" s="24">
        <v>90.33</v>
      </c>
    </row>
    <row r="83" spans="1:8">
      <c r="A83" s="84">
        <v>45400</v>
      </c>
      <c r="B83" s="67">
        <v>5011.12</v>
      </c>
      <c r="D83" s="84">
        <v>45400</v>
      </c>
      <c r="E83" s="67">
        <v>233.97</v>
      </c>
      <c r="G83" s="37">
        <v>45400</v>
      </c>
      <c r="H83" s="24">
        <v>90.9</v>
      </c>
    </row>
    <row r="84" spans="1:8">
      <c r="A84" s="84">
        <v>45401</v>
      </c>
      <c r="B84" s="67">
        <v>4967.2299999999996</v>
      </c>
      <c r="D84" s="84">
        <v>45401</v>
      </c>
      <c r="E84" s="67">
        <v>235.17</v>
      </c>
      <c r="G84" s="37">
        <v>45401</v>
      </c>
      <c r="H84" s="24">
        <v>91.77</v>
      </c>
    </row>
    <row r="85" spans="1:8">
      <c r="A85" s="84">
        <v>45404</v>
      </c>
      <c r="B85" s="67">
        <v>5010.6000000000004</v>
      </c>
      <c r="D85" s="84">
        <v>45404</v>
      </c>
      <c r="E85" s="67">
        <v>239.89</v>
      </c>
      <c r="G85" s="37">
        <v>45404</v>
      </c>
      <c r="H85" s="24">
        <v>92.73</v>
      </c>
    </row>
    <row r="86" spans="1:8">
      <c r="A86" s="84">
        <v>45405</v>
      </c>
      <c r="B86" s="67">
        <v>5070.55</v>
      </c>
      <c r="D86" s="84">
        <v>45405</v>
      </c>
      <c r="E86" s="67">
        <v>242.15</v>
      </c>
      <c r="G86" s="37">
        <v>45405</v>
      </c>
      <c r="H86" s="24">
        <v>92.84</v>
      </c>
    </row>
    <row r="87" spans="1:8">
      <c r="A87" s="84">
        <v>45406</v>
      </c>
      <c r="B87" s="67">
        <v>5071.63</v>
      </c>
      <c r="D87" s="84">
        <v>45406</v>
      </c>
      <c r="E87" s="67">
        <v>247.74</v>
      </c>
      <c r="G87" s="37">
        <v>45406</v>
      </c>
      <c r="H87" s="24">
        <v>93.43</v>
      </c>
    </row>
    <row r="88" spans="1:8">
      <c r="A88" s="84">
        <v>45407</v>
      </c>
      <c r="B88" s="67">
        <v>5048.42</v>
      </c>
      <c r="D88" s="84">
        <v>45407</v>
      </c>
      <c r="E88" s="67">
        <v>247.21</v>
      </c>
      <c r="G88" s="37">
        <v>45407</v>
      </c>
      <c r="H88" s="24">
        <v>94.11</v>
      </c>
    </row>
    <row r="89" spans="1:8">
      <c r="A89" s="84">
        <v>45408</v>
      </c>
      <c r="B89" s="67">
        <v>5099.96</v>
      </c>
      <c r="D89" s="84">
        <v>45408</v>
      </c>
      <c r="E89" s="67">
        <v>246.92</v>
      </c>
      <c r="G89" s="37">
        <v>45408</v>
      </c>
      <c r="H89" s="24">
        <v>92.93</v>
      </c>
    </row>
    <row r="90" spans="1:8">
      <c r="A90" s="84">
        <v>45411</v>
      </c>
      <c r="B90" s="67">
        <v>5116.17</v>
      </c>
      <c r="D90" s="84">
        <v>45411</v>
      </c>
      <c r="E90" s="67">
        <v>248.02</v>
      </c>
      <c r="G90" s="37">
        <v>45411</v>
      </c>
      <c r="H90" s="24">
        <v>93.97</v>
      </c>
    </row>
    <row r="91" spans="1:8">
      <c r="A91" s="64">
        <v>45412</v>
      </c>
      <c r="B91" s="68">
        <v>5035.6899999999996</v>
      </c>
      <c r="D91" s="64">
        <v>45412</v>
      </c>
      <c r="E91" s="68">
        <v>246.25</v>
      </c>
      <c r="G91" s="39">
        <v>45412</v>
      </c>
      <c r="H91" s="25">
        <v>94.4</v>
      </c>
    </row>
    <row r="92" spans="1:8">
      <c r="A92" s="64">
        <v>45413</v>
      </c>
      <c r="B92" s="68">
        <v>5018.3900000000003</v>
      </c>
      <c r="D92" s="64">
        <v>45413</v>
      </c>
      <c r="E92" s="68">
        <v>245.47</v>
      </c>
      <c r="G92" s="39">
        <v>45413</v>
      </c>
      <c r="H92" s="25">
        <v>94.8</v>
      </c>
    </row>
    <row r="93" spans="1:8">
      <c r="A93" s="84">
        <v>45414</v>
      </c>
      <c r="B93" s="67">
        <v>5064.2</v>
      </c>
      <c r="D93" s="84">
        <v>45414</v>
      </c>
      <c r="E93" s="67">
        <v>249.8</v>
      </c>
      <c r="G93" s="37">
        <v>45414</v>
      </c>
      <c r="H93" s="24">
        <v>95.25</v>
      </c>
    </row>
    <row r="94" spans="1:8">
      <c r="A94" s="84">
        <v>45415</v>
      </c>
      <c r="B94" s="67">
        <v>5127.79</v>
      </c>
      <c r="D94" s="84">
        <v>45415</v>
      </c>
      <c r="E94" s="67">
        <v>250.31</v>
      </c>
      <c r="G94" s="37">
        <v>45415</v>
      </c>
      <c r="H94" s="24">
        <v>95.56</v>
      </c>
    </row>
    <row r="95" spans="1:8">
      <c r="A95" s="84">
        <v>45418</v>
      </c>
      <c r="B95" s="67">
        <v>5180.74</v>
      </c>
      <c r="D95" s="84">
        <v>45418</v>
      </c>
      <c r="E95" s="67">
        <v>255.49</v>
      </c>
      <c r="G95" s="37">
        <v>45418</v>
      </c>
      <c r="H95" s="24">
        <v>96.13</v>
      </c>
    </row>
    <row r="96" spans="1:8">
      <c r="A96" s="84">
        <v>45419</v>
      </c>
      <c r="B96" s="67">
        <v>5187.7</v>
      </c>
      <c r="D96" s="84">
        <v>45419</v>
      </c>
      <c r="E96" s="67">
        <v>257.67</v>
      </c>
      <c r="G96" s="37">
        <v>45419</v>
      </c>
      <c r="H96" s="24">
        <v>97.5</v>
      </c>
    </row>
    <row r="97" spans="1:8">
      <c r="A97" s="84">
        <v>45420</v>
      </c>
      <c r="B97" s="67">
        <v>5187.67</v>
      </c>
      <c r="D97" s="84">
        <v>45420</v>
      </c>
      <c r="E97" s="67">
        <v>254.5</v>
      </c>
      <c r="G97" s="37">
        <v>45420</v>
      </c>
      <c r="H97" s="24">
        <v>97.57</v>
      </c>
    </row>
    <row r="98" spans="1:8">
      <c r="A98" s="84">
        <v>45421</v>
      </c>
      <c r="B98" s="67">
        <v>5214.08</v>
      </c>
      <c r="D98" s="84">
        <v>45421</v>
      </c>
      <c r="E98" s="67">
        <v>259.58</v>
      </c>
      <c r="G98" s="37">
        <v>45421</v>
      </c>
      <c r="H98" s="24">
        <v>98.12</v>
      </c>
    </row>
    <row r="99" spans="1:8">
      <c r="A99" s="84">
        <v>45422</v>
      </c>
      <c r="B99" s="67">
        <v>5222.68</v>
      </c>
      <c r="D99" s="84">
        <v>45422</v>
      </c>
      <c r="E99" s="67">
        <v>258.95</v>
      </c>
      <c r="G99" s="37">
        <v>45422</v>
      </c>
      <c r="H99" s="24">
        <v>97.7</v>
      </c>
    </row>
    <row r="100" spans="1:8">
      <c r="A100" s="84">
        <v>45425</v>
      </c>
      <c r="B100" s="67">
        <v>5221.42</v>
      </c>
      <c r="D100" s="84">
        <v>45425</v>
      </c>
      <c r="E100" s="67">
        <v>260.56</v>
      </c>
      <c r="G100" s="37">
        <v>45425</v>
      </c>
      <c r="H100" s="24">
        <v>97.64</v>
      </c>
    </row>
    <row r="101" spans="1:8">
      <c r="A101" s="84">
        <v>45426</v>
      </c>
      <c r="B101" s="67">
        <v>5246.68</v>
      </c>
      <c r="D101" s="84">
        <v>45426</v>
      </c>
      <c r="E101" s="67">
        <v>264.97000000000003</v>
      </c>
      <c r="G101" s="37">
        <v>45426</v>
      </c>
      <c r="H101" s="24">
        <v>96.64</v>
      </c>
    </row>
    <row r="102" spans="1:8">
      <c r="A102" s="84">
        <v>45427</v>
      </c>
      <c r="B102" s="67">
        <v>5308.15</v>
      </c>
      <c r="D102" s="84">
        <v>45427</v>
      </c>
      <c r="E102" s="67">
        <v>267.83999999999997</v>
      </c>
      <c r="G102" s="37">
        <v>45427</v>
      </c>
      <c r="H102" s="24">
        <v>96.91</v>
      </c>
    </row>
    <row r="103" spans="1:8">
      <c r="A103" s="84">
        <v>45428</v>
      </c>
      <c r="B103" s="67">
        <v>5297.1</v>
      </c>
      <c r="D103" s="84">
        <v>45428</v>
      </c>
      <c r="E103" s="67">
        <v>264.70999999999998</v>
      </c>
      <c r="G103" s="37">
        <v>45428</v>
      </c>
      <c r="H103" s="24">
        <v>96.91</v>
      </c>
    </row>
    <row r="104" spans="1:8">
      <c r="A104" s="84">
        <v>45429</v>
      </c>
      <c r="B104" s="67">
        <v>5303.27</v>
      </c>
      <c r="D104" s="84">
        <v>45429</v>
      </c>
      <c r="E104" s="67">
        <v>266.29000000000002</v>
      </c>
      <c r="G104" s="37">
        <v>45429</v>
      </c>
      <c r="H104" s="24">
        <v>97.1</v>
      </c>
    </row>
    <row r="105" spans="1:8">
      <c r="A105" s="84">
        <v>45432</v>
      </c>
      <c r="B105" s="67">
        <v>5308.13</v>
      </c>
      <c r="D105" s="84">
        <v>45432</v>
      </c>
      <c r="E105" s="67">
        <v>263.41000000000003</v>
      </c>
      <c r="G105" s="37">
        <v>45432</v>
      </c>
      <c r="H105" s="24">
        <v>96.51</v>
      </c>
    </row>
    <row r="106" spans="1:8">
      <c r="A106" s="84">
        <v>45433</v>
      </c>
      <c r="B106" s="67">
        <v>5321.41</v>
      </c>
      <c r="D106" s="84">
        <v>45433</v>
      </c>
      <c r="E106" s="67">
        <v>264.16000000000003</v>
      </c>
      <c r="G106" s="37">
        <v>45433</v>
      </c>
      <c r="H106" s="24">
        <v>96.34</v>
      </c>
    </row>
    <row r="107" spans="1:8">
      <c r="A107" s="84">
        <v>45434</v>
      </c>
      <c r="B107" s="67">
        <v>5307.01</v>
      </c>
      <c r="D107" s="84">
        <v>45434</v>
      </c>
      <c r="E107" s="67">
        <v>262.94</v>
      </c>
      <c r="G107" s="37">
        <v>45434</v>
      </c>
      <c r="H107" s="24">
        <v>96.13</v>
      </c>
    </row>
    <row r="108" spans="1:8">
      <c r="A108" s="84">
        <v>45435</v>
      </c>
      <c r="B108" s="67">
        <v>5267.84</v>
      </c>
      <c r="D108" s="84">
        <v>45435</v>
      </c>
      <c r="E108" s="67">
        <v>257.97000000000003</v>
      </c>
      <c r="G108" s="37">
        <v>45435</v>
      </c>
      <c r="H108" s="24">
        <v>93.87</v>
      </c>
    </row>
    <row r="109" spans="1:8">
      <c r="A109" s="84">
        <v>45436</v>
      </c>
      <c r="B109" s="67">
        <v>5304.72</v>
      </c>
      <c r="D109" s="84">
        <v>45436</v>
      </c>
      <c r="E109" s="67">
        <v>259.39999999999998</v>
      </c>
      <c r="G109" s="37">
        <v>45436</v>
      </c>
      <c r="H109" s="24">
        <v>94.43</v>
      </c>
    </row>
    <row r="110" spans="1:8">
      <c r="A110" s="84">
        <v>45440</v>
      </c>
      <c r="B110" s="67">
        <v>5306.04</v>
      </c>
      <c r="D110" s="84">
        <v>45440</v>
      </c>
      <c r="E110" s="67">
        <v>255.33</v>
      </c>
      <c r="G110" s="37">
        <v>45440</v>
      </c>
      <c r="H110" s="24">
        <v>93.21</v>
      </c>
    </row>
    <row r="111" spans="1:8">
      <c r="A111" s="84">
        <v>45441</v>
      </c>
      <c r="B111" s="67">
        <v>5266.95</v>
      </c>
      <c r="D111" s="84">
        <v>45441</v>
      </c>
      <c r="E111" s="67">
        <v>252.91</v>
      </c>
      <c r="G111" s="37">
        <v>45441</v>
      </c>
      <c r="H111" s="24">
        <v>91.91</v>
      </c>
    </row>
    <row r="112" spans="1:8">
      <c r="A112" s="84">
        <v>45442</v>
      </c>
      <c r="B112" s="67">
        <v>5235.4799999999996</v>
      </c>
      <c r="D112" s="84">
        <v>45442</v>
      </c>
      <c r="E112" s="67">
        <v>255.6</v>
      </c>
      <c r="G112" s="37">
        <v>45442</v>
      </c>
      <c r="H112" s="24">
        <v>92.45</v>
      </c>
    </row>
    <row r="113" spans="1:8">
      <c r="A113" s="64">
        <v>45443</v>
      </c>
      <c r="B113" s="68">
        <v>5277.51</v>
      </c>
      <c r="D113" s="64">
        <v>45443</v>
      </c>
      <c r="E113" s="68">
        <v>259.79000000000002</v>
      </c>
      <c r="G113" s="39">
        <v>45443</v>
      </c>
      <c r="H113" s="25">
        <v>94.55</v>
      </c>
    </row>
    <row r="114" spans="1:8">
      <c r="A114" s="64">
        <v>45446</v>
      </c>
      <c r="B114" s="68">
        <v>5283.4</v>
      </c>
      <c r="D114" s="64">
        <v>45446</v>
      </c>
      <c r="E114" s="68">
        <v>260.63</v>
      </c>
      <c r="G114" s="39">
        <v>45446</v>
      </c>
      <c r="H114" s="25">
        <v>93.68</v>
      </c>
    </row>
    <row r="115" spans="1:8">
      <c r="A115" s="84">
        <v>45447</v>
      </c>
      <c r="B115" s="67">
        <v>5291.34</v>
      </c>
      <c r="D115" s="84">
        <v>45447</v>
      </c>
      <c r="E115" s="67">
        <v>263.81</v>
      </c>
      <c r="G115" s="37">
        <v>45447</v>
      </c>
      <c r="H115" s="24">
        <v>93.72</v>
      </c>
    </row>
    <row r="116" spans="1:8">
      <c r="A116" s="84">
        <v>45448</v>
      </c>
      <c r="B116" s="67">
        <v>5354.03</v>
      </c>
      <c r="D116" s="84">
        <v>45448</v>
      </c>
      <c r="E116" s="67">
        <v>268.08</v>
      </c>
      <c r="G116" s="37">
        <v>45448</v>
      </c>
      <c r="H116" s="24">
        <v>92.6</v>
      </c>
    </row>
    <row r="117" spans="1:8">
      <c r="A117" s="84">
        <v>45449</v>
      </c>
      <c r="B117" s="67">
        <v>5352.96</v>
      </c>
      <c r="D117" s="84">
        <v>45449</v>
      </c>
      <c r="E117" s="67">
        <v>268.32</v>
      </c>
      <c r="G117" s="37">
        <v>45449</v>
      </c>
      <c r="H117" s="24">
        <v>91.89</v>
      </c>
    </row>
    <row r="118" spans="1:8">
      <c r="A118" s="84">
        <v>45450</v>
      </c>
      <c r="B118" s="67">
        <v>5346.99</v>
      </c>
      <c r="D118" s="84">
        <v>45450</v>
      </c>
      <c r="E118" s="67">
        <v>268.07</v>
      </c>
      <c r="G118" s="37">
        <v>45450</v>
      </c>
      <c r="H118" s="24">
        <v>91.61</v>
      </c>
    </row>
    <row r="119" spans="1:8">
      <c r="A119" s="84">
        <v>45453</v>
      </c>
      <c r="B119" s="67">
        <v>5360.79</v>
      </c>
      <c r="D119" s="84">
        <v>45453</v>
      </c>
      <c r="E119" s="67">
        <v>269.37</v>
      </c>
      <c r="G119" s="37">
        <v>45453</v>
      </c>
      <c r="H119" s="24">
        <v>92.32</v>
      </c>
    </row>
    <row r="120" spans="1:8">
      <c r="A120" s="84">
        <v>45454</v>
      </c>
      <c r="B120" s="67">
        <v>5375.32</v>
      </c>
      <c r="D120" s="84">
        <v>45454</v>
      </c>
      <c r="E120" s="67">
        <v>265.64</v>
      </c>
      <c r="G120" s="37">
        <v>45454</v>
      </c>
      <c r="H120" s="24">
        <v>91.75</v>
      </c>
    </row>
    <row r="121" spans="1:8">
      <c r="A121" s="84">
        <v>45455</v>
      </c>
      <c r="B121" s="67">
        <v>5421.03</v>
      </c>
      <c r="D121" s="84">
        <v>45455</v>
      </c>
      <c r="E121" s="67">
        <v>271.44</v>
      </c>
      <c r="G121" s="37">
        <v>45455</v>
      </c>
      <c r="H121" s="24">
        <v>91.14</v>
      </c>
    </row>
    <row r="122" spans="1:8">
      <c r="A122" s="84">
        <v>45456</v>
      </c>
      <c r="B122" s="67">
        <v>5433.74</v>
      </c>
      <c r="D122" s="84">
        <v>45456</v>
      </c>
      <c r="E122" s="67">
        <v>275.2</v>
      </c>
      <c r="G122" s="37">
        <v>45456</v>
      </c>
      <c r="H122" s="24">
        <v>90.61</v>
      </c>
    </row>
    <row r="123" spans="1:8">
      <c r="A123" s="84">
        <v>45457</v>
      </c>
      <c r="B123" s="67">
        <v>5431.6</v>
      </c>
      <c r="D123" s="84">
        <v>45457</v>
      </c>
      <c r="E123" s="67">
        <v>278.5</v>
      </c>
      <c r="G123" s="37">
        <v>45457</v>
      </c>
      <c r="H123" s="24">
        <v>90.87</v>
      </c>
    </row>
    <row r="124" spans="1:8">
      <c r="A124" s="84">
        <v>45460</v>
      </c>
      <c r="B124" s="67">
        <v>5473.23</v>
      </c>
      <c r="D124" s="84">
        <v>45460</v>
      </c>
      <c r="E124" s="67">
        <v>281.29000000000002</v>
      </c>
      <c r="G124" s="37">
        <v>45460</v>
      </c>
      <c r="H124" s="24">
        <v>90.65</v>
      </c>
    </row>
    <row r="125" spans="1:8">
      <c r="A125" s="84">
        <v>45461</v>
      </c>
      <c r="B125" s="67">
        <v>5487.03</v>
      </c>
      <c r="D125" s="84">
        <v>45461</v>
      </c>
      <c r="E125" s="67">
        <v>284.58999999999997</v>
      </c>
      <c r="G125" s="37">
        <v>45461</v>
      </c>
      <c r="H125" s="24">
        <v>90.39</v>
      </c>
    </row>
    <row r="126" spans="1:8">
      <c r="A126" s="84">
        <v>45463</v>
      </c>
      <c r="B126" s="67">
        <v>5473.17</v>
      </c>
      <c r="D126" s="84">
        <v>45463</v>
      </c>
      <c r="E126" s="67">
        <v>280.08</v>
      </c>
      <c r="G126" s="37">
        <v>45463</v>
      </c>
      <c r="H126" s="24">
        <v>90.53</v>
      </c>
    </row>
    <row r="127" spans="1:8">
      <c r="A127" s="84">
        <v>45464</v>
      </c>
      <c r="B127" s="67">
        <v>5464.62</v>
      </c>
      <c r="D127" s="84">
        <v>45464</v>
      </c>
      <c r="E127" s="67">
        <v>278.22000000000003</v>
      </c>
      <c r="G127" s="37">
        <v>45464</v>
      </c>
      <c r="H127" s="24">
        <v>90.34</v>
      </c>
    </row>
    <row r="128" spans="1:8">
      <c r="A128" s="84">
        <v>45467</v>
      </c>
      <c r="B128" s="67">
        <v>5447.87</v>
      </c>
      <c r="D128" s="84">
        <v>45467</v>
      </c>
      <c r="E128" s="67">
        <v>279.19</v>
      </c>
      <c r="G128" s="37">
        <v>45467</v>
      </c>
      <c r="H128" s="24">
        <v>91.27</v>
      </c>
    </row>
    <row r="129" spans="1:8">
      <c r="A129" s="84">
        <v>45468</v>
      </c>
      <c r="B129" s="67">
        <v>5469.3</v>
      </c>
      <c r="D129" s="84">
        <v>45468</v>
      </c>
      <c r="E129" s="67">
        <v>275.62</v>
      </c>
      <c r="G129" s="37">
        <v>45468</v>
      </c>
      <c r="H129" s="24">
        <v>89.39</v>
      </c>
    </row>
    <row r="130" spans="1:8">
      <c r="A130" s="84">
        <v>45469</v>
      </c>
      <c r="B130" s="67">
        <v>5477.9</v>
      </c>
      <c r="D130" s="84">
        <v>45469</v>
      </c>
      <c r="E130" s="67">
        <v>273.23</v>
      </c>
      <c r="G130" s="37">
        <v>45469</v>
      </c>
      <c r="H130" s="24">
        <v>89.67</v>
      </c>
    </row>
    <row r="131" spans="1:8">
      <c r="A131" s="84">
        <v>45470</v>
      </c>
      <c r="B131" s="67">
        <v>5482.87</v>
      </c>
      <c r="D131" s="84">
        <v>45470</v>
      </c>
      <c r="E131" s="67">
        <v>273.38</v>
      </c>
      <c r="G131" s="37">
        <v>45470</v>
      </c>
      <c r="H131" s="24">
        <v>89.68</v>
      </c>
    </row>
    <row r="132" spans="1:8">
      <c r="A132" s="64">
        <v>45471</v>
      </c>
      <c r="B132" s="68">
        <v>5460.48</v>
      </c>
      <c r="D132" s="64">
        <v>45471</v>
      </c>
      <c r="E132" s="68">
        <v>272.2</v>
      </c>
      <c r="G132" s="39">
        <v>45471</v>
      </c>
      <c r="H132" s="25">
        <v>89.42</v>
      </c>
    </row>
    <row r="133" spans="1:8">
      <c r="A133" s="64">
        <v>45474</v>
      </c>
      <c r="B133" s="68">
        <v>5475.09</v>
      </c>
      <c r="D133" s="64">
        <v>45474</v>
      </c>
      <c r="E133" s="68">
        <v>272.82</v>
      </c>
      <c r="G133" s="39">
        <v>45474</v>
      </c>
      <c r="H133" s="25">
        <v>88.81</v>
      </c>
    </row>
    <row r="134" spans="1:8">
      <c r="A134" s="84">
        <v>45475</v>
      </c>
      <c r="B134" s="67">
        <v>5509.01</v>
      </c>
      <c r="D134" s="84">
        <v>45475</v>
      </c>
      <c r="E134" s="67">
        <v>272.99</v>
      </c>
      <c r="G134" s="37">
        <v>45475</v>
      </c>
      <c r="H134" s="24">
        <v>88.97</v>
      </c>
    </row>
    <row r="135" spans="1:8">
      <c r="A135" s="84">
        <v>45476</v>
      </c>
      <c r="B135" s="67">
        <v>5537.02</v>
      </c>
      <c r="D135" s="84">
        <v>45476</v>
      </c>
      <c r="E135" s="67">
        <v>269.60000000000002</v>
      </c>
      <c r="G135" s="37">
        <v>45476</v>
      </c>
      <c r="H135" s="24">
        <v>88.71</v>
      </c>
    </row>
    <row r="136" spans="1:8">
      <c r="A136" s="84">
        <v>45478</v>
      </c>
      <c r="B136" s="67">
        <v>5567.19</v>
      </c>
      <c r="D136" s="84">
        <v>45478</v>
      </c>
      <c r="E136" s="67">
        <v>272.24</v>
      </c>
      <c r="G136" s="37">
        <v>45478</v>
      </c>
      <c r="H136" s="24">
        <v>89.27</v>
      </c>
    </row>
    <row r="137" spans="1:8">
      <c r="A137" s="84">
        <v>45481</v>
      </c>
      <c r="B137" s="67">
        <v>5572.85</v>
      </c>
      <c r="D137" s="84">
        <v>45481</v>
      </c>
      <c r="E137" s="67">
        <v>273.10000000000002</v>
      </c>
      <c r="G137" s="37">
        <v>45481</v>
      </c>
      <c r="H137" s="24">
        <v>88.42</v>
      </c>
    </row>
    <row r="138" spans="1:8">
      <c r="A138" s="84">
        <v>45482</v>
      </c>
      <c r="B138" s="67">
        <v>5576.98</v>
      </c>
      <c r="D138" s="84">
        <v>45482</v>
      </c>
      <c r="E138" s="67">
        <v>275.97000000000003</v>
      </c>
      <c r="G138" s="37">
        <v>45482</v>
      </c>
      <c r="H138" s="24">
        <v>88.85</v>
      </c>
    </row>
    <row r="139" spans="1:8">
      <c r="A139" s="84">
        <v>45483</v>
      </c>
      <c r="B139" s="67">
        <v>5633.91</v>
      </c>
      <c r="D139" s="84">
        <v>45483</v>
      </c>
      <c r="E139" s="67">
        <v>276.38</v>
      </c>
      <c r="G139" s="37">
        <v>45483</v>
      </c>
      <c r="H139" s="24">
        <v>89.87</v>
      </c>
    </row>
    <row r="140" spans="1:8">
      <c r="A140" s="84">
        <v>45484</v>
      </c>
      <c r="B140" s="67">
        <v>5584.54</v>
      </c>
      <c r="D140" s="84">
        <v>45484</v>
      </c>
      <c r="E140" s="67">
        <v>278.41000000000003</v>
      </c>
      <c r="G140" s="37">
        <v>45484</v>
      </c>
      <c r="H140" s="24">
        <v>91.46</v>
      </c>
    </row>
    <row r="141" spans="1:8">
      <c r="A141" s="84">
        <v>45485</v>
      </c>
      <c r="B141" s="67">
        <v>5615.35</v>
      </c>
      <c r="D141" s="84">
        <v>45485</v>
      </c>
      <c r="E141" s="67">
        <v>274.33</v>
      </c>
      <c r="G141" s="37">
        <v>45485</v>
      </c>
      <c r="H141" s="24">
        <v>92.19</v>
      </c>
    </row>
    <row r="142" spans="1:8">
      <c r="A142" s="84">
        <v>45488</v>
      </c>
      <c r="B142" s="67">
        <v>5631.22</v>
      </c>
      <c r="D142" s="84">
        <v>45488</v>
      </c>
      <c r="E142" s="67">
        <v>276.08999999999997</v>
      </c>
      <c r="G142" s="37">
        <v>45488</v>
      </c>
      <c r="H142" s="24">
        <v>90.26</v>
      </c>
    </row>
    <row r="143" spans="1:8">
      <c r="A143" s="84">
        <v>45489</v>
      </c>
      <c r="B143" s="67">
        <v>5667.2</v>
      </c>
      <c r="D143" s="84">
        <v>45489</v>
      </c>
      <c r="E143" s="67">
        <v>278.75</v>
      </c>
      <c r="G143" s="37">
        <v>45489</v>
      </c>
      <c r="H143" s="24">
        <v>91.55</v>
      </c>
    </row>
    <row r="144" spans="1:8">
      <c r="A144" s="84">
        <v>45490</v>
      </c>
      <c r="B144" s="67">
        <v>5588.27</v>
      </c>
      <c r="D144" s="84">
        <v>45490</v>
      </c>
      <c r="E144" s="67">
        <v>283.98</v>
      </c>
      <c r="G144" s="37">
        <v>45490</v>
      </c>
      <c r="H144" s="24">
        <v>93.76</v>
      </c>
    </row>
    <row r="145" spans="1:8">
      <c r="A145" s="84">
        <v>45491</v>
      </c>
      <c r="B145" s="67">
        <v>5544.59</v>
      </c>
      <c r="D145" s="84">
        <v>45491</v>
      </c>
      <c r="E145" s="67">
        <v>284.14</v>
      </c>
      <c r="G145" s="37">
        <v>45491</v>
      </c>
      <c r="H145" s="24">
        <v>94.11</v>
      </c>
    </row>
    <row r="146" spans="1:8">
      <c r="A146" s="84">
        <v>45492</v>
      </c>
      <c r="B146" s="67">
        <v>5505</v>
      </c>
      <c r="D146" s="84">
        <v>45492</v>
      </c>
      <c r="E146" s="67">
        <v>284.79000000000002</v>
      </c>
      <c r="G146" s="37">
        <v>45492</v>
      </c>
      <c r="H146" s="24">
        <v>94.04</v>
      </c>
    </row>
    <row r="147" spans="1:8">
      <c r="A147" s="84">
        <v>45495</v>
      </c>
      <c r="B147" s="67">
        <v>5564.41</v>
      </c>
      <c r="D147" s="84">
        <v>45495</v>
      </c>
      <c r="E147" s="67">
        <v>290.13</v>
      </c>
      <c r="G147" s="37">
        <v>45495</v>
      </c>
      <c r="H147" s="24">
        <v>94.64</v>
      </c>
    </row>
    <row r="148" spans="1:8">
      <c r="A148" s="84">
        <v>45496</v>
      </c>
      <c r="B148" s="67">
        <v>5555.74</v>
      </c>
      <c r="D148" s="84">
        <v>45496</v>
      </c>
      <c r="E148" s="67">
        <v>291.06</v>
      </c>
      <c r="G148" s="37">
        <v>45496</v>
      </c>
      <c r="H148" s="24">
        <v>93.25</v>
      </c>
    </row>
    <row r="149" spans="1:8">
      <c r="A149" s="84">
        <v>45497</v>
      </c>
      <c r="B149" s="67">
        <v>5427.13</v>
      </c>
      <c r="D149" s="84">
        <v>45497</v>
      </c>
      <c r="E149" s="67">
        <v>285.95999999999998</v>
      </c>
      <c r="G149" s="37">
        <v>45497</v>
      </c>
      <c r="H149" s="24">
        <v>95.88</v>
      </c>
    </row>
    <row r="150" spans="1:8">
      <c r="A150" s="84">
        <v>45498</v>
      </c>
      <c r="B150" s="67">
        <v>5399.22</v>
      </c>
      <c r="D150" s="84">
        <v>45498</v>
      </c>
      <c r="E150" s="67">
        <v>282.72000000000003</v>
      </c>
      <c r="G150" s="37">
        <v>45498</v>
      </c>
      <c r="H150" s="24">
        <v>95.92</v>
      </c>
    </row>
    <row r="151" spans="1:8">
      <c r="A151" s="84">
        <v>45499</v>
      </c>
      <c r="B151" s="67">
        <v>5459.1</v>
      </c>
      <c r="D151" s="84">
        <v>45499</v>
      </c>
      <c r="E151" s="67">
        <v>286.74</v>
      </c>
      <c r="G151" s="37">
        <v>45499</v>
      </c>
      <c r="H151" s="24">
        <v>96.44</v>
      </c>
    </row>
    <row r="152" spans="1:8">
      <c r="A152" s="84">
        <v>45502</v>
      </c>
      <c r="B152" s="67">
        <v>5463.54</v>
      </c>
      <c r="D152" s="84">
        <v>45502</v>
      </c>
      <c r="E152" s="67">
        <v>286</v>
      </c>
      <c r="G152" s="37">
        <v>45502</v>
      </c>
      <c r="H152" s="24">
        <v>96.87</v>
      </c>
    </row>
    <row r="153" spans="1:8">
      <c r="A153" s="84">
        <v>45503</v>
      </c>
      <c r="B153" s="67">
        <v>5436.44</v>
      </c>
      <c r="D153" s="84">
        <v>45503</v>
      </c>
      <c r="E153" s="67">
        <v>280.8</v>
      </c>
      <c r="G153" s="37">
        <v>45503</v>
      </c>
      <c r="H153" s="24">
        <v>98.16</v>
      </c>
    </row>
    <row r="154" spans="1:8">
      <c r="A154" s="64">
        <v>45504</v>
      </c>
      <c r="B154" s="68">
        <v>5522.3</v>
      </c>
      <c r="D154" s="64">
        <v>45504</v>
      </c>
      <c r="E154" s="68">
        <v>278.36</v>
      </c>
      <c r="G154" s="39">
        <v>45504</v>
      </c>
      <c r="H154" s="25">
        <v>97.52</v>
      </c>
    </row>
    <row r="155" spans="1:8">
      <c r="A155" s="64">
        <v>45505</v>
      </c>
      <c r="B155" s="68">
        <v>5446.68</v>
      </c>
      <c r="D155" s="64">
        <v>45505</v>
      </c>
      <c r="E155" s="68">
        <v>285.69</v>
      </c>
      <c r="G155" s="39">
        <v>45505</v>
      </c>
      <c r="H155" s="25">
        <v>100.21</v>
      </c>
    </row>
    <row r="156" spans="1:8">
      <c r="A156" s="84">
        <v>45506</v>
      </c>
      <c r="B156" s="67">
        <v>5346.56</v>
      </c>
      <c r="D156" s="84">
        <v>45506</v>
      </c>
      <c r="E156" s="67">
        <v>281.66000000000003</v>
      </c>
      <c r="G156" s="37">
        <v>45506</v>
      </c>
      <c r="H156" s="24">
        <v>101.83</v>
      </c>
    </row>
    <row r="157" spans="1:8">
      <c r="A157" s="84">
        <v>45509</v>
      </c>
      <c r="B157" s="67">
        <v>5186.33</v>
      </c>
      <c r="D157" s="84">
        <v>45509</v>
      </c>
      <c r="E157" s="67">
        <v>272.62</v>
      </c>
      <c r="G157" s="37">
        <v>45509</v>
      </c>
      <c r="H157" s="24">
        <v>100.7</v>
      </c>
    </row>
    <row r="158" spans="1:8">
      <c r="A158" s="84">
        <v>45510</v>
      </c>
      <c r="B158" s="67">
        <v>5240.03</v>
      </c>
      <c r="D158" s="84">
        <v>45510</v>
      </c>
      <c r="E158" s="67">
        <v>280.39</v>
      </c>
      <c r="G158" s="37">
        <v>45510</v>
      </c>
      <c r="H158" s="24">
        <v>100.89</v>
      </c>
    </row>
    <row r="159" spans="1:8">
      <c r="A159" s="84">
        <v>45511</v>
      </c>
      <c r="B159" s="67">
        <v>5199.5</v>
      </c>
      <c r="D159" s="84">
        <v>45511</v>
      </c>
      <c r="E159" s="67">
        <v>277.43</v>
      </c>
      <c r="G159" s="37">
        <v>45511</v>
      </c>
      <c r="H159" s="24">
        <v>101.19</v>
      </c>
    </row>
    <row r="160" spans="1:8">
      <c r="A160" s="84">
        <v>45512</v>
      </c>
      <c r="B160" s="67">
        <v>5319.31</v>
      </c>
      <c r="D160" s="84">
        <v>45512</v>
      </c>
      <c r="E160" s="67">
        <v>279.29000000000002</v>
      </c>
      <c r="G160" s="37">
        <v>45512</v>
      </c>
      <c r="H160" s="24">
        <v>100.5</v>
      </c>
    </row>
    <row r="161" spans="1:8">
      <c r="A161" s="84">
        <v>45513</v>
      </c>
      <c r="B161" s="67">
        <v>5344.16</v>
      </c>
      <c r="D161" s="84">
        <v>45513</v>
      </c>
      <c r="E161" s="67">
        <v>282.64</v>
      </c>
      <c r="G161" s="37">
        <v>45513</v>
      </c>
      <c r="H161" s="24">
        <v>101.02</v>
      </c>
    </row>
    <row r="162" spans="1:8">
      <c r="A162" s="84">
        <v>45516</v>
      </c>
      <c r="B162" s="67">
        <v>5344.39</v>
      </c>
      <c r="D162" s="84">
        <v>45516</v>
      </c>
      <c r="E162" s="67">
        <v>281.58999999999997</v>
      </c>
      <c r="G162" s="37">
        <v>45516</v>
      </c>
      <c r="H162" s="24">
        <v>101.94</v>
      </c>
    </row>
    <row r="163" spans="1:8">
      <c r="A163" s="84">
        <v>45517</v>
      </c>
      <c r="B163" s="67">
        <v>5434.43</v>
      </c>
      <c r="D163" s="84">
        <v>45517</v>
      </c>
      <c r="E163" s="67">
        <v>284.45999999999998</v>
      </c>
      <c r="G163" s="37">
        <v>45517</v>
      </c>
      <c r="H163" s="24">
        <v>101.6</v>
      </c>
    </row>
    <row r="164" spans="1:8">
      <c r="A164" s="84">
        <v>45518</v>
      </c>
      <c r="B164" s="67">
        <v>5455.21</v>
      </c>
      <c r="D164" s="84">
        <v>45518</v>
      </c>
      <c r="E164" s="67">
        <v>286.16000000000003</v>
      </c>
      <c r="G164" s="37">
        <v>45518</v>
      </c>
      <c r="H164" s="24">
        <v>100.86</v>
      </c>
    </row>
    <row r="165" spans="1:8">
      <c r="A165" s="84">
        <v>45519</v>
      </c>
      <c r="B165" s="67">
        <v>5543.22</v>
      </c>
      <c r="D165" s="84">
        <v>45519</v>
      </c>
      <c r="E165" s="67">
        <v>285</v>
      </c>
      <c r="G165" s="37">
        <v>45519</v>
      </c>
      <c r="H165" s="24">
        <v>99.23</v>
      </c>
    </row>
    <row r="166" spans="1:8">
      <c r="A166" s="84">
        <v>45520</v>
      </c>
      <c r="B166" s="67">
        <v>5554.25</v>
      </c>
      <c r="D166" s="84">
        <v>45520</v>
      </c>
      <c r="E166" s="67">
        <v>284.01</v>
      </c>
      <c r="G166" s="37">
        <v>45520</v>
      </c>
      <c r="H166" s="24">
        <v>100.1</v>
      </c>
    </row>
    <row r="167" spans="1:8">
      <c r="A167" s="84">
        <v>45523</v>
      </c>
      <c r="B167" s="67">
        <v>5608.25</v>
      </c>
      <c r="D167" s="84">
        <v>45523</v>
      </c>
      <c r="E167" s="67">
        <v>285.41000000000003</v>
      </c>
      <c r="G167" s="37">
        <v>45523</v>
      </c>
      <c r="H167" s="24">
        <v>100.41</v>
      </c>
    </row>
    <row r="168" spans="1:8">
      <c r="A168" s="84">
        <v>45524</v>
      </c>
      <c r="B168" s="67">
        <v>5597.12</v>
      </c>
      <c r="D168" s="84">
        <v>45524</v>
      </c>
      <c r="E168" s="67">
        <v>287.14</v>
      </c>
      <c r="G168" s="37">
        <v>45524</v>
      </c>
      <c r="H168" s="24">
        <v>100.17</v>
      </c>
    </row>
    <row r="169" spans="1:8">
      <c r="A169" s="84">
        <v>45525</v>
      </c>
      <c r="B169" s="67">
        <v>5620.85</v>
      </c>
      <c r="D169" s="84">
        <v>45525</v>
      </c>
      <c r="E169" s="67">
        <v>289.20999999999998</v>
      </c>
      <c r="G169" s="37">
        <v>45525</v>
      </c>
      <c r="H169" s="24">
        <v>100.42</v>
      </c>
    </row>
    <row r="170" spans="1:8">
      <c r="A170" s="84">
        <v>45526</v>
      </c>
      <c r="B170" s="67">
        <v>5570.64</v>
      </c>
      <c r="D170" s="84">
        <v>45526</v>
      </c>
      <c r="E170" s="67">
        <v>290.33999999999997</v>
      </c>
      <c r="G170" s="37">
        <v>45526</v>
      </c>
      <c r="H170" s="24">
        <v>100.67</v>
      </c>
    </row>
    <row r="171" spans="1:8">
      <c r="A171" s="84">
        <v>45527</v>
      </c>
      <c r="B171" s="67">
        <v>5634.61</v>
      </c>
      <c r="D171" s="84">
        <v>45527</v>
      </c>
      <c r="E171" s="67">
        <v>296.08999999999997</v>
      </c>
      <c r="G171" s="37">
        <v>45527</v>
      </c>
      <c r="H171" s="24">
        <v>100.6</v>
      </c>
    </row>
    <row r="172" spans="1:8">
      <c r="A172" s="84">
        <v>45530</v>
      </c>
      <c r="B172" s="67">
        <v>5616.84</v>
      </c>
      <c r="D172" s="84">
        <v>45530</v>
      </c>
      <c r="E172" s="67">
        <v>294.62</v>
      </c>
      <c r="G172" s="37">
        <v>45530</v>
      </c>
      <c r="H172" s="24">
        <v>100.9</v>
      </c>
    </row>
    <row r="173" spans="1:8">
      <c r="A173" s="84">
        <v>45531</v>
      </c>
      <c r="B173" s="67">
        <v>5625.8</v>
      </c>
      <c r="D173" s="84">
        <v>45531</v>
      </c>
      <c r="E173" s="67">
        <v>295.54000000000002</v>
      </c>
      <c r="G173" s="37">
        <v>45531</v>
      </c>
      <c r="H173" s="24">
        <v>99.59</v>
      </c>
    </row>
    <row r="174" spans="1:8">
      <c r="A174" s="84">
        <v>45532</v>
      </c>
      <c r="B174" s="67">
        <v>5592.18</v>
      </c>
      <c r="D174" s="84">
        <v>45532</v>
      </c>
      <c r="E174" s="67">
        <v>296.08999999999997</v>
      </c>
      <c r="G174" s="37">
        <v>45532</v>
      </c>
      <c r="H174" s="24">
        <v>100.39</v>
      </c>
    </row>
    <row r="175" spans="1:8">
      <c r="A175" s="84">
        <v>45533</v>
      </c>
      <c r="B175" s="67">
        <v>5591.96</v>
      </c>
      <c r="D175" s="84">
        <v>45533</v>
      </c>
      <c r="E175" s="67">
        <v>298.05</v>
      </c>
      <c r="G175" s="37">
        <v>45533</v>
      </c>
      <c r="H175" s="24">
        <v>100.81</v>
      </c>
    </row>
    <row r="176" spans="1:8">
      <c r="A176" s="64">
        <v>45534</v>
      </c>
      <c r="B176" s="68">
        <v>5648.4</v>
      </c>
      <c r="D176" s="64">
        <v>45534</v>
      </c>
      <c r="E176" s="68">
        <v>301.79000000000002</v>
      </c>
      <c r="G176" s="39">
        <v>45534</v>
      </c>
      <c r="H176" s="25">
        <v>101.56</v>
      </c>
    </row>
    <row r="177" spans="1:8">
      <c r="A177" s="64">
        <v>45538</v>
      </c>
      <c r="B177" s="68">
        <v>5528.93</v>
      </c>
      <c r="D177" s="64">
        <v>45538</v>
      </c>
      <c r="E177" s="68">
        <v>302.69</v>
      </c>
      <c r="G177" s="39">
        <v>45538</v>
      </c>
      <c r="H177" s="25">
        <v>103.28</v>
      </c>
    </row>
    <row r="178" spans="1:8">
      <c r="A178" s="84">
        <v>45539</v>
      </c>
      <c r="B178" s="67">
        <v>5520.07</v>
      </c>
      <c r="D178" s="84">
        <v>45539</v>
      </c>
      <c r="E178" s="67">
        <v>301.63</v>
      </c>
      <c r="G178" s="37">
        <v>45539</v>
      </c>
      <c r="H178" s="24">
        <v>104.4</v>
      </c>
    </row>
    <row r="179" spans="1:8">
      <c r="A179" s="84">
        <v>45540</v>
      </c>
      <c r="B179" s="67">
        <v>5503.41</v>
      </c>
      <c r="D179" s="84">
        <v>45540</v>
      </c>
      <c r="E179" s="67">
        <v>302.01</v>
      </c>
      <c r="G179" s="37">
        <v>45540</v>
      </c>
      <c r="H179" s="24">
        <v>103.79</v>
      </c>
    </row>
    <row r="180" spans="1:8">
      <c r="A180" s="84">
        <v>45541</v>
      </c>
      <c r="B180" s="67">
        <v>5408.42</v>
      </c>
      <c r="D180" s="84">
        <v>45541</v>
      </c>
      <c r="E180" s="67">
        <v>298.20999999999998</v>
      </c>
      <c r="G180" s="37">
        <v>45541</v>
      </c>
      <c r="H180" s="24">
        <v>103.28</v>
      </c>
    </row>
    <row r="181" spans="1:8">
      <c r="A181" s="84">
        <v>45544</v>
      </c>
      <c r="B181" s="67">
        <v>5471.05</v>
      </c>
      <c r="D181" s="84">
        <v>45544</v>
      </c>
      <c r="E181" s="67">
        <v>300.05</v>
      </c>
      <c r="G181" s="37">
        <v>45544</v>
      </c>
      <c r="H181" s="24">
        <v>104.75</v>
      </c>
    </row>
    <row r="182" spans="1:8">
      <c r="A182" s="84">
        <v>45545</v>
      </c>
      <c r="B182" s="67">
        <v>5495.52</v>
      </c>
      <c r="D182" s="84">
        <v>45545</v>
      </c>
      <c r="E182" s="67">
        <v>308.27</v>
      </c>
      <c r="G182" s="37">
        <v>45545</v>
      </c>
      <c r="H182" s="24">
        <v>104.97</v>
      </c>
    </row>
    <row r="183" spans="1:8">
      <c r="A183" s="84">
        <v>45546</v>
      </c>
      <c r="B183" s="67">
        <v>5554.13</v>
      </c>
      <c r="D183" s="84">
        <v>45546</v>
      </c>
      <c r="E183" s="67">
        <v>308.26</v>
      </c>
      <c r="G183" s="37">
        <v>45546</v>
      </c>
      <c r="H183" s="24">
        <v>103.82</v>
      </c>
    </row>
    <row r="184" spans="1:8">
      <c r="A184" s="84">
        <v>45547</v>
      </c>
      <c r="B184" s="67">
        <v>5595.76</v>
      </c>
      <c r="D184" s="84">
        <v>45547</v>
      </c>
      <c r="E184" s="67">
        <v>310.22000000000003</v>
      </c>
      <c r="G184" s="37">
        <v>45547</v>
      </c>
      <c r="H184" s="24">
        <v>103.39</v>
      </c>
    </row>
    <row r="185" spans="1:8">
      <c r="A185" s="84">
        <v>45548</v>
      </c>
      <c r="B185" s="67">
        <v>5626.02</v>
      </c>
      <c r="D185" s="84">
        <v>45548</v>
      </c>
      <c r="E185" s="67">
        <v>314.05</v>
      </c>
      <c r="G185" s="37">
        <v>45548</v>
      </c>
      <c r="H185" s="24">
        <v>104.56</v>
      </c>
    </row>
    <row r="186" spans="1:8">
      <c r="A186" s="84">
        <v>45551</v>
      </c>
      <c r="B186" s="67">
        <v>5633.09</v>
      </c>
      <c r="D186" s="84">
        <v>45551</v>
      </c>
      <c r="E186" s="67">
        <v>315.14999999999998</v>
      </c>
      <c r="G186" s="37">
        <v>45551</v>
      </c>
      <c r="H186" s="24">
        <v>104.85</v>
      </c>
    </row>
    <row r="187" spans="1:8">
      <c r="A187" s="84">
        <v>45552</v>
      </c>
      <c r="B187" s="67">
        <v>5634.58</v>
      </c>
      <c r="D187" s="84">
        <v>45552</v>
      </c>
      <c r="E187" s="67">
        <v>312.14</v>
      </c>
      <c r="G187" s="37">
        <v>45552</v>
      </c>
      <c r="H187" s="24">
        <v>104.54</v>
      </c>
    </row>
    <row r="188" spans="1:8">
      <c r="A188" s="84">
        <v>45553</v>
      </c>
      <c r="B188" s="67">
        <v>5618.26</v>
      </c>
      <c r="D188" s="84">
        <v>45553</v>
      </c>
      <c r="E188" s="67">
        <v>312.24</v>
      </c>
      <c r="G188" s="37">
        <v>45553</v>
      </c>
      <c r="H188" s="24">
        <v>103.41</v>
      </c>
    </row>
    <row r="189" spans="1:8">
      <c r="A189" s="84">
        <v>45554</v>
      </c>
      <c r="B189" s="67">
        <v>5713.64</v>
      </c>
      <c r="D189" s="84">
        <v>45554</v>
      </c>
      <c r="E189" s="67">
        <v>312.42</v>
      </c>
      <c r="G189" s="37">
        <v>45554</v>
      </c>
      <c r="H189" s="24">
        <v>102.12</v>
      </c>
    </row>
    <row r="190" spans="1:8">
      <c r="A190" s="84">
        <v>45555</v>
      </c>
      <c r="B190" s="67">
        <v>5702.55</v>
      </c>
      <c r="D190" s="84">
        <v>45555</v>
      </c>
      <c r="E190" s="67">
        <v>306.20999999999998</v>
      </c>
      <c r="G190" s="37">
        <v>45555</v>
      </c>
      <c r="H190" s="24">
        <v>103.35</v>
      </c>
    </row>
    <row r="191" spans="1:8">
      <c r="A191" s="84">
        <v>45558</v>
      </c>
      <c r="B191" s="67">
        <v>5718.57</v>
      </c>
      <c r="D191" s="84">
        <v>45558</v>
      </c>
      <c r="E191" s="67">
        <v>309.64999999999998</v>
      </c>
      <c r="G191" s="37">
        <v>45558</v>
      </c>
      <c r="H191" s="24">
        <v>104.02</v>
      </c>
    </row>
    <row r="192" spans="1:8">
      <c r="A192" s="84">
        <v>45559</v>
      </c>
      <c r="B192" s="67">
        <v>5732.93</v>
      </c>
      <c r="D192" s="84">
        <v>45559</v>
      </c>
      <c r="E192" s="67">
        <v>300.23</v>
      </c>
      <c r="G192" s="37">
        <v>45559</v>
      </c>
      <c r="H192" s="24">
        <v>102.82</v>
      </c>
    </row>
    <row r="193" spans="1:8">
      <c r="A193" s="84">
        <v>45560</v>
      </c>
      <c r="B193" s="67">
        <v>5722.26</v>
      </c>
      <c r="D193" s="84">
        <v>45560</v>
      </c>
      <c r="E193" s="67">
        <v>297.5</v>
      </c>
      <c r="G193" s="37">
        <v>45560</v>
      </c>
      <c r="H193" s="24">
        <v>103.16</v>
      </c>
    </row>
    <row r="194" spans="1:8">
      <c r="A194" s="84">
        <v>45561</v>
      </c>
      <c r="B194" s="67">
        <v>5745.37</v>
      </c>
      <c r="D194" s="84">
        <v>45561</v>
      </c>
      <c r="E194" s="67">
        <v>294.17</v>
      </c>
      <c r="G194" s="37">
        <v>45561</v>
      </c>
      <c r="H194" s="24">
        <v>103.12</v>
      </c>
    </row>
    <row r="195" spans="1:8">
      <c r="A195" s="84">
        <v>45562</v>
      </c>
      <c r="B195" s="67">
        <v>5738.17</v>
      </c>
      <c r="D195" s="84">
        <v>45562</v>
      </c>
      <c r="E195" s="67">
        <v>294.60000000000002</v>
      </c>
      <c r="G195" s="37">
        <v>45562</v>
      </c>
      <c r="H195" s="24">
        <v>104.05</v>
      </c>
    </row>
    <row r="196" spans="1:8">
      <c r="A196" s="64">
        <v>45565</v>
      </c>
      <c r="B196" s="68">
        <v>5762.48</v>
      </c>
      <c r="D196" s="64">
        <v>45565</v>
      </c>
      <c r="E196" s="68">
        <v>295.42</v>
      </c>
      <c r="G196" s="39">
        <v>45565</v>
      </c>
      <c r="H196" s="25">
        <v>104.13</v>
      </c>
    </row>
    <row r="197" spans="1:8">
      <c r="A197" s="64">
        <v>45566</v>
      </c>
      <c r="B197" s="68">
        <v>5708.75</v>
      </c>
      <c r="D197" s="64">
        <v>45566</v>
      </c>
      <c r="E197" s="68">
        <v>292.70999999999998</v>
      </c>
      <c r="G197" s="39">
        <v>45566</v>
      </c>
      <c r="H197" s="25">
        <v>105.15</v>
      </c>
    </row>
    <row r="198" spans="1:8">
      <c r="A198" s="84">
        <v>45567</v>
      </c>
      <c r="B198" s="67">
        <v>5709.54</v>
      </c>
      <c r="D198" s="84">
        <v>45567</v>
      </c>
      <c r="E198" s="67">
        <v>293.04000000000002</v>
      </c>
      <c r="G198" s="37">
        <v>45567</v>
      </c>
      <c r="H198" s="24">
        <v>104.45</v>
      </c>
    </row>
    <row r="199" spans="1:8">
      <c r="A199" s="84">
        <v>45568</v>
      </c>
      <c r="B199" s="67">
        <v>5699.94</v>
      </c>
      <c r="D199" s="84">
        <v>45568</v>
      </c>
      <c r="E199" s="67">
        <v>289.73</v>
      </c>
      <c r="G199" s="37">
        <v>45568</v>
      </c>
      <c r="H199" s="24">
        <v>104.02</v>
      </c>
    </row>
    <row r="200" spans="1:8">
      <c r="A200" s="84">
        <v>45569</v>
      </c>
      <c r="B200" s="67">
        <v>5751.07</v>
      </c>
      <c r="D200" s="84">
        <v>45569</v>
      </c>
      <c r="E200" s="67">
        <v>289.88</v>
      </c>
      <c r="G200" s="37">
        <v>45569</v>
      </c>
      <c r="H200" s="24">
        <v>103.15</v>
      </c>
    </row>
    <row r="201" spans="1:8">
      <c r="A201" s="84">
        <v>45572</v>
      </c>
      <c r="B201" s="67">
        <v>5695.94</v>
      </c>
      <c r="D201" s="84">
        <v>45572</v>
      </c>
      <c r="E201" s="67">
        <v>287.91000000000003</v>
      </c>
      <c r="G201" s="37">
        <v>45572</v>
      </c>
      <c r="H201" s="24">
        <v>101.14</v>
      </c>
    </row>
    <row r="202" spans="1:8">
      <c r="A202" s="84">
        <v>45573</v>
      </c>
      <c r="B202" s="67">
        <v>5751.13</v>
      </c>
      <c r="D202" s="84">
        <v>45573</v>
      </c>
      <c r="E202" s="67">
        <v>288.48</v>
      </c>
      <c r="G202" s="37">
        <v>45573</v>
      </c>
      <c r="H202" s="24">
        <v>102.11</v>
      </c>
    </row>
    <row r="203" spans="1:8">
      <c r="A203" s="84">
        <v>45574</v>
      </c>
      <c r="B203" s="67">
        <v>5792.04</v>
      </c>
      <c r="D203" s="84">
        <v>45574</v>
      </c>
      <c r="E203" s="67">
        <v>288.19</v>
      </c>
      <c r="G203" s="37">
        <v>45574</v>
      </c>
      <c r="H203" s="24">
        <v>102.37</v>
      </c>
    </row>
    <row r="204" spans="1:8">
      <c r="A204" s="84">
        <v>45575</v>
      </c>
      <c r="B204" s="67">
        <v>5780.05</v>
      </c>
      <c r="D204" s="84">
        <v>45575</v>
      </c>
      <c r="E204" s="67">
        <v>285.31</v>
      </c>
      <c r="G204" s="37">
        <v>45575</v>
      </c>
      <c r="H204" s="24">
        <v>101.58</v>
      </c>
    </row>
    <row r="205" spans="1:8">
      <c r="A205" s="84">
        <v>45579</v>
      </c>
      <c r="B205" s="67">
        <v>5859.85</v>
      </c>
      <c r="D205" s="84">
        <v>45576</v>
      </c>
      <c r="E205" s="67">
        <v>288.08</v>
      </c>
      <c r="G205" s="37">
        <v>45576</v>
      </c>
      <c r="H205" s="24">
        <v>102.32</v>
      </c>
    </row>
    <row r="206" spans="1:8">
      <c r="A206" s="84">
        <v>45580</v>
      </c>
      <c r="B206" s="67">
        <v>5815.26</v>
      </c>
      <c r="D206" s="84">
        <v>45579</v>
      </c>
      <c r="E206" s="67">
        <v>291.35000000000002</v>
      </c>
      <c r="G206" s="37">
        <v>45579</v>
      </c>
      <c r="H206" s="24">
        <v>103.04</v>
      </c>
    </row>
    <row r="207" spans="1:8">
      <c r="A207" s="84">
        <v>45581</v>
      </c>
      <c r="B207" s="67">
        <v>5842.47</v>
      </c>
      <c r="D207" s="84">
        <v>45580</v>
      </c>
      <c r="E207" s="67">
        <v>292.62</v>
      </c>
      <c r="G207" s="37">
        <v>45580</v>
      </c>
      <c r="H207" s="24">
        <v>105.45</v>
      </c>
    </row>
    <row r="208" spans="1:8">
      <c r="A208" s="84">
        <v>45582</v>
      </c>
      <c r="B208" s="67">
        <v>5841.47</v>
      </c>
      <c r="D208" s="84">
        <v>45581</v>
      </c>
      <c r="E208" s="67">
        <v>297.48</v>
      </c>
      <c r="G208" s="37">
        <v>45581</v>
      </c>
      <c r="H208" s="24">
        <v>106.14</v>
      </c>
    </row>
    <row r="209" spans="1:8">
      <c r="A209" s="84">
        <v>45583</v>
      </c>
      <c r="B209" s="67">
        <v>5864.67</v>
      </c>
      <c r="D209" s="84">
        <v>45582</v>
      </c>
      <c r="E209" s="67">
        <v>294.25</v>
      </c>
      <c r="G209" s="37">
        <v>45582</v>
      </c>
      <c r="H209" s="24">
        <v>105.66</v>
      </c>
    </row>
    <row r="210" spans="1:8">
      <c r="A210" s="84">
        <v>45586</v>
      </c>
      <c r="B210" s="67">
        <v>5853.98</v>
      </c>
      <c r="D210" s="84">
        <v>45583</v>
      </c>
      <c r="E210" s="67">
        <v>296.5</v>
      </c>
      <c r="G210" s="37">
        <v>45583</v>
      </c>
      <c r="H210" s="24">
        <v>106.76</v>
      </c>
    </row>
    <row r="211" spans="1:8">
      <c r="A211" s="84">
        <v>45587</v>
      </c>
      <c r="B211" s="67">
        <v>5851.2</v>
      </c>
      <c r="D211" s="84">
        <v>45586</v>
      </c>
      <c r="E211" s="67">
        <v>291.37</v>
      </c>
      <c r="G211" s="37">
        <v>45586</v>
      </c>
      <c r="H211" s="24">
        <v>106.26</v>
      </c>
    </row>
    <row r="212" spans="1:8">
      <c r="A212" s="84">
        <v>45588</v>
      </c>
      <c r="B212" s="67">
        <v>5797.42</v>
      </c>
      <c r="D212" s="84">
        <v>45587</v>
      </c>
      <c r="E212" s="67">
        <v>293.39999999999998</v>
      </c>
      <c r="G212" s="37">
        <v>45587</v>
      </c>
      <c r="H212" s="24">
        <v>105.7</v>
      </c>
    </row>
    <row r="213" spans="1:8">
      <c r="A213" s="84">
        <v>45589</v>
      </c>
      <c r="B213" s="67">
        <v>5809.86</v>
      </c>
      <c r="D213" s="84">
        <v>45588</v>
      </c>
      <c r="E213" s="67">
        <v>299.95999999999998</v>
      </c>
      <c r="G213" s="37">
        <v>45588</v>
      </c>
      <c r="H213" s="24">
        <v>107.4</v>
      </c>
    </row>
    <row r="214" spans="1:8">
      <c r="A214" s="84">
        <v>45590</v>
      </c>
      <c r="B214" s="67">
        <v>5808.12</v>
      </c>
      <c r="D214" s="84">
        <v>45589</v>
      </c>
      <c r="E214" s="67">
        <v>301.76</v>
      </c>
      <c r="G214" s="37">
        <v>45589</v>
      </c>
      <c r="H214" s="24">
        <v>107</v>
      </c>
    </row>
    <row r="215" spans="1:8">
      <c r="A215" s="84">
        <v>45593</v>
      </c>
      <c r="B215" s="67">
        <v>5823.52</v>
      </c>
      <c r="D215" s="84">
        <v>45590</v>
      </c>
      <c r="E215" s="67">
        <v>295.64999999999998</v>
      </c>
      <c r="G215" s="37">
        <v>45590</v>
      </c>
      <c r="H215" s="24">
        <v>104.6</v>
      </c>
    </row>
    <row r="216" spans="1:8">
      <c r="A216" s="84">
        <v>45594</v>
      </c>
      <c r="B216" s="67">
        <v>5832.92</v>
      </c>
      <c r="D216" s="84">
        <v>45593</v>
      </c>
      <c r="E216" s="67">
        <v>299.67</v>
      </c>
      <c r="G216" s="37">
        <v>45593</v>
      </c>
      <c r="H216" s="24">
        <v>104.81</v>
      </c>
    </row>
    <row r="217" spans="1:8">
      <c r="A217" s="84">
        <v>45595</v>
      </c>
      <c r="B217" s="67">
        <v>5813.67</v>
      </c>
      <c r="D217" s="84">
        <v>45594</v>
      </c>
      <c r="E217" s="67">
        <v>298.43</v>
      </c>
      <c r="G217" s="37">
        <v>45594</v>
      </c>
      <c r="H217" s="24">
        <v>102.91</v>
      </c>
    </row>
    <row r="218" spans="1:8">
      <c r="A218" s="64">
        <v>45596</v>
      </c>
      <c r="B218" s="68">
        <v>5705.45</v>
      </c>
      <c r="D218" s="84">
        <v>45595</v>
      </c>
      <c r="E218" s="67">
        <v>294.02</v>
      </c>
      <c r="G218" s="37">
        <v>45595</v>
      </c>
      <c r="H218" s="24">
        <v>102.72</v>
      </c>
    </row>
    <row r="219" spans="1:8">
      <c r="A219" s="64">
        <v>45597</v>
      </c>
      <c r="B219" s="68">
        <v>5728.8</v>
      </c>
      <c r="D219" s="64">
        <v>45596</v>
      </c>
      <c r="E219" s="68">
        <v>283.86</v>
      </c>
      <c r="G219" s="39">
        <v>45596</v>
      </c>
      <c r="H219" s="25">
        <v>101.68</v>
      </c>
    </row>
    <row r="220" spans="1:8">
      <c r="D220" s="64">
        <v>45597</v>
      </c>
      <c r="E220" s="68">
        <v>276.97000000000003</v>
      </c>
      <c r="G220" s="39">
        <v>45597</v>
      </c>
      <c r="H220" s="25">
        <v>100</v>
      </c>
    </row>
  </sheetData>
  <autoFilter ref="G8:H220" xr:uid="{45E92262-4877-40D6-8742-82B13C097C0F}"/>
  <mergeCells count="3">
    <mergeCell ref="A1:B1"/>
    <mergeCell ref="D1:E1"/>
    <mergeCell ref="G1:H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C9688B-A466-4B85-956A-99A9F063BFA3}">
  <dimension ref="A1:M22"/>
  <sheetViews>
    <sheetView topLeftCell="D1" zoomScale="66" workbookViewId="0">
      <selection activeCell="I30" sqref="I30"/>
    </sheetView>
  </sheetViews>
  <sheetFormatPr defaultRowHeight="14.5"/>
  <cols>
    <col min="1" max="1" width="14.6328125" customWidth="1"/>
    <col min="2" max="2" width="14.90625" customWidth="1"/>
    <col min="3" max="3" width="13.26953125" customWidth="1"/>
    <col min="4" max="4" width="15.1796875" customWidth="1"/>
    <col min="6" max="6" width="12.54296875" customWidth="1"/>
    <col min="7" max="7" width="13.08984375" customWidth="1"/>
    <col min="8" max="8" width="14.1796875" customWidth="1"/>
    <col min="9" max="9" width="11" bestFit="1" customWidth="1"/>
    <col min="10" max="10" width="15.81640625" customWidth="1"/>
    <col min="11" max="11" width="12.36328125" customWidth="1"/>
    <col min="12" max="12" width="13.08984375" customWidth="1"/>
    <col min="13" max="13" width="13.26953125" customWidth="1"/>
  </cols>
  <sheetData>
    <row r="1" spans="1:13" s="48" customFormat="1">
      <c r="A1" s="92" t="s">
        <v>31</v>
      </c>
      <c r="B1" s="93" t="s">
        <v>46</v>
      </c>
      <c r="C1" s="93" t="s">
        <v>32</v>
      </c>
      <c r="D1" s="93" t="s">
        <v>45</v>
      </c>
      <c r="F1" s="93" t="s">
        <v>52</v>
      </c>
      <c r="G1" s="93" t="s">
        <v>53</v>
      </c>
      <c r="H1" s="93" t="s">
        <v>54</v>
      </c>
    </row>
    <row r="2" spans="1:13" s="48" customFormat="1">
      <c r="A2" s="84">
        <v>45293</v>
      </c>
      <c r="B2" s="67">
        <v>4742.83</v>
      </c>
      <c r="C2" s="67">
        <v>249.87</v>
      </c>
      <c r="D2" s="67">
        <v>92.41</v>
      </c>
      <c r="F2" s="91"/>
      <c r="G2" s="91"/>
      <c r="H2" s="91"/>
    </row>
    <row r="3" spans="1:13" s="48" customFormat="1">
      <c r="A3" s="64">
        <v>45322</v>
      </c>
      <c r="B3" s="68">
        <v>4845.6499999999996</v>
      </c>
      <c r="C3" s="68">
        <v>233.27</v>
      </c>
      <c r="D3" s="68">
        <v>90.9</v>
      </c>
      <c r="F3" s="11">
        <f>(B3/B2)-1</f>
        <v>2.1679039729444183E-2</v>
      </c>
      <c r="G3" s="11">
        <f>(C3/C2)-1</f>
        <v>-6.6434545963901193E-2</v>
      </c>
      <c r="H3" s="11">
        <f>(D3/D2)-1</f>
        <v>-1.6340222919597358E-2</v>
      </c>
    </row>
    <row r="4" spans="1:13" s="48" customFormat="1">
      <c r="A4" s="84">
        <v>45323</v>
      </c>
      <c r="B4" s="67">
        <v>4906.1899999999996</v>
      </c>
      <c r="C4" s="67">
        <v>237.6</v>
      </c>
      <c r="D4" s="67">
        <v>92.78</v>
      </c>
      <c r="F4" s="11"/>
      <c r="G4" s="11"/>
      <c r="H4" s="11"/>
    </row>
    <row r="5" spans="1:13" s="48" customFormat="1" ht="16" customHeight="1">
      <c r="A5" s="64">
        <v>45351</v>
      </c>
      <c r="B5" s="68">
        <v>5096.2700000000004</v>
      </c>
      <c r="C5" s="68">
        <v>231.4</v>
      </c>
      <c r="D5" s="68">
        <v>87.21</v>
      </c>
      <c r="F5" s="11">
        <f>(B5/B4)-1</f>
        <v>3.8742894180616938E-2</v>
      </c>
      <c r="G5" s="11">
        <f>(C5/C4)-1</f>
        <v>-2.6094276094276059E-2</v>
      </c>
      <c r="H5" s="11">
        <f>(D5/D4)-1</f>
        <v>-6.0034490191851808E-2</v>
      </c>
      <c r="J5" s="92" t="s">
        <v>18</v>
      </c>
      <c r="K5" s="93" t="s">
        <v>52</v>
      </c>
      <c r="L5" s="93" t="s">
        <v>53</v>
      </c>
      <c r="M5" s="93" t="s">
        <v>54</v>
      </c>
    </row>
    <row r="6" spans="1:13" s="48" customFormat="1">
      <c r="A6" s="84">
        <v>45352</v>
      </c>
      <c r="B6" s="67">
        <v>5137.08</v>
      </c>
      <c r="C6" s="67">
        <v>234.37</v>
      </c>
      <c r="D6" s="67">
        <v>87.01</v>
      </c>
      <c r="F6" s="11"/>
      <c r="G6" s="11"/>
      <c r="H6" s="11"/>
      <c r="J6" s="64">
        <v>45322</v>
      </c>
      <c r="K6" s="11">
        <v>2.1679E-2</v>
      </c>
      <c r="L6" s="11">
        <v>-6.6434999999999994E-2</v>
      </c>
      <c r="M6" s="11">
        <v>-1.634E-2</v>
      </c>
    </row>
    <row r="7" spans="1:13" s="48" customFormat="1">
      <c r="A7" s="64">
        <v>45379</v>
      </c>
      <c r="B7" s="68">
        <v>5254.35</v>
      </c>
      <c r="C7" s="68">
        <v>244.81</v>
      </c>
      <c r="D7" s="68">
        <v>90.81</v>
      </c>
      <c r="F7" s="11">
        <f>(B7/B6)-1</f>
        <v>2.2828143614660457E-2</v>
      </c>
      <c r="G7" s="11">
        <f>(C7/C6)-1</f>
        <v>4.4544950292272789E-2</v>
      </c>
      <c r="H7" s="11">
        <f>(D7/D6)-1</f>
        <v>4.3673141018273798E-2</v>
      </c>
      <c r="J7" s="64">
        <v>45351</v>
      </c>
      <c r="K7" s="11">
        <v>3.8743E-2</v>
      </c>
      <c r="L7" s="11">
        <v>-2.6093999999999999E-2</v>
      </c>
      <c r="M7" s="11">
        <v>-6.0033999999999997E-2</v>
      </c>
    </row>
    <row r="8" spans="1:13" s="48" customFormat="1">
      <c r="A8" s="84">
        <v>45383</v>
      </c>
      <c r="B8" s="67">
        <v>5243.77</v>
      </c>
      <c r="C8" s="67">
        <v>239.67</v>
      </c>
      <c r="D8" s="67">
        <v>90.33</v>
      </c>
      <c r="F8" s="11"/>
      <c r="G8" s="11"/>
      <c r="H8" s="11"/>
      <c r="J8" s="64">
        <v>45379</v>
      </c>
      <c r="K8" s="11">
        <v>4.4545000000000001E-2</v>
      </c>
      <c r="L8" s="11">
        <v>4.4545000000000001E-2</v>
      </c>
      <c r="M8" s="11">
        <v>4.3672999999999997E-2</v>
      </c>
    </row>
    <row r="9" spans="1:13" s="48" customFormat="1">
      <c r="A9" s="64">
        <v>45412</v>
      </c>
      <c r="B9" s="68">
        <v>5035.6899999999996</v>
      </c>
      <c r="C9" s="68">
        <v>246.25</v>
      </c>
      <c r="D9" s="68">
        <v>94.4</v>
      </c>
      <c r="F9" s="11">
        <f>(B9/B8)-1</f>
        <v>-3.968137427842966E-2</v>
      </c>
      <c r="G9" s="11">
        <f>(C9/C8)-1</f>
        <v>2.745441648933955E-2</v>
      </c>
      <c r="H9" s="11">
        <f>(D9/D8)-1</f>
        <v>4.5057013173917859E-2</v>
      </c>
      <c r="J9" s="64">
        <v>45412</v>
      </c>
      <c r="K9" s="11">
        <v>2.7453999999999999E-2</v>
      </c>
      <c r="L9" s="11">
        <v>2.7453999999999999E-2</v>
      </c>
      <c r="M9" s="11">
        <v>4.5057E-2</v>
      </c>
    </row>
    <row r="10" spans="1:13" s="48" customFormat="1">
      <c r="A10" s="84">
        <v>45413</v>
      </c>
      <c r="B10" s="67">
        <v>5018.3900000000003</v>
      </c>
      <c r="C10" s="67">
        <v>245.47</v>
      </c>
      <c r="D10" s="67">
        <v>94.8</v>
      </c>
      <c r="F10" s="11"/>
      <c r="G10" s="11"/>
      <c r="H10" s="11"/>
      <c r="J10" s="64">
        <v>45443</v>
      </c>
      <c r="K10" s="11">
        <v>5.8337E-2</v>
      </c>
      <c r="L10" s="11">
        <v>5.8337E-2</v>
      </c>
      <c r="M10" s="11">
        <v>-2.637E-3</v>
      </c>
    </row>
    <row r="11" spans="1:13" s="48" customFormat="1">
      <c r="A11" s="64">
        <v>45443</v>
      </c>
      <c r="B11" s="68">
        <v>5277.51</v>
      </c>
      <c r="C11" s="68">
        <v>259.79000000000002</v>
      </c>
      <c r="D11" s="68">
        <v>94.55</v>
      </c>
      <c r="F11" s="11">
        <f>(B11/B10)-1</f>
        <v>5.1634089817650608E-2</v>
      </c>
      <c r="G11" s="11">
        <f>(C11/C10)-1</f>
        <v>5.833706766610991E-2</v>
      </c>
      <c r="H11" s="11">
        <f>(D11/D10)-1</f>
        <v>-2.6371308016878148E-3</v>
      </c>
      <c r="J11" s="64">
        <v>45471</v>
      </c>
      <c r="K11" s="11">
        <v>4.4392000000000001E-2</v>
      </c>
      <c r="L11" s="11">
        <v>4.4392000000000001E-2</v>
      </c>
      <c r="M11" s="11">
        <v>-4.5474000000000001E-2</v>
      </c>
    </row>
    <row r="12" spans="1:13" s="48" customFormat="1">
      <c r="A12" s="84">
        <v>45446</v>
      </c>
      <c r="B12" s="67">
        <v>5283.4</v>
      </c>
      <c r="C12" s="67">
        <v>260.63</v>
      </c>
      <c r="D12" s="67">
        <v>93.68</v>
      </c>
      <c r="F12" s="11"/>
      <c r="G12" s="11"/>
      <c r="H12" s="11"/>
      <c r="J12" s="64">
        <v>45504</v>
      </c>
      <c r="K12" s="11">
        <v>2.0306000000000001E-2</v>
      </c>
      <c r="L12" s="11">
        <v>2.0306000000000001E-2</v>
      </c>
      <c r="M12" s="11">
        <v>9.8074999999999996E-2</v>
      </c>
    </row>
    <row r="13" spans="1:13" s="48" customFormat="1">
      <c r="A13" s="64">
        <v>45471</v>
      </c>
      <c r="B13" s="68">
        <v>5460.48</v>
      </c>
      <c r="C13" s="68">
        <v>272.2</v>
      </c>
      <c r="D13" s="68">
        <v>89.42</v>
      </c>
      <c r="F13" s="11">
        <f>(B13/B12)-1</f>
        <v>3.3516296324336503E-2</v>
      </c>
      <c r="G13" s="11">
        <f>(C13/C12)-1</f>
        <v>4.439243371829793E-2</v>
      </c>
      <c r="H13" s="11">
        <f>(D13/D12)-1</f>
        <v>-4.5473953885567964E-2</v>
      </c>
      <c r="J13" s="64">
        <v>45534</v>
      </c>
      <c r="K13" s="11">
        <v>5.6355000000000002E-2</v>
      </c>
      <c r="L13" s="11">
        <v>5.6355000000000002E-2</v>
      </c>
      <c r="M13" s="11">
        <v>1.3472E-2</v>
      </c>
    </row>
    <row r="14" spans="1:13" s="48" customFormat="1">
      <c r="A14" s="84">
        <v>45474</v>
      </c>
      <c r="B14" s="67">
        <v>5475.09</v>
      </c>
      <c r="C14" s="67">
        <v>272.82</v>
      </c>
      <c r="D14" s="67">
        <v>88.81</v>
      </c>
      <c r="F14" s="11"/>
      <c r="G14" s="11"/>
      <c r="H14" s="11"/>
      <c r="J14" s="64">
        <v>45565</v>
      </c>
      <c r="K14" s="11">
        <v>-2.4018000000000001E-2</v>
      </c>
      <c r="L14" s="11">
        <v>-2.4018000000000001E-2</v>
      </c>
      <c r="M14" s="11">
        <v>8.2299999999999995E-3</v>
      </c>
    </row>
    <row r="15" spans="1:13" s="48" customFormat="1">
      <c r="A15" s="64">
        <v>45504</v>
      </c>
      <c r="B15" s="68">
        <v>5522.3</v>
      </c>
      <c r="C15" s="68">
        <v>278.36</v>
      </c>
      <c r="D15" s="68">
        <v>97.52</v>
      </c>
      <c r="F15" s="11">
        <f>(B15/B14)-1</f>
        <v>8.6226893073904076E-3</v>
      </c>
      <c r="G15" s="11">
        <f>(C15/C14)-1</f>
        <v>2.0306429147423311E-2</v>
      </c>
      <c r="H15" s="11">
        <f>(D15/D14)-1</f>
        <v>9.8074541155275252E-2</v>
      </c>
      <c r="J15" s="64">
        <v>45596</v>
      </c>
      <c r="K15" s="11">
        <v>-3.0235000000000001E-2</v>
      </c>
      <c r="L15" s="11">
        <v>-3.0235000000000001E-2</v>
      </c>
      <c r="M15" s="11">
        <v>-3.3000000000000002E-2</v>
      </c>
    </row>
    <row r="16" spans="1:13" s="48" customFormat="1">
      <c r="A16" s="84">
        <v>45505</v>
      </c>
      <c r="B16" s="67">
        <v>5446.68</v>
      </c>
      <c r="C16" s="67">
        <v>285.69</v>
      </c>
      <c r="D16" s="67">
        <v>100.21</v>
      </c>
      <c r="F16" s="11"/>
      <c r="G16" s="11"/>
      <c r="H16" s="11"/>
    </row>
    <row r="17" spans="1:8" s="48" customFormat="1">
      <c r="A17" s="64">
        <v>45534</v>
      </c>
      <c r="B17" s="68">
        <v>5648.4</v>
      </c>
      <c r="C17" s="68">
        <v>301.79000000000002</v>
      </c>
      <c r="D17" s="68">
        <v>101.56</v>
      </c>
      <c r="F17" s="11">
        <f>(B17/B16)-1</f>
        <v>3.7035405054087978E-2</v>
      </c>
      <c r="G17" s="11">
        <f>(C17/C16)-1</f>
        <v>5.6354790157163492E-2</v>
      </c>
      <c r="H17" s="11">
        <f>(D17/D16)-1</f>
        <v>1.3471709410238564E-2</v>
      </c>
    </row>
    <row r="18" spans="1:8" s="48" customFormat="1">
      <c r="A18" s="84">
        <v>45538</v>
      </c>
      <c r="B18" s="67">
        <v>5528.93</v>
      </c>
      <c r="C18" s="67">
        <v>302.69</v>
      </c>
      <c r="D18" s="67">
        <v>103.28</v>
      </c>
      <c r="F18" s="11"/>
      <c r="G18" s="11"/>
      <c r="H18" s="11"/>
    </row>
    <row r="19" spans="1:8" s="48" customFormat="1">
      <c r="A19" s="64">
        <v>45565</v>
      </c>
      <c r="B19" s="68">
        <v>5762.48</v>
      </c>
      <c r="C19" s="68">
        <v>295.42</v>
      </c>
      <c r="D19" s="68">
        <v>104.13</v>
      </c>
      <c r="F19" s="11">
        <f>(B19/B18)-1</f>
        <v>4.2241446355804735E-2</v>
      </c>
      <c r="G19" s="11">
        <f>(C19/C18)-1</f>
        <v>-2.4017972182761138E-2</v>
      </c>
      <c r="H19" s="11">
        <f>(D19/D18)-1</f>
        <v>8.2300542215336669E-3</v>
      </c>
    </row>
    <row r="20" spans="1:8" s="48" customFormat="1">
      <c r="A20" s="84">
        <v>45566</v>
      </c>
      <c r="B20" s="67">
        <v>5708.75</v>
      </c>
      <c r="C20" s="67">
        <v>292.70999999999998</v>
      </c>
      <c r="D20" s="67">
        <v>105.15</v>
      </c>
      <c r="F20" s="11"/>
      <c r="G20" s="11"/>
      <c r="H20" s="11"/>
    </row>
    <row r="21" spans="1:8" s="48" customFormat="1">
      <c r="A21" s="69">
        <v>45596</v>
      </c>
      <c r="B21" s="94">
        <v>5705.45</v>
      </c>
      <c r="C21" s="94">
        <v>283.86</v>
      </c>
      <c r="D21" s="94">
        <v>101.68</v>
      </c>
      <c r="F21" s="11">
        <f>(B21/B20)-1</f>
        <v>-5.7805999562077215E-4</v>
      </c>
      <c r="G21" s="11">
        <f>(C21/C20)-1</f>
        <v>-3.0234703289945597E-2</v>
      </c>
      <c r="H21" s="11">
        <f>(D21/D20)-1</f>
        <v>-3.3000475511174465E-2</v>
      </c>
    </row>
    <row r="22" spans="1:8">
      <c r="A22" s="90"/>
      <c r="B22" s="95"/>
      <c r="C22" s="95"/>
      <c r="D22" s="96"/>
    </row>
  </sheetData>
  <autoFilter ref="A1:D21" xr:uid="{22C9688B-A466-4B85-956A-99A9F063BFA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20D40-7138-4C85-8C84-70D63F0CD3A9}">
  <dimension ref="A1:K710"/>
  <sheetViews>
    <sheetView zoomScale="53" zoomScaleNormal="100" workbookViewId="0">
      <pane ySplit="3" topLeftCell="A96" activePane="bottomLeft" state="frozen"/>
      <selection pane="bottomLeft" activeCell="E365" sqref="E365"/>
    </sheetView>
  </sheetViews>
  <sheetFormatPr defaultRowHeight="14.5"/>
  <cols>
    <col min="1" max="1" width="27.08984375" bestFit="1" customWidth="1"/>
    <col min="2" max="2" width="14.36328125" customWidth="1"/>
    <col min="3" max="3" width="11.36328125" bestFit="1" customWidth="1"/>
    <col min="4" max="4" width="11.1796875" bestFit="1" customWidth="1"/>
    <col min="5" max="5" width="12.90625" bestFit="1" customWidth="1"/>
    <col min="6" max="6" width="35.54296875" customWidth="1"/>
    <col min="10" max="10" width="31.6328125" customWidth="1"/>
    <col min="11" max="11" width="14.81640625" bestFit="1" customWidth="1"/>
  </cols>
  <sheetData>
    <row r="1" spans="1:11">
      <c r="B1" s="188" t="s">
        <v>50</v>
      </c>
      <c r="C1" s="188"/>
      <c r="D1" s="188"/>
      <c r="E1" s="188"/>
      <c r="F1" s="188"/>
      <c r="G1" s="188"/>
      <c r="J1" s="86"/>
      <c r="K1" s="87" t="s">
        <v>47</v>
      </c>
    </row>
    <row r="2" spans="1:11">
      <c r="B2" s="185" t="s">
        <v>56</v>
      </c>
      <c r="C2" s="185"/>
      <c r="D2" s="185"/>
      <c r="E2" s="185"/>
      <c r="F2" s="185"/>
      <c r="H2" s="186" t="s">
        <v>98</v>
      </c>
      <c r="I2" s="186"/>
      <c r="J2" s="187"/>
      <c r="K2" s="139">
        <v>45566</v>
      </c>
    </row>
    <row r="3" spans="1:11">
      <c r="A3" s="88" t="s">
        <v>48</v>
      </c>
      <c r="B3" s="88" t="s">
        <v>51</v>
      </c>
      <c r="C3" s="88" t="s">
        <v>30</v>
      </c>
      <c r="D3" s="88" t="s">
        <v>29</v>
      </c>
      <c r="E3" s="88" t="s">
        <v>22</v>
      </c>
      <c r="F3" s="88" t="s">
        <v>49</v>
      </c>
      <c r="H3" s="186" t="s">
        <v>99</v>
      </c>
      <c r="I3" s="186"/>
      <c r="J3" s="186"/>
      <c r="K3" s="6">
        <f>F366</f>
        <v>3.8937182261378211E-3</v>
      </c>
    </row>
    <row r="4" spans="1:11">
      <c r="A4" s="97" t="s">
        <v>55</v>
      </c>
      <c r="B4" s="65">
        <v>34544</v>
      </c>
      <c r="C4" s="11">
        <v>7.0920000000000002E-3</v>
      </c>
      <c r="D4" s="11">
        <v>8.4905999999999995E-2</v>
      </c>
      <c r="E4" s="11">
        <v>3.1467000000000002E-2</v>
      </c>
      <c r="F4" s="11">
        <f>'FRED 90-Day T-Bill Data'!$E167</f>
        <v>3.8052820426650591E-3</v>
      </c>
    </row>
    <row r="5" spans="1:11">
      <c r="A5" s="97" t="s">
        <v>55</v>
      </c>
      <c r="B5" s="65">
        <v>34577</v>
      </c>
      <c r="C5" s="11">
        <v>3.5210999999999999E-2</v>
      </c>
      <c r="D5" s="11">
        <v>-3.4783000000000001E-2</v>
      </c>
      <c r="E5" s="11">
        <v>3.7643000000000003E-2</v>
      </c>
      <c r="F5" s="11">
        <f>'FRED 90-Day T-Bill Data'!$E168</f>
        <v>3.9197214566868421E-3</v>
      </c>
    </row>
    <row r="6" spans="1:11">
      <c r="A6" s="97" t="s">
        <v>55</v>
      </c>
      <c r="B6" s="65">
        <v>34607</v>
      </c>
      <c r="C6" s="11">
        <v>2.313E-3</v>
      </c>
      <c r="D6" s="11">
        <v>-8.7155999999999997E-2</v>
      </c>
      <c r="E6" s="11">
        <v>-2.6897999999999998E-2</v>
      </c>
      <c r="F6" s="11">
        <f>'FRED 90-Day T-Bill Data'!$E169</f>
        <v>4.2055349680758525E-3</v>
      </c>
    </row>
    <row r="7" spans="1:11">
      <c r="A7" s="97" t="s">
        <v>55</v>
      </c>
      <c r="B7" s="65">
        <v>34638</v>
      </c>
      <c r="C7" s="11">
        <v>-2.0833000000000001E-2</v>
      </c>
      <c r="D7" s="11">
        <v>0</v>
      </c>
      <c r="E7" s="11">
        <v>2.0833999999999998E-2</v>
      </c>
      <c r="F7" s="11">
        <f>'FRED 90-Day T-Bill Data'!$E170</f>
        <v>4.4909423210737209E-3</v>
      </c>
    </row>
    <row r="8" spans="1:11">
      <c r="A8" s="97" t="s">
        <v>55</v>
      </c>
      <c r="B8" s="65">
        <v>34668</v>
      </c>
      <c r="C8" s="11">
        <v>-3.5460999999999999E-2</v>
      </c>
      <c r="D8" s="11">
        <v>6.0302000000000001E-2</v>
      </c>
      <c r="E8" s="11">
        <v>-3.9504999999999998E-2</v>
      </c>
      <c r="F8" s="11">
        <f>'FRED 90-Day T-Bill Data'!$E171</f>
        <v>4.7433935255802862E-3</v>
      </c>
    </row>
    <row r="9" spans="1:11">
      <c r="A9" s="97" t="s">
        <v>55</v>
      </c>
      <c r="B9" s="65">
        <v>34698</v>
      </c>
      <c r="C9" s="11">
        <v>-8.5735000000000006E-2</v>
      </c>
      <c r="D9" s="11">
        <v>-4.8310000000000002E-3</v>
      </c>
      <c r="E9" s="11">
        <v>1.2298999999999999E-2</v>
      </c>
      <c r="F9" s="11">
        <f>'FRED 90-Day T-Bill Data'!$E172</f>
        <v>4.8572998672296031E-3</v>
      </c>
    </row>
    <row r="10" spans="1:11">
      <c r="A10" s="97" t="s">
        <v>55</v>
      </c>
      <c r="B10" s="65">
        <v>34730</v>
      </c>
      <c r="C10" s="11">
        <v>9.0909000000000004E-2</v>
      </c>
      <c r="D10" s="11">
        <v>9.7087000000000007E-2</v>
      </c>
      <c r="E10" s="11">
        <v>2.4278000000000001E-2</v>
      </c>
      <c r="F10" s="11">
        <f>'FRED 90-Day T-Bill Data'!$E173</f>
        <v>4.889832681570061E-3</v>
      </c>
    </row>
    <row r="11" spans="1:11">
      <c r="A11" s="97" t="s">
        <v>55</v>
      </c>
      <c r="B11" s="65">
        <v>34758</v>
      </c>
      <c r="C11" s="11">
        <v>-2.2727000000000001E-2</v>
      </c>
      <c r="D11" s="11">
        <v>-4.071E-3</v>
      </c>
      <c r="E11" s="11">
        <v>3.6074000000000002E-2</v>
      </c>
      <c r="F11" s="11">
        <f>'FRED 90-Day T-Bill Data'!$E174</f>
        <v>4.8654335645408331E-3</v>
      </c>
    </row>
    <row r="12" spans="1:11">
      <c r="A12" s="97" t="s">
        <v>55</v>
      </c>
      <c r="B12" s="65">
        <v>34789</v>
      </c>
      <c r="C12" s="11">
        <v>1.0388E-2</v>
      </c>
      <c r="D12" s="11">
        <v>-1.3575E-2</v>
      </c>
      <c r="E12" s="11">
        <v>2.7328999999999999E-2</v>
      </c>
      <c r="F12" s="11">
        <f>'FRED 90-Day T-Bill Data'!$E175</f>
        <v>4.8084907691468004E-3</v>
      </c>
    </row>
    <row r="13" spans="1:11">
      <c r="A13" s="97" t="s">
        <v>55</v>
      </c>
      <c r="B13" s="65">
        <v>34817</v>
      </c>
      <c r="C13" s="11">
        <v>2.3622000000000001E-2</v>
      </c>
      <c r="D13" s="11">
        <v>1.8349000000000001E-2</v>
      </c>
      <c r="E13" s="11">
        <v>2.7959999999999999E-2</v>
      </c>
      <c r="F13" s="11">
        <f>'FRED 90-Day T-Bill Data'!$E176</f>
        <v>4.8166264420947957E-3</v>
      </c>
    </row>
    <row r="14" spans="1:11">
      <c r="A14" s="97" t="s">
        <v>55</v>
      </c>
      <c r="B14" s="65">
        <v>34850</v>
      </c>
      <c r="C14" s="11">
        <v>0.1</v>
      </c>
      <c r="D14" s="11">
        <v>9.4954999999999998E-2</v>
      </c>
      <c r="E14" s="11">
        <v>3.6311999999999997E-2</v>
      </c>
      <c r="F14" s="11">
        <f>'FRED 90-Day T-Bill Data'!$E177</f>
        <v>4.6457081022923674E-3</v>
      </c>
    </row>
    <row r="15" spans="1:11">
      <c r="A15" s="97" t="s">
        <v>55</v>
      </c>
      <c r="B15" s="65">
        <v>34880</v>
      </c>
      <c r="C15" s="11">
        <v>3.7343000000000001E-2</v>
      </c>
      <c r="D15" s="11">
        <v>-1.2552000000000001E-2</v>
      </c>
      <c r="E15" s="11">
        <v>2.1278999999999999E-2</v>
      </c>
      <c r="F15" s="11">
        <f>'FRED 90-Day T-Bill Data'!$E178</f>
        <v>4.6049918220771868E-3</v>
      </c>
    </row>
    <row r="16" spans="1:11">
      <c r="A16" s="97" t="s">
        <v>55</v>
      </c>
      <c r="B16" s="65">
        <v>34911</v>
      </c>
      <c r="C16" s="11">
        <v>-2.069E-2</v>
      </c>
      <c r="D16" s="11">
        <v>-1.6948999999999999E-2</v>
      </c>
      <c r="E16" s="11">
        <v>3.1775999999999999E-2</v>
      </c>
      <c r="F16" s="11">
        <f>'FRED 90-Day T-Bill Data'!$E179</f>
        <v>4.588702999426042E-3</v>
      </c>
    </row>
    <row r="17" spans="1:6">
      <c r="A17" s="97" t="s">
        <v>55</v>
      </c>
      <c r="B17" s="65">
        <v>34942</v>
      </c>
      <c r="C17" s="11">
        <v>-2.1127E-2</v>
      </c>
      <c r="D17" s="11">
        <v>-8.2760000000000004E-3</v>
      </c>
      <c r="E17" s="11">
        <v>-3.2000000000000003E-4</v>
      </c>
      <c r="F17" s="11">
        <f>'FRED 90-Day T-Bill Data'!$E180</f>
        <v>4.4746442487402227E-3</v>
      </c>
    </row>
    <row r="18" spans="1:6">
      <c r="A18" s="97" t="s">
        <v>55</v>
      </c>
      <c r="B18" s="65">
        <v>34971</v>
      </c>
      <c r="C18" s="11">
        <v>1.6834999999999999E-2</v>
      </c>
      <c r="D18" s="11">
        <v>7.5220999999999996E-2</v>
      </c>
      <c r="E18" s="11">
        <v>4.0098000000000002E-2</v>
      </c>
      <c r="F18" s="11">
        <f>'FRED 90-Day T-Bill Data'!$E181</f>
        <v>4.482793450183209E-3</v>
      </c>
    </row>
    <row r="19" spans="1:6">
      <c r="A19" s="97" t="s">
        <v>55</v>
      </c>
      <c r="B19" s="65">
        <v>35003</v>
      </c>
      <c r="C19" s="11">
        <v>3.5460999999999999E-2</v>
      </c>
      <c r="D19" s="11">
        <v>0</v>
      </c>
      <c r="E19" s="11">
        <v>-4.9789999999999999E-3</v>
      </c>
      <c r="F19" s="11">
        <f>'FRED 90-Day T-Bill Data'!$E182</f>
        <v>4.5479751643251465E-3</v>
      </c>
    </row>
    <row r="20" spans="1:6">
      <c r="A20" s="97" t="s">
        <v>55</v>
      </c>
      <c r="B20" s="65">
        <v>35033</v>
      </c>
      <c r="C20" s="11">
        <v>2.0548E-2</v>
      </c>
      <c r="D20" s="11">
        <v>-3.6707999999999998E-2</v>
      </c>
      <c r="E20" s="11">
        <v>4.1049000000000002E-2</v>
      </c>
      <c r="F20" s="11">
        <f>'FRED 90-Day T-Bill Data'!$E183</f>
        <v>4.3605207040371408E-3</v>
      </c>
    </row>
    <row r="21" spans="1:6">
      <c r="A21" s="97" t="s">
        <v>55</v>
      </c>
      <c r="B21" s="65">
        <v>35062</v>
      </c>
      <c r="C21" s="11">
        <v>5.6376000000000002E-2</v>
      </c>
      <c r="D21" s="11">
        <v>0.104348</v>
      </c>
      <c r="E21" s="11">
        <v>1.7444000000000001E-2</v>
      </c>
      <c r="F21" s="11">
        <f>'FRED 90-Day T-Bill Data'!$E184</f>
        <v>4.246332284283838E-3</v>
      </c>
    </row>
    <row r="22" spans="1:6">
      <c r="A22" s="97" t="s">
        <v>55</v>
      </c>
      <c r="B22" s="65">
        <v>35095</v>
      </c>
      <c r="C22" s="11">
        <v>3.8961000000000003E-2</v>
      </c>
      <c r="D22" s="11">
        <v>6.2992000000000006E-2</v>
      </c>
      <c r="E22" s="11">
        <v>3.2617E-2</v>
      </c>
      <c r="F22" s="11">
        <f>'FRED 90-Day T-Bill Data'!$E185</f>
        <v>4.0912583737200414E-3</v>
      </c>
    </row>
    <row r="23" spans="1:6">
      <c r="A23" s="97" t="s">
        <v>55</v>
      </c>
      <c r="B23" s="65">
        <v>35124</v>
      </c>
      <c r="C23" s="11">
        <v>1.2500000000000001E-2</v>
      </c>
      <c r="D23" s="11">
        <v>-2.5333000000000001E-2</v>
      </c>
      <c r="E23" s="11">
        <v>6.9340000000000001E-3</v>
      </c>
      <c r="F23" s="11">
        <f>'FRED 90-Day T-Bill Data'!$E186</f>
        <v>4.2055349680758525E-3</v>
      </c>
    </row>
    <row r="24" spans="1:6">
      <c r="A24" s="97" t="s">
        <v>55</v>
      </c>
      <c r="B24" s="65">
        <v>35153</v>
      </c>
      <c r="C24" s="11">
        <v>4.5678999999999997E-2</v>
      </c>
      <c r="D24" s="11">
        <v>-1.5443999999999999E-2</v>
      </c>
      <c r="E24" s="11">
        <v>7.9170000000000004E-3</v>
      </c>
      <c r="F24" s="11">
        <f>'FRED 90-Day T-Bill Data'!$E187</f>
        <v>4.1973745102803495E-3</v>
      </c>
    </row>
    <row r="25" spans="1:6">
      <c r="A25" s="97" t="s">
        <v>55</v>
      </c>
      <c r="B25" s="65">
        <v>35185</v>
      </c>
      <c r="C25" s="11">
        <v>-6.0239999999999998E-3</v>
      </c>
      <c r="D25" s="11">
        <v>-7.8431000000000001E-2</v>
      </c>
      <c r="E25" s="11">
        <v>1.3431E-2</v>
      </c>
      <c r="F25" s="11">
        <f>'FRED 90-Day T-Bill Data'!$E188</f>
        <v>4.246332284283838E-3</v>
      </c>
    </row>
    <row r="26" spans="1:6">
      <c r="A26" s="97" t="s">
        <v>55</v>
      </c>
      <c r="B26" s="65">
        <v>35216</v>
      </c>
      <c r="C26" s="11">
        <v>6.0610000000000004E-3</v>
      </c>
      <c r="D26" s="11">
        <v>-3.3362000000000003E-2</v>
      </c>
      <c r="E26" s="11">
        <v>2.2852999999999998E-2</v>
      </c>
      <c r="F26" s="11">
        <f>'FRED 90-Day T-Bill Data'!$E189</f>
        <v>4.3115907584712065E-3</v>
      </c>
    </row>
    <row r="27" spans="1:6">
      <c r="A27" s="97" t="s">
        <v>55</v>
      </c>
      <c r="B27" s="65">
        <v>35244</v>
      </c>
      <c r="C27" s="11">
        <v>5.6626999999999997E-2</v>
      </c>
      <c r="D27" s="11">
        <v>4.9327000000000003E-2</v>
      </c>
      <c r="E27" s="11">
        <v>2.2569999999999999E-3</v>
      </c>
      <c r="F27" s="11">
        <f>'FRED 90-Day T-Bill Data'!$E190</f>
        <v>4.3686745363094026E-3</v>
      </c>
    </row>
    <row r="28" spans="1:6">
      <c r="A28" s="97" t="s">
        <v>55</v>
      </c>
      <c r="B28" s="65">
        <v>35277</v>
      </c>
      <c r="C28" s="11">
        <v>3.4883999999999998E-2</v>
      </c>
      <c r="D28" s="11">
        <v>-7.6923000000000005E-2</v>
      </c>
      <c r="E28" s="11">
        <v>-4.5747999999999997E-2</v>
      </c>
      <c r="F28" s="11">
        <f>'FRED 90-Day T-Bill Data'!$E191</f>
        <v>4.2789641717047022E-3</v>
      </c>
    </row>
    <row r="29" spans="1:6">
      <c r="A29" s="97" t="s">
        <v>55</v>
      </c>
      <c r="B29" s="65">
        <v>35307</v>
      </c>
      <c r="C29" s="11">
        <v>7.3034000000000002E-2</v>
      </c>
      <c r="D29" s="11">
        <v>-1.3148E-2</v>
      </c>
      <c r="E29" s="11">
        <v>1.8814000000000001E-2</v>
      </c>
      <c r="F29" s="11">
        <f>'FRED 90-Day T-Bill Data'!$E192</f>
        <v>4.3197465771576127E-3</v>
      </c>
    </row>
    <row r="30" spans="1:6">
      <c r="A30" s="97" t="s">
        <v>55</v>
      </c>
      <c r="B30" s="65">
        <v>35338</v>
      </c>
      <c r="C30" s="11">
        <v>6.0104999999999999E-2</v>
      </c>
      <c r="D30" s="11">
        <v>6.2200999999999999E-2</v>
      </c>
      <c r="E30" s="11">
        <v>5.4172999999999999E-2</v>
      </c>
      <c r="F30" s="11">
        <f>'FRED 90-Day T-Bill Data'!$E193</f>
        <v>4.2218548890238239E-3</v>
      </c>
    </row>
    <row r="31" spans="1:6">
      <c r="A31" s="97" t="s">
        <v>55</v>
      </c>
      <c r="B31" s="65">
        <v>35369</v>
      </c>
      <c r="C31" s="11">
        <v>4.0201000000000001E-2</v>
      </c>
      <c r="D31" s="11">
        <v>5.4053999999999998E-2</v>
      </c>
      <c r="E31" s="11">
        <v>2.6131000000000001E-2</v>
      </c>
      <c r="F31" s="11">
        <f>'FRED 90-Day T-Bill Data'!$E194</f>
        <v>4.2626488906942761E-3</v>
      </c>
    </row>
    <row r="32" spans="1:6">
      <c r="A32" s="97" t="s">
        <v>55</v>
      </c>
      <c r="B32" s="65">
        <v>35398</v>
      </c>
      <c r="C32" s="11">
        <v>6.2801999999999997E-2</v>
      </c>
      <c r="D32" s="11">
        <v>9.2309999999999996E-3</v>
      </c>
      <c r="E32" s="11">
        <v>7.3375999999999997E-2</v>
      </c>
      <c r="F32" s="11">
        <f>'FRED 90-Day T-Bill Data'!$E195</f>
        <v>4.1565672469039416E-3</v>
      </c>
    </row>
    <row r="33" spans="1:6">
      <c r="A33" s="97" t="s">
        <v>55</v>
      </c>
      <c r="B33" s="65">
        <v>35430</v>
      </c>
      <c r="C33" s="11">
        <v>8.4000000000000005E-2</v>
      </c>
      <c r="D33" s="11">
        <v>4.3099999999999996E-3</v>
      </c>
      <c r="E33" s="11">
        <v>-2.1505E-2</v>
      </c>
      <c r="F33" s="11">
        <f>'FRED 90-Day T-Bill Data'!$E196</f>
        <v>4.2626488906942761E-3</v>
      </c>
    </row>
    <row r="34" spans="1:6">
      <c r="A34" s="97" t="s">
        <v>55</v>
      </c>
      <c r="B34" s="65">
        <v>35461</v>
      </c>
      <c r="C34" s="11">
        <v>-4.2550000000000001E-3</v>
      </c>
      <c r="D34" s="11">
        <v>6.4378000000000005E-2</v>
      </c>
      <c r="E34" s="11">
        <v>6.1317000000000003E-2</v>
      </c>
      <c r="F34" s="11">
        <f>'FRED 90-Day T-Bill Data'!$E197</f>
        <v>4.2381734839793683E-3</v>
      </c>
    </row>
    <row r="35" spans="1:6">
      <c r="A35" s="97" t="s">
        <v>55</v>
      </c>
      <c r="B35" s="65">
        <v>35489</v>
      </c>
      <c r="C35" s="11">
        <v>2.5641000000000001E-2</v>
      </c>
      <c r="D35" s="11">
        <v>1.2903E-2</v>
      </c>
      <c r="E35" s="11">
        <v>5.9280000000000001E-3</v>
      </c>
      <c r="F35" s="11">
        <f>'FRED 90-Day T-Bill Data'!$E198</f>
        <v>4.3523665407696477E-3</v>
      </c>
    </row>
    <row r="36" spans="1:6">
      <c r="A36" s="97" t="s">
        <v>55</v>
      </c>
      <c r="B36" s="65">
        <v>35520</v>
      </c>
      <c r="C36" s="11">
        <v>1.0333E-2</v>
      </c>
      <c r="D36" s="11">
        <v>-2.8340000000000001E-2</v>
      </c>
      <c r="E36" s="11">
        <v>-4.2613999999999999E-2</v>
      </c>
      <c r="F36" s="11">
        <f>'FRED 90-Day T-Bill Data'!$E199</f>
        <v>4.3686745363094026E-3</v>
      </c>
    </row>
    <row r="37" spans="1:6">
      <c r="A37" s="97" t="s">
        <v>55</v>
      </c>
      <c r="B37" s="65">
        <v>35550</v>
      </c>
      <c r="C37" s="11">
        <v>-2.0920999999999999E-2</v>
      </c>
      <c r="D37" s="11">
        <v>-7.4999999999999997E-2</v>
      </c>
      <c r="E37" s="11">
        <v>5.8406E-2</v>
      </c>
      <c r="F37" s="11">
        <f>'FRED 90-Day T-Bill Data'!$E200</f>
        <v>4.2871213152586574E-3</v>
      </c>
    </row>
    <row r="38" spans="1:6">
      <c r="A38" s="97" t="s">
        <v>55</v>
      </c>
      <c r="B38" s="65">
        <v>35580</v>
      </c>
      <c r="C38" s="11">
        <v>1.2821000000000001E-2</v>
      </c>
      <c r="D38" s="11">
        <v>6.8468000000000001E-2</v>
      </c>
      <c r="E38" s="11">
        <v>5.8576999999999997E-2</v>
      </c>
      <c r="F38" s="11">
        <f>'FRED 90-Day T-Bill Data'!$E201</f>
        <v>4.1810525998986492E-3</v>
      </c>
    </row>
    <row r="39" spans="1:6">
      <c r="A39" s="97" t="s">
        <v>55</v>
      </c>
      <c r="B39" s="65">
        <v>35611</v>
      </c>
      <c r="C39" s="11">
        <v>9.9071999999999993E-2</v>
      </c>
      <c r="D39" s="11">
        <v>1.073E-2</v>
      </c>
      <c r="E39" s="11">
        <v>4.3452999999999999E-2</v>
      </c>
      <c r="F39" s="11">
        <f>'FRED 90-Day T-Bill Data'!$E202</f>
        <v>4.2789641717047022E-3</v>
      </c>
    </row>
    <row r="40" spans="1:6">
      <c r="A40" s="97" t="s">
        <v>55</v>
      </c>
      <c r="B40" s="65">
        <v>35642</v>
      </c>
      <c r="C40" s="11">
        <v>2.1401E-2</v>
      </c>
      <c r="D40" s="11">
        <v>7.4310000000000001E-2</v>
      </c>
      <c r="E40" s="11">
        <v>7.8122999999999998E-2</v>
      </c>
      <c r="F40" s="11">
        <f>'FRED 90-Day T-Bill Data'!$E203</f>
        <v>4.3523665407696477E-3</v>
      </c>
    </row>
    <row r="41" spans="1:6">
      <c r="A41" s="97" t="s">
        <v>55</v>
      </c>
      <c r="B41" s="65">
        <v>35671</v>
      </c>
      <c r="C41" s="11">
        <v>-2.4761999999999999E-2</v>
      </c>
      <c r="D41" s="11">
        <v>-1.502E-2</v>
      </c>
      <c r="E41" s="11">
        <v>-5.7445999999999997E-2</v>
      </c>
      <c r="F41" s="11">
        <f>'FRED 90-Day T-Bill Data'!$E204</f>
        <v>4.1892137208978664E-3</v>
      </c>
    </row>
    <row r="42" spans="1:6">
      <c r="A42" s="97" t="s">
        <v>55</v>
      </c>
      <c r="B42" s="65">
        <v>35703</v>
      </c>
      <c r="C42" s="11">
        <v>0.101953</v>
      </c>
      <c r="D42" s="11">
        <v>0.110204</v>
      </c>
      <c r="E42" s="11">
        <v>5.3154E-2</v>
      </c>
      <c r="F42" s="11">
        <f>'FRED 90-Day T-Bill Data'!$E205</f>
        <v>4.2136950943136853E-3</v>
      </c>
    </row>
    <row r="43" spans="1:6">
      <c r="A43" s="97" t="s">
        <v>55</v>
      </c>
      <c r="B43" s="65">
        <v>35734</v>
      </c>
      <c r="C43" s="11">
        <v>-1.6157999999999999E-2</v>
      </c>
      <c r="D43" s="11">
        <v>7.3530000000000002E-3</v>
      </c>
      <c r="E43" s="11">
        <v>-3.4478000000000002E-2</v>
      </c>
      <c r="F43" s="11">
        <f>'FRED 90-Day T-Bill Data'!$E206</f>
        <v>4.3523665407696477E-3</v>
      </c>
    </row>
    <row r="44" spans="1:6">
      <c r="A44" s="97" t="s">
        <v>55</v>
      </c>
      <c r="B44" s="65">
        <v>35762</v>
      </c>
      <c r="C44" s="11">
        <v>5.4745000000000002E-2</v>
      </c>
      <c r="D44" s="11">
        <v>0.12299300000000001</v>
      </c>
      <c r="E44" s="11">
        <v>4.4587000000000002E-2</v>
      </c>
      <c r="F44" s="11">
        <f>'FRED 90-Day T-Bill Data'!$E207</f>
        <v>4.3686745363094026E-3</v>
      </c>
    </row>
    <row r="45" spans="1:6">
      <c r="A45" s="97" t="s">
        <v>55</v>
      </c>
      <c r="B45" s="65">
        <v>35795</v>
      </c>
      <c r="C45" s="11">
        <v>-1.8685E-2</v>
      </c>
      <c r="D45" s="11">
        <v>8.0725000000000005E-2</v>
      </c>
      <c r="E45" s="11">
        <v>1.5731999999999999E-2</v>
      </c>
      <c r="F45" s="11">
        <f>'FRED 90-Day T-Bill Data'!$E208</f>
        <v>4.2708066968597524E-3</v>
      </c>
    </row>
    <row r="46" spans="1:6">
      <c r="A46" s="97" t="s">
        <v>55</v>
      </c>
      <c r="B46" s="65">
        <v>35825</v>
      </c>
      <c r="C46" s="11">
        <v>-1.6070999999999998E-2</v>
      </c>
      <c r="D46" s="11">
        <v>7.6220000000000003E-3</v>
      </c>
      <c r="E46" s="11">
        <v>1.0149999999999999E-2</v>
      </c>
      <c r="F46" s="11">
        <f>'FRED 90-Day T-Bill Data'!$E209</f>
        <v>4.3115907584712065E-3</v>
      </c>
    </row>
    <row r="47" spans="1:6">
      <c r="A47" s="97" t="s">
        <v>55</v>
      </c>
      <c r="B47" s="65">
        <v>35853</v>
      </c>
      <c r="C47" s="11">
        <v>-5.9891E-2</v>
      </c>
      <c r="D47" s="11">
        <v>4.1572999999999999E-2</v>
      </c>
      <c r="E47" s="11">
        <v>7.0448999999999998E-2</v>
      </c>
      <c r="F47" s="11">
        <f>'FRED 90-Day T-Bill Data'!$E210</f>
        <v>4.2544907531789633E-3</v>
      </c>
    </row>
    <row r="48" spans="1:6">
      <c r="A48" s="97" t="s">
        <v>55</v>
      </c>
      <c r="B48" s="65">
        <v>35885</v>
      </c>
      <c r="C48" s="11">
        <v>7.3745000000000005E-2</v>
      </c>
      <c r="D48" s="11">
        <v>0.1</v>
      </c>
      <c r="E48" s="11">
        <v>4.9945999999999997E-2</v>
      </c>
      <c r="F48" s="11">
        <f>'FRED 90-Day T-Bill Data'!$E211</f>
        <v>4.1892137208978664E-3</v>
      </c>
    </row>
    <row r="49" spans="1:6">
      <c r="A49" s="97" t="s">
        <v>55</v>
      </c>
      <c r="B49" s="65">
        <v>35915</v>
      </c>
      <c r="C49" s="11">
        <v>-3.8251E-2</v>
      </c>
      <c r="D49" s="11">
        <v>-3.2086000000000003E-2</v>
      </c>
      <c r="E49" s="11">
        <v>9.0760000000000007E-3</v>
      </c>
      <c r="F49" s="11">
        <f>'FRED 90-Day T-Bill Data'!$E212</f>
        <v>4.2381734839793683E-3</v>
      </c>
    </row>
    <row r="50" spans="1:6">
      <c r="A50" s="97" t="s">
        <v>55</v>
      </c>
      <c r="B50" s="65">
        <v>35944</v>
      </c>
      <c r="C50" s="11">
        <v>-1.5152000000000001E-2</v>
      </c>
      <c r="D50" s="11">
        <v>-4.2154999999999998E-2</v>
      </c>
      <c r="E50" s="11">
        <v>-1.8825999999999999E-2</v>
      </c>
      <c r="F50" s="11">
        <f>'FRED 90-Day T-Bill Data'!$E213</f>
        <v>4.2218548890238239E-3</v>
      </c>
    </row>
    <row r="51" spans="1:6">
      <c r="A51" s="97" t="s">
        <v>55</v>
      </c>
      <c r="B51" s="65">
        <v>35976</v>
      </c>
      <c r="C51" s="11">
        <v>-3.0769000000000001E-2</v>
      </c>
      <c r="D51" s="11">
        <v>7.5911999999999993E-2</v>
      </c>
      <c r="E51" s="11">
        <v>3.9438000000000001E-2</v>
      </c>
      <c r="F51" s="11">
        <f>'FRED 90-Day T-Bill Data'!$E214</f>
        <v>4.1973745102803495E-3</v>
      </c>
    </row>
    <row r="52" spans="1:6">
      <c r="A52" s="97" t="s">
        <v>55</v>
      </c>
      <c r="B52" s="65">
        <v>36007</v>
      </c>
      <c r="C52" s="11">
        <v>-2.0160999999999998E-2</v>
      </c>
      <c r="D52" s="11">
        <v>-8.1410999999999997E-2</v>
      </c>
      <c r="E52" s="11">
        <v>-1.1615E-2</v>
      </c>
      <c r="F52" s="11">
        <f>'FRED 90-Day T-Bill Data'!$E215</f>
        <v>4.1565672469039416E-3</v>
      </c>
    </row>
    <row r="53" spans="1:6">
      <c r="A53" s="97" t="s">
        <v>55</v>
      </c>
      <c r="B53" s="65">
        <v>36038</v>
      </c>
      <c r="C53" s="11">
        <v>-6.3785999999999995E-2</v>
      </c>
      <c r="D53" s="11">
        <v>0.130694</v>
      </c>
      <c r="E53" s="11">
        <v>-0.14579700000000001</v>
      </c>
      <c r="F53" s="11">
        <f>'FRED 90-Day T-Bill Data'!$E216</f>
        <v>3.9115493756787245E-3</v>
      </c>
    </row>
    <row r="54" spans="1:6">
      <c r="A54" s="97" t="s">
        <v>55</v>
      </c>
      <c r="B54" s="65">
        <v>36068</v>
      </c>
      <c r="C54" s="11">
        <v>0.107692</v>
      </c>
      <c r="D54" s="11">
        <v>9.9074999999999996E-2</v>
      </c>
      <c r="E54" s="11">
        <v>6.2396E-2</v>
      </c>
      <c r="F54" s="11">
        <f>'FRED 90-Day T-Bill Data'!$E217</f>
        <v>3.3632607275555504E-3</v>
      </c>
    </row>
    <row r="55" spans="1:6">
      <c r="A55" s="97" t="s">
        <v>55</v>
      </c>
      <c r="B55" s="65">
        <v>36098</v>
      </c>
      <c r="C55" s="11">
        <v>1.2097E-2</v>
      </c>
      <c r="D55" s="11">
        <v>-3.6058E-2</v>
      </c>
      <c r="E55" s="11">
        <v>8.0294000000000004E-2</v>
      </c>
      <c r="F55" s="11">
        <f>'FRED 90-Day T-Bill Data'!$E218</f>
        <v>3.7398587917578663E-3</v>
      </c>
    </row>
    <row r="56" spans="1:6">
      <c r="A56" s="97" t="s">
        <v>55</v>
      </c>
      <c r="B56" s="65">
        <v>36129</v>
      </c>
      <c r="C56" s="11">
        <v>-1.3944E-2</v>
      </c>
      <c r="D56" s="11">
        <v>2.4289000000000002E-2</v>
      </c>
      <c r="E56" s="11">
        <v>5.9125999999999998E-2</v>
      </c>
      <c r="F56" s="11">
        <f>'FRED 90-Day T-Bill Data'!$E219</f>
        <v>3.7153195748071965E-3</v>
      </c>
    </row>
    <row r="57" spans="1:6">
      <c r="A57" s="97" t="s">
        <v>55</v>
      </c>
      <c r="B57" s="65">
        <v>36160</v>
      </c>
      <c r="C57" s="11">
        <v>-2.2221999999999999E-2</v>
      </c>
      <c r="D57" s="11">
        <v>4.0590000000000001E-2</v>
      </c>
      <c r="E57" s="11">
        <v>5.6375000000000001E-2</v>
      </c>
      <c r="F57" s="11">
        <f>'FRED 90-Day T-Bill Data'!$E220</f>
        <v>3.6744142126294843E-3</v>
      </c>
    </row>
    <row r="58" spans="1:6">
      <c r="A58" s="97" t="s">
        <v>55</v>
      </c>
      <c r="B58" s="65">
        <v>36189</v>
      </c>
      <c r="C58" s="11">
        <v>-3.7815000000000001E-2</v>
      </c>
      <c r="D58" s="11">
        <v>-6.5012E-2</v>
      </c>
      <c r="E58" s="11">
        <v>4.1008999999999997E-2</v>
      </c>
      <c r="F58" s="11">
        <f>'FRED 90-Day T-Bill Data'!$E221</f>
        <v>3.7643950094277123E-3</v>
      </c>
    </row>
    <row r="59" spans="1:6">
      <c r="A59" s="97" t="s">
        <v>55</v>
      </c>
      <c r="B59" s="65">
        <v>36217</v>
      </c>
      <c r="C59" s="11">
        <v>-1.3100000000000001E-2</v>
      </c>
      <c r="D59" s="11">
        <v>-4.3540000000000002E-2</v>
      </c>
      <c r="E59" s="11">
        <v>-3.2282999999999999E-2</v>
      </c>
      <c r="F59" s="11">
        <f>'FRED 90-Day T-Bill Data'!$E222</f>
        <v>3.7725730822832926E-3</v>
      </c>
    </row>
    <row r="60" spans="1:6">
      <c r="A60" s="97" t="s">
        <v>55</v>
      </c>
      <c r="B60" s="65">
        <v>36250</v>
      </c>
      <c r="C60" s="11">
        <v>-5.7521999999999997E-2</v>
      </c>
      <c r="D60" s="11">
        <v>-3.0748999999999999E-2</v>
      </c>
      <c r="E60" s="11">
        <v>3.8794000000000002E-2</v>
      </c>
      <c r="F60" s="11">
        <f>'FRED 90-Day T-Bill Data'!$E223</f>
        <v>3.6416839202007001E-3</v>
      </c>
    </row>
    <row r="61" spans="1:6">
      <c r="A61" s="97" t="s">
        <v>55</v>
      </c>
      <c r="B61" s="65">
        <v>36280</v>
      </c>
      <c r="C61" s="11">
        <v>0.20813400000000001</v>
      </c>
      <c r="D61" s="11">
        <v>2.7590000000000002E-3</v>
      </c>
      <c r="E61" s="11">
        <v>3.7943999999999999E-2</v>
      </c>
      <c r="F61" s="11">
        <f>'FRED 90-Day T-Bill Data'!$E224</f>
        <v>3.8216345246488981E-3</v>
      </c>
    </row>
    <row r="62" spans="1:6">
      <c r="A62" s="97" t="s">
        <v>55</v>
      </c>
      <c r="B62" s="65">
        <v>36308</v>
      </c>
      <c r="C62" s="11">
        <v>1.7822000000000001E-2</v>
      </c>
      <c r="D62" s="11">
        <v>8.0549999999999997E-2</v>
      </c>
      <c r="E62" s="11">
        <v>-2.4969999999999999E-2</v>
      </c>
      <c r="F62" s="11">
        <f>'FRED 90-Day T-Bill Data'!$E225</f>
        <v>3.8952042157516242E-3</v>
      </c>
    </row>
    <row r="63" spans="1:6">
      <c r="A63" s="97" t="s">
        <v>55</v>
      </c>
      <c r="B63" s="65">
        <v>36341</v>
      </c>
      <c r="C63" s="11">
        <v>0.118288</v>
      </c>
      <c r="D63" s="11">
        <v>-6.8210999999999994E-2</v>
      </c>
      <c r="E63" s="11">
        <v>5.4438E-2</v>
      </c>
      <c r="F63" s="11">
        <f>'FRED 90-Day T-Bill Data'!$E226</f>
        <v>3.8706839806363913E-3</v>
      </c>
    </row>
    <row r="64" spans="1:6">
      <c r="A64" s="97" t="s">
        <v>55</v>
      </c>
      <c r="B64" s="65">
        <v>36371</v>
      </c>
      <c r="C64" s="11">
        <v>-4.5935999999999998E-2</v>
      </c>
      <c r="D64" s="11">
        <v>-3.8674E-2</v>
      </c>
      <c r="E64" s="11">
        <v>-3.2045999999999998E-2</v>
      </c>
      <c r="F64" s="11">
        <f>'FRED 90-Day T-Bill Data'!$E227</f>
        <v>4.0177604947122525E-3</v>
      </c>
    </row>
    <row r="65" spans="1:6">
      <c r="A65" s="97" t="s">
        <v>55</v>
      </c>
      <c r="B65" s="65">
        <v>36403</v>
      </c>
      <c r="C65" s="11">
        <v>2.5926000000000001E-2</v>
      </c>
      <c r="D65" s="11">
        <v>2.3793000000000002E-2</v>
      </c>
      <c r="E65" s="11">
        <v>-6.254E-3</v>
      </c>
      <c r="F65" s="11">
        <f>'FRED 90-Day T-Bill Data'!$E228</f>
        <v>3.9769167126881833E-3</v>
      </c>
    </row>
    <row r="66" spans="1:6">
      <c r="A66" s="97" t="s">
        <v>55</v>
      </c>
      <c r="B66" s="65">
        <v>36433</v>
      </c>
      <c r="C66" s="11">
        <v>2.4910000000000002E-2</v>
      </c>
      <c r="D66" s="11">
        <v>-5.6818E-2</v>
      </c>
      <c r="E66" s="11">
        <v>-2.8552000000000001E-2</v>
      </c>
      <c r="F66" s="11">
        <f>'FRED 90-Day T-Bill Data'!$E229</f>
        <v>4.1402420196134937E-3</v>
      </c>
    </row>
    <row r="67" spans="1:6">
      <c r="A67" s="97" t="s">
        <v>55</v>
      </c>
      <c r="B67" s="65">
        <v>36462</v>
      </c>
      <c r="C67" s="11">
        <v>-6.7978999999999998E-2</v>
      </c>
      <c r="D67" s="11">
        <v>-7.9819000000000001E-2</v>
      </c>
      <c r="E67" s="11">
        <v>6.2538999999999997E-2</v>
      </c>
      <c r="F67" s="11">
        <f>'FRED 90-Day T-Bill Data'!$E230</f>
        <v>4.3115907584712065E-3</v>
      </c>
    </row>
    <row r="68" spans="1:6">
      <c r="A68" s="97" t="s">
        <v>55</v>
      </c>
      <c r="B68" s="65">
        <v>36494</v>
      </c>
      <c r="C68" s="11">
        <v>-3.839E-3</v>
      </c>
      <c r="D68" s="11">
        <v>-8.2553000000000001E-2</v>
      </c>
      <c r="E68" s="11">
        <v>1.9061999999999999E-2</v>
      </c>
      <c r="F68" s="11">
        <f>'FRED 90-Day T-Bill Data'!$E231</f>
        <v>4.4175905807017912E-3</v>
      </c>
    </row>
    <row r="69" spans="1:6">
      <c r="A69" s="97" t="s">
        <v>55</v>
      </c>
      <c r="B69" s="65">
        <v>36525</v>
      </c>
      <c r="C69" s="11">
        <v>6.5125000000000002E-2</v>
      </c>
      <c r="D69" s="11">
        <v>0</v>
      </c>
      <c r="E69" s="11">
        <v>5.7844E-2</v>
      </c>
      <c r="F69" s="11">
        <f>'FRED 90-Day T-Bill Data'!$E232</f>
        <v>4.5316817182770031E-3</v>
      </c>
    </row>
    <row r="70" spans="1:6">
      <c r="A70" s="97" t="s">
        <v>55</v>
      </c>
      <c r="B70" s="65">
        <v>36556</v>
      </c>
      <c r="C70" s="11">
        <v>0</v>
      </c>
      <c r="D70" s="11">
        <v>-5.2535999999999999E-2</v>
      </c>
      <c r="E70" s="11">
        <v>-5.0903999999999998E-2</v>
      </c>
      <c r="F70" s="11">
        <f>'FRED 90-Day T-Bill Data'!$E233</f>
        <v>4.718976621480353E-3</v>
      </c>
    </row>
    <row r="71" spans="1:6">
      <c r="A71" s="97" t="s">
        <v>55</v>
      </c>
      <c r="B71" s="65">
        <v>36585</v>
      </c>
      <c r="C71" s="11">
        <v>3.6764999999999999E-2</v>
      </c>
      <c r="D71" s="11">
        <v>-0.14011499999999999</v>
      </c>
      <c r="E71" s="11">
        <v>-2.0108000000000001E-2</v>
      </c>
      <c r="F71" s="11">
        <f>'FRED 90-Day T-Bill Data'!$E234</f>
        <v>4.8247617856966851E-3</v>
      </c>
    </row>
    <row r="72" spans="1:6">
      <c r="A72" s="97" t="s">
        <v>55</v>
      </c>
      <c r="B72" s="65">
        <v>36616</v>
      </c>
      <c r="C72" s="11">
        <v>3.6879000000000002E-2</v>
      </c>
      <c r="D72" s="11">
        <v>5.6689000000000003E-2</v>
      </c>
      <c r="E72" s="11">
        <v>9.672E-2</v>
      </c>
      <c r="F72" s="11">
        <f>'FRED 90-Day T-Bill Data'!$E235</f>
        <v>4.7922184350948083E-3</v>
      </c>
    </row>
    <row r="73" spans="1:6">
      <c r="A73" s="97" t="s">
        <v>55</v>
      </c>
      <c r="B73" s="65">
        <v>36644</v>
      </c>
      <c r="C73" s="11">
        <v>7.2916999999999996E-2</v>
      </c>
      <c r="D73" s="11">
        <v>0.20815500000000001</v>
      </c>
      <c r="E73" s="11">
        <v>-3.0796E-2</v>
      </c>
      <c r="F73" s="11">
        <f>'FRED 90-Day T-Bill Data'!$E236</f>
        <v>4.9304912953631597E-3</v>
      </c>
    </row>
    <row r="74" spans="1:6">
      <c r="A74" s="97" t="s">
        <v>55</v>
      </c>
      <c r="B74" s="65">
        <v>36677</v>
      </c>
      <c r="C74" s="11">
        <v>3.0744E-2</v>
      </c>
      <c r="D74" s="11">
        <v>-5.7335999999999998E-2</v>
      </c>
      <c r="E74" s="11">
        <v>-2.1915E-2</v>
      </c>
      <c r="F74" s="11">
        <f>'FRED 90-Day T-Bill Data'!$E237</f>
        <v>4.8247617856966851E-3</v>
      </c>
    </row>
    <row r="75" spans="1:6">
      <c r="A75" s="97" t="s">
        <v>55</v>
      </c>
      <c r="B75" s="65">
        <v>36707</v>
      </c>
      <c r="C75" s="11">
        <v>7.0266999999999996E-2</v>
      </c>
      <c r="D75" s="11">
        <v>-9.1953999999999994E-2</v>
      </c>
      <c r="E75" s="11">
        <v>2.3934E-2</v>
      </c>
      <c r="F75" s="11">
        <f>'FRED 90-Day T-Bill Data'!$E238</f>
        <v>5.0524178109889739E-3</v>
      </c>
    </row>
    <row r="76" spans="1:6">
      <c r="A76" s="97" t="s">
        <v>55</v>
      </c>
      <c r="B76" s="65">
        <v>36738</v>
      </c>
      <c r="C76" s="11">
        <v>0.17261899999999999</v>
      </c>
      <c r="D76" s="11">
        <v>2.3206999999999998E-2</v>
      </c>
      <c r="E76" s="11">
        <v>-1.6341000000000001E-2</v>
      </c>
      <c r="F76" s="11">
        <f>'FRED 90-Day T-Bill Data'!$E239</f>
        <v>5.1661492053167724E-3</v>
      </c>
    </row>
    <row r="77" spans="1:6">
      <c r="A77" s="97" t="s">
        <v>55</v>
      </c>
      <c r="B77" s="65">
        <v>36769</v>
      </c>
      <c r="C77" s="11">
        <v>-1.2689999999999999E-3</v>
      </c>
      <c r="D77" s="11">
        <v>5.0969E-2</v>
      </c>
      <c r="E77" s="11">
        <v>6.0699000000000003E-2</v>
      </c>
      <c r="F77" s="11">
        <f>'FRED 90-Day T-Bill Data'!$E240</f>
        <v>5.0849190615225304E-3</v>
      </c>
    </row>
    <row r="78" spans="1:6">
      <c r="A78" s="97" t="s">
        <v>55</v>
      </c>
      <c r="B78" s="65">
        <v>36798</v>
      </c>
      <c r="C78" s="11">
        <v>0.13819600000000001</v>
      </c>
      <c r="D78" s="11">
        <v>8.9819999999999997E-2</v>
      </c>
      <c r="E78" s="11">
        <v>-5.3483000000000003E-2</v>
      </c>
      <c r="F78" s="11">
        <f>'FRED 90-Day T-Bill Data'!$E241</f>
        <v>5.174270414727733E-3</v>
      </c>
    </row>
    <row r="79" spans="1:6">
      <c r="A79" s="97" t="s">
        <v>55</v>
      </c>
      <c r="B79" s="65">
        <v>36830</v>
      </c>
      <c r="C79" s="11">
        <v>-6.0948000000000002E-2</v>
      </c>
      <c r="D79" s="11">
        <v>3.1136E-2</v>
      </c>
      <c r="E79" s="11">
        <v>-4.9490000000000003E-3</v>
      </c>
      <c r="F79" s="11">
        <f>'FRED 90-Day T-Bill Data'!$E242</f>
        <v>5.2311096965727E-3</v>
      </c>
    </row>
    <row r="80" spans="1:6">
      <c r="A80" s="97" t="s">
        <v>55</v>
      </c>
      <c r="B80" s="65">
        <v>36860</v>
      </c>
      <c r="C80" s="11">
        <v>1.0817E-2</v>
      </c>
      <c r="D80" s="11">
        <v>7.4103000000000002E-2</v>
      </c>
      <c r="E80" s="11">
        <v>-8.0069000000000001E-2</v>
      </c>
      <c r="F80" s="11">
        <f>'FRED 90-Day T-Bill Data'!$E243</f>
        <v>4.889832681570061E-3</v>
      </c>
    </row>
    <row r="81" spans="1:6">
      <c r="A81" s="97" t="s">
        <v>55</v>
      </c>
      <c r="B81" s="65">
        <v>36889</v>
      </c>
      <c r="C81" s="11">
        <v>5.3221999999999998E-2</v>
      </c>
      <c r="D81" s="11">
        <v>3.3556999999999997E-2</v>
      </c>
      <c r="E81" s="11">
        <v>4.0530000000000002E-3</v>
      </c>
      <c r="F81" s="11">
        <f>'FRED 90-Day T-Bill Data'!$E244</f>
        <v>4.3605207040371408E-3</v>
      </c>
    </row>
    <row r="82" spans="1:6">
      <c r="A82" s="97" t="s">
        <v>55</v>
      </c>
      <c r="B82" s="65">
        <v>36922</v>
      </c>
      <c r="C82" s="11">
        <v>-5.4795000000000003E-2</v>
      </c>
      <c r="D82" s="11">
        <v>-9.2467999999999995E-2</v>
      </c>
      <c r="E82" s="11">
        <v>3.4637000000000001E-2</v>
      </c>
      <c r="F82" s="11">
        <f>'FRED 90-Day T-Bill Data'!$E245</f>
        <v>4.132078908291037E-3</v>
      </c>
    </row>
    <row r="83" spans="1:6">
      <c r="A83" s="97" t="s">
        <v>55</v>
      </c>
      <c r="B83" s="65">
        <v>36950</v>
      </c>
      <c r="C83" s="11">
        <v>-3.0918000000000001E-2</v>
      </c>
      <c r="D83" s="11">
        <v>7.0979E-2</v>
      </c>
      <c r="E83" s="11">
        <v>-9.2290999999999998E-2</v>
      </c>
      <c r="F83" s="11">
        <f>'FRED 90-Day T-Bill Data'!$E246</f>
        <v>3.7480378641947532E-3</v>
      </c>
    </row>
    <row r="84" spans="1:6">
      <c r="A84" s="97" t="s">
        <v>55</v>
      </c>
      <c r="B84" s="65">
        <v>36980</v>
      </c>
      <c r="C84" s="11">
        <v>-2.7916E-2</v>
      </c>
      <c r="D84" s="11">
        <v>6.2379999999999996E-3</v>
      </c>
      <c r="E84" s="11">
        <v>-6.4204999999999998E-2</v>
      </c>
      <c r="F84" s="11">
        <f>'FRED 90-Day T-Bill Data'!$E247</f>
        <v>3.2812979870655568E-3</v>
      </c>
    </row>
    <row r="85" spans="1:6">
      <c r="A85" s="97" t="s">
        <v>55</v>
      </c>
      <c r="B85" s="65">
        <v>37011</v>
      </c>
      <c r="C85" s="11">
        <v>-2.1852E-2</v>
      </c>
      <c r="D85" s="11">
        <v>8.3560000000000006E-3</v>
      </c>
      <c r="E85" s="11">
        <v>7.6813999999999993E-2</v>
      </c>
      <c r="F85" s="11">
        <f>'FRED 90-Day T-Bill Data'!$E248</f>
        <v>3.0598312035203801E-3</v>
      </c>
    </row>
    <row r="86" spans="1:6">
      <c r="A86" s="97" t="s">
        <v>55</v>
      </c>
      <c r="B86" s="65">
        <v>37042</v>
      </c>
      <c r="C86" s="11">
        <v>0</v>
      </c>
      <c r="D86" s="11">
        <v>6.1213999999999998E-2</v>
      </c>
      <c r="E86" s="11">
        <v>5.0899999999999999E-3</v>
      </c>
      <c r="F86" s="11">
        <f>'FRED 90-Day T-Bill Data'!$E249</f>
        <v>2.953111790845675E-3</v>
      </c>
    </row>
    <row r="87" spans="1:6">
      <c r="A87" s="97" t="s">
        <v>55</v>
      </c>
      <c r="B87" s="65">
        <v>37071</v>
      </c>
      <c r="C87" s="11">
        <v>6.9149000000000002E-2</v>
      </c>
      <c r="D87" s="11">
        <v>1.6603E-2</v>
      </c>
      <c r="E87" s="11">
        <v>-2.5003999999999998E-2</v>
      </c>
      <c r="F87" s="11">
        <f>'FRED 90-Day T-Bill Data'!$E250</f>
        <v>2.9695338579054376E-3</v>
      </c>
    </row>
    <row r="88" spans="1:6">
      <c r="A88" s="97" t="s">
        <v>55</v>
      </c>
      <c r="B88" s="65">
        <v>37103</v>
      </c>
      <c r="C88" s="11">
        <v>2.7244999999999998E-2</v>
      </c>
      <c r="D88" s="11">
        <v>-1.5070000000000001E-3</v>
      </c>
      <c r="E88" s="11">
        <v>-1.0772E-2</v>
      </c>
      <c r="F88" s="11">
        <f>'FRED 90-Day T-Bill Data'!$E251</f>
        <v>2.8463355704506643E-3</v>
      </c>
    </row>
    <row r="89" spans="1:6">
      <c r="A89" s="97" t="s">
        <v>55</v>
      </c>
      <c r="B89" s="65">
        <v>37134</v>
      </c>
      <c r="C89" s="11">
        <v>2.3576E-2</v>
      </c>
      <c r="D89" s="11">
        <v>4.3029999999999999E-2</v>
      </c>
      <c r="E89" s="11">
        <v>-6.4107999999999998E-2</v>
      </c>
      <c r="F89" s="11">
        <f>'FRED 90-Day T-Bill Data'!$E252</f>
        <v>2.2292062775393084E-3</v>
      </c>
    </row>
    <row r="90" spans="1:6">
      <c r="A90" s="97" t="s">
        <v>55</v>
      </c>
      <c r="B90" s="65">
        <v>37162</v>
      </c>
      <c r="C90" s="11">
        <v>-4.4145999999999998E-2</v>
      </c>
      <c r="D90" s="11">
        <v>-4.4010000000000004E-3</v>
      </c>
      <c r="E90" s="11">
        <v>-8.1723000000000004E-2</v>
      </c>
      <c r="F90" s="11">
        <f>'FRED 90-Day T-Bill Data'!$E253</f>
        <v>1.8249866044590668E-3</v>
      </c>
    </row>
    <row r="91" spans="1:6">
      <c r="A91" s="97" t="s">
        <v>55</v>
      </c>
      <c r="B91" s="65">
        <v>37195</v>
      </c>
      <c r="C91" s="11">
        <v>-4.5824999999999998E-2</v>
      </c>
      <c r="D91" s="11">
        <v>-3.0206E-2</v>
      </c>
      <c r="E91" s="11">
        <v>1.8099000000000001E-2</v>
      </c>
      <c r="F91" s="11">
        <f>'FRED 90-Day T-Bill Data'!$E254</f>
        <v>1.5853698745496025E-3</v>
      </c>
    </row>
    <row r="92" spans="1:6">
      <c r="A92" s="97" t="s">
        <v>55</v>
      </c>
      <c r="B92" s="65">
        <v>37225</v>
      </c>
      <c r="C92" s="11">
        <v>1.7715999999999999E-2</v>
      </c>
      <c r="D92" s="11">
        <v>-8.1030000000000008E-3</v>
      </c>
      <c r="E92" s="11">
        <v>7.5176000000000007E-2</v>
      </c>
      <c r="F92" s="11">
        <f>'FRED 90-Day T-Bill Data'!$E255</f>
        <v>1.4282240519831735E-3</v>
      </c>
    </row>
    <row r="93" spans="1:6">
      <c r="A93" s="97" t="s">
        <v>55</v>
      </c>
      <c r="B93" s="65">
        <v>37256</v>
      </c>
      <c r="C93" s="11">
        <v>5.0965000000000003E-2</v>
      </c>
      <c r="D93" s="11">
        <v>4.5053999999999997E-2</v>
      </c>
      <c r="E93" s="11">
        <v>7.574E-3</v>
      </c>
      <c r="F93" s="11">
        <f>'FRED 90-Day T-Bill Data'!$E256</f>
        <v>1.3951250046282393E-3</v>
      </c>
    </row>
    <row r="94" spans="1:6">
      <c r="A94" s="97" t="s">
        <v>55</v>
      </c>
      <c r="B94" s="65">
        <v>37287</v>
      </c>
      <c r="C94" s="11">
        <v>-6.2133000000000001E-2</v>
      </c>
      <c r="D94" s="11">
        <v>1.5610000000000001E-2</v>
      </c>
      <c r="E94" s="11">
        <v>-1.5573999999999999E-2</v>
      </c>
      <c r="F94" s="11">
        <f>'FRED 90-Day T-Bill Data'!$E257</f>
        <v>1.4613176303193143E-3</v>
      </c>
    </row>
    <row r="95" spans="1:6">
      <c r="A95" s="97" t="s">
        <v>55</v>
      </c>
      <c r="B95" s="65">
        <v>37315</v>
      </c>
      <c r="C95" s="11">
        <v>2.2873999999999999E-2</v>
      </c>
      <c r="D95" s="11">
        <v>8.9049999999999997E-3</v>
      </c>
      <c r="E95" s="11">
        <v>-2.0766E-2</v>
      </c>
      <c r="F95" s="11">
        <f>'FRED 90-Day T-Bill Data'!$E258</f>
        <v>1.5192182385594943E-3</v>
      </c>
    </row>
    <row r="96" spans="1:6">
      <c r="A96" s="97" t="s">
        <v>55</v>
      </c>
      <c r="B96" s="65">
        <v>37343</v>
      </c>
      <c r="C96" s="11">
        <v>0.117089</v>
      </c>
      <c r="D96" s="11">
        <v>2.7206000000000001E-2</v>
      </c>
      <c r="E96" s="11">
        <v>3.6739000000000001E-2</v>
      </c>
      <c r="F96" s="11">
        <f>'FRED 90-Day T-Bill Data'!$E259</f>
        <v>1.4530447483469544E-3</v>
      </c>
    </row>
    <row r="97" spans="1:6">
      <c r="A97" s="97" t="s">
        <v>55</v>
      </c>
      <c r="B97" s="65">
        <v>37376</v>
      </c>
      <c r="C97" s="11">
        <v>-3.4499999999999999E-3</v>
      </c>
      <c r="D97" s="11">
        <v>4.0085999999999997E-2</v>
      </c>
      <c r="E97" s="11">
        <v>-6.1418E-2</v>
      </c>
      <c r="F97" s="11">
        <f>'FRED 90-Day T-Bill Data'!$E260</f>
        <v>1.4613176303193143E-3</v>
      </c>
    </row>
    <row r="98" spans="1:6">
      <c r="A98" s="97" t="s">
        <v>55</v>
      </c>
      <c r="B98" s="65">
        <v>37407</v>
      </c>
      <c r="C98" s="11">
        <v>4.8079999999999998E-3</v>
      </c>
      <c r="D98" s="11">
        <v>1.6861999999999999E-2</v>
      </c>
      <c r="E98" s="11">
        <v>-9.0810000000000005E-3</v>
      </c>
      <c r="F98" s="11">
        <f>'FRED 90-Day T-Bill Data'!$E261</f>
        <v>1.4364979592100813E-3</v>
      </c>
    </row>
    <row r="99" spans="1:6">
      <c r="A99" s="97" t="s">
        <v>55</v>
      </c>
      <c r="B99" s="65">
        <v>37435</v>
      </c>
      <c r="C99" s="11">
        <v>6.1627000000000001E-2</v>
      </c>
      <c r="D99" s="11">
        <v>-4.6149999999999997E-2</v>
      </c>
      <c r="E99" s="11">
        <v>-7.2465000000000002E-2</v>
      </c>
      <c r="F99" s="11">
        <f>'FRED 90-Day T-Bill Data'!$E262</f>
        <v>1.4199498029425772E-3</v>
      </c>
    </row>
    <row r="100" spans="1:6">
      <c r="A100" s="97" t="s">
        <v>55</v>
      </c>
      <c r="B100" s="65">
        <v>37468</v>
      </c>
      <c r="C100" s="11">
        <v>-6.7641999999999994E-2</v>
      </c>
      <c r="D100" s="11">
        <v>2.6346999999999999E-2</v>
      </c>
      <c r="E100" s="11">
        <v>-7.8994999999999996E-2</v>
      </c>
      <c r="F100" s="11">
        <f>'FRED 90-Day T-Bill Data'!$E263</f>
        <v>1.3702971288724886E-3</v>
      </c>
    </row>
    <row r="101" spans="1:6">
      <c r="A101" s="97" t="s">
        <v>55</v>
      </c>
      <c r="B101" s="65">
        <v>37498</v>
      </c>
      <c r="C101" s="11">
        <v>3.5293999999999999E-2</v>
      </c>
      <c r="D101" s="11">
        <v>-3.7456000000000003E-2</v>
      </c>
      <c r="E101" s="11">
        <v>4.8809999999999999E-3</v>
      </c>
      <c r="F101" s="11">
        <f>'FRED 90-Day T-Bill Data'!$E264</f>
        <v>1.3785734294475827E-3</v>
      </c>
    </row>
    <row r="102" spans="1:6">
      <c r="A102" s="97" t="s">
        <v>55</v>
      </c>
      <c r="B102" s="65">
        <v>37529</v>
      </c>
      <c r="C102" s="11">
        <v>-4.9052999999999999E-2</v>
      </c>
      <c r="D102" s="11">
        <v>-1.1551000000000001E-2</v>
      </c>
      <c r="E102" s="11">
        <v>-0.110013</v>
      </c>
      <c r="F102" s="11">
        <f>'FRED 90-Day T-Bill Data'!$E265</f>
        <v>1.3371885059489941E-3</v>
      </c>
    </row>
    <row r="103" spans="1:6">
      <c r="A103" s="97" t="s">
        <v>55</v>
      </c>
      <c r="B103" s="65">
        <v>37560</v>
      </c>
      <c r="C103" s="11">
        <v>-4.0049000000000001E-2</v>
      </c>
      <c r="D103" s="11">
        <v>5.8429000000000002E-2</v>
      </c>
      <c r="E103" s="11">
        <v>8.6435999999999999E-2</v>
      </c>
      <c r="F103" s="11">
        <f>'FRED 90-Day T-Bill Data'!$E266</f>
        <v>1.0389643083117406E-3</v>
      </c>
    </row>
    <row r="104" spans="1:6">
      <c r="A104" s="97" t="s">
        <v>55</v>
      </c>
      <c r="B104" s="65">
        <v>37589</v>
      </c>
      <c r="C104" s="11">
        <v>7.4589000000000003E-2</v>
      </c>
      <c r="D104" s="11">
        <v>-5.3206000000000003E-2</v>
      </c>
      <c r="E104" s="11">
        <v>5.7070000000000003E-2</v>
      </c>
      <c r="F104" s="11">
        <f>'FRED 90-Day T-Bill Data'!$E267</f>
        <v>1.0058008507165539E-3</v>
      </c>
    </row>
    <row r="105" spans="1:6">
      <c r="A105" s="97" t="s">
        <v>55</v>
      </c>
      <c r="B105" s="65">
        <v>37621</v>
      </c>
      <c r="C105" s="11">
        <v>1.2156999999999999E-2</v>
      </c>
      <c r="D105" s="11">
        <v>7.7232999999999996E-2</v>
      </c>
      <c r="E105" s="11">
        <v>-6.0332999999999998E-2</v>
      </c>
      <c r="F105" s="11">
        <f>'FRED 90-Day T-Bill Data'!$E268</f>
        <v>9.8921706162169443E-4</v>
      </c>
    </row>
    <row r="106" spans="1:6">
      <c r="A106" s="97" t="s">
        <v>55</v>
      </c>
      <c r="B106" s="65">
        <v>37652</v>
      </c>
      <c r="C106" s="11">
        <v>-7.2760000000000003E-3</v>
      </c>
      <c r="D106" s="11">
        <v>-6.7724999999999994E-2</v>
      </c>
      <c r="E106" s="11">
        <v>-2.7414999999999998E-2</v>
      </c>
      <c r="F106" s="11">
        <f>'FRED 90-Day T-Bill Data'!$E269</f>
        <v>9.8921706162169443E-4</v>
      </c>
    </row>
    <row r="107" spans="1:6">
      <c r="A107" s="97" t="s">
        <v>55</v>
      </c>
      <c r="B107" s="65">
        <v>37680</v>
      </c>
      <c r="C107" s="11">
        <v>9.3109999999999998E-3</v>
      </c>
      <c r="D107" s="11">
        <v>-9.018E-3</v>
      </c>
      <c r="E107" s="11">
        <v>-1.7003999999999998E-2</v>
      </c>
      <c r="F107" s="11">
        <f>'FRED 90-Day T-Bill Data'!$E270</f>
        <v>9.5604536158644393E-4</v>
      </c>
    </row>
    <row r="108" spans="1:6">
      <c r="A108" s="97" t="s">
        <v>55</v>
      </c>
      <c r="B108" s="65">
        <v>37711</v>
      </c>
      <c r="C108" s="11">
        <v>4.0823999999999999E-2</v>
      </c>
      <c r="D108" s="11">
        <v>-1.359E-2</v>
      </c>
      <c r="E108" s="11">
        <v>8.3580000000000008E-3</v>
      </c>
      <c r="F108" s="11">
        <f>'FRED 90-Day T-Bill Data'!$E271</f>
        <v>9.5604536158644393E-4</v>
      </c>
    </row>
    <row r="109" spans="1:6">
      <c r="A109" s="97" t="s">
        <v>55</v>
      </c>
      <c r="B109" s="65">
        <v>37741</v>
      </c>
      <c r="C109" s="11">
        <v>5.2056999999999999E-2</v>
      </c>
      <c r="D109" s="11">
        <v>1.0397999999999999E-2</v>
      </c>
      <c r="E109" s="11">
        <v>8.1044000000000005E-2</v>
      </c>
      <c r="F109" s="11">
        <f>'FRED 90-Day T-Bill Data'!$E272</f>
        <v>9.0627750316119027E-4</v>
      </c>
    </row>
    <row r="110" spans="1:6">
      <c r="A110" s="97" t="s">
        <v>55</v>
      </c>
      <c r="B110" s="65">
        <v>37771</v>
      </c>
      <c r="C110" s="11">
        <v>3.6747000000000002E-2</v>
      </c>
      <c r="D110" s="11">
        <v>0.12040099999999999</v>
      </c>
      <c r="E110" s="11">
        <v>5.0899E-2</v>
      </c>
      <c r="F110" s="11">
        <f>'FRED 90-Day T-Bill Data'!$E273</f>
        <v>7.8180369700842078E-4</v>
      </c>
    </row>
    <row r="111" spans="1:6">
      <c r="A111" s="97" t="s">
        <v>55</v>
      </c>
      <c r="B111" s="65">
        <v>37802</v>
      </c>
      <c r="C111" s="11">
        <v>1.8249000000000001E-2</v>
      </c>
      <c r="D111" s="11">
        <v>6.7460000000000003E-3</v>
      </c>
      <c r="E111" s="11">
        <v>1.1322E-2</v>
      </c>
      <c r="F111" s="11">
        <f>'FRED 90-Day T-Bill Data'!$E274</f>
        <v>7.6520133958157821E-4</v>
      </c>
    </row>
    <row r="112" spans="1:6">
      <c r="A112" s="97" t="s">
        <v>55</v>
      </c>
      <c r="B112" s="65">
        <v>37833</v>
      </c>
      <c r="C112" s="11">
        <v>5.8514999999999998E-2</v>
      </c>
      <c r="D112" s="11">
        <v>-8.2486000000000004E-2</v>
      </c>
      <c r="E112" s="11">
        <v>1.6223999999999999E-2</v>
      </c>
      <c r="F112" s="11">
        <f>'FRED 90-Day T-Bill Data'!$E275</f>
        <v>8.0670465135090907E-4</v>
      </c>
    </row>
    <row r="113" spans="1:6">
      <c r="A113" s="97" t="s">
        <v>55</v>
      </c>
      <c r="B113" s="65">
        <v>37862</v>
      </c>
      <c r="C113" s="11">
        <v>3.7129000000000002E-2</v>
      </c>
      <c r="D113" s="11">
        <v>9.5689999999999994E-3</v>
      </c>
      <c r="E113" s="11">
        <v>1.7873E-2</v>
      </c>
      <c r="F113" s="11">
        <f>'FRED 90-Day T-Bill Data'!$E276</f>
        <v>7.984046774345277E-4</v>
      </c>
    </row>
    <row r="114" spans="1:6">
      <c r="A114" s="97" t="s">
        <v>55</v>
      </c>
      <c r="B114" s="65">
        <v>37894</v>
      </c>
      <c r="C114" s="11">
        <v>1.0182999999999999E-2</v>
      </c>
      <c r="D114" s="11">
        <v>3.1116000000000001E-2</v>
      </c>
      <c r="E114" s="11">
        <v>-1.1944E-2</v>
      </c>
      <c r="F114" s="11">
        <f>'FRED 90-Day T-Bill Data'!$E277</f>
        <v>7.8180369700842078E-4</v>
      </c>
    </row>
    <row r="115" spans="1:6">
      <c r="A115" s="97" t="s">
        <v>55</v>
      </c>
      <c r="B115" s="65">
        <v>37925</v>
      </c>
      <c r="C115" s="11">
        <v>-4.5128000000000001E-2</v>
      </c>
      <c r="D115" s="11">
        <v>-7.1149999999999998E-3</v>
      </c>
      <c r="E115" s="11">
        <v>5.4961999999999997E-2</v>
      </c>
      <c r="F115" s="11">
        <f>'FRED 90-Day T-Bill Data'!$E278</f>
        <v>7.9010435933080103E-4</v>
      </c>
    </row>
    <row r="116" spans="1:6">
      <c r="A116" s="97" t="s">
        <v>55</v>
      </c>
      <c r="B116" s="65">
        <v>37953</v>
      </c>
      <c r="C116" s="11">
        <v>6.7969000000000002E-2</v>
      </c>
      <c r="D116" s="11">
        <v>9.6369999999999997E-3</v>
      </c>
      <c r="E116" s="11">
        <v>7.1289999999999999E-3</v>
      </c>
      <c r="F116" s="11">
        <f>'FRED 90-Day T-Bill Data'!$E279</f>
        <v>7.5689964441472135E-4</v>
      </c>
    </row>
    <row r="117" spans="1:6">
      <c r="A117" s="97" t="s">
        <v>55</v>
      </c>
      <c r="B117" s="65">
        <v>37986</v>
      </c>
      <c r="C117" s="11">
        <v>1.6419E-2</v>
      </c>
      <c r="D117" s="11">
        <v>6.7246E-2</v>
      </c>
      <c r="E117" s="11">
        <v>5.0764999999999998E-2</v>
      </c>
      <c r="F117" s="11">
        <f>'FRED 90-Day T-Bill Data'!$E280</f>
        <v>7.4859760490331162E-4</v>
      </c>
    </row>
    <row r="118" spans="1:6">
      <c r="A118" s="97" t="s">
        <v>55</v>
      </c>
      <c r="B118" s="65">
        <v>38016</v>
      </c>
      <c r="C118" s="11">
        <v>-3.2232999999999998E-2</v>
      </c>
      <c r="D118" s="11">
        <v>1.9064999999999999E-2</v>
      </c>
      <c r="E118" s="11">
        <v>1.7276E-2</v>
      </c>
      <c r="F118" s="11">
        <f>'FRED 90-Day T-Bill Data'!$E281</f>
        <v>7.8180369700842078E-4</v>
      </c>
    </row>
    <row r="119" spans="1:6">
      <c r="A119" s="97" t="s">
        <v>55</v>
      </c>
      <c r="B119" s="65">
        <v>38044</v>
      </c>
      <c r="C119" s="11">
        <v>1.3194000000000001E-2</v>
      </c>
      <c r="D119" s="11">
        <v>2.0648E-2</v>
      </c>
      <c r="E119" s="11">
        <v>1.2208999999999999E-2</v>
      </c>
      <c r="F119" s="11">
        <f>'FRED 90-Day T-Bill Data'!$E282</f>
        <v>7.9010435933080103E-4</v>
      </c>
    </row>
    <row r="120" spans="1:6">
      <c r="A120" s="97" t="s">
        <v>55</v>
      </c>
      <c r="B120" s="65">
        <v>38077</v>
      </c>
      <c r="C120" s="11">
        <v>5.2724E-2</v>
      </c>
      <c r="D120" s="11">
        <v>-1.585E-3</v>
      </c>
      <c r="E120" s="11">
        <v>-1.6358999999999999E-2</v>
      </c>
      <c r="F120" s="11">
        <f>'FRED 90-Day T-Bill Data'!$E283</f>
        <v>7.984046774345277E-4</v>
      </c>
    </row>
    <row r="121" spans="1:6">
      <c r="A121" s="97" t="s">
        <v>55</v>
      </c>
      <c r="B121" s="65">
        <v>38107</v>
      </c>
      <c r="C121" s="11">
        <v>-6.9466E-2</v>
      </c>
      <c r="D121" s="11">
        <v>-6.5532999999999994E-2</v>
      </c>
      <c r="E121" s="11">
        <v>-1.6791E-2</v>
      </c>
      <c r="F121" s="11">
        <f>'FRED 90-Day T-Bill Data'!$E284</f>
        <v>8.6479483415757841E-4</v>
      </c>
    </row>
    <row r="122" spans="1:6">
      <c r="A122" s="97" t="s">
        <v>55</v>
      </c>
      <c r="B122" s="65">
        <v>38135</v>
      </c>
      <c r="C122" s="11">
        <v>7.5471999999999997E-2</v>
      </c>
      <c r="D122" s="11">
        <v>-3.3607999999999999E-2</v>
      </c>
      <c r="E122" s="11">
        <v>1.2083E-2</v>
      </c>
      <c r="F122" s="11">
        <f>'FRED 90-Day T-Bill Data'!$E285</f>
        <v>1.0721222734495495E-3</v>
      </c>
    </row>
    <row r="123" spans="1:6">
      <c r="A123" s="97" t="s">
        <v>55</v>
      </c>
      <c r="B123" s="65">
        <v>38168</v>
      </c>
      <c r="C123" s="11">
        <v>5.4767000000000003E-2</v>
      </c>
      <c r="D123" s="11">
        <v>1.2736000000000001E-2</v>
      </c>
      <c r="E123" s="11">
        <v>1.7989000000000002E-2</v>
      </c>
      <c r="F123" s="11">
        <f>'FRED 90-Day T-Bill Data'!$E286</f>
        <v>1.1301355022326209E-3</v>
      </c>
    </row>
    <row r="124" spans="1:6">
      <c r="A124" s="97" t="s">
        <v>55</v>
      </c>
      <c r="B124" s="65">
        <v>38198</v>
      </c>
      <c r="C124" s="11">
        <v>-3.5845000000000002E-2</v>
      </c>
      <c r="D124" s="11">
        <v>3.0433000000000002E-2</v>
      </c>
      <c r="E124" s="11">
        <v>-3.4291000000000002E-2</v>
      </c>
      <c r="F124" s="11">
        <f>'FRED 90-Day T-Bill Data'!$E287</f>
        <v>1.2461115590762795E-3</v>
      </c>
    </row>
    <row r="125" spans="1:6">
      <c r="A125" s="97" t="s">
        <v>55</v>
      </c>
      <c r="B125" s="65">
        <v>38230</v>
      </c>
      <c r="C125" s="11">
        <v>0.11912</v>
      </c>
      <c r="D125" s="11">
        <v>4.3812999999999998E-2</v>
      </c>
      <c r="E125" s="11">
        <v>2.287E-3</v>
      </c>
      <c r="F125" s="11">
        <f>'FRED 90-Day T-Bill Data'!$E288</f>
        <v>1.3951250046282393E-3</v>
      </c>
    </row>
    <row r="126" spans="1:6">
      <c r="A126" s="97" t="s">
        <v>55</v>
      </c>
      <c r="B126" s="65">
        <v>38260</v>
      </c>
      <c r="C126" s="11">
        <v>-1.5051E-2</v>
      </c>
      <c r="D126" s="11">
        <v>-3.7910000000000001E-3</v>
      </c>
      <c r="E126" s="11">
        <v>9.3640000000000008E-3</v>
      </c>
      <c r="F126" s="11">
        <f>'FRED 90-Day T-Bill Data'!$E289</f>
        <v>1.4861342262237898E-3</v>
      </c>
    </row>
    <row r="127" spans="1:6">
      <c r="A127" s="97" t="s">
        <v>55</v>
      </c>
      <c r="B127" s="65">
        <v>38289</v>
      </c>
      <c r="C127" s="11">
        <v>9.1996999999999995E-2</v>
      </c>
      <c r="D127" s="11">
        <v>3.3538999999999999E-2</v>
      </c>
      <c r="E127" s="11">
        <v>1.4014E-2</v>
      </c>
      <c r="F127" s="11">
        <f>'FRED 90-Day T-Bill Data'!$E290</f>
        <v>1.7506534564204479E-3</v>
      </c>
    </row>
    <row r="128" spans="1:6">
      <c r="A128" s="97" t="s">
        <v>55</v>
      </c>
      <c r="B128" s="65">
        <v>38321</v>
      </c>
      <c r="C128" s="11">
        <v>2.6383E-2</v>
      </c>
      <c r="D128" s="11">
        <v>2.2209E-2</v>
      </c>
      <c r="E128" s="11">
        <v>3.8594999999999997E-2</v>
      </c>
      <c r="F128" s="11">
        <f>'FRED 90-Day T-Bill Data'!$E291</f>
        <v>1.8415013374062372E-3</v>
      </c>
    </row>
    <row r="129" spans="1:6">
      <c r="A129" s="97" t="s">
        <v>55</v>
      </c>
      <c r="B129" s="65">
        <v>38352</v>
      </c>
      <c r="C129" s="11">
        <v>5.0416000000000002E-2</v>
      </c>
      <c r="D129" s="11">
        <v>-2.2799999999999999E-3</v>
      </c>
      <c r="E129" s="11">
        <v>3.2458000000000001E-2</v>
      </c>
      <c r="F129" s="11">
        <f>'FRED 90-Day T-Bill Data'!$E292</f>
        <v>1.9653184676531321E-3</v>
      </c>
    </row>
    <row r="130" spans="1:6">
      <c r="A130" s="97" t="s">
        <v>55</v>
      </c>
      <c r="B130" s="65">
        <v>38383</v>
      </c>
      <c r="C130" s="11">
        <v>-0.14140800000000001</v>
      </c>
      <c r="D130" s="11">
        <v>2.7430000000000002E-3</v>
      </c>
      <c r="E130" s="11">
        <v>-2.529E-2</v>
      </c>
      <c r="F130" s="11">
        <f>'FRED 90-Day T-Bill Data'!$E293</f>
        <v>2.1385340274766573E-3</v>
      </c>
    </row>
    <row r="131" spans="1:6">
      <c r="A131" s="97" t="s">
        <v>55</v>
      </c>
      <c r="B131" s="65">
        <v>38411</v>
      </c>
      <c r="C131" s="11">
        <v>1.807E-3</v>
      </c>
      <c r="D131" s="11">
        <v>-1.2537E-2</v>
      </c>
      <c r="E131" s="11">
        <v>1.8903E-2</v>
      </c>
      <c r="F131" s="11">
        <f>'FRED 90-Day T-Bill Data'!$E294</f>
        <v>2.3198375302941887E-3</v>
      </c>
    </row>
    <row r="132" spans="1:6">
      <c r="A132" s="97" t="s">
        <v>55</v>
      </c>
      <c r="B132" s="65">
        <v>38442</v>
      </c>
      <c r="C132" s="11">
        <v>-3.0105E-2</v>
      </c>
      <c r="D132" s="11">
        <v>-1.3332999999999999E-2</v>
      </c>
      <c r="E132" s="11">
        <v>-1.9118E-2</v>
      </c>
      <c r="F132" s="11">
        <f>'FRED 90-Day T-Bill Data'!$E295</f>
        <v>2.3527841928199233E-3</v>
      </c>
    </row>
    <row r="133" spans="1:6">
      <c r="A133" s="97" t="s">
        <v>55</v>
      </c>
      <c r="B133" s="65">
        <v>38471</v>
      </c>
      <c r="C133" s="11">
        <v>9.9131999999999998E-2</v>
      </c>
      <c r="D133" s="11">
        <v>2.6079000000000001E-2</v>
      </c>
      <c r="E133" s="11">
        <v>-2.0108999999999998E-2</v>
      </c>
      <c r="F133" s="11">
        <f>'FRED 90-Day T-Bill Data'!$E296</f>
        <v>2.4021940363758709E-3</v>
      </c>
    </row>
    <row r="134" spans="1:6">
      <c r="A134" s="97" t="s">
        <v>55</v>
      </c>
      <c r="B134" s="65">
        <v>38503</v>
      </c>
      <c r="C134" s="11">
        <v>5.3324999999999997E-2</v>
      </c>
      <c r="D134" s="11">
        <v>6.4695000000000003E-2</v>
      </c>
      <c r="E134" s="11">
        <v>2.9951999999999999E-2</v>
      </c>
      <c r="F134" s="11">
        <f>'FRED 90-Day T-Bill Data'!$E297</f>
        <v>2.5174363378128728E-3</v>
      </c>
    </row>
    <row r="135" spans="1:6">
      <c r="A135" s="97" t="s">
        <v>55</v>
      </c>
      <c r="B135" s="65">
        <v>38533</v>
      </c>
      <c r="C135" s="11">
        <v>4.8375000000000001E-2</v>
      </c>
      <c r="D135" s="11">
        <v>2.9224E-2</v>
      </c>
      <c r="E135" s="11">
        <v>-1.4300000000000001E-4</v>
      </c>
      <c r="F135" s="11">
        <f>'FRED 90-Day T-Bill Data'!$E298</f>
        <v>2.7230615627837906E-3</v>
      </c>
    </row>
    <row r="136" spans="1:6">
      <c r="A136" s="97" t="s">
        <v>55</v>
      </c>
      <c r="B136" s="65">
        <v>38562</v>
      </c>
      <c r="C136" s="11">
        <v>0.105948</v>
      </c>
      <c r="D136" s="11">
        <v>2.8181000000000001E-2</v>
      </c>
      <c r="E136" s="11">
        <v>3.5968E-2</v>
      </c>
      <c r="F136" s="11">
        <f>'FRED 90-Day T-Bill Data'!$E299</f>
        <v>2.9120507402111695E-3</v>
      </c>
    </row>
    <row r="137" spans="1:6">
      <c r="A137" s="97" t="s">
        <v>55</v>
      </c>
      <c r="B137" s="65">
        <v>38595</v>
      </c>
      <c r="C137" s="11">
        <v>-4.2564999999999999E-2</v>
      </c>
      <c r="D137" s="11">
        <v>-1.4120000000000001E-2</v>
      </c>
      <c r="E137" s="11">
        <v>-1.1221999999999999E-2</v>
      </c>
      <c r="F137" s="11">
        <f>'FRED 90-Day T-Bill Data'!$E300</f>
        <v>2.8874100745721609E-3</v>
      </c>
    </row>
    <row r="138" spans="1:6">
      <c r="A138" s="97" t="s">
        <v>55</v>
      </c>
      <c r="B138" s="65">
        <v>38625</v>
      </c>
      <c r="C138" s="11">
        <v>3.2518999999999999E-2</v>
      </c>
      <c r="D138" s="11">
        <v>3.4960999999999999E-2</v>
      </c>
      <c r="E138" s="11">
        <v>6.9490000000000003E-3</v>
      </c>
      <c r="F138" s="11">
        <f>'FRED 90-Day T-Bill Data'!$E301</f>
        <v>3.1336806308761567E-3</v>
      </c>
    </row>
    <row r="139" spans="1:6">
      <c r="A139" s="97" t="s">
        <v>55</v>
      </c>
      <c r="B139" s="65">
        <v>38656</v>
      </c>
      <c r="C139" s="11">
        <v>-1.333E-3</v>
      </c>
      <c r="D139" s="11">
        <v>-6.2822000000000003E-2</v>
      </c>
      <c r="E139" s="11">
        <v>-1.7741E-2</v>
      </c>
      <c r="F139" s="11">
        <f>'FRED 90-Day T-Bill Data'!$E302</f>
        <v>3.2812979870655568E-3</v>
      </c>
    </row>
    <row r="140" spans="1:6">
      <c r="A140" s="97" t="s">
        <v>55</v>
      </c>
      <c r="B140" s="65">
        <v>38686</v>
      </c>
      <c r="C140" s="11">
        <v>2.0249E-2</v>
      </c>
      <c r="D140" s="11">
        <v>1.3407000000000001E-2</v>
      </c>
      <c r="E140" s="11">
        <v>3.5186000000000002E-2</v>
      </c>
      <c r="F140" s="11">
        <f>'FRED 90-Day T-Bill Data'!$E303</f>
        <v>3.2812979870655568E-3</v>
      </c>
    </row>
    <row r="141" spans="1:6">
      <c r="A141" s="97" t="s">
        <v>55</v>
      </c>
      <c r="B141" s="65">
        <v>38716</v>
      </c>
      <c r="C141" s="11">
        <v>1.4286E-2</v>
      </c>
      <c r="D141" s="11">
        <v>1.7347000000000001E-2</v>
      </c>
      <c r="E141" s="11">
        <v>-9.5200000000000005E-4</v>
      </c>
      <c r="F141" s="11">
        <f>'FRED 90-Day T-Bill Data'!$E304</f>
        <v>3.5843930632286636E-3</v>
      </c>
    </row>
    <row r="142" spans="1:6">
      <c r="A142" s="97" t="s">
        <v>55</v>
      </c>
      <c r="B142" s="65">
        <v>38748</v>
      </c>
      <c r="C142" s="11">
        <v>7.7873999999999999E-2</v>
      </c>
      <c r="D142" s="11">
        <v>1.4677000000000001E-2</v>
      </c>
      <c r="E142" s="11">
        <v>2.5467E-2</v>
      </c>
      <c r="F142" s="11">
        <f>'FRED 90-Day T-Bill Data'!$E305</f>
        <v>3.7480378641947532E-3</v>
      </c>
    </row>
    <row r="143" spans="1:6">
      <c r="A143" s="97" t="s">
        <v>55</v>
      </c>
      <c r="B143" s="65">
        <v>38776</v>
      </c>
      <c r="C143" s="11">
        <v>2.7169999999999998E-3</v>
      </c>
      <c r="D143" s="11">
        <v>-1.2019E-2</v>
      </c>
      <c r="E143" s="11">
        <v>4.5300000000000001E-4</v>
      </c>
      <c r="F143" s="11">
        <f>'FRED 90-Day T-Bill Data'!$E306</f>
        <v>3.8216345246488981E-3</v>
      </c>
    </row>
    <row r="144" spans="1:6">
      <c r="A144" s="97" t="s">
        <v>55</v>
      </c>
      <c r="B144" s="65">
        <v>38807</v>
      </c>
      <c r="C144" s="11">
        <v>9.9547999999999998E-2</v>
      </c>
      <c r="D144" s="11">
        <v>-5.1667999999999999E-2</v>
      </c>
      <c r="E144" s="11">
        <v>1.1065E-2</v>
      </c>
      <c r="F144" s="11">
        <f>'FRED 90-Day T-Bill Data'!$E307</f>
        <v>3.8952042157516242E-3</v>
      </c>
    </row>
    <row r="145" spans="1:6">
      <c r="A145" s="97" t="s">
        <v>55</v>
      </c>
      <c r="B145" s="65">
        <v>38835</v>
      </c>
      <c r="C145" s="11">
        <v>3.4030000000000002E-3</v>
      </c>
      <c r="D145" s="11">
        <v>-8.7360000000000007E-3</v>
      </c>
      <c r="E145" s="11">
        <v>1.2187E-2</v>
      </c>
      <c r="F145" s="11">
        <f>'FRED 90-Day T-Bill Data'!$E308</f>
        <v>3.9932552224561935E-3</v>
      </c>
    </row>
    <row r="146" spans="1:6">
      <c r="A146" s="97" t="s">
        <v>55</v>
      </c>
      <c r="B146" s="65">
        <v>38868</v>
      </c>
      <c r="C146" s="11">
        <v>-2.3831000000000001E-2</v>
      </c>
      <c r="D146" s="11">
        <v>3.6061999999999997E-2</v>
      </c>
      <c r="E146" s="11">
        <v>-3.0917E-2</v>
      </c>
      <c r="F146" s="11">
        <f>'FRED 90-Day T-Bill Data'!$E309</f>
        <v>4.0585959707315489E-3</v>
      </c>
    </row>
    <row r="147" spans="1:6">
      <c r="A147" s="97" t="s">
        <v>55</v>
      </c>
      <c r="B147" s="65">
        <v>38898</v>
      </c>
      <c r="C147" s="11">
        <v>5.6337999999999999E-2</v>
      </c>
      <c r="D147" s="11">
        <v>7.7099999999999998E-3</v>
      </c>
      <c r="E147" s="11">
        <v>8.7000000000000001E-5</v>
      </c>
      <c r="F147" s="11">
        <f>'FRED 90-Day T-Bill Data'!$E310</f>
        <v>4.1892137208978664E-3</v>
      </c>
    </row>
    <row r="148" spans="1:6">
      <c r="A148" s="97" t="s">
        <v>55</v>
      </c>
      <c r="B148" s="65">
        <v>38929</v>
      </c>
      <c r="C148" s="11">
        <v>4.863E-2</v>
      </c>
      <c r="D148" s="11">
        <v>5.4679999999999999E-2</v>
      </c>
      <c r="E148" s="11">
        <v>5.0860000000000002E-3</v>
      </c>
      <c r="F148" s="11">
        <f>'FRED 90-Day T-Bill Data'!$E311</f>
        <v>4.1973745102803495E-3</v>
      </c>
    </row>
    <row r="149" spans="1:6">
      <c r="A149" s="97" t="s">
        <v>55</v>
      </c>
      <c r="B149" s="65">
        <v>38960</v>
      </c>
      <c r="C149" s="11">
        <v>7.1568999999999994E-2</v>
      </c>
      <c r="D149" s="11">
        <v>-2.0270000000000002E-3</v>
      </c>
      <c r="E149" s="11">
        <v>2.1274000000000001E-2</v>
      </c>
      <c r="F149" s="11">
        <f>'FRED 90-Day T-Bill Data'!$E312</f>
        <v>4.0667620695418183E-3</v>
      </c>
    </row>
    <row r="150" spans="1:6">
      <c r="A150" s="97" t="s">
        <v>55</v>
      </c>
      <c r="B150" s="65">
        <v>38989</v>
      </c>
      <c r="C150" s="11">
        <v>-2.5742999999999999E-2</v>
      </c>
      <c r="D150" s="11">
        <v>0</v>
      </c>
      <c r="E150" s="11">
        <v>2.4566000000000001E-2</v>
      </c>
      <c r="F150" s="11">
        <f>'FRED 90-Day T-Bill Data'!$E313</f>
        <v>4.1647293629312188E-3</v>
      </c>
    </row>
    <row r="151" spans="1:6">
      <c r="A151" s="97" t="s">
        <v>55</v>
      </c>
      <c r="B151" s="65">
        <v>39021</v>
      </c>
      <c r="C151" s="11">
        <v>9.7858000000000001E-2</v>
      </c>
      <c r="D151" s="11">
        <v>4.6537000000000002E-2</v>
      </c>
      <c r="E151" s="11">
        <v>3.1508000000000001E-2</v>
      </c>
      <c r="F151" s="11">
        <f>'FRED 90-Day T-Bill Data'!$E314</f>
        <v>4.1810525998986492E-3</v>
      </c>
    </row>
    <row r="152" spans="1:6">
      <c r="A152" s="97" t="s">
        <v>55</v>
      </c>
      <c r="B152" s="65">
        <v>39051</v>
      </c>
      <c r="C152" s="11">
        <v>-9.3039999999999998E-3</v>
      </c>
      <c r="D152" s="11">
        <v>9.2040000000000004E-3</v>
      </c>
      <c r="E152" s="11">
        <v>1.6466999999999999E-2</v>
      </c>
      <c r="F152" s="11">
        <f>'FRED 90-Day T-Bill Data'!$E315</f>
        <v>4.0994231444611007E-3</v>
      </c>
    </row>
    <row r="153" spans="1:6">
      <c r="A153" s="97" t="s">
        <v>55</v>
      </c>
      <c r="B153" s="65">
        <v>39080</v>
      </c>
      <c r="C153" s="11">
        <v>-1.4768E-2</v>
      </c>
      <c r="D153" s="11">
        <v>-3.1110000000000001E-3</v>
      </c>
      <c r="E153" s="11">
        <v>1.2616E-2</v>
      </c>
      <c r="F153" s="11">
        <f>'FRED 90-Day T-Bill Data'!$E316</f>
        <v>4.2136950943136853E-3</v>
      </c>
    </row>
    <row r="154" spans="1:6">
      <c r="A154" s="97" t="s">
        <v>55</v>
      </c>
      <c r="B154" s="65">
        <v>39113</v>
      </c>
      <c r="C154" s="11">
        <v>0.11675099999999999</v>
      </c>
      <c r="D154" s="11">
        <v>4.3689999999999996E-3</v>
      </c>
      <c r="E154" s="11">
        <v>1.4059E-2</v>
      </c>
      <c r="F154" s="11">
        <f>'FRED 90-Day T-Bill Data'!$E317</f>
        <v>4.2544907531789633E-3</v>
      </c>
    </row>
    <row r="155" spans="1:6">
      <c r="A155" s="97" t="s">
        <v>55</v>
      </c>
      <c r="B155" s="65">
        <v>39141</v>
      </c>
      <c r="C155" s="11">
        <v>-3.7758E-2</v>
      </c>
      <c r="D155" s="11">
        <v>1.8227E-2</v>
      </c>
      <c r="E155" s="11">
        <v>-2.1846000000000001E-2</v>
      </c>
      <c r="F155" s="11">
        <f>'FRED 90-Day T-Bill Data'!$E318</f>
        <v>4.1892137208978664E-3</v>
      </c>
    </row>
    <row r="156" spans="1:6">
      <c r="A156" s="97" t="s">
        <v>55</v>
      </c>
      <c r="B156" s="65">
        <v>39171</v>
      </c>
      <c r="C156" s="11">
        <v>-6.1055999999999999E-2</v>
      </c>
      <c r="D156" s="11">
        <v>5.1049999999999998E-2</v>
      </c>
      <c r="E156" s="11">
        <v>9.9799999999999993E-3</v>
      </c>
      <c r="F156" s="11">
        <f>'FRED 90-Day T-Bill Data'!$E319</f>
        <v>4.132078908291037E-3</v>
      </c>
    </row>
    <row r="157" spans="1:6">
      <c r="A157" s="97" t="s">
        <v>55</v>
      </c>
      <c r="B157" s="65">
        <v>39202</v>
      </c>
      <c r="C157" s="11">
        <v>-4.7879999999999997E-3</v>
      </c>
      <c r="D157" s="11">
        <v>3.9170000000000003E-3</v>
      </c>
      <c r="E157" s="11">
        <v>4.3291000000000003E-2</v>
      </c>
      <c r="F157" s="11">
        <f>'FRED 90-Day T-Bill Data'!$E320</f>
        <v>4.0177604947122525E-3</v>
      </c>
    </row>
    <row r="158" spans="1:6">
      <c r="A158" s="97" t="s">
        <v>55</v>
      </c>
      <c r="B158" s="65">
        <v>39233</v>
      </c>
      <c r="C158" s="11">
        <v>-1.2649000000000001E-2</v>
      </c>
      <c r="D158" s="11">
        <v>-3.6285999999999999E-2</v>
      </c>
      <c r="E158" s="11">
        <v>3.2549000000000002E-2</v>
      </c>
      <c r="F158" s="11">
        <f>'FRED 90-Day T-Bill Data'!$E321</f>
        <v>3.9115493756787245E-3</v>
      </c>
    </row>
    <row r="159" spans="1:6">
      <c r="A159" s="97" t="s">
        <v>55</v>
      </c>
      <c r="B159" s="65">
        <v>39262</v>
      </c>
      <c r="C159" s="11">
        <v>-7.8598000000000001E-2</v>
      </c>
      <c r="D159" s="11">
        <v>-7.5788999999999995E-2</v>
      </c>
      <c r="E159" s="11">
        <v>-1.7815999999999999E-2</v>
      </c>
      <c r="F159" s="11">
        <f>'FRED 90-Day T-Bill Data'!$E322</f>
        <v>4.0912583737200414E-3</v>
      </c>
    </row>
    <row r="160" spans="1:6">
      <c r="A160" s="97" t="s">
        <v>55</v>
      </c>
      <c r="B160" s="65">
        <v>39294</v>
      </c>
      <c r="C160" s="11">
        <v>-7.4979000000000004E-2</v>
      </c>
      <c r="D160" s="11">
        <v>-3.1914999999999999E-2</v>
      </c>
      <c r="E160" s="11">
        <v>-3.1981999999999997E-2</v>
      </c>
      <c r="F160" s="11">
        <f>'FRED 90-Day T-Bill Data'!$E323</f>
        <v>3.5680212430042602E-3</v>
      </c>
    </row>
    <row r="161" spans="1:6">
      <c r="A161" s="97" t="s">
        <v>55</v>
      </c>
      <c r="B161" s="65">
        <v>39325</v>
      </c>
      <c r="C161" s="11">
        <v>9.4906000000000004E-2</v>
      </c>
      <c r="D161" s="11">
        <v>6.5018000000000006E-2</v>
      </c>
      <c r="E161" s="11">
        <v>1.2864E-2</v>
      </c>
      <c r="F161" s="11">
        <f>'FRED 90-Day T-Bill Data'!$E324</f>
        <v>3.2976932136625781E-3</v>
      </c>
    </row>
    <row r="162" spans="1:6">
      <c r="A162" s="97" t="s">
        <v>55</v>
      </c>
      <c r="B162" s="65">
        <v>39353</v>
      </c>
      <c r="C162" s="11">
        <v>6.0280000000000004E-3</v>
      </c>
      <c r="D162" s="11">
        <v>7.8359999999999992E-3</v>
      </c>
      <c r="E162" s="11">
        <v>3.5793999999999999E-2</v>
      </c>
      <c r="F162" s="11">
        <f>'FRED 90-Day T-Bill Data'!$E325</f>
        <v>3.3058903246372395E-3</v>
      </c>
    </row>
    <row r="163" spans="1:6">
      <c r="A163" s="97" t="s">
        <v>55</v>
      </c>
      <c r="B163" s="65">
        <v>39386</v>
      </c>
      <c r="C163" s="11">
        <v>4.9842999999999998E-2</v>
      </c>
      <c r="D163" s="11">
        <v>1.7062999999999998E-2</v>
      </c>
      <c r="E163" s="11">
        <v>1.4822E-2</v>
      </c>
      <c r="F163" s="11">
        <f>'FRED 90-Day T-Bill Data'!$E326</f>
        <v>2.7723802588286439E-3</v>
      </c>
    </row>
    <row r="164" spans="1:6">
      <c r="A164" s="97" t="s">
        <v>55</v>
      </c>
      <c r="B164" s="65">
        <v>39416</v>
      </c>
      <c r="C164" s="11">
        <v>-0.159524</v>
      </c>
      <c r="D164" s="11">
        <v>4.1197999999999999E-2</v>
      </c>
      <c r="E164" s="11">
        <v>-4.4042999999999999E-2</v>
      </c>
      <c r="F164" s="11">
        <f>'FRED 90-Day T-Bill Data'!$E327</f>
        <v>2.5421225011967863E-3</v>
      </c>
    </row>
    <row r="165" spans="1:6">
      <c r="A165" s="97" t="s">
        <v>55</v>
      </c>
      <c r="B165" s="65">
        <v>39447</v>
      </c>
      <c r="C165" s="11">
        <v>-5.1282000000000001E-2</v>
      </c>
      <c r="D165" s="11">
        <v>8.2559999999999995E-3</v>
      </c>
      <c r="E165" s="11">
        <v>-8.6280000000000003E-3</v>
      </c>
      <c r="F165" s="11">
        <f>'FRED 90-Day T-Bill Data'!$E328</f>
        <v>2.3363115384023025E-3</v>
      </c>
    </row>
    <row r="166" spans="1:6">
      <c r="A166" s="97" t="s">
        <v>55</v>
      </c>
      <c r="B166" s="65">
        <v>39478</v>
      </c>
      <c r="C166" s="11">
        <v>6.2775999999999998E-2</v>
      </c>
      <c r="D166" s="11">
        <v>-0.108086</v>
      </c>
      <c r="E166" s="11">
        <v>-6.1163000000000002E-2</v>
      </c>
      <c r="F166" s="11">
        <f>'FRED 90-Day T-Bill Data'!$E329</f>
        <v>1.8002119525051263E-3</v>
      </c>
    </row>
    <row r="167" spans="1:6">
      <c r="A167" s="97" t="s">
        <v>55</v>
      </c>
      <c r="B167" s="65">
        <v>39507</v>
      </c>
      <c r="C167" s="11">
        <v>1.3802E-2</v>
      </c>
      <c r="D167" s="11">
        <v>-4.8084000000000002E-2</v>
      </c>
      <c r="E167" s="11">
        <v>-3.4761E-2</v>
      </c>
      <c r="F167" s="11">
        <f>'FRED 90-Day T-Bill Data'!$E330</f>
        <v>1.0638332969736819E-3</v>
      </c>
    </row>
    <row r="168" spans="1:6">
      <c r="A168" s="97" t="s">
        <v>55</v>
      </c>
      <c r="B168" s="65">
        <v>39538</v>
      </c>
      <c r="C168" s="11">
        <v>9.4821000000000003E-2</v>
      </c>
      <c r="D168" s="11">
        <v>-2.9101999999999999E-2</v>
      </c>
      <c r="E168" s="11">
        <v>-5.96E-3</v>
      </c>
      <c r="F168" s="11">
        <f>'FRED 90-Day T-Bill Data'!$E331</f>
        <v>1.0886991969722981E-3</v>
      </c>
    </row>
    <row r="169" spans="1:6">
      <c r="A169" s="97" t="s">
        <v>55</v>
      </c>
      <c r="B169" s="65">
        <v>39568</v>
      </c>
      <c r="C169" s="11">
        <v>4.4042999999999999E-2</v>
      </c>
      <c r="D169" s="11">
        <v>4.7858999999999999E-2</v>
      </c>
      <c r="E169" s="11">
        <v>4.7546999999999999E-2</v>
      </c>
      <c r="F169" s="11">
        <f>'FRED 90-Day T-Bill Data'!$E332</f>
        <v>1.4613176303193143E-3</v>
      </c>
    </row>
    <row r="170" spans="1:6">
      <c r="A170" s="97" t="s">
        <v>55</v>
      </c>
      <c r="B170" s="65">
        <v>39598</v>
      </c>
      <c r="C170" s="11">
        <v>3.9500000000000004E-3</v>
      </c>
      <c r="D170" s="11">
        <v>6.8510000000000003E-3</v>
      </c>
      <c r="E170" s="11">
        <v>1.0673999999999999E-2</v>
      </c>
      <c r="F170" s="11">
        <f>'FRED 90-Day T-Bill Data'!$E333</f>
        <v>1.5688340135169287E-3</v>
      </c>
    </row>
    <row r="171" spans="1:6">
      <c r="A171" s="97" t="s">
        <v>55</v>
      </c>
      <c r="B171" s="65">
        <v>39629</v>
      </c>
      <c r="C171" s="11">
        <v>-0.100025</v>
      </c>
      <c r="D171" s="11">
        <v>-5.3511000000000003E-2</v>
      </c>
      <c r="E171" s="11">
        <v>-8.5961999999999997E-2</v>
      </c>
      <c r="F171" s="11">
        <f>'FRED 90-Day T-Bill Data'!$E334</f>
        <v>1.3785734294475827E-3</v>
      </c>
    </row>
    <row r="172" spans="1:6">
      <c r="A172" s="97" t="s">
        <v>55</v>
      </c>
      <c r="B172" s="65">
        <v>39660</v>
      </c>
      <c r="C172" s="11">
        <v>0.13943700000000001</v>
      </c>
      <c r="D172" s="11">
        <v>1.5605000000000001E-2</v>
      </c>
      <c r="E172" s="11">
        <v>-9.8589999999999997E-3</v>
      </c>
      <c r="F172" s="11">
        <f>'FRED 90-Day T-Bill Data'!$E335</f>
        <v>1.4530447483469544E-3</v>
      </c>
    </row>
    <row r="173" spans="1:6">
      <c r="A173" s="97" t="s">
        <v>55</v>
      </c>
      <c r="B173" s="65">
        <v>39689</v>
      </c>
      <c r="C173" s="11">
        <v>-3.2962999999999999E-2</v>
      </c>
      <c r="D173" s="11">
        <v>4.4962000000000002E-2</v>
      </c>
      <c r="E173" s="11">
        <v>1.2191E-2</v>
      </c>
      <c r="F173" s="11">
        <f>'FRED 90-Day T-Bill Data'!$E336</f>
        <v>9.5604536158644393E-4</v>
      </c>
    </row>
    <row r="174" spans="1:6">
      <c r="A174" s="97" t="s">
        <v>55</v>
      </c>
      <c r="B174" s="65">
        <v>39721</v>
      </c>
      <c r="C174" s="11">
        <v>1.7042999999999999E-2</v>
      </c>
      <c r="D174" s="11">
        <v>5.0367000000000002E-2</v>
      </c>
      <c r="E174" s="11">
        <v>-9.0790999999999997E-2</v>
      </c>
      <c r="F174" s="11">
        <f>'FRED 90-Day T-Bill Data'!$E337</f>
        <v>5.7417517592184275E-4</v>
      </c>
    </row>
    <row r="175" spans="1:6">
      <c r="A175" s="97" t="s">
        <v>55</v>
      </c>
      <c r="B175" s="65">
        <v>39752</v>
      </c>
      <c r="C175" s="11">
        <v>-0.17772299999999999</v>
      </c>
      <c r="D175" s="11">
        <v>8.3800000000000003E-3</v>
      </c>
      <c r="E175" s="11">
        <v>-0.16942499999999999</v>
      </c>
      <c r="F175" s="11">
        <f>'FRED 90-Day T-Bill Data'!$E338</f>
        <v>1.5827069608320699E-4</v>
      </c>
    </row>
    <row r="176" spans="1:6">
      <c r="A176" s="97" t="s">
        <v>55</v>
      </c>
      <c r="B176" s="65">
        <v>39780</v>
      </c>
      <c r="C176" s="11">
        <v>-0.111305</v>
      </c>
      <c r="D176" s="11">
        <v>-5.4132E-2</v>
      </c>
      <c r="E176" s="11">
        <v>-7.4848999999999999E-2</v>
      </c>
      <c r="F176" s="11">
        <f>'FRED 90-Day T-Bill Data'!$E339</f>
        <v>2.4998437643253268E-5</v>
      </c>
    </row>
    <row r="177" spans="1:6">
      <c r="A177" s="97" t="s">
        <v>55</v>
      </c>
      <c r="B177" s="65">
        <v>39813</v>
      </c>
      <c r="C177" s="11">
        <v>-0.10061299999999999</v>
      </c>
      <c r="D177" s="11">
        <v>-3.6148E-2</v>
      </c>
      <c r="E177" s="11">
        <v>7.8220000000000008E-3</v>
      </c>
      <c r="F177" s="11">
        <f>'FRED 90-Day T-Bill Data'!$E340</f>
        <v>1.0830400470474011E-4</v>
      </c>
    </row>
    <row r="178" spans="1:6">
      <c r="A178" s="97" t="s">
        <v>55</v>
      </c>
      <c r="B178" s="65">
        <v>39843</v>
      </c>
      <c r="C178" s="11">
        <v>-0.13941400000000001</v>
      </c>
      <c r="D178" s="11">
        <v>4.6751000000000001E-2</v>
      </c>
      <c r="E178" s="11">
        <v>-8.5656999999999997E-2</v>
      </c>
      <c r="F178" s="11">
        <f>'FRED 90-Day T-Bill Data'!$E341</f>
        <v>2.4984389307713961E-4</v>
      </c>
    </row>
    <row r="179" spans="1:6">
      <c r="A179" s="97" t="s">
        <v>55</v>
      </c>
      <c r="B179" s="65">
        <v>39871</v>
      </c>
      <c r="C179" s="11">
        <v>-0.17638200000000001</v>
      </c>
      <c r="D179" s="11">
        <v>-9.6933000000000005E-2</v>
      </c>
      <c r="E179" s="11">
        <v>-0.109931</v>
      </c>
      <c r="F179" s="11">
        <f>'FRED 90-Day T-Bill Data'!$E342</f>
        <v>1.8324936199687336E-4</v>
      </c>
    </row>
    <row r="180" spans="1:6">
      <c r="A180" s="97" t="s">
        <v>55</v>
      </c>
      <c r="B180" s="65">
        <v>39903</v>
      </c>
      <c r="C180" s="11">
        <v>7.2978000000000001E-2</v>
      </c>
      <c r="D180" s="11">
        <v>9.3896999999999994E-2</v>
      </c>
      <c r="E180" s="11">
        <v>8.5404999999999995E-2</v>
      </c>
      <c r="F180" s="11">
        <f>'FRED 90-Day T-Bill Data'!$E343</f>
        <v>1.3328891060493397E-4</v>
      </c>
    </row>
    <row r="181" spans="1:6">
      <c r="A181" s="97" t="s">
        <v>55</v>
      </c>
      <c r="B181" s="65">
        <v>39933</v>
      </c>
      <c r="C181" s="11">
        <v>0.107255</v>
      </c>
      <c r="D181" s="11">
        <v>-6.2609999999999999E-2</v>
      </c>
      <c r="E181" s="11">
        <v>9.3924999999999995E-2</v>
      </c>
      <c r="F181" s="11">
        <f>'FRED 90-Day T-Bill Data'!$E344</f>
        <v>1.4994378091781613E-4</v>
      </c>
    </row>
    <row r="182" spans="1:6">
      <c r="A182" s="97" t="s">
        <v>55</v>
      </c>
      <c r="B182" s="65">
        <v>39962</v>
      </c>
      <c r="C182" s="11">
        <v>7.2452000000000003E-2</v>
      </c>
      <c r="D182" s="11">
        <v>-2.9086999999999998E-2</v>
      </c>
      <c r="E182" s="11">
        <v>5.3081000000000003E-2</v>
      </c>
      <c r="F182" s="11">
        <f>'FRED 90-Day T-Bill Data'!$E345</f>
        <v>1.4994378091781613E-4</v>
      </c>
    </row>
    <row r="183" spans="1:6">
      <c r="A183" s="97" t="s">
        <v>55</v>
      </c>
      <c r="B183" s="65">
        <v>39994</v>
      </c>
      <c r="C183" s="11">
        <v>-7.0934999999999998E-2</v>
      </c>
      <c r="D183" s="11">
        <v>5.5273999999999997E-2</v>
      </c>
      <c r="E183" s="11">
        <v>1.9599999999999999E-4</v>
      </c>
      <c r="F183" s="11">
        <f>'FRED 90-Day T-Bill Data'!$E346</f>
        <v>1.4994378091781613E-4</v>
      </c>
    </row>
    <row r="184" spans="1:6">
      <c r="A184" s="97" t="s">
        <v>55</v>
      </c>
      <c r="B184" s="65">
        <v>40025</v>
      </c>
      <c r="C184" s="11">
        <v>4.4672999999999997E-2</v>
      </c>
      <c r="D184" s="11">
        <v>5.1844000000000001E-2</v>
      </c>
      <c r="E184" s="11">
        <v>7.4142E-2</v>
      </c>
      <c r="F184" s="11">
        <f>'FRED 90-Day T-Bill Data'!$E347</f>
        <v>1.4161651910238326E-4</v>
      </c>
    </row>
    <row r="185" spans="1:6">
      <c r="A185" s="97" t="s">
        <v>55</v>
      </c>
      <c r="B185" s="65">
        <v>40056</v>
      </c>
      <c r="C185" s="11">
        <v>0.14767</v>
      </c>
      <c r="D185" s="11">
        <v>3.6076999999999998E-2</v>
      </c>
      <c r="E185" s="11">
        <v>3.356E-2</v>
      </c>
      <c r="F185" s="11">
        <f>'FRED 90-Day T-Bill Data'!$E348</f>
        <v>9.9975009162811546E-5</v>
      </c>
    </row>
    <row r="186" spans="1:6">
      <c r="A186" s="97" t="s">
        <v>55</v>
      </c>
      <c r="B186" s="65">
        <v>40086</v>
      </c>
      <c r="C186" s="11">
        <v>8.0418000000000003E-2</v>
      </c>
      <c r="D186" s="11">
        <v>1.8661000000000001E-2</v>
      </c>
      <c r="E186" s="11">
        <v>3.5722999999999998E-2</v>
      </c>
      <c r="F186" s="11">
        <f>'FRED 90-Day T-Bill Data'!$E349</f>
        <v>5.8324828208000667E-5</v>
      </c>
    </row>
    <row r="187" spans="1:6">
      <c r="A187" s="97" t="s">
        <v>55</v>
      </c>
      <c r="B187" s="65">
        <v>40116</v>
      </c>
      <c r="C187" s="11">
        <v>-5.5289999999999999E-2</v>
      </c>
      <c r="D187" s="11">
        <v>-6.3509999999999999E-3</v>
      </c>
      <c r="E187" s="11">
        <v>-1.9761999999999998E-2</v>
      </c>
      <c r="F187" s="11">
        <f>'FRED 90-Day T-Bill Data'!$E350</f>
        <v>4.166232705182793E-5</v>
      </c>
    </row>
    <row r="188" spans="1:6">
      <c r="A188" s="97" t="s">
        <v>55</v>
      </c>
      <c r="B188" s="65">
        <v>40147</v>
      </c>
      <c r="C188" s="11">
        <v>6.0787000000000001E-2</v>
      </c>
      <c r="D188" s="11">
        <v>6.9321999999999995E-2</v>
      </c>
      <c r="E188" s="11">
        <v>5.7363999999999998E-2</v>
      </c>
      <c r="F188" s="11">
        <f>'FRED 90-Day T-Bill Data'!$E351</f>
        <v>4.166232705182793E-5</v>
      </c>
    </row>
    <row r="189" spans="1:6">
      <c r="A189" s="97" t="s">
        <v>55</v>
      </c>
      <c r="B189" s="65">
        <v>40178</v>
      </c>
      <c r="C189" s="11">
        <v>6.1817999999999998E-2</v>
      </c>
      <c r="D189" s="11">
        <v>5.8728000000000002E-2</v>
      </c>
      <c r="E189" s="11">
        <v>1.7770999999999999E-2</v>
      </c>
      <c r="F189" s="11">
        <f>'FRED 90-Day T-Bill Data'!$E352</f>
        <v>4.9993751145560594E-5</v>
      </c>
    </row>
    <row r="190" spans="1:6">
      <c r="A190" s="97" t="s">
        <v>55</v>
      </c>
      <c r="B190" s="65">
        <v>40207</v>
      </c>
      <c r="C190" s="11">
        <v>-4.734E-2</v>
      </c>
      <c r="D190" s="11">
        <v>-3.7199999999999997E-2</v>
      </c>
      <c r="E190" s="11">
        <v>-3.6974E-2</v>
      </c>
      <c r="F190" s="11">
        <f>'FRED 90-Day T-Bill Data'!$E353</f>
        <v>9.1645666780104662E-5</v>
      </c>
    </row>
    <row r="191" spans="1:6">
      <c r="A191" s="97" t="s">
        <v>55</v>
      </c>
      <c r="B191" s="65">
        <v>40235</v>
      </c>
      <c r="C191" s="11">
        <v>7.7926999999999996E-2</v>
      </c>
      <c r="D191" s="11">
        <v>-9.0310000000000008E-3</v>
      </c>
      <c r="E191" s="11">
        <v>2.8514000000000001E-2</v>
      </c>
      <c r="F191" s="11">
        <f>'FRED 90-Day T-Bill Data'!$E354</f>
        <v>1.2496095539415997E-4</v>
      </c>
    </row>
    <row r="192" spans="1:6">
      <c r="A192" s="97" t="s">
        <v>55</v>
      </c>
      <c r="B192" s="65">
        <v>40268</v>
      </c>
      <c r="C192" s="11">
        <v>5.9167999999999998E-2</v>
      </c>
      <c r="D192" s="11">
        <v>4.1870999999999998E-2</v>
      </c>
      <c r="E192" s="11">
        <v>5.8796000000000001E-2</v>
      </c>
      <c r="F192" s="11">
        <f>'FRED 90-Day T-Bill Data'!$E355</f>
        <v>1.3328891060493397E-4</v>
      </c>
    </row>
    <row r="193" spans="1:6">
      <c r="A193" s="97" t="s">
        <v>55</v>
      </c>
      <c r="B193" s="65">
        <v>40298</v>
      </c>
      <c r="C193" s="11">
        <v>0.176431</v>
      </c>
      <c r="D193" s="11">
        <v>1.4818E-2</v>
      </c>
      <c r="E193" s="11">
        <v>1.4759E-2</v>
      </c>
      <c r="F193" s="11">
        <f>'FRED 90-Day T-Bill Data'!$E356</f>
        <v>1.3328891060493397E-4</v>
      </c>
    </row>
    <row r="194" spans="1:6">
      <c r="A194" s="97" t="s">
        <v>55</v>
      </c>
      <c r="B194" s="65">
        <v>40326</v>
      </c>
      <c r="C194" s="11">
        <v>-5.5750000000000001E-3</v>
      </c>
      <c r="D194" s="11">
        <v>-4.4580000000000002E-2</v>
      </c>
      <c r="E194" s="11">
        <v>-8.1975999999999993E-2</v>
      </c>
      <c r="F194" s="11">
        <f>'FRED 90-Day T-Bill Data'!$E357</f>
        <v>9.9975009162811546E-5</v>
      </c>
    </row>
    <row r="195" spans="1:6">
      <c r="A195" s="97" t="s">
        <v>55</v>
      </c>
      <c r="B195" s="65">
        <v>40359</v>
      </c>
      <c r="C195" s="11">
        <v>-6.3266000000000003E-2</v>
      </c>
      <c r="D195" s="11">
        <v>1.1975E-2</v>
      </c>
      <c r="E195" s="11">
        <v>-5.3881999999999999E-2</v>
      </c>
      <c r="F195" s="11">
        <f>'FRED 90-Day T-Bill Data'!$E358</f>
        <v>1.3328891060493397E-4</v>
      </c>
    </row>
    <row r="196" spans="1:6">
      <c r="A196" s="97" t="s">
        <v>55</v>
      </c>
      <c r="B196" s="65">
        <v>40389</v>
      </c>
      <c r="C196" s="11">
        <v>7.7608999999999997E-2</v>
      </c>
      <c r="D196" s="11">
        <v>7.0069999999999993E-2</v>
      </c>
      <c r="E196" s="11">
        <v>6.8778000000000006E-2</v>
      </c>
      <c r="F196" s="11">
        <f>'FRED 90-Day T-Bill Data'!$E359</f>
        <v>1.3328891060493397E-4</v>
      </c>
    </row>
    <row r="197" spans="1:6">
      <c r="A197" s="97" t="s">
        <v>55</v>
      </c>
      <c r="B197" s="65">
        <v>40421</v>
      </c>
      <c r="C197" s="11">
        <v>6.2789999999999999E-3</v>
      </c>
      <c r="D197" s="11">
        <v>4.3473999999999999E-2</v>
      </c>
      <c r="E197" s="11">
        <v>-4.7448999999999998E-2</v>
      </c>
      <c r="F197" s="11">
        <f>'FRED 90-Day T-Bill Data'!$E360</f>
        <v>1.2496095539415997E-4</v>
      </c>
    </row>
    <row r="198" spans="1:6">
      <c r="A198" s="97" t="s">
        <v>55</v>
      </c>
      <c r="B198" s="65">
        <v>40451</v>
      </c>
      <c r="C198" s="11">
        <v>4.446E-2</v>
      </c>
      <c r="D198" s="11">
        <v>1.4517E-2</v>
      </c>
      <c r="E198" s="11">
        <v>8.7551000000000004E-2</v>
      </c>
      <c r="F198" s="11">
        <f>'FRED 90-Day T-Bill Data'!$E361</f>
        <v>1.0830400470474011E-4</v>
      </c>
    </row>
    <row r="199" spans="1:6">
      <c r="A199" s="97" t="s">
        <v>55</v>
      </c>
      <c r="B199" s="65">
        <v>40480</v>
      </c>
      <c r="C199" s="11">
        <v>3.2163999999999998E-2</v>
      </c>
      <c r="D199" s="11">
        <v>3.1106999999999999E-2</v>
      </c>
      <c r="E199" s="11">
        <v>3.6856E-2</v>
      </c>
      <c r="F199" s="11">
        <f>'FRED 90-Day T-Bill Data'!$E362</f>
        <v>1.1663265343808682E-4</v>
      </c>
    </row>
    <row r="200" spans="1:6">
      <c r="A200" s="97" t="s">
        <v>55</v>
      </c>
      <c r="B200" s="65">
        <v>40512</v>
      </c>
      <c r="C200" s="11">
        <v>-1.8768E-2</v>
      </c>
      <c r="D200" s="11">
        <v>-1.5185000000000001E-2</v>
      </c>
      <c r="E200" s="11">
        <v>-2.2899999999999999E-3</v>
      </c>
      <c r="F200" s="11">
        <f>'FRED 90-Day T-Bill Data'!$E363</f>
        <v>1.1663265343808682E-4</v>
      </c>
    </row>
    <row r="201" spans="1:6">
      <c r="A201" s="97" t="s">
        <v>55</v>
      </c>
      <c r="B201" s="65">
        <v>40543</v>
      </c>
      <c r="C201" s="11">
        <v>3.9809999999999998E-2</v>
      </c>
      <c r="D201" s="11">
        <v>2.4809000000000001E-2</v>
      </c>
      <c r="E201" s="11">
        <v>6.5299999999999997E-2</v>
      </c>
      <c r="F201" s="11">
        <f>'FRED 90-Day T-Bill Data'!$E364</f>
        <v>1.2496095539415997E-4</v>
      </c>
    </row>
    <row r="202" spans="1:6">
      <c r="A202" s="97" t="s">
        <v>55</v>
      </c>
      <c r="B202" s="65">
        <v>40574</v>
      </c>
      <c r="C202" s="11">
        <v>1.5584000000000001E-2</v>
      </c>
      <c r="D202" s="11">
        <v>6.8589999999999996E-3</v>
      </c>
      <c r="E202" s="11">
        <v>2.2645999999999999E-2</v>
      </c>
      <c r="F202" s="11">
        <f>'FRED 90-Day T-Bill Data'!$E365</f>
        <v>1.0830400470474011E-4</v>
      </c>
    </row>
    <row r="203" spans="1:6">
      <c r="A203" s="97" t="s">
        <v>55</v>
      </c>
      <c r="B203" s="65">
        <v>40602</v>
      </c>
      <c r="C203" s="11">
        <v>6.7069000000000004E-2</v>
      </c>
      <c r="D203" s="11">
        <v>1.3424E-2</v>
      </c>
      <c r="E203" s="11">
        <v>3.1956999999999999E-2</v>
      </c>
      <c r="F203" s="11">
        <f>'FRED 90-Day T-Bill Data'!E366</f>
        <v>8.3315977525089124E-5</v>
      </c>
    </row>
    <row r="204" spans="1:6">
      <c r="A204" s="97" t="s">
        <v>55</v>
      </c>
      <c r="B204" s="65">
        <v>40633</v>
      </c>
      <c r="C204" s="11">
        <v>1.0179000000000001E-2</v>
      </c>
      <c r="D204" s="11">
        <v>1.4806E-2</v>
      </c>
      <c r="E204" s="11">
        <v>-1.047E-3</v>
      </c>
      <c r="F204" s="11">
        <f>'FRED 90-Day T-Bill Data'!E367</f>
        <v>4.9993751145560594E-5</v>
      </c>
    </row>
    <row r="205" spans="1:6">
      <c r="A205" s="97" t="s">
        <v>55</v>
      </c>
      <c r="B205" s="65">
        <v>40662</v>
      </c>
      <c r="C205" s="11">
        <v>9.2580999999999997E-2</v>
      </c>
      <c r="D205" s="11">
        <v>2.7602000000000002E-2</v>
      </c>
      <c r="E205" s="11">
        <v>2.8494999999999999E-2</v>
      </c>
      <c r="F205" s="11">
        <f>'FRED 90-Day T-Bill Data'!E368</f>
        <v>3.3330555895050296E-5</v>
      </c>
    </row>
    <row r="206" spans="1:6">
      <c r="A206" s="97" t="s">
        <v>55</v>
      </c>
      <c r="B206" s="65">
        <v>40694</v>
      </c>
      <c r="C206" s="11">
        <v>1.5722E-2</v>
      </c>
      <c r="D206" s="11">
        <v>2.9547E-2</v>
      </c>
      <c r="E206" s="11">
        <v>-1.3501000000000001E-2</v>
      </c>
      <c r="F206" s="11">
        <f>'FRED 90-Day T-Bill Data'!E369</f>
        <v>3.3330555895050296E-5</v>
      </c>
    </row>
    <row r="207" spans="1:6">
      <c r="A207" s="97" t="s">
        <v>55</v>
      </c>
      <c r="B207" s="65">
        <v>40724</v>
      </c>
      <c r="C207" s="11">
        <v>-9.3019999999999995E-3</v>
      </c>
      <c r="D207" s="11">
        <v>3.392E-3</v>
      </c>
      <c r="E207" s="11">
        <v>-1.8258E-2</v>
      </c>
      <c r="F207" s="11">
        <f>'FRED 90-Day T-Bill Data'!E370</f>
        <v>3.3330555895050296E-5</v>
      </c>
    </row>
    <row r="208" spans="1:6">
      <c r="A208" s="97" t="s">
        <v>55</v>
      </c>
      <c r="B208" s="65">
        <v>40753</v>
      </c>
      <c r="C208" s="11">
        <v>3.7475000000000001E-2</v>
      </c>
      <c r="D208" s="11">
        <v>-1.2021E-2</v>
      </c>
      <c r="E208" s="11">
        <v>-2.1474E-2</v>
      </c>
      <c r="F208" s="11">
        <f>'FRED 90-Day T-Bill Data'!E371</f>
        <v>1.666597226468447E-5</v>
      </c>
    </row>
    <row r="209" spans="1:6">
      <c r="A209" s="97" t="s">
        <v>55</v>
      </c>
      <c r="B209" s="65">
        <v>40786</v>
      </c>
      <c r="C209" s="11">
        <v>2.2727000000000001E-2</v>
      </c>
      <c r="D209" s="11">
        <v>8.0037999999999998E-2</v>
      </c>
      <c r="E209" s="11">
        <v>-5.6791000000000001E-2</v>
      </c>
      <c r="F209" s="11">
        <f>'FRED 90-Day T-Bill Data'!E372</f>
        <v>8.3331597275915215E-6</v>
      </c>
    </row>
    <row r="210" spans="1:6">
      <c r="A210" s="97" t="s">
        <v>55</v>
      </c>
      <c r="B210" s="65">
        <v>40816</v>
      </c>
      <c r="C210" s="11">
        <v>-0.156531</v>
      </c>
      <c r="D210" s="11">
        <v>1.4409999999999999E-2</v>
      </c>
      <c r="E210" s="11">
        <v>-7.1762000000000006E-2</v>
      </c>
      <c r="F210" s="11">
        <f>'FRED 90-Day T-Bill Data'!E373</f>
        <v>1.666597226468447E-5</v>
      </c>
    </row>
    <row r="211" spans="1:6">
      <c r="A211" s="97" t="s">
        <v>55</v>
      </c>
      <c r="B211" s="65">
        <v>40847</v>
      </c>
      <c r="C211" s="11">
        <v>0.18926999999999999</v>
      </c>
      <c r="D211" s="11">
        <v>1.4907E-2</v>
      </c>
      <c r="E211" s="11">
        <v>0.107723</v>
      </c>
      <c r="F211" s="11">
        <f>'FRED 90-Day T-Bill Data'!E374</f>
        <v>8.3331597275915215E-6</v>
      </c>
    </row>
    <row r="212" spans="1:6">
      <c r="A212" s="97" t="s">
        <v>55</v>
      </c>
      <c r="B212" s="65">
        <v>40877</v>
      </c>
      <c r="C212" s="11">
        <v>-6.9417000000000006E-2</v>
      </c>
      <c r="D212" s="11">
        <v>3.7151999999999998E-2</v>
      </c>
      <c r="E212" s="11">
        <v>-5.0590000000000001E-3</v>
      </c>
      <c r="F212" s="11">
        <f>'FRED 90-Day T-Bill Data'!E375</f>
        <v>8.3331597275915215E-6</v>
      </c>
    </row>
    <row r="213" spans="1:6">
      <c r="A213" s="97" t="s">
        <v>55</v>
      </c>
      <c r="B213" s="65">
        <v>40907</v>
      </c>
      <c r="C213" s="11">
        <v>6.5487000000000004E-2</v>
      </c>
      <c r="D213" s="11">
        <v>4.3924999999999999E-2</v>
      </c>
      <c r="E213" s="11">
        <v>8.5330000000000007E-3</v>
      </c>
      <c r="F213" s="11">
        <f>'FRED 90-Day T-Bill Data'!E376</f>
        <v>2.4998437643253268E-5</v>
      </c>
    </row>
    <row r="214" spans="1:6">
      <c r="A214" s="97" t="s">
        <v>55</v>
      </c>
      <c r="B214" s="65">
        <v>40939</v>
      </c>
      <c r="C214" s="11">
        <v>2.4837999999999999E-2</v>
      </c>
      <c r="D214" s="11">
        <v>-4.9492000000000001E-2</v>
      </c>
      <c r="E214" s="11">
        <v>4.3582999999999997E-2</v>
      </c>
      <c r="F214" s="11">
        <f>'FRED 90-Day T-Bill Data'!E377</f>
        <v>7.4985941366012554E-5</v>
      </c>
    </row>
    <row r="215" spans="1:6">
      <c r="A215" s="97" t="s">
        <v>55</v>
      </c>
      <c r="B215" s="65">
        <v>40968</v>
      </c>
      <c r="C215" s="11">
        <v>-2.7847E-2</v>
      </c>
      <c r="D215" s="11">
        <v>-4.3249999999999999E-3</v>
      </c>
      <c r="E215" s="11">
        <v>4.0589E-2</v>
      </c>
      <c r="F215" s="11">
        <f>'FRED 90-Day T-Bill Data'!E378</f>
        <v>6.6655558270900528E-5</v>
      </c>
    </row>
    <row r="216" spans="1:6">
      <c r="A216" s="97" t="s">
        <v>55</v>
      </c>
      <c r="B216" s="65">
        <v>40998</v>
      </c>
      <c r="C216" s="11">
        <v>9.0149000000000007E-2</v>
      </c>
      <c r="D216" s="11">
        <v>5.5079999999999999E-3</v>
      </c>
      <c r="E216" s="11">
        <v>3.1331999999999999E-2</v>
      </c>
      <c r="F216" s="11">
        <f>'FRED 90-Day T-Bill Data'!E379</f>
        <v>6.6655558270900528E-5</v>
      </c>
    </row>
    <row r="217" spans="1:6">
      <c r="A217" s="97" t="s">
        <v>55</v>
      </c>
      <c r="B217" s="65">
        <v>41029</v>
      </c>
      <c r="C217" s="11">
        <v>4.2638000000000002E-2</v>
      </c>
      <c r="D217" s="11">
        <v>1.7631000000000001E-2</v>
      </c>
      <c r="E217" s="11">
        <v>-7.4970000000000002E-3</v>
      </c>
      <c r="F217" s="11">
        <f>'FRED 90-Day T-Bill Data'!E380</f>
        <v>7.4985941366012554E-5</v>
      </c>
    </row>
    <row r="218" spans="1:6">
      <c r="A218" s="97" t="s">
        <v>55</v>
      </c>
      <c r="B218" s="65">
        <v>41060</v>
      </c>
      <c r="C218" s="11">
        <v>-4.7541E-2</v>
      </c>
      <c r="D218" s="11">
        <v>2.5484E-2</v>
      </c>
      <c r="E218" s="11">
        <v>-6.2650999999999998E-2</v>
      </c>
      <c r="F218" s="11">
        <f>'FRED 90-Day T-Bill Data'!E381</f>
        <v>7.4985941366012554E-5</v>
      </c>
    </row>
    <row r="219" spans="1:6">
      <c r="A219" s="97" t="s">
        <v>55</v>
      </c>
      <c r="B219" s="65">
        <v>41089</v>
      </c>
      <c r="C219" s="11">
        <v>3.0307000000000001E-2</v>
      </c>
      <c r="D219" s="11">
        <v>3.0318000000000001E-2</v>
      </c>
      <c r="E219" s="11">
        <v>3.9555E-2</v>
      </c>
      <c r="F219" s="11">
        <f>'FRED 90-Day T-Bill Data'!E382</f>
        <v>8.3315977525089124E-5</v>
      </c>
    </row>
    <row r="220" spans="1:6">
      <c r="A220" s="97" t="s">
        <v>55</v>
      </c>
      <c r="B220" s="65">
        <v>41121</v>
      </c>
      <c r="C220" s="11">
        <v>2.2349000000000001E-2</v>
      </c>
      <c r="D220" s="11">
        <v>3.7144000000000003E-2</v>
      </c>
      <c r="E220" s="11">
        <v>1.2598E-2</v>
      </c>
      <c r="F220" s="11">
        <f>'FRED 90-Day T-Bill Data'!E383</f>
        <v>8.3315977525089124E-5</v>
      </c>
    </row>
    <row r="221" spans="1:6">
      <c r="A221" s="97" t="s">
        <v>55</v>
      </c>
      <c r="B221" s="65">
        <v>41152</v>
      </c>
      <c r="C221" s="11">
        <v>-3.4188999999999997E-2</v>
      </c>
      <c r="D221" s="11">
        <v>-5.0775000000000001E-2</v>
      </c>
      <c r="E221" s="11">
        <v>1.9762999999999999E-2</v>
      </c>
      <c r="F221" s="11">
        <f>'FRED 90-Day T-Bill Data'!E384</f>
        <v>9.1645666780104662E-5</v>
      </c>
    </row>
    <row r="222" spans="1:6">
      <c r="A222" s="97" t="s">
        <v>55</v>
      </c>
      <c r="B222" s="65">
        <v>41180</v>
      </c>
      <c r="C222" s="11">
        <v>-1.7371000000000001E-2</v>
      </c>
      <c r="D222" s="11">
        <v>-1.2042000000000001E-2</v>
      </c>
      <c r="E222" s="11">
        <v>2.4236000000000001E-2</v>
      </c>
      <c r="F222" s="11">
        <f>'FRED 90-Day T-Bill Data'!E385</f>
        <v>8.3315977525089124E-5</v>
      </c>
    </row>
    <row r="223" spans="1:6">
      <c r="A223" s="97" t="s">
        <v>55</v>
      </c>
      <c r="B223" s="65">
        <v>41213</v>
      </c>
      <c r="C223" s="11">
        <v>1.1873E-2</v>
      </c>
      <c r="D223" s="11">
        <v>8.182E-3</v>
      </c>
      <c r="E223" s="11">
        <v>-1.9789000000000001E-2</v>
      </c>
      <c r="F223" s="11">
        <f>'FRED 90-Day T-Bill Data'!E386</f>
        <v>7.4985941366012554E-5</v>
      </c>
    </row>
    <row r="224" spans="1:6">
      <c r="A224" s="97" t="s">
        <v>55</v>
      </c>
      <c r="B224" s="65">
        <v>41243</v>
      </c>
      <c r="C224" s="11">
        <v>-6.3399999999999998E-2</v>
      </c>
      <c r="D224" s="11">
        <v>-6.5999000000000002E-2</v>
      </c>
      <c r="E224" s="11">
        <v>2.8470000000000001E-3</v>
      </c>
      <c r="F224" s="11">
        <f>'FRED 90-Day T-Bill Data'!E387</f>
        <v>5.8324828208000667E-5</v>
      </c>
    </row>
    <row r="225" spans="1:6">
      <c r="A225" s="97" t="s">
        <v>55</v>
      </c>
      <c r="B225" s="65">
        <v>41274</v>
      </c>
      <c r="C225" s="11">
        <v>5.1676E-2</v>
      </c>
      <c r="D225" s="11">
        <v>-4.4809999999999997E-3</v>
      </c>
      <c r="E225" s="11">
        <v>7.0679999999999996E-3</v>
      </c>
      <c r="F225" s="11">
        <f>'FRED 90-Day T-Bill Data'!E388</f>
        <v>5.8324828208000667E-5</v>
      </c>
    </row>
    <row r="226" spans="1:6">
      <c r="A226" s="97" t="s">
        <v>55</v>
      </c>
      <c r="B226" s="65">
        <v>41305</v>
      </c>
      <c r="C226" s="11">
        <v>4.8619000000000002E-2</v>
      </c>
      <c r="D226" s="11">
        <v>2.4126999999999999E-2</v>
      </c>
      <c r="E226" s="11">
        <v>5.0428000000000001E-2</v>
      </c>
      <c r="F226" s="11">
        <f>'FRED 90-Day T-Bill Data'!E389</f>
        <v>8.3315977525089124E-5</v>
      </c>
    </row>
    <row r="227" spans="1:6">
      <c r="A227" s="97" t="s">
        <v>55</v>
      </c>
      <c r="B227" s="65">
        <v>41333</v>
      </c>
      <c r="C227" s="11">
        <v>-3.1147999999999999E-2</v>
      </c>
      <c r="D227" s="11">
        <v>4.8084000000000002E-2</v>
      </c>
      <c r="E227" s="11">
        <v>1.1061E-2</v>
      </c>
      <c r="F227" s="11">
        <f>'FRED 90-Day T-Bill Data'!E390</f>
        <v>7.4985941366012554E-5</v>
      </c>
    </row>
    <row r="228" spans="1:6">
      <c r="A228" s="97" t="s">
        <v>55</v>
      </c>
      <c r="B228" s="65">
        <v>41361</v>
      </c>
      <c r="C228" s="11">
        <v>1.8793000000000001E-2</v>
      </c>
      <c r="D228" s="11">
        <v>3.4407E-2</v>
      </c>
      <c r="E228" s="11">
        <v>3.5987999999999999E-2</v>
      </c>
      <c r="F228" s="11">
        <f>'FRED 90-Day T-Bill Data'!E391</f>
        <v>4.9993751145560594E-5</v>
      </c>
    </row>
    <row r="229" spans="1:6">
      <c r="A229" s="97" t="s">
        <v>55</v>
      </c>
      <c r="B229" s="65">
        <v>41394</v>
      </c>
      <c r="C229" s="11">
        <v>4.2966999999999998E-2</v>
      </c>
      <c r="D229" s="11">
        <v>4.2930000000000003E-2</v>
      </c>
      <c r="E229" s="11">
        <v>1.8086000000000001E-2</v>
      </c>
      <c r="F229" s="11">
        <f>'FRED 90-Day T-Bill Data'!E392</f>
        <v>3.3330555895050296E-5</v>
      </c>
    </row>
    <row r="230" spans="1:6">
      <c r="A230" s="97" t="s">
        <v>55</v>
      </c>
      <c r="B230" s="65">
        <v>41425</v>
      </c>
      <c r="C230" s="11">
        <v>5.7300000000000005E-4</v>
      </c>
      <c r="D230" s="11">
        <v>-9.3715999999999994E-2</v>
      </c>
      <c r="E230" s="11">
        <v>2.0763E-2</v>
      </c>
      <c r="F230" s="11">
        <f>'FRED 90-Day T-Bill Data'!E393</f>
        <v>4.166232705182793E-5</v>
      </c>
    </row>
    <row r="231" spans="1:6">
      <c r="A231" s="97" t="s">
        <v>55</v>
      </c>
      <c r="B231" s="65">
        <v>41453</v>
      </c>
      <c r="C231" s="11">
        <v>1.9028E-2</v>
      </c>
      <c r="D231" s="11">
        <v>2.1728000000000001E-2</v>
      </c>
      <c r="E231" s="11">
        <v>-1.4999E-2</v>
      </c>
      <c r="F231" s="11">
        <f>'FRED 90-Day T-Bill Data'!E394</f>
        <v>3.3330555895050296E-5</v>
      </c>
    </row>
    <row r="232" spans="1:6">
      <c r="A232" s="97" t="s">
        <v>55</v>
      </c>
      <c r="B232" s="65">
        <v>41486</v>
      </c>
      <c r="C232" s="11">
        <v>1.4912999999999999E-2</v>
      </c>
      <c r="D232" s="11">
        <v>2.7268000000000001E-2</v>
      </c>
      <c r="E232" s="11">
        <v>4.9461999999999999E-2</v>
      </c>
      <c r="F232" s="11">
        <f>'FRED 90-Day T-Bill Data'!E395</f>
        <v>3.3330555895050296E-5</v>
      </c>
    </row>
    <row r="233" spans="1:6">
      <c r="A233" s="97" t="s">
        <v>55</v>
      </c>
      <c r="B233" s="65">
        <v>41516</v>
      </c>
      <c r="C233" s="11">
        <v>-0.11147600000000001</v>
      </c>
      <c r="D233" s="11">
        <v>-5.1001999999999999E-2</v>
      </c>
      <c r="E233" s="11">
        <v>-3.1297999999999999E-2</v>
      </c>
      <c r="F233" s="11">
        <f>'FRED 90-Day T-Bill Data'!E396</f>
        <v>1.666597226468447E-5</v>
      </c>
    </row>
    <row r="234" spans="1:6">
      <c r="A234" s="97" t="s">
        <v>55</v>
      </c>
      <c r="B234" s="65">
        <v>41547</v>
      </c>
      <c r="C234" s="11">
        <v>3.9076E-2</v>
      </c>
      <c r="D234" s="11">
        <v>-1.9384999999999999E-2</v>
      </c>
      <c r="E234" s="11">
        <v>2.9749000000000001E-2</v>
      </c>
      <c r="F234" s="11">
        <f>'FRED 90-Day T-Bill Data'!E397</f>
        <v>4.166232705182793E-5</v>
      </c>
    </row>
    <row r="235" spans="1:6">
      <c r="A235" s="97" t="s">
        <v>55</v>
      </c>
      <c r="B235" s="65">
        <v>41578</v>
      </c>
      <c r="C235" s="11">
        <v>9.0047000000000002E-2</v>
      </c>
      <c r="D235" s="11">
        <v>5.5857999999999998E-2</v>
      </c>
      <c r="E235" s="11">
        <v>4.4595999999999997E-2</v>
      </c>
      <c r="F235" s="11">
        <f>'FRED 90-Day T-Bill Data'!E398</f>
        <v>5.8324828208000667E-5</v>
      </c>
    </row>
    <row r="236" spans="1:6">
      <c r="A236" s="97" t="s">
        <v>55</v>
      </c>
      <c r="B236" s="65">
        <v>41607</v>
      </c>
      <c r="C236" s="11">
        <v>-5.7081E-2</v>
      </c>
      <c r="D236" s="11">
        <v>-4.1137E-2</v>
      </c>
      <c r="E236" s="11">
        <v>2.8049000000000001E-2</v>
      </c>
      <c r="F236" s="11">
        <f>'FRED 90-Day T-Bill Data'!E399</f>
        <v>5.8324828208000667E-5</v>
      </c>
    </row>
    <row r="237" spans="1:6">
      <c r="A237" s="97" t="s">
        <v>55</v>
      </c>
      <c r="B237" s="65">
        <v>41639</v>
      </c>
      <c r="C237" s="11">
        <v>-4.6703000000000001E-2</v>
      </c>
      <c r="D237" s="11">
        <v>1.268E-3</v>
      </c>
      <c r="E237" s="11">
        <v>2.3563000000000001E-2</v>
      </c>
      <c r="F237" s="11">
        <f>'FRED 90-Day T-Bill Data'!E400</f>
        <v>3.3330555895050296E-5</v>
      </c>
    </row>
    <row r="238" spans="1:6">
      <c r="A238" s="97" t="s">
        <v>55</v>
      </c>
      <c r="B238" s="65">
        <v>41670</v>
      </c>
      <c r="C238" s="11">
        <v>0.103547</v>
      </c>
      <c r="D238" s="11">
        <v>-1.5737999999999999E-2</v>
      </c>
      <c r="E238" s="11">
        <v>-3.5582999999999997E-2</v>
      </c>
      <c r="F238" s="11">
        <f>'FRED 90-Day T-Bill Data'!E401</f>
        <v>4.166232705182793E-5</v>
      </c>
    </row>
    <row r="239" spans="1:6">
      <c r="A239" s="97" t="s">
        <v>55</v>
      </c>
      <c r="B239" s="65">
        <v>41698</v>
      </c>
      <c r="C239" s="11">
        <v>5.6071000000000003E-2</v>
      </c>
      <c r="D239" s="11">
        <v>4.172E-2</v>
      </c>
      <c r="E239" s="11">
        <v>4.3117000000000003E-2</v>
      </c>
      <c r="F239" s="11">
        <f>'FRED 90-Day T-Bill Data'!E402</f>
        <v>4.166232705182793E-5</v>
      </c>
    </row>
    <row r="240" spans="1:6">
      <c r="A240" s="97" t="s">
        <v>55</v>
      </c>
      <c r="B240" s="65">
        <v>41729</v>
      </c>
      <c r="C240" s="11">
        <v>2.3976000000000001E-2</v>
      </c>
      <c r="D240" s="11">
        <v>-4.2819000000000003E-2</v>
      </c>
      <c r="E240" s="11">
        <v>6.9319999999999998E-3</v>
      </c>
      <c r="F240" s="11">
        <f>'FRED 90-Day T-Bill Data'!E403</f>
        <v>2.4998437643253268E-5</v>
      </c>
    </row>
    <row r="241" spans="1:6">
      <c r="A241" s="97" t="s">
        <v>55</v>
      </c>
      <c r="B241" s="65">
        <v>41759</v>
      </c>
      <c r="C241" s="11">
        <v>1.8877000000000001E-2</v>
      </c>
      <c r="D241" s="11">
        <v>8.1640000000000004E-2</v>
      </c>
      <c r="E241" s="11">
        <v>6.2009999999999999E-3</v>
      </c>
      <c r="F241" s="11">
        <f>'FRED 90-Day T-Bill Data'!E404</f>
        <v>2.4998437643253268E-5</v>
      </c>
    </row>
    <row r="242" spans="1:6">
      <c r="A242" s="97" t="s">
        <v>55</v>
      </c>
      <c r="B242" s="65">
        <v>41789</v>
      </c>
      <c r="C242" s="11">
        <v>4.4442000000000002E-2</v>
      </c>
      <c r="D242" s="11">
        <v>-4.1186E-2</v>
      </c>
      <c r="E242" s="11">
        <v>2.103E-2</v>
      </c>
      <c r="F242" s="11">
        <f>'FRED 90-Day T-Bill Data'!E405</f>
        <v>3.3330555895050296E-5</v>
      </c>
    </row>
    <row r="243" spans="1:6">
      <c r="A243" s="97" t="s">
        <v>55</v>
      </c>
      <c r="B243" s="65">
        <v>41820</v>
      </c>
      <c r="C243" s="11">
        <v>2.9012E-2</v>
      </c>
      <c r="D243" s="11">
        <v>4.9626999999999998E-2</v>
      </c>
      <c r="E243" s="11">
        <v>1.9057999999999999E-2</v>
      </c>
      <c r="F243" s="11">
        <f>'FRED 90-Day T-Bill Data'!E406</f>
        <v>2.4998437643253268E-5</v>
      </c>
    </row>
    <row r="244" spans="1:6">
      <c r="A244" s="97" t="s">
        <v>55</v>
      </c>
      <c r="B244" s="65">
        <v>41851</v>
      </c>
      <c r="C244" s="11">
        <v>2.5201000000000001E-2</v>
      </c>
      <c r="D244" s="11">
        <v>-2.8576000000000001E-2</v>
      </c>
      <c r="E244" s="11">
        <v>-1.508E-2</v>
      </c>
      <c r="F244" s="11">
        <f>'FRED 90-Day T-Bill Data'!E407</f>
        <v>2.4998437643253268E-5</v>
      </c>
    </row>
    <row r="245" spans="1:6">
      <c r="A245" s="97" t="s">
        <v>55</v>
      </c>
      <c r="B245" s="65">
        <v>41880</v>
      </c>
      <c r="C245" s="11">
        <v>2.0466999999999999E-2</v>
      </c>
      <c r="D245" s="11">
        <v>4.3323E-2</v>
      </c>
      <c r="E245" s="11">
        <v>3.7655000000000001E-2</v>
      </c>
      <c r="F245" s="11">
        <f>'FRED 90-Day T-Bill Data'!E408</f>
        <v>1.666597226468447E-5</v>
      </c>
    </row>
    <row r="246" spans="1:6">
      <c r="A246" s="97" t="s">
        <v>55</v>
      </c>
      <c r="B246" s="65">
        <v>41912</v>
      </c>
      <c r="C246" s="11">
        <v>-6.9268999999999997E-2</v>
      </c>
      <c r="D246" s="11">
        <v>-2.1246999999999999E-2</v>
      </c>
      <c r="E246" s="11">
        <v>-1.5514E-2</v>
      </c>
      <c r="F246" s="11">
        <f>'FRED 90-Day T-Bill Data'!E409</f>
        <v>1.666597226468447E-5</v>
      </c>
    </row>
    <row r="247" spans="1:6">
      <c r="A247" s="97" t="s">
        <v>55</v>
      </c>
      <c r="B247" s="65">
        <v>41943</v>
      </c>
      <c r="C247" s="11">
        <v>0.12872700000000001</v>
      </c>
      <c r="D247" s="11">
        <v>0.11824900000000001</v>
      </c>
      <c r="E247" s="11">
        <v>2.3200999999999999E-2</v>
      </c>
      <c r="F247" s="11">
        <f>'FRED 90-Day T-Bill Data'!E410</f>
        <v>1.666597226468447E-5</v>
      </c>
    </row>
    <row r="248" spans="1:6">
      <c r="A248" s="97" t="s">
        <v>55</v>
      </c>
      <c r="B248" s="65">
        <v>41971</v>
      </c>
      <c r="C248" s="11">
        <v>3.222E-3</v>
      </c>
      <c r="D248" s="11">
        <v>6.6290000000000003E-3</v>
      </c>
      <c r="E248" s="11">
        <v>2.4534E-2</v>
      </c>
      <c r="F248" s="11">
        <f>'FRED 90-Day T-Bill Data'!E411</f>
        <v>2.4998437643253268E-5</v>
      </c>
    </row>
    <row r="249" spans="1:6">
      <c r="A249" s="97" t="s">
        <v>55</v>
      </c>
      <c r="B249" s="65">
        <v>42004</v>
      </c>
      <c r="C249" s="11">
        <v>2.7123000000000001E-2</v>
      </c>
      <c r="D249" s="11">
        <v>4.5289000000000003E-2</v>
      </c>
      <c r="E249" s="11">
        <v>-4.189E-3</v>
      </c>
      <c r="F249" s="11">
        <f>'FRED 90-Day T-Bill Data'!E412</f>
        <v>2.4998437643253268E-5</v>
      </c>
    </row>
    <row r="250" spans="1:6">
      <c r="A250" s="97" t="s">
        <v>55</v>
      </c>
      <c r="B250" s="65">
        <v>42034</v>
      </c>
      <c r="C250" s="11">
        <v>9.4143000000000004E-2</v>
      </c>
      <c r="D250" s="11">
        <v>4.9537999999999999E-2</v>
      </c>
      <c r="E250" s="11">
        <v>-3.1040999999999999E-2</v>
      </c>
      <c r="F250" s="11">
        <f>'FRED 90-Day T-Bill Data'!E413</f>
        <v>1.666597226468447E-5</v>
      </c>
    </row>
    <row r="251" spans="1:6">
      <c r="A251" s="97" t="s">
        <v>55</v>
      </c>
      <c r="B251" s="65">
        <v>42062</v>
      </c>
      <c r="C251" s="11">
        <v>-1.6014E-2</v>
      </c>
      <c r="D251" s="11">
        <v>-7.9243999999999995E-2</v>
      </c>
      <c r="E251" s="11">
        <v>5.4892999999999997E-2</v>
      </c>
      <c r="F251" s="11">
        <f>'FRED 90-Day T-Bill Data'!E414</f>
        <v>2.4998437643253268E-5</v>
      </c>
    </row>
    <row r="252" spans="1:6">
      <c r="A252" s="97" t="s">
        <v>55</v>
      </c>
      <c r="B252" s="65">
        <v>42094</v>
      </c>
      <c r="C252" s="11">
        <v>4.0058000000000003E-2</v>
      </c>
      <c r="D252" s="11">
        <v>-3.3893E-2</v>
      </c>
      <c r="E252" s="11">
        <v>-1.7395999999999998E-2</v>
      </c>
      <c r="F252" s="11">
        <f>'FRED 90-Day T-Bill Data'!E415</f>
        <v>1.666597226468447E-5</v>
      </c>
    </row>
    <row r="253" spans="1:6">
      <c r="A253" s="97" t="s">
        <v>55</v>
      </c>
      <c r="B253" s="65">
        <v>42124</v>
      </c>
      <c r="C253" s="11">
        <v>-3.458E-2</v>
      </c>
      <c r="D253" s="11">
        <v>9.0159999999999997E-3</v>
      </c>
      <c r="E253" s="11">
        <v>8.5210000000000008E-3</v>
      </c>
      <c r="F253" s="11">
        <f>'FRED 90-Day T-Bill Data'!E416</f>
        <v>1.666597226468447E-5</v>
      </c>
    </row>
    <row r="254" spans="1:6">
      <c r="A254" s="97" t="s">
        <v>55</v>
      </c>
      <c r="B254" s="65">
        <v>42153</v>
      </c>
      <c r="C254" s="11">
        <v>3.019E-3</v>
      </c>
      <c r="D254" s="11">
        <v>1.5272000000000001E-2</v>
      </c>
      <c r="E254" s="11">
        <v>1.0491E-2</v>
      </c>
      <c r="F254" s="11">
        <f>'FRED 90-Day T-Bill Data'!E417</f>
        <v>1.666597226468447E-5</v>
      </c>
    </row>
    <row r="255" spans="1:6">
      <c r="A255" s="97" t="s">
        <v>55</v>
      </c>
      <c r="B255" s="65">
        <v>42185</v>
      </c>
      <c r="C255" s="11">
        <v>-3.8989999999999997E-2</v>
      </c>
      <c r="D255" s="11">
        <v>-6.4035999999999996E-2</v>
      </c>
      <c r="E255" s="11">
        <v>-2.1011999999999999E-2</v>
      </c>
      <c r="F255" s="11">
        <f>'FRED 90-Day T-Bill Data'!E418</f>
        <v>2.4998437643253268E-5</v>
      </c>
    </row>
    <row r="256" spans="1:6">
      <c r="A256" s="97" t="s">
        <v>55</v>
      </c>
      <c r="B256" s="65">
        <v>42216</v>
      </c>
      <c r="C256" s="11">
        <v>5.8400000000000001E-2</v>
      </c>
      <c r="D256" s="11">
        <v>9.8652000000000004E-2</v>
      </c>
      <c r="E256" s="11">
        <v>1.9741999999999999E-2</v>
      </c>
      <c r="F256" s="11">
        <f>'FRED 90-Day T-Bill Data'!E419</f>
        <v>5.8324828208000667E-5</v>
      </c>
    </row>
    <row r="257" spans="1:6">
      <c r="A257" s="97" t="s">
        <v>55</v>
      </c>
      <c r="B257" s="65">
        <v>42247</v>
      </c>
      <c r="C257" s="11">
        <v>-4.5752000000000001E-2</v>
      </c>
      <c r="D257" s="11">
        <v>-4.7199999999999998E-4</v>
      </c>
      <c r="E257" s="11">
        <v>-6.2580999999999998E-2</v>
      </c>
      <c r="F257" s="11">
        <f>'FRED 90-Day T-Bill Data'!E420</f>
        <v>1.666597226468447E-5</v>
      </c>
    </row>
    <row r="258" spans="1:6">
      <c r="A258" s="97" t="s">
        <v>55</v>
      </c>
      <c r="B258" s="65">
        <v>42277</v>
      </c>
      <c r="C258" s="11">
        <v>4.7711999999999997E-2</v>
      </c>
      <c r="D258" s="11">
        <v>6.2629000000000004E-2</v>
      </c>
      <c r="E258" s="11">
        <v>-2.6443000000000001E-2</v>
      </c>
      <c r="F258" s="11">
        <f>'FRED 90-Day T-Bill Data'!E421</f>
        <v>1.666597226468447E-5</v>
      </c>
    </row>
    <row r="259" spans="1:6">
      <c r="A259" s="97" t="s">
        <v>55</v>
      </c>
      <c r="B259" s="65">
        <v>42307</v>
      </c>
      <c r="C259" s="11">
        <v>-1.3337999999999999E-2</v>
      </c>
      <c r="D259" s="11">
        <v>-1.6455000000000001E-2</v>
      </c>
      <c r="E259" s="11">
        <v>8.2983000000000001E-2</v>
      </c>
      <c r="F259" s="11">
        <f>'FRED 90-Day T-Bill Data'!E422</f>
        <v>1.0830400470474011E-4</v>
      </c>
    </row>
    <row r="260" spans="1:6">
      <c r="A260" s="97" t="s">
        <v>55</v>
      </c>
      <c r="B260" s="65">
        <v>42338</v>
      </c>
      <c r="C260" s="11">
        <v>4.6952000000000001E-2</v>
      </c>
      <c r="D260" s="11">
        <v>-4.4866999999999997E-2</v>
      </c>
      <c r="E260" s="11">
        <v>5.0500000000000002E-4</v>
      </c>
      <c r="F260" s="11">
        <f>'FRED 90-Day T-Bill Data'!E423</f>
        <v>1.9157489087961999E-4</v>
      </c>
    </row>
    <row r="261" spans="1:6">
      <c r="A261" s="97" t="s">
        <v>55</v>
      </c>
      <c r="B261" s="65">
        <v>42369</v>
      </c>
      <c r="C261" s="11">
        <v>4.3589000000000003E-2</v>
      </c>
      <c r="D261" s="11">
        <v>3.4111000000000002E-2</v>
      </c>
      <c r="E261" s="11">
        <v>-1.753E-2</v>
      </c>
      <c r="F261" s="11">
        <f>'FRED 90-Day T-Bill Data'!E424</f>
        <v>2.1654939870674461E-4</v>
      </c>
    </row>
    <row r="262" spans="1:6">
      <c r="A262" s="97" t="s">
        <v>55</v>
      </c>
      <c r="B262" s="65">
        <v>42398</v>
      </c>
      <c r="C262" s="11">
        <v>-0.10985300000000001</v>
      </c>
      <c r="D262" s="11">
        <v>7.9663999999999999E-2</v>
      </c>
      <c r="E262" s="11">
        <v>-5.0735000000000002E-2</v>
      </c>
      <c r="F262" s="11">
        <f>'FRED 90-Day T-Bill Data'!E425</f>
        <v>2.5816665091715763E-4</v>
      </c>
    </row>
    <row r="263" spans="1:6">
      <c r="A263" s="97" t="s">
        <v>55</v>
      </c>
      <c r="B263" s="65">
        <v>42429</v>
      </c>
      <c r="C263" s="11">
        <v>-1.7971999999999998E-2</v>
      </c>
      <c r="D263" s="11">
        <v>1.8591E-2</v>
      </c>
      <c r="E263" s="11">
        <v>-4.1279999999999997E-3</v>
      </c>
      <c r="F263" s="11">
        <f>'FRED 90-Day T-Bill Data'!E426</f>
        <v>2.4984389307713961E-4</v>
      </c>
    </row>
    <row r="264" spans="1:6">
      <c r="A264" s="97" t="s">
        <v>55</v>
      </c>
      <c r="B264" s="65">
        <v>42460</v>
      </c>
      <c r="C264" s="11">
        <v>0.12509600000000001</v>
      </c>
      <c r="D264" s="11">
        <v>9.4414999999999999E-2</v>
      </c>
      <c r="E264" s="11">
        <v>6.5990999999999994E-2</v>
      </c>
      <c r="F264" s="11">
        <f>'FRED 90-Day T-Bill Data'!E427</f>
        <v>1.9157489087961999E-4</v>
      </c>
    </row>
    <row r="265" spans="1:6">
      <c r="A265" s="97" t="s">
        <v>55</v>
      </c>
      <c r="B265" s="65">
        <v>42489</v>
      </c>
      <c r="C265" s="11">
        <v>-5.7341999999999997E-2</v>
      </c>
      <c r="D265" s="11">
        <v>-2.6363999999999999E-2</v>
      </c>
      <c r="E265" s="11">
        <v>2.699E-3</v>
      </c>
      <c r="F265" s="11">
        <f>'FRED 90-Day T-Bill Data'!E428</f>
        <v>2.3319733855742264E-4</v>
      </c>
    </row>
    <row r="266" spans="1:6">
      <c r="A266" s="97" t="s">
        <v>55</v>
      </c>
      <c r="B266" s="65">
        <v>42521</v>
      </c>
      <c r="C266" s="11">
        <v>3.0755000000000001E-2</v>
      </c>
      <c r="D266" s="11">
        <v>-8.9809999999999994E-3</v>
      </c>
      <c r="E266" s="11">
        <v>1.5329000000000001E-2</v>
      </c>
      <c r="F266" s="11">
        <f>'FRED 90-Day T-Bill Data'!E429</f>
        <v>2.2487354181421892E-4</v>
      </c>
    </row>
    <row r="267" spans="1:6">
      <c r="A267" s="97" t="s">
        <v>55</v>
      </c>
      <c r="B267" s="65">
        <v>42551</v>
      </c>
      <c r="C267" s="11">
        <v>1.0826000000000001E-2</v>
      </c>
      <c r="D267" s="11">
        <v>9.8006999999999997E-2</v>
      </c>
      <c r="E267" s="11">
        <v>9.0600000000000001E-4</v>
      </c>
      <c r="F267" s="11">
        <f>'FRED 90-Day T-Bill Data'!E430</f>
        <v>2.4984389307713961E-4</v>
      </c>
    </row>
    <row r="268" spans="1:6">
      <c r="A268" s="97" t="s">
        <v>55</v>
      </c>
      <c r="B268" s="65">
        <v>42580</v>
      </c>
      <c r="C268" s="11">
        <v>2.5385000000000001E-2</v>
      </c>
      <c r="D268" s="11">
        <v>-4.4749999999999998E-3</v>
      </c>
      <c r="E268" s="11">
        <v>3.5610000000000003E-2</v>
      </c>
      <c r="F268" s="11">
        <f>'FRED 90-Day T-Bill Data'!E431</f>
        <v>2.4984389307713961E-4</v>
      </c>
    </row>
    <row r="269" spans="1:6">
      <c r="A269" s="97" t="s">
        <v>55</v>
      </c>
      <c r="B269" s="65">
        <v>42613</v>
      </c>
      <c r="C269" s="11">
        <v>-2.8989000000000001E-2</v>
      </c>
      <c r="D269" s="11">
        <v>-5.1948000000000001E-2</v>
      </c>
      <c r="E269" s="11">
        <v>-1.219E-3</v>
      </c>
      <c r="F269" s="11">
        <f>'FRED 90-Day T-Bill Data'!E432</f>
        <v>2.4152078896788609E-4</v>
      </c>
    </row>
    <row r="270" spans="1:6">
      <c r="A270" s="97" t="s">
        <v>55</v>
      </c>
      <c r="B270" s="65">
        <v>42643</v>
      </c>
      <c r="C270" s="11">
        <v>-1.2329E-2</v>
      </c>
      <c r="D270" s="11">
        <v>6.6399999999999999E-4</v>
      </c>
      <c r="E270" s="11">
        <v>-1.2340000000000001E-3</v>
      </c>
      <c r="F270" s="11">
        <f>'FRED 90-Day T-Bill Data'!E433</f>
        <v>2.7481112791538642E-4</v>
      </c>
    </row>
    <row r="271" spans="1:6">
      <c r="A271" s="97" t="s">
        <v>55</v>
      </c>
      <c r="B271" s="65">
        <v>42674</v>
      </c>
      <c r="C271" s="11">
        <v>-3.8662000000000002E-2</v>
      </c>
      <c r="D271" s="11">
        <v>3.32E-3</v>
      </c>
      <c r="E271" s="11">
        <v>-1.9425999999999999E-2</v>
      </c>
      <c r="F271" s="11">
        <f>'FRED 90-Day T-Bill Data'!E434</f>
        <v>3.7464892012928352E-4</v>
      </c>
    </row>
    <row r="272" spans="1:6">
      <c r="A272" s="97" t="s">
        <v>55</v>
      </c>
      <c r="B272" s="65">
        <v>42704</v>
      </c>
      <c r="C272" s="11">
        <v>8.548E-3</v>
      </c>
      <c r="D272" s="11">
        <v>-6.7637000000000003E-2</v>
      </c>
      <c r="E272" s="11">
        <v>3.4174000000000003E-2</v>
      </c>
      <c r="F272" s="11">
        <f>'FRED 90-Day T-Bill Data'!E435</f>
        <v>4.2454913991640808E-4</v>
      </c>
    </row>
    <row r="273" spans="1:6">
      <c r="A273" s="97" t="s">
        <v>55</v>
      </c>
      <c r="B273" s="65">
        <v>42734</v>
      </c>
      <c r="C273" s="11">
        <v>8.4197999999999995E-2</v>
      </c>
      <c r="D273" s="11">
        <v>5.6041000000000001E-2</v>
      </c>
      <c r="E273" s="11">
        <v>1.8200999999999998E-2</v>
      </c>
      <c r="F273" s="11">
        <f>'FRED 90-Day T-Bill Data'!E436</f>
        <v>4.3286463341307702E-4</v>
      </c>
    </row>
    <row r="274" spans="1:6">
      <c r="A274" s="97" t="s">
        <v>55</v>
      </c>
      <c r="B274" s="65">
        <v>42766</v>
      </c>
      <c r="C274" s="11">
        <v>-3.5269000000000002E-2</v>
      </c>
      <c r="D274" s="11">
        <v>9.0930000000000004E-3</v>
      </c>
      <c r="E274" s="11">
        <v>1.7884000000000001E-2</v>
      </c>
      <c r="F274" s="11">
        <f>'FRED 90-Day T-Bill Data'!E437</f>
        <v>4.4117978133639824E-4</v>
      </c>
    </row>
    <row r="275" spans="1:6">
      <c r="A275" s="97" t="s">
        <v>55</v>
      </c>
      <c r="B275" s="65">
        <v>42794</v>
      </c>
      <c r="C275" s="11">
        <v>4.6365999999999997E-2</v>
      </c>
      <c r="D275" s="11">
        <v>4.5461000000000001E-2</v>
      </c>
      <c r="E275" s="11">
        <v>3.7198000000000002E-2</v>
      </c>
      <c r="F275" s="11">
        <f>'FRED 90-Day T-Bill Data'!E438</f>
        <v>6.2402566952823868E-4</v>
      </c>
    </row>
    <row r="276" spans="1:6">
      <c r="A276" s="97" t="s">
        <v>55</v>
      </c>
      <c r="B276" s="65">
        <v>42825</v>
      </c>
      <c r="C276" s="11">
        <v>-6.0499999999999998E-3</v>
      </c>
      <c r="D276" s="11">
        <v>8.0479999999999996E-3</v>
      </c>
      <c r="E276" s="11">
        <v>-3.8900000000000002E-4</v>
      </c>
      <c r="F276" s="11">
        <f>'FRED 90-Day T-Bill Data'!E439</f>
        <v>6.7386374861722054E-4</v>
      </c>
    </row>
    <row r="277" spans="1:6">
      <c r="A277" s="97" t="s">
        <v>55</v>
      </c>
      <c r="B277" s="65">
        <v>42853</v>
      </c>
      <c r="C277" s="11">
        <v>5.5889000000000001E-2</v>
      </c>
      <c r="D277" s="11">
        <v>2.086E-2</v>
      </c>
      <c r="E277" s="11">
        <v>9.0910000000000001E-3</v>
      </c>
      <c r="F277" s="11">
        <f>'FRED 90-Day T-Bill Data'!E440</f>
        <v>7.4859760490331162E-4</v>
      </c>
    </row>
    <row r="278" spans="1:6">
      <c r="A278" s="97" t="s">
        <v>55</v>
      </c>
      <c r="B278" s="65">
        <v>42886</v>
      </c>
      <c r="C278" s="11">
        <v>5.0927E-2</v>
      </c>
      <c r="D278" s="11">
        <v>5.2977000000000003E-2</v>
      </c>
      <c r="E278" s="11">
        <v>1.1575999999999999E-2</v>
      </c>
      <c r="F278" s="11">
        <f>'FRED 90-Day T-Bill Data'!E441</f>
        <v>8.3160250829017457E-4</v>
      </c>
    </row>
    <row r="279" spans="1:6">
      <c r="A279" s="97" t="s">
        <v>55</v>
      </c>
      <c r="B279" s="65">
        <v>42916</v>
      </c>
      <c r="C279" s="11">
        <v>8.1740000000000007E-3</v>
      </c>
      <c r="D279" s="11">
        <v>-2.3795E-2</v>
      </c>
      <c r="E279" s="11">
        <v>4.8139999999999997E-3</v>
      </c>
      <c r="F279" s="11">
        <f>'FRED 90-Day T-Bill Data'!E442</f>
        <v>9.0627750316119027E-4</v>
      </c>
    </row>
    <row r="280" spans="1:6">
      <c r="A280" s="97" t="s">
        <v>55</v>
      </c>
      <c r="B280" s="65">
        <v>42947</v>
      </c>
      <c r="C280" s="11">
        <v>1.7219000000000002E-2</v>
      </c>
      <c r="D280" s="11">
        <v>2.5241E-2</v>
      </c>
      <c r="E280" s="11">
        <v>1.9349000000000002E-2</v>
      </c>
      <c r="F280" s="11">
        <f>'FRED 90-Day T-Bill Data'!E443</f>
        <v>8.5649726867353948E-4</v>
      </c>
    </row>
    <row r="281" spans="1:6">
      <c r="A281" s="97" t="s">
        <v>55</v>
      </c>
      <c r="B281" s="65">
        <v>42978</v>
      </c>
      <c r="C281" s="11">
        <v>1.6316000000000001E-2</v>
      </c>
      <c r="D281" s="11">
        <v>2.5343999999999998E-2</v>
      </c>
      <c r="E281" s="11">
        <v>5.4600000000000004E-4</v>
      </c>
      <c r="F281" s="11">
        <f>'FRED 90-Day T-Bill Data'!E444</f>
        <v>8.7309205570540449E-4</v>
      </c>
    </row>
    <row r="282" spans="1:6">
      <c r="A282" s="97" t="s">
        <v>55</v>
      </c>
      <c r="B282" s="65">
        <v>43007</v>
      </c>
      <c r="C282" s="11">
        <v>-3.8313E-2</v>
      </c>
      <c r="D282" s="11">
        <v>-4.2601E-2</v>
      </c>
      <c r="E282" s="11">
        <v>1.9303000000000001E-2</v>
      </c>
      <c r="F282" s="11">
        <f>'FRED 90-Day T-Bill Data'!E445</f>
        <v>9.0627750316119027E-4</v>
      </c>
    </row>
    <row r="283" spans="1:6">
      <c r="A283" s="97" t="s">
        <v>55</v>
      </c>
      <c r="B283" s="65">
        <v>43039</v>
      </c>
      <c r="C283" s="11">
        <v>3.3066999999999999E-2</v>
      </c>
      <c r="D283" s="11">
        <v>6.6558999999999993E-2</v>
      </c>
      <c r="E283" s="11">
        <v>2.2187999999999999E-2</v>
      </c>
      <c r="F283" s="11">
        <f>'FRED 90-Day T-Bill Data'!E446</f>
        <v>1.0389643083117406E-3</v>
      </c>
    </row>
    <row r="284" spans="1:6">
      <c r="A284" s="97" t="s">
        <v>55</v>
      </c>
      <c r="B284" s="65">
        <v>43069</v>
      </c>
      <c r="C284" s="11">
        <v>-5.8834999999999998E-2</v>
      </c>
      <c r="D284" s="11">
        <v>4.2765999999999998E-2</v>
      </c>
      <c r="E284" s="11">
        <v>2.8083E-2</v>
      </c>
      <c r="F284" s="11">
        <f>'FRED 90-Day T-Bill Data'!E447</f>
        <v>1.1135620091518028E-3</v>
      </c>
    </row>
    <row r="285" spans="1:6">
      <c r="A285" s="97" t="s">
        <v>55</v>
      </c>
      <c r="B285" s="65">
        <v>43098</v>
      </c>
      <c r="C285" s="11">
        <v>-1.5668999999999999E-2</v>
      </c>
      <c r="D285" s="11">
        <v>-4.5934000000000003E-2</v>
      </c>
      <c r="E285" s="11">
        <v>9.8320000000000005E-3</v>
      </c>
      <c r="F285" s="11">
        <f>'FRED 90-Day T-Bill Data'!E448</f>
        <v>1.1881319272069035E-3</v>
      </c>
    </row>
    <row r="286" spans="1:6">
      <c r="A286" s="97" t="s">
        <v>55</v>
      </c>
      <c r="B286" s="65">
        <v>43131</v>
      </c>
      <c r="C286" s="11">
        <v>-3.4759999999999999E-2</v>
      </c>
      <c r="D286" s="11">
        <v>-5.4031999999999997E-2</v>
      </c>
      <c r="E286" s="11">
        <v>5.6179E-2</v>
      </c>
      <c r="F286" s="11">
        <f>'FRED 90-Day T-Bill Data'!E449</f>
        <v>1.3206321416776579E-3</v>
      </c>
    </row>
    <row r="287" spans="1:6">
      <c r="A287" s="97" t="s">
        <v>55</v>
      </c>
      <c r="B287" s="65">
        <v>43159</v>
      </c>
      <c r="C287" s="11">
        <v>-3.9274000000000003E-2</v>
      </c>
      <c r="D287" s="11">
        <v>-5.9171000000000001E-2</v>
      </c>
      <c r="E287" s="11">
        <v>-3.8947000000000002E-2</v>
      </c>
      <c r="F287" s="11">
        <f>'FRED 90-Day T-Bill Data'!E450</f>
        <v>1.4364979592100813E-3</v>
      </c>
    </row>
    <row r="288" spans="1:6">
      <c r="A288" s="97" t="s">
        <v>55</v>
      </c>
      <c r="B288" s="65">
        <v>43188</v>
      </c>
      <c r="C288" s="11">
        <v>8.3589999999999998E-2</v>
      </c>
      <c r="D288" s="11">
        <v>4.0725999999999998E-2</v>
      </c>
      <c r="E288" s="11">
        <v>-2.6884999999999999E-2</v>
      </c>
      <c r="F288" s="11">
        <f>'FRED 90-Day T-Bill Data'!E451</f>
        <v>1.4861342262237898E-3</v>
      </c>
    </row>
    <row r="289" spans="1:6">
      <c r="A289" s="97" t="s">
        <v>55</v>
      </c>
      <c r="B289" s="65">
        <v>43220</v>
      </c>
      <c r="C289" s="11">
        <v>-4.1130000000000003E-3</v>
      </c>
      <c r="D289" s="11">
        <v>2.8098000000000001E-2</v>
      </c>
      <c r="E289" s="11">
        <v>2.7190000000000001E-3</v>
      </c>
      <c r="F289" s="11">
        <f>'FRED 90-Day T-Bill Data'!E452</f>
        <v>1.5771021146608888E-3</v>
      </c>
    </row>
    <row r="290" spans="1:6">
      <c r="A290" s="97" t="s">
        <v>55</v>
      </c>
      <c r="B290" s="65">
        <v>43251</v>
      </c>
      <c r="C290" s="11">
        <v>-2.7539999999999999E-3</v>
      </c>
      <c r="D290" s="11">
        <v>-3.3508000000000003E-2</v>
      </c>
      <c r="E290" s="11">
        <v>2.1607999999999999E-2</v>
      </c>
      <c r="F290" s="11">
        <f>'FRED 90-Day T-Bill Data'!E453</f>
        <v>1.6101711069942404E-3</v>
      </c>
    </row>
    <row r="291" spans="1:6">
      <c r="A291" s="97" t="s">
        <v>55</v>
      </c>
      <c r="B291" s="65">
        <v>43280</v>
      </c>
      <c r="C291" s="11">
        <v>7.9489999999999995E-3</v>
      </c>
      <c r="D291" s="11">
        <v>1.6291E-2</v>
      </c>
      <c r="E291" s="11">
        <v>4.8419999999999999E-3</v>
      </c>
      <c r="F291" s="11">
        <f>'FRED 90-Day T-Bill Data'!E454</f>
        <v>1.6514996721896935E-3</v>
      </c>
    </row>
    <row r="292" spans="1:6">
      <c r="A292" s="97" t="s">
        <v>55</v>
      </c>
      <c r="B292" s="65">
        <v>43312</v>
      </c>
      <c r="C292" s="11">
        <v>5.7720000000000002E-3</v>
      </c>
      <c r="D292" s="11">
        <v>1.2182999999999999E-2</v>
      </c>
      <c r="E292" s="11">
        <v>3.6021999999999998E-2</v>
      </c>
      <c r="F292" s="11">
        <f>'FRED 90-Day T-Bill Data'!E455</f>
        <v>1.7176076473344182E-3</v>
      </c>
    </row>
    <row r="293" spans="1:6">
      <c r="A293" s="97" t="s">
        <v>55</v>
      </c>
      <c r="B293" s="65">
        <v>43343</v>
      </c>
      <c r="C293" s="11">
        <v>2.4246E-2</v>
      </c>
      <c r="D293" s="11">
        <v>9.0589999999999993E-3</v>
      </c>
      <c r="E293" s="11">
        <v>3.0263000000000002E-2</v>
      </c>
      <c r="F293" s="11">
        <f>'FRED 90-Day T-Bill Data'!E456</f>
        <v>1.8002119525051263E-3</v>
      </c>
    </row>
    <row r="294" spans="1:6">
      <c r="A294" s="97" t="s">
        <v>55</v>
      </c>
      <c r="B294" s="65">
        <v>43371</v>
      </c>
      <c r="C294" s="11">
        <v>9.2980000000000007E-3</v>
      </c>
      <c r="D294" s="11">
        <v>-3.4714000000000002E-2</v>
      </c>
      <c r="E294" s="11">
        <v>4.2940000000000001E-3</v>
      </c>
      <c r="F294" s="11">
        <f>'FRED 90-Day T-Bill Data'!E457</f>
        <v>1.8992921859668499E-3</v>
      </c>
    </row>
    <row r="295" spans="1:6">
      <c r="A295" s="97" t="s">
        <v>55</v>
      </c>
      <c r="B295" s="65">
        <v>43404</v>
      </c>
      <c r="C295" s="11">
        <v>1.6497000000000001E-2</v>
      </c>
      <c r="D295" s="11">
        <v>-2.4940000000000001E-3</v>
      </c>
      <c r="E295" s="11">
        <v>-6.9403000000000006E-2</v>
      </c>
      <c r="F295" s="11">
        <f>'FRED 90-Day T-Bill Data'!E458</f>
        <v>1.9653184676531321E-3</v>
      </c>
    </row>
    <row r="296" spans="1:6">
      <c r="A296" s="97" t="s">
        <v>55</v>
      </c>
      <c r="B296" s="65">
        <v>43434</v>
      </c>
      <c r="C296" s="11">
        <v>4.6774000000000003E-2</v>
      </c>
      <c r="D296" s="11">
        <v>6.6644999999999996E-2</v>
      </c>
      <c r="E296" s="11">
        <v>1.7859E-2</v>
      </c>
      <c r="F296" s="11">
        <f>'FRED 90-Day T-Bill Data'!E459</f>
        <v>1.9983234522251703E-3</v>
      </c>
    </row>
    <row r="297" spans="1:6">
      <c r="A297" s="97" t="s">
        <v>55</v>
      </c>
      <c r="B297" s="65">
        <v>43465</v>
      </c>
      <c r="C297" s="11">
        <v>-5.8817000000000001E-2</v>
      </c>
      <c r="D297" s="11">
        <v>-4.8412999999999998E-2</v>
      </c>
      <c r="E297" s="11">
        <v>-9.1776999999999997E-2</v>
      </c>
      <c r="F297" s="11">
        <f>'FRED 90-Day T-Bill Data'!E460</f>
        <v>2.0065738490901985E-3</v>
      </c>
    </row>
    <row r="298" spans="1:6">
      <c r="A298" s="97" t="s">
        <v>55</v>
      </c>
      <c r="B298" s="65">
        <v>43496</v>
      </c>
      <c r="C298" s="11">
        <v>0.105991</v>
      </c>
      <c r="D298" s="11">
        <v>1.5564E-2</v>
      </c>
      <c r="E298" s="11">
        <v>7.8684000000000004E-2</v>
      </c>
      <c r="F298" s="11">
        <f>'FRED 90-Day T-Bill Data'!E461</f>
        <v>2.0230736239015279E-3</v>
      </c>
    </row>
    <row r="299" spans="1:6">
      <c r="A299" s="97" t="s">
        <v>55</v>
      </c>
      <c r="B299" s="65">
        <v>43524</v>
      </c>
      <c r="C299" s="11">
        <v>3.1857999999999997E-2</v>
      </c>
      <c r="D299" s="11">
        <v>7.1346000000000007E-2</v>
      </c>
      <c r="E299" s="11">
        <v>2.9728999999999998E-2</v>
      </c>
      <c r="F299" s="11">
        <f>'FRED 90-Day T-Bill Data'!E462</f>
        <v>2.0313230019097794E-3</v>
      </c>
    </row>
    <row r="300" spans="1:6">
      <c r="A300" s="97" t="s">
        <v>55</v>
      </c>
      <c r="B300" s="65">
        <v>43553</v>
      </c>
      <c r="C300" s="11">
        <v>4.0558999999999998E-2</v>
      </c>
      <c r="D300" s="11">
        <v>2.8622999999999999E-2</v>
      </c>
      <c r="E300" s="11">
        <v>1.7923999999999999E-2</v>
      </c>
      <c r="F300" s="11">
        <f>'FRED 90-Day T-Bill Data'!E463</f>
        <v>2.014823906305363E-3</v>
      </c>
    </row>
    <row r="301" spans="1:6">
      <c r="A301" s="97" t="s">
        <v>55</v>
      </c>
      <c r="B301" s="65">
        <v>43585</v>
      </c>
      <c r="C301" s="11">
        <v>-2.3302E-2</v>
      </c>
      <c r="D301" s="11">
        <v>1.5918000000000002E-2</v>
      </c>
      <c r="E301" s="11">
        <v>3.9313000000000001E-2</v>
      </c>
      <c r="F301" s="11">
        <f>'FRED 90-Day T-Bill Data'!E464</f>
        <v>1.9900727156798581E-3</v>
      </c>
    </row>
    <row r="302" spans="1:6">
      <c r="A302" s="97" t="s">
        <v>55</v>
      </c>
      <c r="B302" s="65">
        <v>43616</v>
      </c>
      <c r="C302" s="11">
        <v>3.2708000000000001E-2</v>
      </c>
      <c r="D302" s="11">
        <v>1.0214000000000001E-2</v>
      </c>
      <c r="E302" s="11">
        <v>-6.5778000000000003E-2</v>
      </c>
      <c r="F302" s="11">
        <f>'FRED 90-Day T-Bill Data'!E465</f>
        <v>1.8415013374062372E-3</v>
      </c>
    </row>
    <row r="303" spans="1:6">
      <c r="A303" s="97" t="s">
        <v>55</v>
      </c>
      <c r="B303" s="65">
        <v>43644</v>
      </c>
      <c r="C303" s="11">
        <v>7.3350000000000004E-3</v>
      </c>
      <c r="D303" s="11">
        <v>1.5990999999999998E-2</v>
      </c>
      <c r="E303" s="11">
        <v>6.8930000000000005E-2</v>
      </c>
      <c r="F303" s="11">
        <f>'FRED 90-Day T-Bill Data'!E466</f>
        <v>1.7836938158199978E-3</v>
      </c>
    </row>
    <row r="304" spans="1:6">
      <c r="A304" s="97" t="s">
        <v>55</v>
      </c>
      <c r="B304" s="65">
        <v>43677</v>
      </c>
      <c r="C304" s="11">
        <v>3.5248000000000002E-2</v>
      </c>
      <c r="D304" s="11">
        <v>-3.1022000000000001E-2</v>
      </c>
      <c r="E304" s="11">
        <v>1.3128000000000001E-2</v>
      </c>
      <c r="F304" s="11">
        <f>'FRED 90-Day T-Bill Data'!E467</f>
        <v>1.6514996721896935E-3</v>
      </c>
    </row>
    <row r="305" spans="1:6">
      <c r="A305" s="97" t="s">
        <v>55</v>
      </c>
      <c r="B305" s="65">
        <v>43707</v>
      </c>
      <c r="C305" s="11">
        <v>6.3E-2</v>
      </c>
      <c r="D305" s="11">
        <v>5.5085000000000002E-2</v>
      </c>
      <c r="E305" s="11">
        <v>-1.8092E-2</v>
      </c>
      <c r="F305" s="11">
        <f>'FRED 90-Day T-Bill Data'!E468</f>
        <v>1.6019043706854141E-3</v>
      </c>
    </row>
    <row r="306" spans="1:6">
      <c r="A306" s="97" t="s">
        <v>55</v>
      </c>
      <c r="B306" s="65">
        <v>43738</v>
      </c>
      <c r="C306" s="11">
        <v>2.2846999999999999E-2</v>
      </c>
      <c r="D306" s="11">
        <v>6.2655000000000002E-2</v>
      </c>
      <c r="E306" s="11">
        <v>1.7180999999999998E-2</v>
      </c>
      <c r="F306" s="11">
        <f>'FRED 90-Day T-Bill Data'!E469</f>
        <v>1.3951250046282393E-3</v>
      </c>
    </row>
    <row r="307" spans="1:6">
      <c r="A307" s="97" t="s">
        <v>55</v>
      </c>
      <c r="B307" s="65">
        <v>43769</v>
      </c>
      <c r="C307" s="11">
        <v>1.469E-3</v>
      </c>
      <c r="D307" s="11">
        <v>-2.3817000000000001E-2</v>
      </c>
      <c r="E307" s="11">
        <v>2.0431999999999999E-2</v>
      </c>
      <c r="F307" s="11">
        <f>'FRED 90-Day T-Bill Data'!E470</f>
        <v>1.3040744085350831E-3</v>
      </c>
    </row>
    <row r="308" spans="1:6">
      <c r="A308" s="97" t="s">
        <v>55</v>
      </c>
      <c r="B308" s="65">
        <v>43798</v>
      </c>
      <c r="C308" s="11">
        <v>-4.5700999999999999E-2</v>
      </c>
      <c r="D308" s="11">
        <v>-4.9771999999999997E-2</v>
      </c>
      <c r="E308" s="11">
        <v>3.4047000000000001E-2</v>
      </c>
      <c r="F308" s="11">
        <f>'FRED 90-Day T-Bill Data'!E471</f>
        <v>1.3040744085350831E-3</v>
      </c>
    </row>
    <row r="309" spans="1:6">
      <c r="A309" s="97" t="s">
        <v>55</v>
      </c>
      <c r="B309" s="65">
        <v>43830</v>
      </c>
      <c r="C309" s="11">
        <v>-3.0015E-2</v>
      </c>
      <c r="D309" s="11">
        <v>4.1202000000000003E-2</v>
      </c>
      <c r="E309" s="11">
        <v>2.8590000000000001E-2</v>
      </c>
      <c r="F309" s="11">
        <f>'FRED 90-Day T-Bill Data'!E472</f>
        <v>1.2875153062716915E-3</v>
      </c>
    </row>
    <row r="310" spans="1:6">
      <c r="A310" s="97" t="s">
        <v>55</v>
      </c>
      <c r="B310" s="65">
        <v>43861</v>
      </c>
      <c r="C310" s="11">
        <v>2.9582000000000001E-2</v>
      </c>
      <c r="D310" s="11">
        <v>3.9017999999999997E-2</v>
      </c>
      <c r="E310" s="11">
        <v>-1.6280000000000001E-3</v>
      </c>
      <c r="F310" s="11">
        <f>'FRED 90-Day T-Bill Data'!E473</f>
        <v>1.2792352416419739E-3</v>
      </c>
    </row>
    <row r="311" spans="1:6">
      <c r="A311" s="97" t="s">
        <v>55</v>
      </c>
      <c r="B311" s="65">
        <v>43889</v>
      </c>
      <c r="C311" s="11">
        <v>-8.5226999999999997E-2</v>
      </c>
      <c r="D311" s="11">
        <v>-0.15335099999999999</v>
      </c>
      <c r="E311" s="11">
        <v>-8.4110000000000004E-2</v>
      </c>
      <c r="F311" s="11">
        <f>'FRED 90-Day T-Bill Data'!E474</f>
        <v>2.4984389307713961E-4</v>
      </c>
    </row>
    <row r="312" spans="1:6">
      <c r="A312" s="97" t="s">
        <v>55</v>
      </c>
      <c r="B312" s="65">
        <v>43921</v>
      </c>
      <c r="C312" s="11">
        <v>-0.215424</v>
      </c>
      <c r="D312" s="11">
        <v>-1.0403000000000001E-2</v>
      </c>
      <c r="E312" s="11">
        <v>-0.12511900000000001</v>
      </c>
      <c r="F312" s="11">
        <f>'FRED 90-Day T-Bill Data'!E475</f>
        <v>1.1663265343808682E-4</v>
      </c>
    </row>
    <row r="313" spans="1:6">
      <c r="A313" s="97" t="s">
        <v>55</v>
      </c>
      <c r="B313" s="65">
        <v>43951</v>
      </c>
      <c r="C313" s="11">
        <v>0.108336</v>
      </c>
      <c r="D313" s="11">
        <v>1.0255999999999999E-2</v>
      </c>
      <c r="E313" s="11">
        <v>0.12684400000000001</v>
      </c>
      <c r="F313" s="11">
        <f>'FRED 90-Day T-Bill Data'!E476</f>
        <v>1.0830400470474011E-4</v>
      </c>
    </row>
    <row r="314" spans="1:6">
      <c r="A314" s="97" t="s">
        <v>55</v>
      </c>
      <c r="B314" s="65">
        <v>43980</v>
      </c>
      <c r="C314" s="11">
        <v>-5.4489999999999999E-3</v>
      </c>
      <c r="D314" s="11">
        <v>-3.7754000000000003E-2</v>
      </c>
      <c r="E314" s="11">
        <v>4.5282000000000003E-2</v>
      </c>
      <c r="F314" s="11">
        <f>'FRED 90-Day T-Bill Data'!E477</f>
        <v>1.3328891060493397E-4</v>
      </c>
    </row>
    <row r="315" spans="1:6">
      <c r="A315" s="97" t="s">
        <v>55</v>
      </c>
      <c r="B315" s="65">
        <v>44012</v>
      </c>
      <c r="C315" s="11">
        <v>-4.7462999999999998E-2</v>
      </c>
      <c r="D315" s="11">
        <v>-4.1700000000000001E-2</v>
      </c>
      <c r="E315" s="11">
        <v>1.8388000000000002E-2</v>
      </c>
      <c r="F315" s="11">
        <f>'FRED 90-Day T-Bill Data'!E478</f>
        <v>1.0830400470474011E-4</v>
      </c>
    </row>
    <row r="316" spans="1:6">
      <c r="A316" s="97" t="s">
        <v>55</v>
      </c>
      <c r="B316" s="65">
        <v>44043</v>
      </c>
      <c r="C316" s="11">
        <v>-3.6784999999999998E-2</v>
      </c>
      <c r="D316" s="11">
        <v>6.8122000000000002E-2</v>
      </c>
      <c r="E316" s="11">
        <v>5.5100999999999997E-2</v>
      </c>
      <c r="F316" s="11">
        <f>'FRED 90-Day T-Bill Data'!E479</f>
        <v>8.3315977525089124E-5</v>
      </c>
    </row>
    <row r="317" spans="1:6">
      <c r="A317" s="97" t="s">
        <v>55</v>
      </c>
      <c r="B317" s="65">
        <v>44074</v>
      </c>
      <c r="C317" s="11">
        <v>-1.9162999999999999E-2</v>
      </c>
      <c r="D317" s="11">
        <v>-6.1498999999999998E-2</v>
      </c>
      <c r="E317" s="11">
        <v>7.0065000000000002E-2</v>
      </c>
      <c r="F317" s="11">
        <f>'FRED 90-Day T-Bill Data'!E480</f>
        <v>9.1645666780104662E-5</v>
      </c>
    </row>
    <row r="318" spans="1:6">
      <c r="A318" s="97" t="s">
        <v>55</v>
      </c>
      <c r="B318" s="65">
        <v>44104</v>
      </c>
      <c r="C318" s="11">
        <v>-6.3010999999999998E-2</v>
      </c>
      <c r="D318" s="11">
        <v>9.0551999999999994E-2</v>
      </c>
      <c r="E318" s="11">
        <v>-3.9227999999999999E-2</v>
      </c>
      <c r="F318" s="11">
        <f>'FRED 90-Day T-Bill Data'!E481</f>
        <v>8.3315977525089124E-5</v>
      </c>
    </row>
    <row r="319" spans="1:6">
      <c r="A319" s="97" t="s">
        <v>55</v>
      </c>
      <c r="B319" s="65">
        <v>44134</v>
      </c>
      <c r="C319" s="11">
        <v>1.8925000000000001E-2</v>
      </c>
      <c r="D319" s="11">
        <v>8.8690000000000001E-3</v>
      </c>
      <c r="E319" s="11">
        <v>-2.7666E-2</v>
      </c>
      <c r="F319" s="11">
        <f>'FRED 90-Day T-Bill Data'!E482</f>
        <v>7.4985941366012554E-5</v>
      </c>
    </row>
    <row r="320" spans="1:6">
      <c r="A320" s="97" t="s">
        <v>55</v>
      </c>
      <c r="B320" s="65">
        <v>44165</v>
      </c>
      <c r="C320" s="11">
        <v>0.201818</v>
      </c>
      <c r="D320" s="11">
        <v>-1.8792E-2</v>
      </c>
      <c r="E320" s="11">
        <v>0.107546</v>
      </c>
      <c r="F320" s="11">
        <f>'FRED 90-Day T-Bill Data'!E483</f>
        <v>7.4985941366012554E-5</v>
      </c>
    </row>
    <row r="321" spans="1:6">
      <c r="A321" s="97" t="s">
        <v>55</v>
      </c>
      <c r="B321" s="65">
        <v>44196</v>
      </c>
      <c r="C321" s="11">
        <v>-2.5957999999999998E-2</v>
      </c>
      <c r="D321" s="11">
        <v>-5.2197E-2</v>
      </c>
      <c r="E321" s="11">
        <v>3.7121000000000001E-2</v>
      </c>
      <c r="F321" s="11">
        <f>'FRED 90-Day T-Bill Data'!E484</f>
        <v>6.6655558270900528E-5</v>
      </c>
    </row>
    <row r="322" spans="1:6">
      <c r="A322" s="97" t="s">
        <v>55</v>
      </c>
      <c r="B322" s="65">
        <v>44225</v>
      </c>
      <c r="C322" s="11">
        <v>9.2239999999999996E-3</v>
      </c>
      <c r="D322" s="11">
        <v>-2.0617E-2</v>
      </c>
      <c r="E322" s="11">
        <v>-1.1136999999999999E-2</v>
      </c>
      <c r="F322" s="11">
        <f>'FRED 90-Day T-Bill Data'!E485</f>
        <v>3.3330555895050296E-5</v>
      </c>
    </row>
    <row r="323" spans="1:6">
      <c r="A323" s="97" t="s">
        <v>55</v>
      </c>
      <c r="B323" s="65">
        <v>44253</v>
      </c>
      <c r="C323" s="11">
        <v>6.3353000000000007E-2</v>
      </c>
      <c r="D323" s="11">
        <v>-6.1529E-2</v>
      </c>
      <c r="E323" s="11">
        <v>2.6091E-2</v>
      </c>
      <c r="F323" s="11">
        <f>'FRED 90-Day T-Bill Data'!E486</f>
        <v>2.4998437643253268E-5</v>
      </c>
    </row>
    <row r="324" spans="1:6">
      <c r="A324" s="97" t="s">
        <v>55</v>
      </c>
      <c r="B324" s="65">
        <v>44286</v>
      </c>
      <c r="C324" s="11">
        <v>7.5120999999999993E-2</v>
      </c>
      <c r="D324" s="11">
        <v>0.139376</v>
      </c>
      <c r="E324" s="11">
        <v>4.2438999999999998E-2</v>
      </c>
      <c r="F324" s="11">
        <f>'FRED 90-Day T-Bill Data'!E487</f>
        <v>1.666597226468447E-5</v>
      </c>
    </row>
    <row r="325" spans="1:6">
      <c r="A325" s="97" t="s">
        <v>55</v>
      </c>
      <c r="B325" s="65">
        <v>44316</v>
      </c>
      <c r="C325" s="11">
        <v>6.8717E-2</v>
      </c>
      <c r="D325" s="11">
        <v>3.4893E-2</v>
      </c>
      <c r="E325" s="11">
        <v>5.2424999999999999E-2</v>
      </c>
      <c r="F325" s="11">
        <f>'FRED 90-Day T-Bill Data'!E488</f>
        <v>1.666597226468447E-5</v>
      </c>
    </row>
    <row r="326" spans="1:6">
      <c r="A326" s="97" t="s">
        <v>55</v>
      </c>
      <c r="B326" s="65">
        <v>44344</v>
      </c>
      <c r="C326" s="11">
        <v>1.6419E-2</v>
      </c>
      <c r="D326" s="11">
        <v>7.8150000000000008E-3</v>
      </c>
      <c r="E326" s="11">
        <v>5.4869999999999997E-3</v>
      </c>
      <c r="F326" s="11">
        <f>'FRED 90-Day T-Bill Data'!E489</f>
        <v>3.3330555895050296E-5</v>
      </c>
    </row>
    <row r="327" spans="1:6">
      <c r="A327" s="97" t="s">
        <v>55</v>
      </c>
      <c r="B327" s="65">
        <v>44377</v>
      </c>
      <c r="C327" s="11">
        <v>2.3061999999999999E-2</v>
      </c>
      <c r="D327" s="11">
        <v>-7.1466000000000002E-2</v>
      </c>
      <c r="E327" s="11">
        <v>2.2214000000000001E-2</v>
      </c>
      <c r="F327" s="11">
        <f>'FRED 90-Day T-Bill Data'!E490</f>
        <v>4.166232705182793E-5</v>
      </c>
    </row>
    <row r="328" spans="1:6">
      <c r="A328" s="97" t="s">
        <v>55</v>
      </c>
      <c r="B328" s="65">
        <v>44407</v>
      </c>
      <c r="C328" s="11">
        <v>9.3630000000000005E-2</v>
      </c>
      <c r="D328" s="11">
        <v>2.8583000000000001E-2</v>
      </c>
      <c r="E328" s="11">
        <v>2.2748000000000001E-2</v>
      </c>
      <c r="F328" s="11">
        <f>'FRED 90-Day T-Bill Data'!E491</f>
        <v>4.166232705182793E-5</v>
      </c>
    </row>
    <row r="329" spans="1:6">
      <c r="A329" s="97" t="s">
        <v>55</v>
      </c>
      <c r="B329" s="65">
        <v>44439</v>
      </c>
      <c r="C329" s="11">
        <v>8.0459999999999993E-3</v>
      </c>
      <c r="D329" s="11">
        <v>3.3279000000000003E-2</v>
      </c>
      <c r="E329" s="11">
        <v>2.8989999999999998E-2</v>
      </c>
      <c r="F329" s="11">
        <f>'FRED 90-Day T-Bill Data'!E492</f>
        <v>3.3330555895050296E-5</v>
      </c>
    </row>
    <row r="330" spans="1:6">
      <c r="A330" s="97" t="s">
        <v>55</v>
      </c>
      <c r="B330" s="65">
        <v>44469</v>
      </c>
      <c r="C330" s="11">
        <v>-2.6939999999999999E-2</v>
      </c>
      <c r="D330" s="11">
        <v>-3.7906000000000002E-2</v>
      </c>
      <c r="E330" s="11">
        <v>-4.7569E-2</v>
      </c>
      <c r="F330" s="11">
        <f>'FRED 90-Day T-Bill Data'!E493</f>
        <v>4.166232705182793E-5</v>
      </c>
    </row>
    <row r="331" spans="1:6">
      <c r="A331" s="97" t="s">
        <v>55</v>
      </c>
      <c r="B331" s="65">
        <v>44498</v>
      </c>
      <c r="C331" s="11">
        <v>6.3145000000000007E-2</v>
      </c>
      <c r="D331" s="11">
        <v>3.8711000000000002E-2</v>
      </c>
      <c r="E331" s="11">
        <v>6.9143999999999997E-2</v>
      </c>
      <c r="F331" s="11">
        <f>'FRED 90-Day T-Bill Data'!E494</f>
        <v>4.166232705182793E-5</v>
      </c>
    </row>
    <row r="332" spans="1:6">
      <c r="A332" s="97" t="s">
        <v>55</v>
      </c>
      <c r="B332" s="65">
        <v>44530</v>
      </c>
      <c r="C332" s="11">
        <v>-1.441E-3</v>
      </c>
      <c r="D332" s="11">
        <v>3.9987000000000002E-2</v>
      </c>
      <c r="E332" s="11">
        <v>-8.3339999999999994E-3</v>
      </c>
      <c r="F332" s="11">
        <f>'FRED 90-Day T-Bill Data'!E495</f>
        <v>4.9993751145560594E-5</v>
      </c>
    </row>
    <row r="333" spans="1:6">
      <c r="A333" s="97" t="s">
        <v>55</v>
      </c>
      <c r="B333" s="65">
        <v>44561</v>
      </c>
      <c r="C333" s="11">
        <v>4.3837000000000001E-2</v>
      </c>
      <c r="D333" s="11">
        <v>9.8918000000000006E-2</v>
      </c>
      <c r="E333" s="11">
        <v>4.3612999999999999E-2</v>
      </c>
      <c r="F333" s="11">
        <f>'FRED 90-Day T-Bill Data'!E496</f>
        <v>1.2496095539415997E-4</v>
      </c>
    </row>
    <row r="334" spans="1:6">
      <c r="A334" s="97" t="s">
        <v>55</v>
      </c>
      <c r="B334" s="65">
        <v>44592</v>
      </c>
      <c r="C334" s="11">
        <v>-5.6015000000000002E-2</v>
      </c>
      <c r="D334" s="11">
        <v>1.3244000000000001E-2</v>
      </c>
      <c r="E334" s="11">
        <v>-5.2585E-2</v>
      </c>
      <c r="F334" s="11">
        <f>'FRED 90-Day T-Bill Data'!E497</f>
        <v>2.5816665091715763E-4</v>
      </c>
    </row>
    <row r="335" spans="1:6">
      <c r="A335" s="97" t="s">
        <v>55</v>
      </c>
      <c r="B335" s="65">
        <v>44620</v>
      </c>
      <c r="C335" s="11">
        <v>-4.6105E-2</v>
      </c>
      <c r="D335" s="11">
        <v>1.2719999999999999E-3</v>
      </c>
      <c r="E335" s="11">
        <v>-3.1361E-2</v>
      </c>
      <c r="F335" s="11">
        <f>'FRED 90-Day T-Bill Data'!E498</f>
        <v>3.7464892012928352E-4</v>
      </c>
    </row>
    <row r="336" spans="1:6">
      <c r="A336" s="97" t="s">
        <v>55</v>
      </c>
      <c r="B336" s="65">
        <v>44651</v>
      </c>
      <c r="C336" s="11">
        <v>9.6194000000000002E-2</v>
      </c>
      <c r="D336" s="11">
        <v>0.103883</v>
      </c>
      <c r="E336" s="11">
        <v>3.5772999999999999E-2</v>
      </c>
      <c r="F336" s="11">
        <f>'FRED 90-Day T-Bill Data'!E499</f>
        <v>6.3233287797870297E-4</v>
      </c>
    </row>
    <row r="337" spans="1:6">
      <c r="A337" s="97" t="s">
        <v>55</v>
      </c>
      <c r="B337" s="65">
        <v>44680</v>
      </c>
      <c r="C337" s="11">
        <v>-4.6920000000000003E-2</v>
      </c>
      <c r="D337" s="11">
        <v>-2.0490000000000001E-2</v>
      </c>
      <c r="E337" s="11">
        <v>-8.7956999999999994E-2</v>
      </c>
      <c r="F337" s="11">
        <f>'FRED 90-Day T-Bill Data'!E500</f>
        <v>8.233035667473132E-4</v>
      </c>
    </row>
    <row r="338" spans="1:6">
      <c r="A338" s="97" t="s">
        <v>55</v>
      </c>
      <c r="B338" s="65">
        <v>44712</v>
      </c>
      <c r="C338" s="11">
        <v>-0.13794200000000001</v>
      </c>
      <c r="D338" s="11">
        <v>7.8823000000000004E-2</v>
      </c>
      <c r="E338" s="11">
        <v>5.3000000000000001E-5</v>
      </c>
      <c r="F338" s="11">
        <f>'FRED 90-Day T-Bill Data'!E501</f>
        <v>1.2792352416419739E-3</v>
      </c>
    </row>
    <row r="339" spans="1:6">
      <c r="A339" s="97" t="s">
        <v>55</v>
      </c>
      <c r="B339" s="65">
        <v>44742</v>
      </c>
      <c r="C339" s="11">
        <v>-7.0953000000000002E-2</v>
      </c>
      <c r="D339" s="11">
        <v>-4.1910000000000003E-2</v>
      </c>
      <c r="E339" s="11">
        <v>-8.3919999999999995E-2</v>
      </c>
      <c r="F339" s="11">
        <f>'FRED 90-Day T-Bill Data'!E502</f>
        <v>1.9075466610292136E-3</v>
      </c>
    </row>
    <row r="340" spans="1:6">
      <c r="A340" s="97" t="s">
        <v>55</v>
      </c>
      <c r="B340" s="65">
        <v>44771</v>
      </c>
      <c r="C340" s="11">
        <v>9.5674999999999996E-2</v>
      </c>
      <c r="D340" s="11">
        <v>4.3848999999999999E-2</v>
      </c>
      <c r="E340" s="11">
        <v>9.1116000000000003E-2</v>
      </c>
      <c r="F340" s="11">
        <f>'FRED 90-Day T-Bill Data'!E503</f>
        <v>2.2539279560598313E-3</v>
      </c>
    </row>
    <row r="341" spans="1:6">
      <c r="A341" s="97" t="s">
        <v>55</v>
      </c>
      <c r="B341" s="65">
        <v>44804</v>
      </c>
      <c r="C341" s="11">
        <v>-7.4930999999999998E-2</v>
      </c>
      <c r="D341" s="11">
        <v>-7.4539999999999997E-3</v>
      </c>
      <c r="E341" s="11">
        <v>-4.2439999999999999E-2</v>
      </c>
      <c r="F341" s="11">
        <f>'FRED 90-Day T-Bill Data'!E504</f>
        <v>2.6655077505770564E-3</v>
      </c>
    </row>
    <row r="342" spans="1:6">
      <c r="A342" s="97" t="s">
        <v>55</v>
      </c>
      <c r="B342" s="65">
        <v>44834</v>
      </c>
      <c r="C342" s="11">
        <v>-7.7830999999999997E-2</v>
      </c>
      <c r="D342" s="11">
        <v>-0.12257</v>
      </c>
      <c r="E342" s="11">
        <v>-9.3396000000000007E-2</v>
      </c>
      <c r="F342" s="11">
        <f>'FRED 90-Day T-Bill Data'!E505</f>
        <v>3.1993017532958579E-3</v>
      </c>
    </row>
    <row r="343" spans="1:6">
      <c r="A343" s="97" t="s">
        <v>55</v>
      </c>
      <c r="B343" s="65">
        <v>44865</v>
      </c>
      <c r="C343" s="11">
        <v>-8.2525000000000001E-2</v>
      </c>
      <c r="D343" s="11">
        <v>2.5652999999999999E-2</v>
      </c>
      <c r="E343" s="11">
        <v>7.9863000000000003E-2</v>
      </c>
      <c r="F343" s="11">
        <f>'FRED 90-Day T-Bill Data'!E506</f>
        <v>3.5680212430042602E-3</v>
      </c>
    </row>
    <row r="344" spans="1:6">
      <c r="A344" s="97" t="s">
        <v>55</v>
      </c>
      <c r="B344" s="65">
        <v>44895</v>
      </c>
      <c r="C344" s="11">
        <v>-8.3689999999999997E-3</v>
      </c>
      <c r="D344" s="11">
        <v>0.12357899999999999</v>
      </c>
      <c r="E344" s="11">
        <v>5.3753000000000002E-2</v>
      </c>
      <c r="F344" s="11">
        <f>'FRED 90-Day T-Bill Data'!E507</f>
        <v>3.6007635481660749E-3</v>
      </c>
    </row>
    <row r="345" spans="1:6">
      <c r="A345" s="97" t="s">
        <v>55</v>
      </c>
      <c r="B345" s="65">
        <v>44925</v>
      </c>
      <c r="C345" s="11">
        <v>-2.8406000000000001E-2</v>
      </c>
      <c r="D345" s="11">
        <v>-2.7845999999999999E-2</v>
      </c>
      <c r="E345" s="11">
        <v>-5.8971000000000003E-2</v>
      </c>
      <c r="F345" s="11">
        <f>'FRED 90-Day T-Bill Data'!E508</f>
        <v>3.8706839806363913E-3</v>
      </c>
    </row>
    <row r="346" spans="1:6">
      <c r="A346" s="97" t="s">
        <v>55</v>
      </c>
      <c r="B346" s="65">
        <v>44957</v>
      </c>
      <c r="C346" s="11">
        <v>6.6770999999999997E-2</v>
      </c>
      <c r="D346" s="11">
        <v>0</v>
      </c>
      <c r="E346" s="11">
        <v>6.1753000000000002E-2</v>
      </c>
      <c r="F346" s="11">
        <f>'FRED 90-Day T-Bill Data'!E509</f>
        <v>3.952406455044688E-3</v>
      </c>
    </row>
    <row r="347" spans="1:6">
      <c r="A347" s="97" t="s">
        <v>55</v>
      </c>
      <c r="B347" s="65">
        <v>44985</v>
      </c>
      <c r="C347" s="11">
        <v>8.8030000000000001E-3</v>
      </c>
      <c r="D347" s="11">
        <v>-5.4033999999999999E-2</v>
      </c>
      <c r="E347" s="11">
        <v>-2.6112E-2</v>
      </c>
      <c r="F347" s="11">
        <f>'FRED 90-Day T-Bill Data'!E510</f>
        <v>4.0095924029068808E-3</v>
      </c>
    </row>
    <row r="348" spans="1:6">
      <c r="A348" s="97" t="s">
        <v>55</v>
      </c>
      <c r="B348" s="65">
        <v>45016</v>
      </c>
      <c r="C348" s="11">
        <v>-7.2831999999999994E-2</v>
      </c>
      <c r="D348" s="11">
        <v>7.0733000000000004E-2</v>
      </c>
      <c r="E348" s="11">
        <v>3.5052E-2</v>
      </c>
      <c r="F348" s="11">
        <f>'FRED 90-Day T-Bill Data'!E511</f>
        <v>4.1810525998986492E-3</v>
      </c>
    </row>
    <row r="349" spans="1:6">
      <c r="A349" s="97" t="s">
        <v>55</v>
      </c>
      <c r="B349" s="65">
        <v>45044</v>
      </c>
      <c r="C349" s="11">
        <v>5.0636E-2</v>
      </c>
      <c r="D349" s="11">
        <v>2.9267000000000001E-2</v>
      </c>
      <c r="E349" s="11">
        <v>1.4642000000000001E-2</v>
      </c>
      <c r="F349" s="11">
        <f>'FRED 90-Day T-Bill Data'!E512</f>
        <v>4.3768280376161872E-3</v>
      </c>
    </row>
    <row r="350" spans="1:6">
      <c r="A350" s="97" t="s">
        <v>55</v>
      </c>
      <c r="B350" s="65">
        <v>45077</v>
      </c>
      <c r="C350" s="11">
        <v>-1.6702000000000002E-2</v>
      </c>
      <c r="D350" s="11">
        <v>-4.4276999999999997E-2</v>
      </c>
      <c r="E350" s="11">
        <v>2.4819999999999998E-3</v>
      </c>
      <c r="F350" s="11">
        <f>'FRED 90-Day T-Bill Data'!E513</f>
        <v>4.4664947167158964E-3</v>
      </c>
    </row>
    <row r="351" spans="1:6">
      <c r="A351" s="97" t="s">
        <v>55</v>
      </c>
      <c r="B351" s="65">
        <v>45107</v>
      </c>
      <c r="C351" s="11">
        <v>9.5113000000000003E-2</v>
      </c>
      <c r="D351" s="11">
        <v>-3.1083E-2</v>
      </c>
      <c r="E351" s="11">
        <v>6.4727999999999994E-2</v>
      </c>
      <c r="F351" s="11">
        <f>'FRED 90-Day T-Bill Data'!E514</f>
        <v>4.5235344997047733E-3</v>
      </c>
    </row>
    <row r="352" spans="1:6">
      <c r="A352" s="97" t="s">
        <v>55</v>
      </c>
      <c r="B352" s="65">
        <v>45138</v>
      </c>
      <c r="C352" s="11">
        <v>3.9479E-2</v>
      </c>
      <c r="D352" s="11">
        <v>4.9335999999999998E-2</v>
      </c>
      <c r="E352" s="11">
        <v>3.1139E-2</v>
      </c>
      <c r="F352" s="11">
        <f>'FRED 90-Day T-Bill Data'!E515</f>
        <v>4.5805580928617307E-3</v>
      </c>
    </row>
    <row r="353" spans="1:6">
      <c r="A353" s="97" t="s">
        <v>55</v>
      </c>
      <c r="B353" s="65">
        <v>45169</v>
      </c>
      <c r="C353" s="11">
        <v>-2.1187000000000001E-2</v>
      </c>
      <c r="D353" s="11">
        <v>-5.3657999999999997E-2</v>
      </c>
      <c r="E353" s="11">
        <v>-1.7715999999999999E-2</v>
      </c>
      <c r="F353" s="11">
        <f>'FRED 90-Day T-Bill Data'!E516</f>
        <v>4.5805580928617307E-3</v>
      </c>
    </row>
    <row r="354" spans="1:6">
      <c r="A354" s="97" t="s">
        <v>55</v>
      </c>
      <c r="B354" s="65">
        <v>45198</v>
      </c>
      <c r="C354" s="11">
        <v>-0.100633</v>
      </c>
      <c r="D354" s="11">
        <v>-3.8557000000000001E-2</v>
      </c>
      <c r="E354" s="11">
        <v>-4.8718999999999998E-2</v>
      </c>
      <c r="F354" s="11">
        <f>'FRED 90-Day T-Bill Data'!E517</f>
        <v>4.6131357382226401E-3</v>
      </c>
    </row>
    <row r="355" spans="1:6">
      <c r="A355" s="97" t="s">
        <v>55</v>
      </c>
      <c r="B355" s="65">
        <v>45230</v>
      </c>
      <c r="C355" s="11">
        <v>8.6280000000000003E-3</v>
      </c>
      <c r="D355" s="11">
        <v>2.6424E-2</v>
      </c>
      <c r="E355" s="11">
        <v>-2.198E-2</v>
      </c>
      <c r="F355" s="11">
        <f>'FRED 90-Day T-Bill Data'!E518</f>
        <v>4.5479751643251465E-3</v>
      </c>
    </row>
    <row r="356" spans="1:6">
      <c r="A356" s="97" t="s">
        <v>55</v>
      </c>
      <c r="B356" s="65">
        <v>45260</v>
      </c>
      <c r="C356" s="11">
        <v>-2.15E-3</v>
      </c>
      <c r="D356" s="11">
        <v>3.5652999999999997E-2</v>
      </c>
      <c r="E356" s="11">
        <v>8.9178999999999994E-2</v>
      </c>
      <c r="F356" s="11">
        <f>'FRED 90-Day T-Bill Data'!E519</f>
        <v>4.482793450183209E-3</v>
      </c>
    </row>
    <row r="357" spans="1:6">
      <c r="A357" s="97" t="s">
        <v>55</v>
      </c>
      <c r="B357" s="65">
        <v>45289</v>
      </c>
      <c r="C357" s="11">
        <v>0.172351</v>
      </c>
      <c r="D357" s="11">
        <v>9.5440000000000004E-3</v>
      </c>
      <c r="E357" s="11">
        <v>4.4228999999999997E-2</v>
      </c>
      <c r="F357" s="11">
        <f>'FRED 90-Day T-Bill Data'!E520</f>
        <v>4.4909423210737209E-3</v>
      </c>
    </row>
    <row r="358" spans="1:6">
      <c r="A358" s="97" t="s">
        <v>163</v>
      </c>
      <c r="B358" s="84">
        <v>45322</v>
      </c>
      <c r="C358" s="11">
        <v>-6.6434999999999994E-2</v>
      </c>
      <c r="D358" s="11">
        <v>-1.634E-2</v>
      </c>
      <c r="E358" s="11">
        <v>2.1679E-2</v>
      </c>
      <c r="F358" s="11">
        <f>'FRED 90-Day T-Bill Data'!E521</f>
        <v>4.482793450183209E-3</v>
      </c>
    </row>
    <row r="359" spans="1:6">
      <c r="A359" s="97" t="s">
        <v>163</v>
      </c>
      <c r="B359" s="84">
        <v>45351</v>
      </c>
      <c r="C359" s="11">
        <v>-2.6093999999999999E-2</v>
      </c>
      <c r="D359" s="11">
        <v>-6.0033999999999997E-2</v>
      </c>
      <c r="E359" s="11">
        <v>3.8743E-2</v>
      </c>
      <c r="F359" s="11">
        <f>'FRED 90-Day T-Bill Data'!E522</f>
        <v>4.50723907131656E-3</v>
      </c>
    </row>
    <row r="360" spans="1:6">
      <c r="A360" s="97" t="s">
        <v>164</v>
      </c>
      <c r="B360" s="84">
        <v>45379</v>
      </c>
      <c r="C360" s="11">
        <v>4.4545000000000001E-2</v>
      </c>
      <c r="D360" s="11">
        <v>4.3672999999999997E-2</v>
      </c>
      <c r="E360" s="11">
        <v>4.4545000000000001E-2</v>
      </c>
      <c r="F360" s="11">
        <f>'FRED 90-Day T-Bill Data'!E523</f>
        <v>4.482793450183209E-3</v>
      </c>
    </row>
    <row r="361" spans="1:6">
      <c r="A361" s="97" t="s">
        <v>163</v>
      </c>
      <c r="B361" s="84">
        <v>45412</v>
      </c>
      <c r="C361" s="11">
        <v>2.7453999999999999E-2</v>
      </c>
      <c r="D361" s="11">
        <v>4.5057E-2</v>
      </c>
      <c r="E361" s="11">
        <v>2.7453999999999999E-2</v>
      </c>
      <c r="F361" s="11">
        <f>'FRED 90-Day T-Bill Data'!E524</f>
        <v>4.4990908614417346E-3</v>
      </c>
    </row>
    <row r="362" spans="1:6">
      <c r="A362" s="97" t="s">
        <v>164</v>
      </c>
      <c r="B362" s="84">
        <v>45443</v>
      </c>
      <c r="C362" s="11">
        <v>5.8337E-2</v>
      </c>
      <c r="D362" s="11">
        <v>-2.637E-3</v>
      </c>
      <c r="E362" s="11">
        <v>5.8337E-2</v>
      </c>
      <c r="F362" s="11">
        <f>'FRED 90-Day T-Bill Data'!E525</f>
        <v>4.5398286064739501E-3</v>
      </c>
    </row>
    <row r="363" spans="1:6">
      <c r="A363" s="97" t="s">
        <v>163</v>
      </c>
      <c r="B363" s="84">
        <v>45471</v>
      </c>
      <c r="C363" s="11">
        <v>4.4392000000000001E-2</v>
      </c>
      <c r="D363" s="11">
        <v>-4.5474000000000001E-2</v>
      </c>
      <c r="E363" s="11">
        <v>4.4392000000000001E-2</v>
      </c>
      <c r="F363" s="11">
        <f>'FRED 90-Day T-Bill Data'!E526</f>
        <v>4.4746442487402227E-3</v>
      </c>
    </row>
    <row r="364" spans="1:6">
      <c r="A364" s="97" t="s">
        <v>163</v>
      </c>
      <c r="B364" s="84">
        <v>45504</v>
      </c>
      <c r="C364" s="11">
        <v>2.0306000000000001E-2</v>
      </c>
      <c r="D364" s="11">
        <v>9.8074999999999996E-2</v>
      </c>
      <c r="E364" s="11">
        <v>2.0306000000000001E-2</v>
      </c>
      <c r="F364" s="11">
        <f>'FRED 90-Day T-Bill Data'!E527</f>
        <v>4.3686745363094026E-3</v>
      </c>
    </row>
    <row r="365" spans="1:6">
      <c r="A365" s="97" t="s">
        <v>163</v>
      </c>
      <c r="B365" s="84">
        <v>45534</v>
      </c>
      <c r="C365" s="11">
        <v>5.6355000000000002E-2</v>
      </c>
      <c r="D365" s="11">
        <v>1.3472E-2</v>
      </c>
      <c r="E365" s="11">
        <v>5.6355000000000002E-2</v>
      </c>
      <c r="F365" s="11">
        <f>'FRED 90-Day T-Bill Data'!E528</f>
        <v>4.0602292170599519E-3</v>
      </c>
    </row>
    <row r="366" spans="1:6">
      <c r="A366" s="104" t="s">
        <v>163</v>
      </c>
      <c r="B366" s="107">
        <v>45565</v>
      </c>
      <c r="C366" s="108">
        <v>-2.4018000000000001E-2</v>
      </c>
      <c r="D366" s="108">
        <v>8.2299999999999995E-3</v>
      </c>
      <c r="E366" s="108">
        <v>-2.4018000000000001E-2</v>
      </c>
      <c r="F366" s="108">
        <f>'FRED 90-Day T-Bill Data'!E529</f>
        <v>3.8937182261378211E-3</v>
      </c>
    </row>
    <row r="367" spans="1:6">
      <c r="A367" s="105"/>
      <c r="B367" s="103"/>
      <c r="C367" s="50"/>
      <c r="F367" s="14"/>
    </row>
    <row r="368" spans="1:6">
      <c r="B368" s="47"/>
      <c r="F368" s="14"/>
    </row>
    <row r="369" spans="2:6">
      <c r="B369" s="47"/>
      <c r="F369" s="14"/>
    </row>
    <row r="370" spans="2:6">
      <c r="B370" s="47"/>
      <c r="F370" s="14"/>
    </row>
    <row r="371" spans="2:6">
      <c r="B371" s="47"/>
      <c r="F371" s="14"/>
    </row>
    <row r="372" spans="2:6">
      <c r="B372" s="47"/>
      <c r="F372" s="14"/>
    </row>
    <row r="373" spans="2:6">
      <c r="B373" s="47"/>
      <c r="F373" s="14"/>
    </row>
    <row r="374" spans="2:6">
      <c r="B374" s="47"/>
      <c r="F374" s="14"/>
    </row>
    <row r="375" spans="2:6">
      <c r="B375" s="47"/>
      <c r="F375" s="14"/>
    </row>
    <row r="376" spans="2:6">
      <c r="B376" s="47"/>
      <c r="F376" s="14"/>
    </row>
    <row r="377" spans="2:6">
      <c r="B377" s="47"/>
      <c r="F377" s="14"/>
    </row>
    <row r="378" spans="2:6">
      <c r="B378" s="47"/>
      <c r="F378" s="14"/>
    </row>
    <row r="379" spans="2:6">
      <c r="B379" s="47"/>
      <c r="F379" s="14"/>
    </row>
    <row r="380" spans="2:6">
      <c r="B380" s="47"/>
      <c r="F380" s="14"/>
    </row>
    <row r="381" spans="2:6">
      <c r="B381" s="47"/>
      <c r="F381" s="14"/>
    </row>
    <row r="382" spans="2:6">
      <c r="B382" s="47"/>
      <c r="F382" s="14"/>
    </row>
    <row r="383" spans="2:6">
      <c r="B383" s="47"/>
      <c r="F383" s="14"/>
    </row>
    <row r="384" spans="2:6">
      <c r="B384" s="47"/>
      <c r="F384" s="14"/>
    </row>
    <row r="385" spans="2:6">
      <c r="B385" s="47"/>
      <c r="F385" s="14"/>
    </row>
    <row r="386" spans="2:6">
      <c r="B386" s="47"/>
      <c r="F386" s="14"/>
    </row>
    <row r="387" spans="2:6">
      <c r="B387" s="47"/>
      <c r="F387" s="14"/>
    </row>
    <row r="388" spans="2:6">
      <c r="B388" s="47"/>
      <c r="F388" s="14"/>
    </row>
    <row r="389" spans="2:6">
      <c r="B389" s="47"/>
      <c r="F389" s="14"/>
    </row>
    <row r="390" spans="2:6">
      <c r="B390" s="47"/>
      <c r="F390" s="14"/>
    </row>
    <row r="391" spans="2:6">
      <c r="B391" s="47"/>
      <c r="F391" s="14"/>
    </row>
    <row r="392" spans="2:6">
      <c r="B392" s="47"/>
      <c r="F392" s="14"/>
    </row>
    <row r="393" spans="2:6">
      <c r="B393" s="47"/>
      <c r="F393" s="14"/>
    </row>
    <row r="394" spans="2:6">
      <c r="B394" s="47"/>
      <c r="F394" s="14"/>
    </row>
    <row r="395" spans="2:6">
      <c r="B395" s="47"/>
      <c r="F395" s="14"/>
    </row>
    <row r="396" spans="2:6">
      <c r="B396" s="47"/>
      <c r="F396" s="14"/>
    </row>
    <row r="397" spans="2:6">
      <c r="B397" s="47"/>
      <c r="F397" s="14"/>
    </row>
    <row r="398" spans="2:6">
      <c r="B398" s="47"/>
      <c r="F398" s="14"/>
    </row>
    <row r="399" spans="2:6">
      <c r="B399" s="47"/>
      <c r="F399" s="14"/>
    </row>
    <row r="400" spans="2:6">
      <c r="B400" s="47"/>
      <c r="F400" s="14"/>
    </row>
    <row r="401" spans="2:6">
      <c r="B401" s="47"/>
      <c r="F401" s="14"/>
    </row>
    <row r="402" spans="2:6">
      <c r="B402" s="47"/>
      <c r="F402" s="14"/>
    </row>
    <row r="403" spans="2:6">
      <c r="B403" s="47"/>
      <c r="F403" s="14"/>
    </row>
    <row r="404" spans="2:6">
      <c r="B404" s="47"/>
      <c r="F404" s="14"/>
    </row>
    <row r="405" spans="2:6">
      <c r="B405" s="47"/>
      <c r="F405" s="14"/>
    </row>
    <row r="406" spans="2:6">
      <c r="B406" s="47"/>
      <c r="F406" s="14"/>
    </row>
    <row r="407" spans="2:6">
      <c r="B407" s="47"/>
      <c r="F407" s="14"/>
    </row>
    <row r="408" spans="2:6">
      <c r="B408" s="47"/>
      <c r="F408" s="14"/>
    </row>
    <row r="409" spans="2:6">
      <c r="B409" s="47"/>
      <c r="F409" s="14"/>
    </row>
    <row r="410" spans="2:6">
      <c r="B410" s="47"/>
      <c r="F410" s="14"/>
    </row>
    <row r="411" spans="2:6">
      <c r="B411" s="47"/>
      <c r="F411" s="14"/>
    </row>
    <row r="412" spans="2:6">
      <c r="B412" s="47"/>
      <c r="F412" s="14"/>
    </row>
    <row r="413" spans="2:6">
      <c r="B413" s="47"/>
      <c r="F413" s="14"/>
    </row>
    <row r="414" spans="2:6">
      <c r="B414" s="47"/>
      <c r="F414" s="14"/>
    </row>
    <row r="415" spans="2:6">
      <c r="B415" s="47"/>
      <c r="F415" s="14"/>
    </row>
    <row r="416" spans="2:6">
      <c r="B416" s="47"/>
      <c r="F416" s="14"/>
    </row>
    <row r="417" spans="2:6">
      <c r="B417" s="47"/>
      <c r="F417" s="14"/>
    </row>
    <row r="418" spans="2:6">
      <c r="B418" s="47"/>
      <c r="F418" s="14"/>
    </row>
    <row r="419" spans="2:6">
      <c r="B419" s="47"/>
      <c r="F419" s="14"/>
    </row>
    <row r="420" spans="2:6">
      <c r="B420" s="47"/>
      <c r="F420" s="14"/>
    </row>
    <row r="421" spans="2:6">
      <c r="B421" s="47"/>
      <c r="F421" s="14"/>
    </row>
    <row r="422" spans="2:6">
      <c r="B422" s="47"/>
      <c r="F422" s="14"/>
    </row>
    <row r="423" spans="2:6">
      <c r="B423" s="47"/>
      <c r="F423" s="14"/>
    </row>
    <row r="424" spans="2:6">
      <c r="B424" s="47"/>
      <c r="F424" s="14"/>
    </row>
    <row r="425" spans="2:6">
      <c r="B425" s="47"/>
      <c r="F425" s="14"/>
    </row>
    <row r="426" spans="2:6">
      <c r="B426" s="47"/>
      <c r="F426" s="14"/>
    </row>
    <row r="427" spans="2:6">
      <c r="B427" s="47"/>
      <c r="F427" s="14"/>
    </row>
    <row r="428" spans="2:6">
      <c r="B428" s="47"/>
      <c r="F428" s="14"/>
    </row>
    <row r="429" spans="2:6">
      <c r="B429" s="47"/>
      <c r="F429" s="14"/>
    </row>
    <row r="430" spans="2:6">
      <c r="B430" s="47"/>
      <c r="F430" s="14"/>
    </row>
    <row r="431" spans="2:6">
      <c r="B431" s="47"/>
      <c r="F431" s="14"/>
    </row>
    <row r="432" spans="2:6">
      <c r="B432" s="47"/>
      <c r="F432" s="14"/>
    </row>
    <row r="433" spans="2:6">
      <c r="B433" s="47"/>
      <c r="F433" s="14"/>
    </row>
    <row r="434" spans="2:6">
      <c r="B434" s="47"/>
      <c r="F434" s="14"/>
    </row>
    <row r="435" spans="2:6">
      <c r="B435" s="47"/>
      <c r="F435" s="14"/>
    </row>
    <row r="436" spans="2:6">
      <c r="B436" s="47"/>
      <c r="F436" s="14"/>
    </row>
    <row r="437" spans="2:6">
      <c r="B437" s="47"/>
      <c r="F437" s="14"/>
    </row>
    <row r="438" spans="2:6">
      <c r="B438" s="47"/>
      <c r="F438" s="14"/>
    </row>
    <row r="439" spans="2:6">
      <c r="B439" s="47"/>
      <c r="F439" s="14"/>
    </row>
    <row r="440" spans="2:6">
      <c r="B440" s="47"/>
      <c r="F440" s="14"/>
    </row>
    <row r="441" spans="2:6">
      <c r="B441" s="47"/>
      <c r="F441" s="14"/>
    </row>
    <row r="442" spans="2:6">
      <c r="B442" s="47"/>
      <c r="F442" s="14"/>
    </row>
    <row r="443" spans="2:6">
      <c r="B443" s="47"/>
      <c r="F443" s="14"/>
    </row>
    <row r="444" spans="2:6">
      <c r="B444" s="47"/>
      <c r="F444" s="14"/>
    </row>
    <row r="445" spans="2:6">
      <c r="B445" s="47"/>
      <c r="F445" s="14"/>
    </row>
    <row r="446" spans="2:6">
      <c r="B446" s="47"/>
      <c r="F446" s="14"/>
    </row>
    <row r="447" spans="2:6">
      <c r="B447" s="47"/>
      <c r="F447" s="14"/>
    </row>
    <row r="448" spans="2:6">
      <c r="B448" s="47"/>
      <c r="F448" s="14"/>
    </row>
    <row r="449" spans="2:6">
      <c r="B449" s="47"/>
      <c r="F449" s="14"/>
    </row>
    <row r="450" spans="2:6">
      <c r="B450" s="47"/>
      <c r="F450" s="14"/>
    </row>
    <row r="451" spans="2:6">
      <c r="B451" s="47"/>
      <c r="F451" s="14"/>
    </row>
    <row r="452" spans="2:6">
      <c r="B452" s="47"/>
      <c r="F452" s="14"/>
    </row>
    <row r="453" spans="2:6">
      <c r="B453" s="47"/>
      <c r="F453" s="14"/>
    </row>
    <row r="454" spans="2:6">
      <c r="B454" s="47"/>
      <c r="F454" s="14"/>
    </row>
    <row r="455" spans="2:6">
      <c r="B455" s="47"/>
      <c r="F455" s="14"/>
    </row>
    <row r="456" spans="2:6">
      <c r="B456" s="47"/>
      <c r="F456" s="14"/>
    </row>
    <row r="457" spans="2:6">
      <c r="B457" s="47"/>
      <c r="F457" s="14"/>
    </row>
    <row r="458" spans="2:6">
      <c r="B458" s="47"/>
      <c r="F458" s="14"/>
    </row>
    <row r="459" spans="2:6">
      <c r="B459" s="47"/>
      <c r="F459" s="14"/>
    </row>
    <row r="460" spans="2:6">
      <c r="B460" s="47"/>
      <c r="F460" s="14"/>
    </row>
    <row r="461" spans="2:6">
      <c r="B461" s="47"/>
      <c r="F461" s="14"/>
    </row>
    <row r="462" spans="2:6">
      <c r="B462" s="47"/>
      <c r="F462" s="14"/>
    </row>
    <row r="463" spans="2:6">
      <c r="B463" s="47"/>
      <c r="F463" s="14"/>
    </row>
    <row r="464" spans="2:6">
      <c r="B464" s="47"/>
      <c r="F464" s="14"/>
    </row>
    <row r="465" spans="2:6">
      <c r="B465" s="47"/>
      <c r="F465" s="14"/>
    </row>
    <row r="466" spans="2:6">
      <c r="B466" s="47"/>
      <c r="F466" s="14"/>
    </row>
    <row r="467" spans="2:6">
      <c r="B467" s="47"/>
      <c r="F467" s="14"/>
    </row>
    <row r="468" spans="2:6">
      <c r="B468" s="47"/>
      <c r="F468" s="14"/>
    </row>
    <row r="469" spans="2:6">
      <c r="B469" s="47"/>
      <c r="F469" s="14"/>
    </row>
    <row r="470" spans="2:6">
      <c r="B470" s="47"/>
      <c r="F470" s="14"/>
    </row>
    <row r="471" spans="2:6">
      <c r="B471" s="47"/>
      <c r="F471" s="14"/>
    </row>
    <row r="472" spans="2:6">
      <c r="B472" s="47"/>
      <c r="F472" s="14"/>
    </row>
    <row r="473" spans="2:6">
      <c r="B473" s="47"/>
      <c r="F473" s="14"/>
    </row>
    <row r="474" spans="2:6">
      <c r="B474" s="47"/>
      <c r="F474" s="14"/>
    </row>
    <row r="475" spans="2:6">
      <c r="B475" s="47"/>
      <c r="F475" s="14"/>
    </row>
    <row r="476" spans="2:6">
      <c r="B476" s="47"/>
      <c r="F476" s="14"/>
    </row>
    <row r="477" spans="2:6">
      <c r="B477" s="47"/>
      <c r="F477" s="14"/>
    </row>
    <row r="478" spans="2:6">
      <c r="B478" s="47"/>
      <c r="F478" s="14"/>
    </row>
    <row r="479" spans="2:6">
      <c r="B479" s="47"/>
      <c r="F479" s="14"/>
    </row>
    <row r="480" spans="2:6">
      <c r="B480" s="47"/>
      <c r="F480" s="14"/>
    </row>
    <row r="481" spans="2:6">
      <c r="B481" s="47"/>
      <c r="F481" s="14"/>
    </row>
    <row r="482" spans="2:6">
      <c r="B482" s="47"/>
      <c r="F482" s="14"/>
    </row>
    <row r="483" spans="2:6">
      <c r="B483" s="47"/>
      <c r="F483" s="14"/>
    </row>
    <row r="484" spans="2:6">
      <c r="B484" s="47"/>
      <c r="F484" s="14"/>
    </row>
    <row r="485" spans="2:6">
      <c r="B485" s="47"/>
      <c r="F485" s="14"/>
    </row>
    <row r="486" spans="2:6">
      <c r="B486" s="47"/>
      <c r="F486" s="14"/>
    </row>
    <row r="487" spans="2:6">
      <c r="B487" s="47"/>
      <c r="F487" s="14"/>
    </row>
    <row r="488" spans="2:6">
      <c r="B488" s="47"/>
      <c r="F488" s="14"/>
    </row>
    <row r="489" spans="2:6">
      <c r="B489" s="47"/>
      <c r="F489" s="14"/>
    </row>
    <row r="490" spans="2:6">
      <c r="B490" s="47"/>
      <c r="F490" s="14"/>
    </row>
    <row r="491" spans="2:6">
      <c r="B491" s="47"/>
      <c r="F491" s="14"/>
    </row>
    <row r="492" spans="2:6">
      <c r="B492" s="47"/>
      <c r="F492" s="14"/>
    </row>
    <row r="493" spans="2:6">
      <c r="B493" s="47"/>
      <c r="F493" s="14"/>
    </row>
    <row r="494" spans="2:6">
      <c r="B494" s="47"/>
      <c r="F494" s="14"/>
    </row>
    <row r="495" spans="2:6">
      <c r="B495" s="47"/>
      <c r="F495" s="14"/>
    </row>
    <row r="496" spans="2:6">
      <c r="B496" s="47"/>
      <c r="F496" s="14"/>
    </row>
    <row r="497" spans="2:6">
      <c r="B497" s="47"/>
      <c r="F497" s="14"/>
    </row>
    <row r="498" spans="2:6">
      <c r="B498" s="47"/>
      <c r="F498" s="14"/>
    </row>
    <row r="499" spans="2:6">
      <c r="B499" s="47"/>
      <c r="F499" s="14"/>
    </row>
    <row r="500" spans="2:6">
      <c r="B500" s="47"/>
      <c r="F500" s="14"/>
    </row>
    <row r="501" spans="2:6">
      <c r="B501" s="47"/>
      <c r="F501" s="14"/>
    </row>
    <row r="502" spans="2:6">
      <c r="B502" s="47"/>
      <c r="F502" s="14"/>
    </row>
    <row r="503" spans="2:6">
      <c r="B503" s="47"/>
      <c r="F503" s="14"/>
    </row>
    <row r="504" spans="2:6">
      <c r="B504" s="47"/>
      <c r="F504" s="14"/>
    </row>
    <row r="505" spans="2:6">
      <c r="B505" s="47"/>
      <c r="F505" s="14"/>
    </row>
    <row r="506" spans="2:6">
      <c r="B506" s="47"/>
      <c r="F506" s="14"/>
    </row>
    <row r="507" spans="2:6">
      <c r="B507" s="47"/>
      <c r="F507" s="14"/>
    </row>
    <row r="508" spans="2:6">
      <c r="B508" s="47"/>
      <c r="F508" s="14"/>
    </row>
    <row r="509" spans="2:6">
      <c r="B509" s="47"/>
      <c r="F509" s="14"/>
    </row>
    <row r="510" spans="2:6">
      <c r="B510" s="47"/>
      <c r="F510" s="14"/>
    </row>
    <row r="511" spans="2:6">
      <c r="B511" s="47"/>
      <c r="F511" s="14"/>
    </row>
    <row r="512" spans="2:6">
      <c r="B512" s="47"/>
      <c r="F512" s="14"/>
    </row>
    <row r="513" spans="2:6">
      <c r="B513" s="47"/>
      <c r="F513" s="14"/>
    </row>
    <row r="514" spans="2:6">
      <c r="B514" s="47"/>
      <c r="F514" s="14"/>
    </row>
    <row r="515" spans="2:6">
      <c r="B515" s="47"/>
      <c r="F515" s="14"/>
    </row>
    <row r="516" spans="2:6">
      <c r="B516" s="47"/>
      <c r="F516" s="14"/>
    </row>
    <row r="517" spans="2:6">
      <c r="B517" s="47"/>
      <c r="F517" s="14"/>
    </row>
    <row r="518" spans="2:6">
      <c r="B518" s="47"/>
      <c r="F518" s="14"/>
    </row>
    <row r="519" spans="2:6">
      <c r="B519" s="47"/>
      <c r="F519" s="14"/>
    </row>
    <row r="520" spans="2:6">
      <c r="B520" s="47"/>
      <c r="F520" s="14"/>
    </row>
    <row r="521" spans="2:6">
      <c r="B521" s="47"/>
      <c r="F521" s="14"/>
    </row>
    <row r="522" spans="2:6">
      <c r="B522" s="47"/>
      <c r="F522" s="14"/>
    </row>
    <row r="523" spans="2:6">
      <c r="B523" s="47"/>
      <c r="F523" s="14"/>
    </row>
    <row r="524" spans="2:6">
      <c r="B524" s="47"/>
      <c r="F524" s="14"/>
    </row>
    <row r="525" spans="2:6">
      <c r="B525" s="47"/>
      <c r="F525" s="14"/>
    </row>
    <row r="526" spans="2:6">
      <c r="B526" s="47"/>
      <c r="F526" s="14"/>
    </row>
    <row r="527" spans="2:6">
      <c r="B527" s="47"/>
      <c r="F527" s="14"/>
    </row>
    <row r="528" spans="2:6">
      <c r="B528" s="47"/>
      <c r="F528" s="14"/>
    </row>
    <row r="529" spans="2:6">
      <c r="B529" s="47"/>
      <c r="F529" s="14"/>
    </row>
    <row r="530" spans="2:6">
      <c r="B530" s="47"/>
      <c r="F530" s="14"/>
    </row>
    <row r="531" spans="2:6">
      <c r="B531" s="47"/>
      <c r="F531" s="14"/>
    </row>
    <row r="532" spans="2:6">
      <c r="B532" s="47"/>
      <c r="F532" s="14"/>
    </row>
    <row r="533" spans="2:6">
      <c r="B533" s="47"/>
      <c r="F533" s="14"/>
    </row>
    <row r="534" spans="2:6">
      <c r="B534" s="47"/>
      <c r="F534" s="14"/>
    </row>
    <row r="535" spans="2:6">
      <c r="B535" s="47"/>
      <c r="F535" s="14"/>
    </row>
    <row r="536" spans="2:6">
      <c r="B536" s="47"/>
      <c r="F536" s="14"/>
    </row>
    <row r="537" spans="2:6">
      <c r="B537" s="47"/>
      <c r="F537" s="14"/>
    </row>
    <row r="538" spans="2:6">
      <c r="B538" s="47"/>
      <c r="F538" s="14"/>
    </row>
    <row r="539" spans="2:6">
      <c r="B539" s="47"/>
      <c r="F539" s="14"/>
    </row>
    <row r="540" spans="2:6">
      <c r="B540" s="47"/>
      <c r="F540" s="14"/>
    </row>
    <row r="541" spans="2:6">
      <c r="B541" s="47"/>
      <c r="F541" s="14"/>
    </row>
    <row r="542" spans="2:6">
      <c r="B542" s="47"/>
      <c r="F542" s="14"/>
    </row>
    <row r="543" spans="2:6">
      <c r="B543" s="47"/>
      <c r="F543" s="14"/>
    </row>
    <row r="544" spans="2:6">
      <c r="B544" s="47"/>
      <c r="F544" s="14"/>
    </row>
    <row r="545" spans="2:6">
      <c r="B545" s="47"/>
      <c r="F545" s="14"/>
    </row>
    <row r="546" spans="2:6">
      <c r="B546" s="47"/>
      <c r="F546" s="14"/>
    </row>
    <row r="547" spans="2:6">
      <c r="B547" s="47"/>
      <c r="F547" s="14"/>
    </row>
    <row r="548" spans="2:6">
      <c r="B548" s="47"/>
      <c r="F548" s="14"/>
    </row>
    <row r="549" spans="2:6">
      <c r="B549" s="47"/>
      <c r="F549" s="14"/>
    </row>
    <row r="550" spans="2:6">
      <c r="B550" s="47"/>
      <c r="F550" s="14"/>
    </row>
    <row r="551" spans="2:6">
      <c r="B551" s="47"/>
      <c r="F551" s="14"/>
    </row>
    <row r="552" spans="2:6">
      <c r="B552" s="47"/>
      <c r="F552" s="14"/>
    </row>
    <row r="553" spans="2:6">
      <c r="B553" s="47"/>
      <c r="F553" s="14"/>
    </row>
    <row r="554" spans="2:6">
      <c r="B554" s="47"/>
      <c r="F554" s="14"/>
    </row>
    <row r="555" spans="2:6">
      <c r="B555" s="47"/>
      <c r="F555" s="14"/>
    </row>
    <row r="556" spans="2:6">
      <c r="B556" s="47"/>
      <c r="F556" s="14"/>
    </row>
    <row r="557" spans="2:6">
      <c r="B557" s="47"/>
      <c r="F557" s="14"/>
    </row>
    <row r="558" spans="2:6">
      <c r="B558" s="47"/>
      <c r="F558" s="14"/>
    </row>
    <row r="559" spans="2:6">
      <c r="B559" s="47"/>
      <c r="F559" s="14"/>
    </row>
    <row r="560" spans="2:6">
      <c r="B560" s="47"/>
      <c r="F560" s="14"/>
    </row>
    <row r="561" spans="2:6">
      <c r="B561" s="47"/>
      <c r="F561" s="14"/>
    </row>
    <row r="562" spans="2:6">
      <c r="B562" s="47"/>
      <c r="F562" s="14"/>
    </row>
    <row r="563" spans="2:6">
      <c r="B563" s="47"/>
      <c r="F563" s="14"/>
    </row>
    <row r="564" spans="2:6">
      <c r="B564" s="47"/>
      <c r="F564" s="14"/>
    </row>
    <row r="565" spans="2:6">
      <c r="B565" s="47"/>
      <c r="F565" s="14"/>
    </row>
    <row r="566" spans="2:6">
      <c r="B566" s="47"/>
      <c r="F566" s="14"/>
    </row>
    <row r="567" spans="2:6">
      <c r="B567" s="47"/>
      <c r="F567" s="14"/>
    </row>
    <row r="568" spans="2:6">
      <c r="B568" s="47"/>
      <c r="F568" s="14"/>
    </row>
    <row r="569" spans="2:6">
      <c r="B569" s="47"/>
      <c r="F569" s="14"/>
    </row>
    <row r="570" spans="2:6">
      <c r="B570" s="47"/>
      <c r="F570" s="14"/>
    </row>
    <row r="571" spans="2:6">
      <c r="B571" s="47"/>
      <c r="F571" s="14"/>
    </row>
    <row r="572" spans="2:6">
      <c r="B572" s="47"/>
      <c r="F572" s="14"/>
    </row>
    <row r="573" spans="2:6">
      <c r="B573" s="47"/>
      <c r="F573" s="14"/>
    </row>
    <row r="574" spans="2:6">
      <c r="B574" s="47"/>
      <c r="F574" s="14"/>
    </row>
    <row r="575" spans="2:6">
      <c r="B575" s="47"/>
      <c r="F575" s="14"/>
    </row>
    <row r="576" spans="2:6">
      <c r="B576" s="47"/>
      <c r="F576" s="14"/>
    </row>
    <row r="577" spans="2:6">
      <c r="B577" s="47"/>
      <c r="F577" s="14"/>
    </row>
    <row r="578" spans="2:6">
      <c r="B578" s="47"/>
      <c r="F578" s="14"/>
    </row>
    <row r="579" spans="2:6">
      <c r="B579" s="47"/>
      <c r="F579" s="14"/>
    </row>
    <row r="580" spans="2:6">
      <c r="B580" s="47"/>
      <c r="F580" s="14"/>
    </row>
    <row r="581" spans="2:6">
      <c r="B581" s="47"/>
      <c r="F581" s="14"/>
    </row>
    <row r="582" spans="2:6">
      <c r="B582" s="47"/>
      <c r="F582" s="14"/>
    </row>
    <row r="583" spans="2:6">
      <c r="B583" s="47"/>
      <c r="F583" s="14"/>
    </row>
    <row r="584" spans="2:6">
      <c r="B584" s="47"/>
      <c r="F584" s="14"/>
    </row>
    <row r="585" spans="2:6">
      <c r="B585" s="47"/>
      <c r="F585" s="14"/>
    </row>
    <row r="586" spans="2:6">
      <c r="B586" s="47"/>
      <c r="F586" s="14"/>
    </row>
    <row r="587" spans="2:6">
      <c r="B587" s="47"/>
      <c r="F587" s="14"/>
    </row>
    <row r="588" spans="2:6">
      <c r="B588" s="47"/>
      <c r="F588" s="14"/>
    </row>
    <row r="589" spans="2:6">
      <c r="B589" s="47"/>
      <c r="F589" s="14"/>
    </row>
    <row r="590" spans="2:6">
      <c r="B590" s="47"/>
      <c r="F590" s="14"/>
    </row>
    <row r="591" spans="2:6">
      <c r="B591" s="47"/>
      <c r="F591" s="14"/>
    </row>
    <row r="592" spans="2:6">
      <c r="B592" s="47"/>
      <c r="F592" s="14"/>
    </row>
    <row r="593" spans="2:6">
      <c r="B593" s="47"/>
      <c r="F593" s="14"/>
    </row>
    <row r="594" spans="2:6">
      <c r="B594" s="47"/>
      <c r="F594" s="14"/>
    </row>
    <row r="595" spans="2:6">
      <c r="B595" s="47"/>
      <c r="F595" s="14"/>
    </row>
    <row r="596" spans="2:6">
      <c r="B596" s="47"/>
      <c r="F596" s="14"/>
    </row>
    <row r="597" spans="2:6">
      <c r="B597" s="47"/>
      <c r="F597" s="14"/>
    </row>
    <row r="598" spans="2:6">
      <c r="B598" s="47"/>
      <c r="F598" s="14"/>
    </row>
    <row r="599" spans="2:6">
      <c r="B599" s="47"/>
      <c r="F599" s="14"/>
    </row>
    <row r="600" spans="2:6">
      <c r="B600" s="47"/>
      <c r="F600" s="14"/>
    </row>
    <row r="601" spans="2:6">
      <c r="B601" s="47"/>
      <c r="F601" s="14"/>
    </row>
    <row r="602" spans="2:6">
      <c r="B602" s="47"/>
      <c r="F602" s="14"/>
    </row>
    <row r="603" spans="2:6">
      <c r="B603" s="47"/>
      <c r="F603" s="14"/>
    </row>
    <row r="604" spans="2:6">
      <c r="B604" s="47"/>
      <c r="F604" s="14"/>
    </row>
    <row r="605" spans="2:6">
      <c r="B605" s="47"/>
      <c r="F605" s="14"/>
    </row>
    <row r="606" spans="2:6">
      <c r="B606" s="47"/>
      <c r="F606" s="14"/>
    </row>
    <row r="607" spans="2:6">
      <c r="B607" s="47"/>
      <c r="F607" s="14"/>
    </row>
    <row r="608" spans="2:6">
      <c r="B608" s="47"/>
      <c r="F608" s="14"/>
    </row>
    <row r="609" spans="2:6">
      <c r="B609" s="47"/>
      <c r="F609" s="14"/>
    </row>
    <row r="610" spans="2:6">
      <c r="B610" s="47"/>
      <c r="F610" s="14"/>
    </row>
    <row r="611" spans="2:6">
      <c r="B611" s="47"/>
      <c r="F611" s="14"/>
    </row>
    <row r="612" spans="2:6">
      <c r="B612" s="47"/>
      <c r="F612" s="14"/>
    </row>
    <row r="613" spans="2:6">
      <c r="B613" s="47"/>
      <c r="F613" s="14"/>
    </row>
    <row r="614" spans="2:6">
      <c r="B614" s="47"/>
      <c r="F614" s="14"/>
    </row>
    <row r="615" spans="2:6">
      <c r="B615" s="47"/>
      <c r="F615" s="14"/>
    </row>
    <row r="616" spans="2:6">
      <c r="B616" s="47"/>
      <c r="F616" s="14"/>
    </row>
    <row r="617" spans="2:6">
      <c r="B617" s="47"/>
      <c r="F617" s="14"/>
    </row>
    <row r="618" spans="2:6">
      <c r="B618" s="47"/>
      <c r="F618" s="14"/>
    </row>
    <row r="619" spans="2:6">
      <c r="B619" s="47"/>
      <c r="F619" s="14"/>
    </row>
    <row r="620" spans="2:6">
      <c r="B620" s="47"/>
      <c r="F620" s="14"/>
    </row>
    <row r="621" spans="2:6">
      <c r="B621" s="47"/>
      <c r="F621" s="14"/>
    </row>
    <row r="622" spans="2:6">
      <c r="B622" s="47"/>
      <c r="F622" s="14"/>
    </row>
    <row r="623" spans="2:6">
      <c r="B623" s="47"/>
      <c r="F623" s="14"/>
    </row>
    <row r="624" spans="2:6">
      <c r="B624" s="47"/>
      <c r="F624" s="14"/>
    </row>
    <row r="625" spans="2:6">
      <c r="B625" s="47"/>
      <c r="F625" s="14"/>
    </row>
    <row r="626" spans="2:6">
      <c r="B626" s="47"/>
      <c r="F626" s="14"/>
    </row>
    <row r="627" spans="2:6">
      <c r="B627" s="47"/>
      <c r="F627" s="14"/>
    </row>
    <row r="628" spans="2:6">
      <c r="B628" s="47"/>
      <c r="F628" s="14"/>
    </row>
    <row r="629" spans="2:6">
      <c r="B629" s="47"/>
      <c r="F629" s="14"/>
    </row>
    <row r="630" spans="2:6">
      <c r="B630" s="47"/>
      <c r="F630" s="14"/>
    </row>
    <row r="631" spans="2:6">
      <c r="B631" s="47"/>
      <c r="F631" s="14"/>
    </row>
    <row r="632" spans="2:6">
      <c r="B632" s="47"/>
      <c r="F632" s="14"/>
    </row>
    <row r="633" spans="2:6">
      <c r="B633" s="47"/>
      <c r="F633" s="14"/>
    </row>
    <row r="634" spans="2:6">
      <c r="B634" s="47"/>
      <c r="F634" s="14"/>
    </row>
    <row r="635" spans="2:6">
      <c r="B635" s="47"/>
      <c r="F635" s="14"/>
    </row>
    <row r="636" spans="2:6">
      <c r="B636" s="47"/>
      <c r="F636" s="14"/>
    </row>
    <row r="637" spans="2:6">
      <c r="B637" s="47"/>
      <c r="F637" s="14"/>
    </row>
    <row r="638" spans="2:6">
      <c r="B638" s="47"/>
      <c r="F638" s="14"/>
    </row>
    <row r="639" spans="2:6">
      <c r="B639" s="47"/>
      <c r="F639" s="14"/>
    </row>
    <row r="640" spans="2:6">
      <c r="B640" s="47"/>
      <c r="F640" s="14"/>
    </row>
    <row r="641" spans="2:6">
      <c r="B641" s="47"/>
      <c r="F641" s="14"/>
    </row>
    <row r="642" spans="2:6">
      <c r="B642" s="47"/>
      <c r="F642" s="14"/>
    </row>
    <row r="643" spans="2:6">
      <c r="B643" s="47"/>
      <c r="F643" s="14"/>
    </row>
    <row r="644" spans="2:6">
      <c r="B644" s="47"/>
      <c r="F644" s="14"/>
    </row>
    <row r="645" spans="2:6">
      <c r="B645" s="47"/>
      <c r="F645" s="14"/>
    </row>
    <row r="646" spans="2:6">
      <c r="B646" s="47"/>
      <c r="F646" s="14"/>
    </row>
    <row r="647" spans="2:6">
      <c r="B647" s="47"/>
      <c r="F647" s="14"/>
    </row>
    <row r="648" spans="2:6">
      <c r="B648" s="47"/>
      <c r="F648" s="14"/>
    </row>
    <row r="649" spans="2:6">
      <c r="B649" s="47"/>
      <c r="F649" s="14"/>
    </row>
    <row r="650" spans="2:6">
      <c r="B650" s="47"/>
      <c r="F650" s="14"/>
    </row>
    <row r="651" spans="2:6">
      <c r="B651" s="47"/>
      <c r="F651" s="14"/>
    </row>
    <row r="652" spans="2:6">
      <c r="B652" s="47"/>
      <c r="F652" s="14"/>
    </row>
    <row r="653" spans="2:6">
      <c r="B653" s="47"/>
      <c r="F653" s="14"/>
    </row>
    <row r="654" spans="2:6">
      <c r="B654" s="47"/>
      <c r="F654" s="14"/>
    </row>
    <row r="655" spans="2:6">
      <c r="B655" s="47"/>
      <c r="F655" s="14"/>
    </row>
    <row r="656" spans="2:6">
      <c r="B656" s="47"/>
      <c r="F656" s="14"/>
    </row>
    <row r="657" spans="2:6">
      <c r="B657" s="47"/>
      <c r="F657" s="14"/>
    </row>
    <row r="658" spans="2:6">
      <c r="B658" s="47"/>
      <c r="F658" s="14"/>
    </row>
    <row r="659" spans="2:6">
      <c r="B659" s="47"/>
      <c r="F659" s="14"/>
    </row>
    <row r="660" spans="2:6">
      <c r="B660" s="47"/>
      <c r="F660" s="14"/>
    </row>
    <row r="661" spans="2:6">
      <c r="B661" s="47"/>
      <c r="F661" s="14"/>
    </row>
    <row r="662" spans="2:6">
      <c r="B662" s="47"/>
      <c r="F662" s="14"/>
    </row>
    <row r="663" spans="2:6">
      <c r="B663" s="47"/>
      <c r="F663" s="14"/>
    </row>
    <row r="664" spans="2:6">
      <c r="B664" s="47"/>
      <c r="F664" s="14"/>
    </row>
    <row r="665" spans="2:6">
      <c r="B665" s="47"/>
      <c r="F665" s="14"/>
    </row>
    <row r="666" spans="2:6">
      <c r="B666" s="47"/>
      <c r="F666" s="14"/>
    </row>
    <row r="667" spans="2:6">
      <c r="B667" s="47"/>
      <c r="F667" s="14"/>
    </row>
    <row r="668" spans="2:6">
      <c r="B668" s="47"/>
      <c r="F668" s="14"/>
    </row>
    <row r="669" spans="2:6">
      <c r="B669" s="47"/>
      <c r="F669" s="14"/>
    </row>
    <row r="670" spans="2:6">
      <c r="B670" s="47"/>
      <c r="F670" s="14"/>
    </row>
    <row r="671" spans="2:6">
      <c r="B671" s="47"/>
      <c r="F671" s="14"/>
    </row>
    <row r="672" spans="2:6">
      <c r="B672" s="47"/>
      <c r="F672" s="14"/>
    </row>
    <row r="673" spans="2:6">
      <c r="B673" s="47"/>
      <c r="F673" s="14"/>
    </row>
    <row r="674" spans="2:6">
      <c r="B674" s="47"/>
      <c r="F674" s="14"/>
    </row>
    <row r="675" spans="2:6">
      <c r="B675" s="47"/>
      <c r="F675" s="14"/>
    </row>
    <row r="676" spans="2:6">
      <c r="B676" s="47"/>
      <c r="F676" s="14"/>
    </row>
    <row r="677" spans="2:6">
      <c r="B677" s="47"/>
      <c r="F677" s="14"/>
    </row>
    <row r="678" spans="2:6">
      <c r="B678" s="47"/>
      <c r="F678" s="14"/>
    </row>
    <row r="679" spans="2:6">
      <c r="B679" s="47"/>
      <c r="F679" s="14"/>
    </row>
    <row r="680" spans="2:6">
      <c r="B680" s="47"/>
      <c r="F680" s="14"/>
    </row>
    <row r="681" spans="2:6">
      <c r="B681" s="47"/>
      <c r="F681" s="14"/>
    </row>
    <row r="682" spans="2:6">
      <c r="B682" s="47"/>
      <c r="F682" s="14"/>
    </row>
    <row r="683" spans="2:6">
      <c r="B683" s="47"/>
      <c r="F683" s="14"/>
    </row>
    <row r="684" spans="2:6">
      <c r="B684" s="47"/>
      <c r="F684" s="14"/>
    </row>
    <row r="685" spans="2:6">
      <c r="B685" s="47"/>
      <c r="F685" s="14"/>
    </row>
    <row r="686" spans="2:6">
      <c r="B686" s="47"/>
      <c r="F686" s="14"/>
    </row>
    <row r="687" spans="2:6">
      <c r="B687" s="47"/>
      <c r="F687" s="14"/>
    </row>
    <row r="688" spans="2:6">
      <c r="B688" s="47"/>
      <c r="F688" s="14"/>
    </row>
    <row r="689" spans="2:6">
      <c r="B689" s="47"/>
      <c r="F689" s="14"/>
    </row>
    <row r="690" spans="2:6">
      <c r="B690" s="47"/>
      <c r="F690" s="14"/>
    </row>
    <row r="691" spans="2:6">
      <c r="B691" s="47"/>
      <c r="F691" s="14"/>
    </row>
    <row r="692" spans="2:6">
      <c r="B692" s="47"/>
      <c r="F692" s="14"/>
    </row>
    <row r="693" spans="2:6">
      <c r="B693" s="47"/>
      <c r="F693" s="14"/>
    </row>
    <row r="694" spans="2:6">
      <c r="B694" s="47"/>
      <c r="F694" s="14"/>
    </row>
    <row r="695" spans="2:6">
      <c r="B695" s="47"/>
      <c r="F695" s="14"/>
    </row>
    <row r="696" spans="2:6">
      <c r="B696" s="47"/>
      <c r="F696" s="14"/>
    </row>
    <row r="697" spans="2:6">
      <c r="B697" s="47"/>
      <c r="F697" s="14"/>
    </row>
    <row r="698" spans="2:6">
      <c r="B698" s="47"/>
      <c r="F698" s="14"/>
    </row>
    <row r="699" spans="2:6">
      <c r="B699" s="47"/>
      <c r="F699" s="14"/>
    </row>
    <row r="700" spans="2:6">
      <c r="B700" s="47"/>
      <c r="F700" s="14"/>
    </row>
    <row r="701" spans="2:6">
      <c r="B701" s="64">
        <v>45322</v>
      </c>
      <c r="E701" s="98">
        <v>2.5493858123178947E-2</v>
      </c>
    </row>
    <row r="702" spans="2:6">
      <c r="B702" s="64">
        <v>45351</v>
      </c>
      <c r="E702" s="98">
        <v>4.3182523014929863E-2</v>
      </c>
    </row>
    <row r="703" spans="2:6">
      <c r="B703" s="64">
        <v>45379</v>
      </c>
      <c r="E703" s="98">
        <v>3.1646302045507113E-2</v>
      </c>
    </row>
    <row r="704" spans="2:6">
      <c r="B704" s="64">
        <v>45412</v>
      </c>
      <c r="E704" s="98">
        <v>-1.1232804120242079E-2</v>
      </c>
    </row>
    <row r="705" spans="2:5">
      <c r="B705" s="64">
        <v>45443</v>
      </c>
      <c r="E705" s="98">
        <v>2.400591492599502E-2</v>
      </c>
    </row>
    <row r="706" spans="2:5">
      <c r="B706" s="64">
        <v>45471</v>
      </c>
      <c r="E706" s="98">
        <v>3.4367228120308235E-2</v>
      </c>
    </row>
    <row r="707" spans="2:5">
      <c r="B707" s="64">
        <v>45504</v>
      </c>
      <c r="E707" s="98">
        <v>2.2688240747238186E-2</v>
      </c>
    </row>
    <row r="708" spans="2:5">
      <c r="B708" s="64">
        <v>45534</v>
      </c>
      <c r="E708" s="98">
        <v>-1.0796316359696689E-2</v>
      </c>
    </row>
    <row r="709" spans="2:5">
      <c r="B709" s="64">
        <v>45565</v>
      </c>
      <c r="E709" s="98">
        <v>2.6112544060925114E-2</v>
      </c>
    </row>
    <row r="710" spans="2:5">
      <c r="B710" s="64">
        <v>45596</v>
      </c>
      <c r="E710" s="98">
        <v>2.4028420674368389E-2</v>
      </c>
    </row>
  </sheetData>
  <mergeCells count="4">
    <mergeCell ref="B2:F2"/>
    <mergeCell ref="H2:J2"/>
    <mergeCell ref="H3:J3"/>
    <mergeCell ref="B1:G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2BA254-1A70-4503-A609-6850DD356567}">
  <sheetPr>
    <tabColor rgb="FF7030A0"/>
  </sheetPr>
  <dimension ref="A3:P392"/>
  <sheetViews>
    <sheetView showGridLines="0" topLeftCell="B3" zoomScale="47" workbookViewId="0">
      <pane ySplit="27" topLeftCell="A375" activePane="bottomLeft" state="frozen"/>
      <selection activeCell="A3" sqref="A3"/>
      <selection pane="bottomLeft" activeCell="D21" sqref="D21"/>
    </sheetView>
  </sheetViews>
  <sheetFormatPr defaultRowHeight="14.5"/>
  <cols>
    <col min="1" max="1" width="5.08984375" bestFit="1" customWidth="1"/>
    <col min="2" max="2" width="40.08984375" bestFit="1" customWidth="1"/>
    <col min="3" max="4" width="11.6328125" bestFit="1" customWidth="1"/>
    <col min="5" max="5" width="12.90625" bestFit="1" customWidth="1"/>
    <col min="6" max="6" width="21.1796875" bestFit="1" customWidth="1"/>
    <col min="7" max="7" width="16.08984375" customWidth="1"/>
    <col min="8" max="8" width="21.08984375" bestFit="1" customWidth="1"/>
    <col min="9" max="11" width="14.6328125" bestFit="1" customWidth="1"/>
    <col min="14" max="14" width="9" bestFit="1" customWidth="1"/>
    <col min="15" max="16" width="10.08984375" bestFit="1" customWidth="1"/>
  </cols>
  <sheetData>
    <row r="3" spans="2:16">
      <c r="B3" s="196" t="s">
        <v>73</v>
      </c>
      <c r="C3" s="197"/>
      <c r="D3" s="197"/>
      <c r="E3" s="197"/>
      <c r="F3" s="198"/>
      <c r="H3" s="189" t="s">
        <v>57</v>
      </c>
      <c r="I3" s="190"/>
      <c r="J3" s="89"/>
      <c r="K3" s="89"/>
    </row>
    <row r="4" spans="2:16">
      <c r="B4" s="127"/>
      <c r="C4" s="109" t="str">
        <f>C18</f>
        <v>ESS-RET</v>
      </c>
      <c r="D4" s="109" t="str">
        <f>D18</f>
        <v>ED-RET</v>
      </c>
      <c r="E4" s="109" t="str">
        <f>E18</f>
        <v>SP500-RET</v>
      </c>
      <c r="F4" s="110" t="str">
        <f>F18</f>
        <v>90-DAY US T-BILLS</v>
      </c>
      <c r="H4" s="111" t="s">
        <v>18</v>
      </c>
      <c r="I4" s="111" t="s">
        <v>58</v>
      </c>
      <c r="J4" s="89"/>
      <c r="K4" s="89"/>
    </row>
    <row r="5" spans="2:16">
      <c r="B5" s="112" t="s">
        <v>59</v>
      </c>
      <c r="C5" s="113">
        <f>COUNT(C30:C392)</f>
        <v>363</v>
      </c>
      <c r="D5" s="113">
        <f>COUNT(D30:D392)</f>
        <v>363</v>
      </c>
      <c r="E5" s="113">
        <f>COUNT(E30:E392)</f>
        <v>363</v>
      </c>
      <c r="F5" s="114">
        <f>COUNT(F30:F392)</f>
        <v>363</v>
      </c>
      <c r="H5" s="32">
        <f>'MASTER-DATA'!K2</f>
        <v>45566</v>
      </c>
      <c r="I5" s="113">
        <f>'MASTER-DATA'!K3</f>
        <v>3.8937182261378211E-3</v>
      </c>
      <c r="J5" s="89"/>
      <c r="K5" s="89"/>
      <c r="N5" s="113"/>
      <c r="O5" s="131" t="s">
        <v>83</v>
      </c>
      <c r="P5" s="132" t="s">
        <v>84</v>
      </c>
    </row>
    <row r="6" spans="2:16">
      <c r="B6" s="112" t="s">
        <v>60</v>
      </c>
      <c r="C6" s="102">
        <f>MIN(C30:C392)</f>
        <v>-0.215424</v>
      </c>
      <c r="D6" s="102">
        <f>MIN(D30:D392)</f>
        <v>-0.15335099999999999</v>
      </c>
      <c r="E6" s="102">
        <f>MIN(E30:E392)</f>
        <v>-0.16942499999999999</v>
      </c>
      <c r="F6" s="115">
        <f>MIN(F30:F392)</f>
        <v>8.3331597275915215E-6</v>
      </c>
      <c r="H6" s="89"/>
      <c r="I6" s="89"/>
      <c r="J6" s="89"/>
      <c r="K6" s="89"/>
      <c r="N6" s="113" t="s">
        <v>87</v>
      </c>
      <c r="O6" s="102">
        <f>C12</f>
        <v>6.1360905795871466E-2</v>
      </c>
      <c r="P6" s="102">
        <f>C7</f>
        <v>1.3091421487603309E-2</v>
      </c>
    </row>
    <row r="7" spans="2:16">
      <c r="B7" s="112" t="s">
        <v>61</v>
      </c>
      <c r="C7" s="102">
        <f>AVERAGE(C30:C392)</f>
        <v>1.3091421487603309E-2</v>
      </c>
      <c r="D7" s="102">
        <f>AVERAGE(D30:D392)</f>
        <v>8.8689366391184465E-3</v>
      </c>
      <c r="E7" s="102">
        <f>AVERAGE(E30:E392)</f>
        <v>8.3072176308539875E-3</v>
      </c>
      <c r="F7" s="115">
        <f>AVERAGE(F30:F392)</f>
        <v>2.0034440956312916E-3</v>
      </c>
      <c r="H7" s="89"/>
      <c r="I7" s="89"/>
      <c r="J7" s="89"/>
      <c r="K7" s="89"/>
      <c r="N7" s="113" t="s">
        <v>88</v>
      </c>
      <c r="O7" s="102">
        <f>D12</f>
        <v>5.0081438050912169E-2</v>
      </c>
      <c r="P7" s="102">
        <f>D7</f>
        <v>8.8689366391184465E-3</v>
      </c>
    </row>
    <row r="8" spans="2:16">
      <c r="B8" s="112" t="s">
        <v>62</v>
      </c>
      <c r="C8" s="113">
        <f>((G26)^(1/C5))-1</f>
        <v>1.1216185136310175E-2</v>
      </c>
      <c r="D8" s="113">
        <f>((H26)^(1/D5))-1</f>
        <v>7.6266733909673423E-3</v>
      </c>
      <c r="E8" s="113">
        <f>((I26)^(1/E5))-1</f>
        <v>7.3394950677334592E-3</v>
      </c>
      <c r="F8" s="115">
        <f>((J26)^(1/F5))-1</f>
        <v>2.0018061946205368E-3</v>
      </c>
      <c r="H8" s="116" t="s">
        <v>82</v>
      </c>
      <c r="I8" s="88" t="str">
        <f>C4</f>
        <v>ESS-RET</v>
      </c>
      <c r="J8" s="88" t="str">
        <f>D4</f>
        <v>ED-RET</v>
      </c>
      <c r="K8" s="88" t="str">
        <f>E4</f>
        <v>SP500-RET</v>
      </c>
      <c r="N8" s="113" t="s">
        <v>85</v>
      </c>
      <c r="O8" s="102">
        <f>E12</f>
        <v>4.3772103993290817E-2</v>
      </c>
      <c r="P8" s="102">
        <f>E7</f>
        <v>8.3072176308539875E-3</v>
      </c>
    </row>
    <row r="9" spans="2:16">
      <c r="B9" s="112" t="s">
        <v>63</v>
      </c>
      <c r="C9" s="102">
        <f>MAX(C30:C392)</f>
        <v>0.20813400000000001</v>
      </c>
      <c r="D9" s="102">
        <f>MAX(D30:D392)</f>
        <v>0.20815500000000001</v>
      </c>
      <c r="E9" s="102">
        <f>MAX(E30:E392)</f>
        <v>0.12684400000000001</v>
      </c>
      <c r="F9" s="115">
        <f>MAX(F30:F392)</f>
        <v>5.2311096965727E-3</v>
      </c>
      <c r="H9" s="117" t="s">
        <v>64</v>
      </c>
      <c r="I9" s="102">
        <f>C7-$I$5</f>
        <v>9.1977032614654879E-3</v>
      </c>
      <c r="J9" s="102">
        <f>D7-$I$5</f>
        <v>4.9752184129806254E-3</v>
      </c>
      <c r="K9" s="113">
        <f>F7/$I$5</f>
        <v>0.51453237735143142</v>
      </c>
      <c r="N9" s="113" t="s">
        <v>86</v>
      </c>
      <c r="O9" s="102">
        <v>0</v>
      </c>
      <c r="P9" s="102">
        <f>I5</f>
        <v>3.8937182261378211E-3</v>
      </c>
    </row>
    <row r="10" spans="2:16">
      <c r="B10" s="112" t="s">
        <v>65</v>
      </c>
      <c r="C10" s="102">
        <f>C7-C8</f>
        <v>1.8752363512931341E-3</v>
      </c>
      <c r="D10" s="102">
        <f>D7-D8</f>
        <v>1.2422632481511042E-3</v>
      </c>
      <c r="E10" s="102">
        <f>E7-E8</f>
        <v>9.6772256312052836E-4</v>
      </c>
      <c r="F10" s="115">
        <f>F7-F8</f>
        <v>1.6379010107548005E-6</v>
      </c>
      <c r="H10" s="117" t="s">
        <v>66</v>
      </c>
      <c r="I10" s="113">
        <f>I9/C12</f>
        <v>0.14989516765061078</v>
      </c>
      <c r="J10" s="113">
        <f>J9/D12</f>
        <v>9.9342562965601747E-2</v>
      </c>
      <c r="K10" s="113">
        <f>K9/E12</f>
        <v>11.754801126998522</v>
      </c>
    </row>
    <row r="11" spans="2:16">
      <c r="B11" s="112" t="s">
        <v>67</v>
      </c>
      <c r="C11" s="113">
        <f>_xlfn.VAR.S(C30:C392)</f>
        <v>3.7651607600898123E-3</v>
      </c>
      <c r="D11" s="113">
        <f>_xlfn.VAR.S(D30:D392)</f>
        <v>2.5081504372473536E-3</v>
      </c>
      <c r="E11" s="113">
        <f>_xlfn.VAR.S(E30:E392)</f>
        <v>1.915997087999466E-3</v>
      </c>
      <c r="F11" s="115">
        <f>_xlfn.VAR.S(F30:F392)</f>
        <v>3.2926410151670432E-6</v>
      </c>
    </row>
    <row r="12" spans="2:16">
      <c r="B12" s="112" t="s">
        <v>68</v>
      </c>
      <c r="C12" s="113">
        <f>SQRT(C11)</f>
        <v>6.1360905795871466E-2</v>
      </c>
      <c r="D12" s="113">
        <f>SQRT(D11)</f>
        <v>5.0081438050912169E-2</v>
      </c>
      <c r="E12" s="113">
        <f>SQRT(E11)</f>
        <v>4.3772103993290817E-2</v>
      </c>
      <c r="F12" s="115">
        <f>SQRT(F11)</f>
        <v>1.8145635880748416E-3</v>
      </c>
    </row>
    <row r="13" spans="2:16">
      <c r="B13" s="112" t="s">
        <v>69</v>
      </c>
      <c r="C13" s="113">
        <f>C8-C11/2</f>
        <v>9.333604756265268E-3</v>
      </c>
      <c r="D13" s="113">
        <f>D8-D11/2</f>
        <v>6.3725981723436655E-3</v>
      </c>
      <c r="E13" s="113">
        <f>E8-E11/2</f>
        <v>6.381496523733726E-3</v>
      </c>
      <c r="F13" s="115">
        <f>F8-F11/2</f>
        <v>2.0001598741129531E-3</v>
      </c>
    </row>
    <row r="14" spans="2:16">
      <c r="B14" s="129" t="s">
        <v>80</v>
      </c>
      <c r="C14" s="102">
        <f>C7-$I$5</f>
        <v>9.1977032614654879E-3</v>
      </c>
      <c r="D14" s="102">
        <f t="shared" ref="D14:E14" si="0">D7-$I$5</f>
        <v>4.9752184129806254E-3</v>
      </c>
      <c r="E14" s="102">
        <f t="shared" si="0"/>
        <v>4.4134994047161664E-3</v>
      </c>
      <c r="F14" s="128"/>
    </row>
    <row r="15" spans="2:16">
      <c r="B15" s="130" t="s">
        <v>81</v>
      </c>
      <c r="C15" s="125">
        <f>C14/C12</f>
        <v>0.14989516765061078</v>
      </c>
      <c r="D15" s="125">
        <f t="shared" ref="D15:E15" si="1">D14/D12</f>
        <v>9.9342562965601747E-2</v>
      </c>
      <c r="E15" s="125">
        <f t="shared" si="1"/>
        <v>0.10082904411889013</v>
      </c>
      <c r="F15" s="128"/>
    </row>
    <row r="17" spans="1:10">
      <c r="B17" s="193" t="s">
        <v>70</v>
      </c>
      <c r="C17" s="194"/>
      <c r="D17" s="194"/>
      <c r="E17" s="194"/>
      <c r="F17" s="195"/>
    </row>
    <row r="18" spans="1:10">
      <c r="B18" s="118" t="s">
        <v>71</v>
      </c>
      <c r="C18" s="88" t="str">
        <f>C29</f>
        <v>ESS-RET</v>
      </c>
      <c r="D18" s="88" t="str">
        <f>D29</f>
        <v>ED-RET</v>
      </c>
      <c r="E18" s="88" t="str">
        <f>E29</f>
        <v>SP500-RET</v>
      </c>
      <c r="F18" s="88" t="str">
        <f>F29</f>
        <v>90-DAY US T-BILLS</v>
      </c>
    </row>
    <row r="19" spans="1:10">
      <c r="B19" s="119" t="str">
        <f>C18</f>
        <v>ESS-RET</v>
      </c>
      <c r="C19" s="115">
        <f>_xlfn.COVARIANCE.S($C$30:$C$392,C30:C392)</f>
        <v>3.7651607600898127E-3</v>
      </c>
      <c r="D19" s="115">
        <f t="shared" ref="D19:F19" si="2">_xlfn.COVARIANCE.S($C$30:$C$392,D30:D392)</f>
        <v>7.6141857091351897E-4</v>
      </c>
      <c r="E19" s="115">
        <f t="shared" si="2"/>
        <v>1.1899926097837087E-3</v>
      </c>
      <c r="F19" s="115">
        <f t="shared" si="2"/>
        <v>4.8324714146143951E-6</v>
      </c>
    </row>
    <row r="20" spans="1:10">
      <c r="B20" s="119" t="str">
        <f>D18</f>
        <v>ED-RET</v>
      </c>
      <c r="C20" s="120">
        <f>D19</f>
        <v>7.6141857091351897E-4</v>
      </c>
      <c r="D20" s="115">
        <f>_xlfn.COVARIANCE.S($D$30:$D$392,D30:D392)</f>
        <v>2.5081504372473553E-3</v>
      </c>
      <c r="E20" s="115">
        <f t="shared" ref="E20:F20" si="3">_xlfn.COVARIANCE.S($D$30:$D$392,E30:E392)</f>
        <v>3.486278733922806E-4</v>
      </c>
      <c r="F20" s="115">
        <f t="shared" si="3"/>
        <v>3.8085614058015988E-7</v>
      </c>
    </row>
    <row r="21" spans="1:10">
      <c r="B21" s="119" t="str">
        <f>E18</f>
        <v>SP500-RET</v>
      </c>
      <c r="C21" s="120">
        <f>E19</f>
        <v>1.1899926097837087E-3</v>
      </c>
      <c r="D21" s="120">
        <f>E20</f>
        <v>3.486278733922806E-4</v>
      </c>
      <c r="E21" s="115">
        <f>_xlfn.COVARIANCE.S($E$30:$E$392,E30:E392)</f>
        <v>1.9159970879994675E-3</v>
      </c>
      <c r="F21" s="115">
        <f>_xlfn.COVARIANCE.S($E$30:$E$392,F30:F392)</f>
        <v>4.3957199340405142E-6</v>
      </c>
    </row>
    <row r="22" spans="1:10">
      <c r="B22" s="119" t="str">
        <f>F18</f>
        <v>90-DAY US T-BILLS</v>
      </c>
      <c r="C22" s="120">
        <f>F19</f>
        <v>4.8324714146143951E-6</v>
      </c>
      <c r="D22" s="120">
        <f>F20</f>
        <v>3.8085614058015988E-7</v>
      </c>
      <c r="E22" s="120">
        <f>F21</f>
        <v>4.3957199340405142E-6</v>
      </c>
      <c r="F22" s="115">
        <f>_xlfn.COVARIANCE.S($F$30:$F$392,F30:F392)</f>
        <v>3.2926410151670559E-6</v>
      </c>
    </row>
    <row r="24" spans="1:10">
      <c r="G24" s="191" t="s">
        <v>72</v>
      </c>
      <c r="H24" s="192"/>
      <c r="I24" s="192"/>
      <c r="J24" s="192"/>
    </row>
    <row r="25" spans="1:10">
      <c r="F25" s="123"/>
      <c r="G25" s="124" t="str">
        <f>G29</f>
        <v>1 + ESS-RET</v>
      </c>
      <c r="H25" s="124" t="str">
        <f>H29</f>
        <v>1 + ED-RET</v>
      </c>
      <c r="I25" s="124" t="str">
        <f>I29</f>
        <v>1 + SP500-RET</v>
      </c>
      <c r="J25" s="124" t="str">
        <f>J29</f>
        <v>1 + 90-DAY US T-BILLS</v>
      </c>
    </row>
    <row r="26" spans="1:10">
      <c r="F26" s="89"/>
      <c r="G26" s="113">
        <f>PRODUCT(G30:G392)</f>
        <v>57.329269539667322</v>
      </c>
      <c r="H26" s="113">
        <f>PRODUCT(H30:H392)</f>
        <v>15.767938308353974</v>
      </c>
      <c r="I26" s="113">
        <f>PRODUCT(I30:I392)</f>
        <v>14.217977868088219</v>
      </c>
      <c r="J26" s="113">
        <f>PRODUCT(J30:J392)</f>
        <v>2.0666507586541263</v>
      </c>
    </row>
    <row r="27" spans="1:10">
      <c r="F27" s="89"/>
      <c r="G27" s="89"/>
      <c r="H27" s="89"/>
      <c r="I27" s="89"/>
    </row>
    <row r="29" spans="1:10">
      <c r="A29" s="126" t="s">
        <v>74</v>
      </c>
      <c r="B29" s="88" t="s">
        <v>79</v>
      </c>
      <c r="C29" s="88" t="s">
        <v>30</v>
      </c>
      <c r="D29" s="88" t="s">
        <v>29</v>
      </c>
      <c r="E29" s="88" t="s">
        <v>22</v>
      </c>
      <c r="F29" s="88" t="s">
        <v>49</v>
      </c>
      <c r="G29" s="121" t="s">
        <v>75</v>
      </c>
      <c r="H29" s="121" t="s">
        <v>76</v>
      </c>
      <c r="I29" s="121" t="s">
        <v>77</v>
      </c>
      <c r="J29" s="121" t="s">
        <v>78</v>
      </c>
    </row>
    <row r="30" spans="1:10">
      <c r="A30" s="76">
        <v>1</v>
      </c>
      <c r="B30" s="65">
        <v>34544</v>
      </c>
      <c r="C30" s="11">
        <v>7.0920000000000002E-3</v>
      </c>
      <c r="D30" s="11">
        <v>8.4905999999999995E-2</v>
      </c>
      <c r="E30" s="11">
        <v>3.1467000000000002E-2</v>
      </c>
      <c r="F30" s="11">
        <v>3.8052820426650591E-3</v>
      </c>
      <c r="G30" s="11">
        <f>1+C30</f>
        <v>1.0070920000000001</v>
      </c>
      <c r="H30" s="11">
        <f>1+D30</f>
        <v>1.0849059999999999</v>
      </c>
      <c r="I30" s="11">
        <f>1+E30</f>
        <v>1.0314669999999999</v>
      </c>
      <c r="J30" s="11">
        <f>1+F30</f>
        <v>1.0038052820426651</v>
      </c>
    </row>
    <row r="31" spans="1:10">
      <c r="A31" s="76">
        <v>2</v>
      </c>
      <c r="B31" s="65">
        <v>34577</v>
      </c>
      <c r="C31" s="11">
        <v>3.5210999999999999E-2</v>
      </c>
      <c r="D31" s="11">
        <v>-3.4783000000000001E-2</v>
      </c>
      <c r="E31" s="11">
        <v>3.7643000000000003E-2</v>
      </c>
      <c r="F31" s="11">
        <v>3.9197214566868421E-3</v>
      </c>
      <c r="G31" s="11">
        <f t="shared" ref="G31:G94" si="4">1+C31</f>
        <v>1.0352110000000001</v>
      </c>
      <c r="H31" s="11">
        <f t="shared" ref="H31:H94" si="5">1+D31</f>
        <v>0.96521699999999999</v>
      </c>
      <c r="I31" s="11">
        <f t="shared" ref="I31:I94" si="6">1+E31</f>
        <v>1.0376430000000001</v>
      </c>
      <c r="J31" s="11">
        <f t="shared" ref="J31:J94" si="7">1+F31</f>
        <v>1.0039197214566868</v>
      </c>
    </row>
    <row r="32" spans="1:10">
      <c r="A32" s="76">
        <v>3</v>
      </c>
      <c r="B32" s="65">
        <v>34607</v>
      </c>
      <c r="C32" s="11">
        <v>2.313E-3</v>
      </c>
      <c r="D32" s="11">
        <v>-8.7155999999999997E-2</v>
      </c>
      <c r="E32" s="11">
        <v>-2.6897999999999998E-2</v>
      </c>
      <c r="F32" s="11">
        <v>4.2055349680758525E-3</v>
      </c>
      <c r="G32" s="11">
        <f t="shared" si="4"/>
        <v>1.002313</v>
      </c>
      <c r="H32" s="11">
        <f t="shared" si="5"/>
        <v>0.91284399999999999</v>
      </c>
      <c r="I32" s="11">
        <f t="shared" si="6"/>
        <v>0.97310200000000002</v>
      </c>
      <c r="J32" s="11">
        <f t="shared" si="7"/>
        <v>1.0042055349680759</v>
      </c>
    </row>
    <row r="33" spans="1:10">
      <c r="A33" s="76">
        <v>4</v>
      </c>
      <c r="B33" s="65">
        <v>34638</v>
      </c>
      <c r="C33" s="11">
        <v>-2.0833000000000001E-2</v>
      </c>
      <c r="D33" s="11">
        <v>0</v>
      </c>
      <c r="E33" s="11">
        <v>2.0833999999999998E-2</v>
      </c>
      <c r="F33" s="11">
        <v>4.4909423210737209E-3</v>
      </c>
      <c r="G33" s="11">
        <f t="shared" si="4"/>
        <v>0.97916700000000001</v>
      </c>
      <c r="H33" s="11">
        <f t="shared" si="5"/>
        <v>1</v>
      </c>
      <c r="I33" s="11">
        <f t="shared" si="6"/>
        <v>1.020834</v>
      </c>
      <c r="J33" s="11">
        <f t="shared" si="7"/>
        <v>1.0044909423210737</v>
      </c>
    </row>
    <row r="34" spans="1:10">
      <c r="A34" s="76">
        <v>5</v>
      </c>
      <c r="B34" s="65">
        <v>34668</v>
      </c>
      <c r="C34" s="11">
        <v>-3.5460999999999999E-2</v>
      </c>
      <c r="D34" s="11">
        <v>6.0302000000000001E-2</v>
      </c>
      <c r="E34" s="11">
        <v>-3.9504999999999998E-2</v>
      </c>
      <c r="F34" s="11">
        <v>4.7433935255802862E-3</v>
      </c>
      <c r="G34" s="11">
        <f t="shared" si="4"/>
        <v>0.96453900000000004</v>
      </c>
      <c r="H34" s="11">
        <f t="shared" si="5"/>
        <v>1.0603020000000001</v>
      </c>
      <c r="I34" s="11">
        <f t="shared" si="6"/>
        <v>0.96049499999999999</v>
      </c>
      <c r="J34" s="11">
        <f t="shared" si="7"/>
        <v>1.0047433935255803</v>
      </c>
    </row>
    <row r="35" spans="1:10">
      <c r="A35" s="76">
        <v>6</v>
      </c>
      <c r="B35" s="65">
        <v>34698</v>
      </c>
      <c r="C35" s="11">
        <v>-8.5735000000000006E-2</v>
      </c>
      <c r="D35" s="11">
        <v>-4.8310000000000002E-3</v>
      </c>
      <c r="E35" s="11">
        <v>1.2298999999999999E-2</v>
      </c>
      <c r="F35" s="11">
        <v>4.8572998672296031E-3</v>
      </c>
      <c r="G35" s="11">
        <f t="shared" si="4"/>
        <v>0.91426499999999999</v>
      </c>
      <c r="H35" s="11">
        <f t="shared" si="5"/>
        <v>0.99516899999999997</v>
      </c>
      <c r="I35" s="11">
        <f t="shared" si="6"/>
        <v>1.0122990000000001</v>
      </c>
      <c r="J35" s="11">
        <f t="shared" si="7"/>
        <v>1.0048572998672296</v>
      </c>
    </row>
    <row r="36" spans="1:10">
      <c r="A36" s="76">
        <v>7</v>
      </c>
      <c r="B36" s="65">
        <v>34730</v>
      </c>
      <c r="C36" s="11">
        <v>9.0909000000000004E-2</v>
      </c>
      <c r="D36" s="11">
        <v>9.7087000000000007E-2</v>
      </c>
      <c r="E36" s="11">
        <v>2.4278000000000001E-2</v>
      </c>
      <c r="F36" s="11">
        <v>4.889832681570061E-3</v>
      </c>
      <c r="G36" s="11">
        <f t="shared" si="4"/>
        <v>1.0909089999999999</v>
      </c>
      <c r="H36" s="11">
        <f t="shared" si="5"/>
        <v>1.0970869999999999</v>
      </c>
      <c r="I36" s="11">
        <f t="shared" si="6"/>
        <v>1.024278</v>
      </c>
      <c r="J36" s="11">
        <f t="shared" si="7"/>
        <v>1.0048898326815701</v>
      </c>
    </row>
    <row r="37" spans="1:10">
      <c r="A37" s="76">
        <v>8</v>
      </c>
      <c r="B37" s="65">
        <v>34758</v>
      </c>
      <c r="C37" s="11">
        <v>-2.2727000000000001E-2</v>
      </c>
      <c r="D37" s="11">
        <v>-4.071E-3</v>
      </c>
      <c r="E37" s="11">
        <v>3.6074000000000002E-2</v>
      </c>
      <c r="F37" s="11">
        <v>4.8654335645408331E-3</v>
      </c>
      <c r="G37" s="11">
        <f t="shared" si="4"/>
        <v>0.97727299999999995</v>
      </c>
      <c r="H37" s="11">
        <f t="shared" si="5"/>
        <v>0.99592899999999995</v>
      </c>
      <c r="I37" s="11">
        <f t="shared" si="6"/>
        <v>1.0360739999999999</v>
      </c>
      <c r="J37" s="11">
        <f t="shared" si="7"/>
        <v>1.0048654335645408</v>
      </c>
    </row>
    <row r="38" spans="1:10">
      <c r="A38" s="76">
        <v>9</v>
      </c>
      <c r="B38" s="65">
        <v>34789</v>
      </c>
      <c r="C38" s="11">
        <v>1.0388E-2</v>
      </c>
      <c r="D38" s="11">
        <v>-1.3575E-2</v>
      </c>
      <c r="E38" s="11">
        <v>2.7328999999999999E-2</v>
      </c>
      <c r="F38" s="11">
        <v>4.8084907691468004E-3</v>
      </c>
      <c r="G38" s="11">
        <f t="shared" si="4"/>
        <v>1.0103880000000001</v>
      </c>
      <c r="H38" s="11">
        <f t="shared" si="5"/>
        <v>0.986425</v>
      </c>
      <c r="I38" s="11">
        <f t="shared" si="6"/>
        <v>1.0273289999999999</v>
      </c>
      <c r="J38" s="11">
        <f t="shared" si="7"/>
        <v>1.0048084907691468</v>
      </c>
    </row>
    <row r="39" spans="1:10">
      <c r="A39" s="76">
        <v>10</v>
      </c>
      <c r="B39" s="65">
        <v>34817</v>
      </c>
      <c r="C39" s="11">
        <v>2.3622000000000001E-2</v>
      </c>
      <c r="D39" s="11">
        <v>1.8349000000000001E-2</v>
      </c>
      <c r="E39" s="11">
        <v>2.7959999999999999E-2</v>
      </c>
      <c r="F39" s="11">
        <v>4.8166264420947957E-3</v>
      </c>
      <c r="G39" s="11">
        <f t="shared" si="4"/>
        <v>1.023622</v>
      </c>
      <c r="H39" s="11">
        <f t="shared" si="5"/>
        <v>1.0183489999999999</v>
      </c>
      <c r="I39" s="11">
        <f t="shared" si="6"/>
        <v>1.02796</v>
      </c>
      <c r="J39" s="11">
        <f t="shared" si="7"/>
        <v>1.0048166264420948</v>
      </c>
    </row>
    <row r="40" spans="1:10">
      <c r="A40" s="76">
        <v>11</v>
      </c>
      <c r="B40" s="65">
        <v>34850</v>
      </c>
      <c r="C40" s="11">
        <v>0.1</v>
      </c>
      <c r="D40" s="11">
        <v>9.4954999999999998E-2</v>
      </c>
      <c r="E40" s="11">
        <v>3.6311999999999997E-2</v>
      </c>
      <c r="F40" s="11">
        <v>4.6457081022923674E-3</v>
      </c>
      <c r="G40" s="11">
        <f t="shared" si="4"/>
        <v>1.1000000000000001</v>
      </c>
      <c r="H40" s="11">
        <f t="shared" si="5"/>
        <v>1.0949549999999999</v>
      </c>
      <c r="I40" s="11">
        <f t="shared" si="6"/>
        <v>1.0363119999999999</v>
      </c>
      <c r="J40" s="11">
        <f t="shared" si="7"/>
        <v>1.0046457081022924</v>
      </c>
    </row>
    <row r="41" spans="1:10">
      <c r="A41" s="76">
        <v>12</v>
      </c>
      <c r="B41" s="65">
        <v>34880</v>
      </c>
      <c r="C41" s="11">
        <v>3.7343000000000001E-2</v>
      </c>
      <c r="D41" s="11">
        <v>-1.2552000000000001E-2</v>
      </c>
      <c r="E41" s="11">
        <v>2.1278999999999999E-2</v>
      </c>
      <c r="F41" s="11">
        <v>4.6049918220771868E-3</v>
      </c>
      <c r="G41" s="11">
        <f t="shared" si="4"/>
        <v>1.0373429999999999</v>
      </c>
      <c r="H41" s="11">
        <f t="shared" si="5"/>
        <v>0.98744799999999999</v>
      </c>
      <c r="I41" s="11">
        <f t="shared" si="6"/>
        <v>1.021279</v>
      </c>
      <c r="J41" s="11">
        <f t="shared" si="7"/>
        <v>1.0046049918220772</v>
      </c>
    </row>
    <row r="42" spans="1:10">
      <c r="A42" s="76">
        <v>13</v>
      </c>
      <c r="B42" s="65">
        <v>34911</v>
      </c>
      <c r="C42" s="11">
        <v>-2.069E-2</v>
      </c>
      <c r="D42" s="11">
        <v>-1.6948999999999999E-2</v>
      </c>
      <c r="E42" s="11">
        <v>3.1775999999999999E-2</v>
      </c>
      <c r="F42" s="11">
        <v>4.588702999426042E-3</v>
      </c>
      <c r="G42" s="11">
        <f t="shared" si="4"/>
        <v>0.97931000000000001</v>
      </c>
      <c r="H42" s="11">
        <f t="shared" si="5"/>
        <v>0.98305100000000001</v>
      </c>
      <c r="I42" s="11">
        <f t="shared" si="6"/>
        <v>1.031776</v>
      </c>
      <c r="J42" s="11">
        <f t="shared" si="7"/>
        <v>1.004588702999426</v>
      </c>
    </row>
    <row r="43" spans="1:10">
      <c r="A43" s="76">
        <v>14</v>
      </c>
      <c r="B43" s="65">
        <v>34942</v>
      </c>
      <c r="C43" s="11">
        <v>-2.1127E-2</v>
      </c>
      <c r="D43" s="11">
        <v>-8.2760000000000004E-3</v>
      </c>
      <c r="E43" s="11">
        <v>-3.2000000000000003E-4</v>
      </c>
      <c r="F43" s="11">
        <v>4.4746442487402227E-3</v>
      </c>
      <c r="G43" s="11">
        <f t="shared" si="4"/>
        <v>0.97887299999999999</v>
      </c>
      <c r="H43" s="11">
        <f t="shared" si="5"/>
        <v>0.99172400000000005</v>
      </c>
      <c r="I43" s="11">
        <f t="shared" si="6"/>
        <v>0.99968000000000001</v>
      </c>
      <c r="J43" s="11">
        <f t="shared" si="7"/>
        <v>1.0044746442487402</v>
      </c>
    </row>
    <row r="44" spans="1:10">
      <c r="A44" s="76">
        <v>15</v>
      </c>
      <c r="B44" s="65">
        <v>34971</v>
      </c>
      <c r="C44" s="11">
        <v>1.6834999999999999E-2</v>
      </c>
      <c r="D44" s="11">
        <v>7.5220999999999996E-2</v>
      </c>
      <c r="E44" s="11">
        <v>4.0098000000000002E-2</v>
      </c>
      <c r="F44" s="11">
        <v>4.482793450183209E-3</v>
      </c>
      <c r="G44" s="11">
        <f t="shared" si="4"/>
        <v>1.0168349999999999</v>
      </c>
      <c r="H44" s="11">
        <f t="shared" si="5"/>
        <v>1.075221</v>
      </c>
      <c r="I44" s="11">
        <f t="shared" si="6"/>
        <v>1.040098</v>
      </c>
      <c r="J44" s="11">
        <f t="shared" si="7"/>
        <v>1.0044827934501832</v>
      </c>
    </row>
    <row r="45" spans="1:10">
      <c r="A45" s="76">
        <v>16</v>
      </c>
      <c r="B45" s="65">
        <v>35003</v>
      </c>
      <c r="C45" s="11">
        <v>3.5460999999999999E-2</v>
      </c>
      <c r="D45" s="11">
        <v>0</v>
      </c>
      <c r="E45" s="11">
        <v>-4.9789999999999999E-3</v>
      </c>
      <c r="F45" s="11">
        <v>4.5479751643251465E-3</v>
      </c>
      <c r="G45" s="11">
        <f t="shared" si="4"/>
        <v>1.035461</v>
      </c>
      <c r="H45" s="11">
        <f t="shared" si="5"/>
        <v>1</v>
      </c>
      <c r="I45" s="11">
        <f t="shared" si="6"/>
        <v>0.99502100000000004</v>
      </c>
      <c r="J45" s="11">
        <f t="shared" si="7"/>
        <v>1.0045479751643251</v>
      </c>
    </row>
    <row r="46" spans="1:10">
      <c r="A46" s="76">
        <v>17</v>
      </c>
      <c r="B46" s="65">
        <v>35033</v>
      </c>
      <c r="C46" s="11">
        <v>2.0548E-2</v>
      </c>
      <c r="D46" s="11">
        <v>-3.6707999999999998E-2</v>
      </c>
      <c r="E46" s="11">
        <v>4.1049000000000002E-2</v>
      </c>
      <c r="F46" s="11">
        <v>4.3605207040371408E-3</v>
      </c>
      <c r="G46" s="11">
        <f t="shared" si="4"/>
        <v>1.020548</v>
      </c>
      <c r="H46" s="11">
        <f t="shared" si="5"/>
        <v>0.96329200000000004</v>
      </c>
      <c r="I46" s="11">
        <f t="shared" si="6"/>
        <v>1.0410490000000001</v>
      </c>
      <c r="J46" s="11">
        <f t="shared" si="7"/>
        <v>1.0043605207040371</v>
      </c>
    </row>
    <row r="47" spans="1:10">
      <c r="A47" s="76">
        <v>18</v>
      </c>
      <c r="B47" s="65">
        <v>35062</v>
      </c>
      <c r="C47" s="11">
        <v>5.6376000000000002E-2</v>
      </c>
      <c r="D47" s="11">
        <v>0.104348</v>
      </c>
      <c r="E47" s="11">
        <v>1.7444000000000001E-2</v>
      </c>
      <c r="F47" s="11">
        <v>4.246332284283838E-3</v>
      </c>
      <c r="G47" s="11">
        <f t="shared" si="4"/>
        <v>1.056376</v>
      </c>
      <c r="H47" s="11">
        <f t="shared" si="5"/>
        <v>1.1043479999999999</v>
      </c>
      <c r="I47" s="11">
        <f t="shared" si="6"/>
        <v>1.017444</v>
      </c>
      <c r="J47" s="11">
        <f t="shared" si="7"/>
        <v>1.0042463322842838</v>
      </c>
    </row>
    <row r="48" spans="1:10">
      <c r="A48" s="76">
        <v>19</v>
      </c>
      <c r="B48" s="65">
        <v>35095</v>
      </c>
      <c r="C48" s="11">
        <v>3.8961000000000003E-2</v>
      </c>
      <c r="D48" s="11">
        <v>6.2992000000000006E-2</v>
      </c>
      <c r="E48" s="11">
        <v>3.2617E-2</v>
      </c>
      <c r="F48" s="11">
        <v>4.0912583737200414E-3</v>
      </c>
      <c r="G48" s="11">
        <f t="shared" si="4"/>
        <v>1.038961</v>
      </c>
      <c r="H48" s="11">
        <f t="shared" si="5"/>
        <v>1.0629919999999999</v>
      </c>
      <c r="I48" s="11">
        <f t="shared" si="6"/>
        <v>1.0326169999999999</v>
      </c>
      <c r="J48" s="11">
        <f t="shared" si="7"/>
        <v>1.00409125837372</v>
      </c>
    </row>
    <row r="49" spans="1:10">
      <c r="A49" s="76">
        <v>20</v>
      </c>
      <c r="B49" s="65">
        <v>35124</v>
      </c>
      <c r="C49" s="11">
        <v>1.2500000000000001E-2</v>
      </c>
      <c r="D49" s="11">
        <v>-2.5333000000000001E-2</v>
      </c>
      <c r="E49" s="11">
        <v>6.9340000000000001E-3</v>
      </c>
      <c r="F49" s="11">
        <v>4.2055349680758525E-3</v>
      </c>
      <c r="G49" s="11">
        <f t="shared" si="4"/>
        <v>1.0125</v>
      </c>
      <c r="H49" s="11">
        <f t="shared" si="5"/>
        <v>0.97466699999999995</v>
      </c>
      <c r="I49" s="11">
        <f t="shared" si="6"/>
        <v>1.006934</v>
      </c>
      <c r="J49" s="11">
        <f t="shared" si="7"/>
        <v>1.0042055349680759</v>
      </c>
    </row>
    <row r="50" spans="1:10">
      <c r="A50" s="76">
        <v>21</v>
      </c>
      <c r="B50" s="65">
        <v>35153</v>
      </c>
      <c r="C50" s="11">
        <v>4.5678999999999997E-2</v>
      </c>
      <c r="D50" s="11">
        <v>-1.5443999999999999E-2</v>
      </c>
      <c r="E50" s="11">
        <v>7.9170000000000004E-3</v>
      </c>
      <c r="F50" s="11">
        <v>4.1973745102803495E-3</v>
      </c>
      <c r="G50" s="11">
        <f t="shared" si="4"/>
        <v>1.045679</v>
      </c>
      <c r="H50" s="11">
        <f t="shared" si="5"/>
        <v>0.98455599999999999</v>
      </c>
      <c r="I50" s="11">
        <f t="shared" si="6"/>
        <v>1.007917</v>
      </c>
      <c r="J50" s="11">
        <f t="shared" si="7"/>
        <v>1.0041973745102803</v>
      </c>
    </row>
    <row r="51" spans="1:10">
      <c r="A51" s="76">
        <v>22</v>
      </c>
      <c r="B51" s="65">
        <v>35185</v>
      </c>
      <c r="C51" s="11">
        <v>-6.0239999999999998E-3</v>
      </c>
      <c r="D51" s="11">
        <v>-7.8431000000000001E-2</v>
      </c>
      <c r="E51" s="11">
        <v>1.3431E-2</v>
      </c>
      <c r="F51" s="11">
        <v>4.246332284283838E-3</v>
      </c>
      <c r="G51" s="11">
        <f t="shared" si="4"/>
        <v>0.99397599999999997</v>
      </c>
      <c r="H51" s="11">
        <f t="shared" si="5"/>
        <v>0.92156899999999997</v>
      </c>
      <c r="I51" s="11">
        <f t="shared" si="6"/>
        <v>1.013431</v>
      </c>
      <c r="J51" s="11">
        <f t="shared" si="7"/>
        <v>1.0042463322842838</v>
      </c>
    </row>
    <row r="52" spans="1:10">
      <c r="A52" s="76">
        <v>23</v>
      </c>
      <c r="B52" s="65">
        <v>35216</v>
      </c>
      <c r="C52" s="11">
        <v>6.0610000000000004E-3</v>
      </c>
      <c r="D52" s="11">
        <v>-3.3362000000000003E-2</v>
      </c>
      <c r="E52" s="11">
        <v>2.2852999999999998E-2</v>
      </c>
      <c r="F52" s="11">
        <v>4.3115907584712065E-3</v>
      </c>
      <c r="G52" s="11">
        <f t="shared" si="4"/>
        <v>1.0060610000000001</v>
      </c>
      <c r="H52" s="11">
        <f t="shared" si="5"/>
        <v>0.966638</v>
      </c>
      <c r="I52" s="11">
        <f t="shared" si="6"/>
        <v>1.022853</v>
      </c>
      <c r="J52" s="11">
        <f t="shared" si="7"/>
        <v>1.0043115907584712</v>
      </c>
    </row>
    <row r="53" spans="1:10">
      <c r="A53" s="76">
        <v>24</v>
      </c>
      <c r="B53" s="65">
        <v>35244</v>
      </c>
      <c r="C53" s="11">
        <v>5.6626999999999997E-2</v>
      </c>
      <c r="D53" s="11">
        <v>4.9327000000000003E-2</v>
      </c>
      <c r="E53" s="11">
        <v>2.2569999999999999E-3</v>
      </c>
      <c r="F53" s="11">
        <v>4.3686745363094026E-3</v>
      </c>
      <c r="G53" s="11">
        <f t="shared" si="4"/>
        <v>1.056627</v>
      </c>
      <c r="H53" s="11">
        <f t="shared" si="5"/>
        <v>1.0493269999999999</v>
      </c>
      <c r="I53" s="11">
        <f t="shared" si="6"/>
        <v>1.002257</v>
      </c>
      <c r="J53" s="11">
        <f t="shared" si="7"/>
        <v>1.0043686745363094</v>
      </c>
    </row>
    <row r="54" spans="1:10">
      <c r="A54" s="76">
        <v>25</v>
      </c>
      <c r="B54" s="65">
        <v>35277</v>
      </c>
      <c r="C54" s="11">
        <v>3.4883999999999998E-2</v>
      </c>
      <c r="D54" s="11">
        <v>-7.6923000000000005E-2</v>
      </c>
      <c r="E54" s="11">
        <v>-4.5747999999999997E-2</v>
      </c>
      <c r="F54" s="11">
        <v>4.2789641717047022E-3</v>
      </c>
      <c r="G54" s="11">
        <f t="shared" si="4"/>
        <v>1.0348839999999999</v>
      </c>
      <c r="H54" s="11">
        <f t="shared" si="5"/>
        <v>0.92307700000000004</v>
      </c>
      <c r="I54" s="11">
        <f t="shared" si="6"/>
        <v>0.95425199999999999</v>
      </c>
      <c r="J54" s="11">
        <f t="shared" si="7"/>
        <v>1.0042789641717047</v>
      </c>
    </row>
    <row r="55" spans="1:10">
      <c r="A55" s="76">
        <v>26</v>
      </c>
      <c r="B55" s="65">
        <v>35307</v>
      </c>
      <c r="C55" s="11">
        <v>7.3034000000000002E-2</v>
      </c>
      <c r="D55" s="11">
        <v>-1.3148E-2</v>
      </c>
      <c r="E55" s="11">
        <v>1.8814000000000001E-2</v>
      </c>
      <c r="F55" s="11">
        <v>4.3197465771576127E-3</v>
      </c>
      <c r="G55" s="11">
        <f t="shared" si="4"/>
        <v>1.073034</v>
      </c>
      <c r="H55" s="11">
        <f t="shared" si="5"/>
        <v>0.98685199999999995</v>
      </c>
      <c r="I55" s="11">
        <f t="shared" si="6"/>
        <v>1.0188140000000001</v>
      </c>
      <c r="J55" s="11">
        <f t="shared" si="7"/>
        <v>1.0043197465771576</v>
      </c>
    </row>
    <row r="56" spans="1:10">
      <c r="A56" s="76">
        <v>27</v>
      </c>
      <c r="B56" s="65">
        <v>35338</v>
      </c>
      <c r="C56" s="11">
        <v>6.0104999999999999E-2</v>
      </c>
      <c r="D56" s="11">
        <v>6.2200999999999999E-2</v>
      </c>
      <c r="E56" s="11">
        <v>5.4172999999999999E-2</v>
      </c>
      <c r="F56" s="11">
        <v>4.2218548890238239E-3</v>
      </c>
      <c r="G56" s="11">
        <f t="shared" si="4"/>
        <v>1.0601050000000001</v>
      </c>
      <c r="H56" s="11">
        <f t="shared" si="5"/>
        <v>1.062201</v>
      </c>
      <c r="I56" s="11">
        <f t="shared" si="6"/>
        <v>1.054173</v>
      </c>
      <c r="J56" s="11">
        <f t="shared" si="7"/>
        <v>1.0042218548890238</v>
      </c>
    </row>
    <row r="57" spans="1:10">
      <c r="A57" s="76">
        <v>28</v>
      </c>
      <c r="B57" s="65">
        <v>35369</v>
      </c>
      <c r="C57" s="11">
        <v>4.0201000000000001E-2</v>
      </c>
      <c r="D57" s="11">
        <v>5.4053999999999998E-2</v>
      </c>
      <c r="E57" s="11">
        <v>2.6131000000000001E-2</v>
      </c>
      <c r="F57" s="11">
        <v>4.2626488906942761E-3</v>
      </c>
      <c r="G57" s="11">
        <f t="shared" si="4"/>
        <v>1.0402009999999999</v>
      </c>
      <c r="H57" s="11">
        <f t="shared" si="5"/>
        <v>1.054054</v>
      </c>
      <c r="I57" s="11">
        <f t="shared" si="6"/>
        <v>1.0261309999999999</v>
      </c>
      <c r="J57" s="11">
        <f t="shared" si="7"/>
        <v>1.0042626488906943</v>
      </c>
    </row>
    <row r="58" spans="1:10">
      <c r="A58" s="76">
        <v>29</v>
      </c>
      <c r="B58" s="65">
        <v>35398</v>
      </c>
      <c r="C58" s="11">
        <v>6.2801999999999997E-2</v>
      </c>
      <c r="D58" s="11">
        <v>9.2309999999999996E-3</v>
      </c>
      <c r="E58" s="11">
        <v>7.3375999999999997E-2</v>
      </c>
      <c r="F58" s="11">
        <v>4.1565672469039416E-3</v>
      </c>
      <c r="G58" s="11">
        <f t="shared" si="4"/>
        <v>1.062802</v>
      </c>
      <c r="H58" s="11">
        <f t="shared" si="5"/>
        <v>1.009231</v>
      </c>
      <c r="I58" s="11">
        <f t="shared" si="6"/>
        <v>1.0733760000000001</v>
      </c>
      <c r="J58" s="11">
        <f t="shared" si="7"/>
        <v>1.0041565672469039</v>
      </c>
    </row>
    <row r="59" spans="1:10">
      <c r="A59" s="76">
        <v>30</v>
      </c>
      <c r="B59" s="65">
        <v>35430</v>
      </c>
      <c r="C59" s="11">
        <v>8.4000000000000005E-2</v>
      </c>
      <c r="D59" s="11">
        <v>4.3099999999999996E-3</v>
      </c>
      <c r="E59" s="11">
        <v>-2.1505E-2</v>
      </c>
      <c r="F59" s="11">
        <v>4.2626488906942761E-3</v>
      </c>
      <c r="G59" s="11">
        <f t="shared" si="4"/>
        <v>1.0840000000000001</v>
      </c>
      <c r="H59" s="11">
        <f t="shared" si="5"/>
        <v>1.00431</v>
      </c>
      <c r="I59" s="11">
        <f t="shared" si="6"/>
        <v>0.978495</v>
      </c>
      <c r="J59" s="11">
        <f t="shared" si="7"/>
        <v>1.0042626488906943</v>
      </c>
    </row>
    <row r="60" spans="1:10">
      <c r="A60" s="76">
        <v>31</v>
      </c>
      <c r="B60" s="65">
        <v>35461</v>
      </c>
      <c r="C60" s="11">
        <v>-4.2550000000000001E-3</v>
      </c>
      <c r="D60" s="11">
        <v>6.4378000000000005E-2</v>
      </c>
      <c r="E60" s="11">
        <v>6.1317000000000003E-2</v>
      </c>
      <c r="F60" s="11">
        <v>4.2381734839793683E-3</v>
      </c>
      <c r="G60" s="11">
        <f t="shared" si="4"/>
        <v>0.99574499999999999</v>
      </c>
      <c r="H60" s="11">
        <f t="shared" si="5"/>
        <v>1.064378</v>
      </c>
      <c r="I60" s="11">
        <f t="shared" si="6"/>
        <v>1.0613170000000001</v>
      </c>
      <c r="J60" s="11">
        <f t="shared" si="7"/>
        <v>1.0042381734839794</v>
      </c>
    </row>
    <row r="61" spans="1:10">
      <c r="A61" s="76">
        <v>32</v>
      </c>
      <c r="B61" s="65">
        <v>35489</v>
      </c>
      <c r="C61" s="11">
        <v>2.5641000000000001E-2</v>
      </c>
      <c r="D61" s="11">
        <v>1.2903E-2</v>
      </c>
      <c r="E61" s="11">
        <v>5.9280000000000001E-3</v>
      </c>
      <c r="F61" s="11">
        <v>4.3523665407696477E-3</v>
      </c>
      <c r="G61" s="11">
        <f t="shared" si="4"/>
        <v>1.025641</v>
      </c>
      <c r="H61" s="11">
        <f t="shared" si="5"/>
        <v>1.0129030000000001</v>
      </c>
      <c r="I61" s="11">
        <f t="shared" si="6"/>
        <v>1.0059279999999999</v>
      </c>
      <c r="J61" s="11">
        <f t="shared" si="7"/>
        <v>1.0043523665407696</v>
      </c>
    </row>
    <row r="62" spans="1:10">
      <c r="A62" s="76">
        <v>33</v>
      </c>
      <c r="B62" s="65">
        <v>35520</v>
      </c>
      <c r="C62" s="11">
        <v>1.0333E-2</v>
      </c>
      <c r="D62" s="11">
        <v>-2.8340000000000001E-2</v>
      </c>
      <c r="E62" s="11">
        <v>-4.2613999999999999E-2</v>
      </c>
      <c r="F62" s="11">
        <v>4.3686745363094026E-3</v>
      </c>
      <c r="G62" s="11">
        <f t="shared" si="4"/>
        <v>1.0103329999999999</v>
      </c>
      <c r="H62" s="11">
        <f t="shared" si="5"/>
        <v>0.97165999999999997</v>
      </c>
      <c r="I62" s="11">
        <f t="shared" si="6"/>
        <v>0.95738599999999996</v>
      </c>
      <c r="J62" s="11">
        <f t="shared" si="7"/>
        <v>1.0043686745363094</v>
      </c>
    </row>
    <row r="63" spans="1:10">
      <c r="A63" s="76">
        <v>34</v>
      </c>
      <c r="B63" s="65">
        <v>35550</v>
      </c>
      <c r="C63" s="11">
        <v>-2.0920999999999999E-2</v>
      </c>
      <c r="D63" s="11">
        <v>-7.4999999999999997E-2</v>
      </c>
      <c r="E63" s="11">
        <v>5.8406E-2</v>
      </c>
      <c r="F63" s="11">
        <v>4.2871213152586574E-3</v>
      </c>
      <c r="G63" s="11">
        <f t="shared" si="4"/>
        <v>0.97907900000000003</v>
      </c>
      <c r="H63" s="11">
        <f t="shared" si="5"/>
        <v>0.92500000000000004</v>
      </c>
      <c r="I63" s="11">
        <f t="shared" si="6"/>
        <v>1.058406</v>
      </c>
      <c r="J63" s="11">
        <f t="shared" si="7"/>
        <v>1.0042871213152587</v>
      </c>
    </row>
    <row r="64" spans="1:10">
      <c r="A64" s="76">
        <v>35</v>
      </c>
      <c r="B64" s="65">
        <v>35580</v>
      </c>
      <c r="C64" s="11">
        <v>1.2821000000000001E-2</v>
      </c>
      <c r="D64" s="11">
        <v>6.8468000000000001E-2</v>
      </c>
      <c r="E64" s="11">
        <v>5.8576999999999997E-2</v>
      </c>
      <c r="F64" s="11">
        <v>4.1810525998986492E-3</v>
      </c>
      <c r="G64" s="11">
        <f t="shared" si="4"/>
        <v>1.012821</v>
      </c>
      <c r="H64" s="11">
        <f t="shared" si="5"/>
        <v>1.068468</v>
      </c>
      <c r="I64" s="11">
        <f t="shared" si="6"/>
        <v>1.0585770000000001</v>
      </c>
      <c r="J64" s="11">
        <f t="shared" si="7"/>
        <v>1.0041810525998986</v>
      </c>
    </row>
    <row r="65" spans="1:10">
      <c r="A65" s="76">
        <v>36</v>
      </c>
      <c r="B65" s="65">
        <v>35611</v>
      </c>
      <c r="C65" s="11">
        <v>9.9071999999999993E-2</v>
      </c>
      <c r="D65" s="11">
        <v>1.073E-2</v>
      </c>
      <c r="E65" s="11">
        <v>4.3452999999999999E-2</v>
      </c>
      <c r="F65" s="11">
        <v>4.2789641717047022E-3</v>
      </c>
      <c r="G65" s="11">
        <f t="shared" si="4"/>
        <v>1.099072</v>
      </c>
      <c r="H65" s="11">
        <f t="shared" si="5"/>
        <v>1.0107299999999999</v>
      </c>
      <c r="I65" s="11">
        <f t="shared" si="6"/>
        <v>1.043453</v>
      </c>
      <c r="J65" s="11">
        <f t="shared" si="7"/>
        <v>1.0042789641717047</v>
      </c>
    </row>
    <row r="66" spans="1:10">
      <c r="A66" s="76">
        <v>37</v>
      </c>
      <c r="B66" s="65">
        <v>35642</v>
      </c>
      <c r="C66" s="11">
        <v>2.1401E-2</v>
      </c>
      <c r="D66" s="11">
        <v>7.4310000000000001E-2</v>
      </c>
      <c r="E66" s="11">
        <v>7.8122999999999998E-2</v>
      </c>
      <c r="F66" s="11">
        <v>4.3523665407696477E-3</v>
      </c>
      <c r="G66" s="11">
        <f t="shared" si="4"/>
        <v>1.021401</v>
      </c>
      <c r="H66" s="11">
        <f t="shared" si="5"/>
        <v>1.0743100000000001</v>
      </c>
      <c r="I66" s="11">
        <f t="shared" si="6"/>
        <v>1.0781229999999999</v>
      </c>
      <c r="J66" s="11">
        <f t="shared" si="7"/>
        <v>1.0043523665407696</v>
      </c>
    </row>
    <row r="67" spans="1:10">
      <c r="A67" s="76">
        <v>38</v>
      </c>
      <c r="B67" s="65">
        <v>35671</v>
      </c>
      <c r="C67" s="11">
        <v>-2.4761999999999999E-2</v>
      </c>
      <c r="D67" s="11">
        <v>-1.502E-2</v>
      </c>
      <c r="E67" s="11">
        <v>-5.7445999999999997E-2</v>
      </c>
      <c r="F67" s="11">
        <v>4.1892137208978664E-3</v>
      </c>
      <c r="G67" s="11">
        <f t="shared" si="4"/>
        <v>0.97523800000000005</v>
      </c>
      <c r="H67" s="11">
        <f t="shared" si="5"/>
        <v>0.98497999999999997</v>
      </c>
      <c r="I67" s="11">
        <f t="shared" si="6"/>
        <v>0.942554</v>
      </c>
      <c r="J67" s="11">
        <f t="shared" si="7"/>
        <v>1.0041892137208979</v>
      </c>
    </row>
    <row r="68" spans="1:10">
      <c r="A68" s="76">
        <v>39</v>
      </c>
      <c r="B68" s="65">
        <v>35703</v>
      </c>
      <c r="C68" s="11">
        <v>0.101953</v>
      </c>
      <c r="D68" s="11">
        <v>0.110204</v>
      </c>
      <c r="E68" s="11">
        <v>5.3154E-2</v>
      </c>
      <c r="F68" s="11">
        <v>4.2136950943136853E-3</v>
      </c>
      <c r="G68" s="11">
        <f t="shared" si="4"/>
        <v>1.101953</v>
      </c>
      <c r="H68" s="11">
        <f t="shared" si="5"/>
        <v>1.110204</v>
      </c>
      <c r="I68" s="11">
        <f t="shared" si="6"/>
        <v>1.0531539999999999</v>
      </c>
      <c r="J68" s="11">
        <f t="shared" si="7"/>
        <v>1.0042136950943137</v>
      </c>
    </row>
    <row r="69" spans="1:10">
      <c r="A69" s="76">
        <v>40</v>
      </c>
      <c r="B69" s="65">
        <v>35734</v>
      </c>
      <c r="C69" s="11">
        <v>-1.6157999999999999E-2</v>
      </c>
      <c r="D69" s="11">
        <v>7.3530000000000002E-3</v>
      </c>
      <c r="E69" s="11">
        <v>-3.4478000000000002E-2</v>
      </c>
      <c r="F69" s="11">
        <v>4.3523665407696477E-3</v>
      </c>
      <c r="G69" s="11">
        <f t="shared" si="4"/>
        <v>0.98384199999999999</v>
      </c>
      <c r="H69" s="11">
        <f t="shared" si="5"/>
        <v>1.0073529999999999</v>
      </c>
      <c r="I69" s="11">
        <f t="shared" si="6"/>
        <v>0.96552199999999999</v>
      </c>
      <c r="J69" s="11">
        <f t="shared" si="7"/>
        <v>1.0043523665407696</v>
      </c>
    </row>
    <row r="70" spans="1:10">
      <c r="A70" s="76">
        <v>41</v>
      </c>
      <c r="B70" s="65">
        <v>35762</v>
      </c>
      <c r="C70" s="11">
        <v>5.4745000000000002E-2</v>
      </c>
      <c r="D70" s="11">
        <v>0.12299300000000001</v>
      </c>
      <c r="E70" s="11">
        <v>4.4587000000000002E-2</v>
      </c>
      <c r="F70" s="11">
        <v>4.3686745363094026E-3</v>
      </c>
      <c r="G70" s="11">
        <f t="shared" si="4"/>
        <v>1.054745</v>
      </c>
      <c r="H70" s="11">
        <f t="shared" si="5"/>
        <v>1.1229929999999999</v>
      </c>
      <c r="I70" s="11">
        <f t="shared" si="6"/>
        <v>1.0445869999999999</v>
      </c>
      <c r="J70" s="11">
        <f t="shared" si="7"/>
        <v>1.0043686745363094</v>
      </c>
    </row>
    <row r="71" spans="1:10">
      <c r="A71" s="76">
        <v>42</v>
      </c>
      <c r="B71" s="65">
        <v>35795</v>
      </c>
      <c r="C71" s="11">
        <v>-1.8685E-2</v>
      </c>
      <c r="D71" s="11">
        <v>8.0725000000000005E-2</v>
      </c>
      <c r="E71" s="11">
        <v>1.5731999999999999E-2</v>
      </c>
      <c r="F71" s="11">
        <v>4.2708066968597524E-3</v>
      </c>
      <c r="G71" s="11">
        <f t="shared" si="4"/>
        <v>0.98131500000000005</v>
      </c>
      <c r="H71" s="11">
        <f t="shared" si="5"/>
        <v>1.0807249999999999</v>
      </c>
      <c r="I71" s="11">
        <f t="shared" si="6"/>
        <v>1.0157320000000001</v>
      </c>
      <c r="J71" s="11">
        <f t="shared" si="7"/>
        <v>1.0042708066968598</v>
      </c>
    </row>
    <row r="72" spans="1:10">
      <c r="A72" s="76">
        <v>43</v>
      </c>
      <c r="B72" s="65">
        <v>35825</v>
      </c>
      <c r="C72" s="11">
        <v>-1.6070999999999998E-2</v>
      </c>
      <c r="D72" s="11">
        <v>7.6220000000000003E-3</v>
      </c>
      <c r="E72" s="11">
        <v>1.0149999999999999E-2</v>
      </c>
      <c r="F72" s="11">
        <v>4.3115907584712065E-3</v>
      </c>
      <c r="G72" s="11">
        <f t="shared" si="4"/>
        <v>0.98392900000000005</v>
      </c>
      <c r="H72" s="11">
        <f t="shared" si="5"/>
        <v>1.007622</v>
      </c>
      <c r="I72" s="11">
        <f t="shared" si="6"/>
        <v>1.0101500000000001</v>
      </c>
      <c r="J72" s="11">
        <f t="shared" si="7"/>
        <v>1.0043115907584712</v>
      </c>
    </row>
    <row r="73" spans="1:10">
      <c r="A73" s="76">
        <v>44</v>
      </c>
      <c r="B73" s="65">
        <v>35853</v>
      </c>
      <c r="C73" s="11">
        <v>-5.9891E-2</v>
      </c>
      <c r="D73" s="11">
        <v>4.1572999999999999E-2</v>
      </c>
      <c r="E73" s="11">
        <v>7.0448999999999998E-2</v>
      </c>
      <c r="F73" s="11">
        <v>4.2544907531789633E-3</v>
      </c>
      <c r="G73" s="11">
        <f t="shared" si="4"/>
        <v>0.94010899999999997</v>
      </c>
      <c r="H73" s="11">
        <f t="shared" si="5"/>
        <v>1.0415730000000001</v>
      </c>
      <c r="I73" s="11">
        <f t="shared" si="6"/>
        <v>1.070449</v>
      </c>
      <c r="J73" s="11">
        <f t="shared" si="7"/>
        <v>1.004254490753179</v>
      </c>
    </row>
    <row r="74" spans="1:10">
      <c r="A74" s="76">
        <v>45</v>
      </c>
      <c r="B74" s="65">
        <v>35885</v>
      </c>
      <c r="C74" s="11">
        <v>7.3745000000000005E-2</v>
      </c>
      <c r="D74" s="11">
        <v>0.1</v>
      </c>
      <c r="E74" s="11">
        <v>4.9945999999999997E-2</v>
      </c>
      <c r="F74" s="11">
        <v>4.1892137208978664E-3</v>
      </c>
      <c r="G74" s="11">
        <f t="shared" si="4"/>
        <v>1.0737449999999999</v>
      </c>
      <c r="H74" s="11">
        <f t="shared" si="5"/>
        <v>1.1000000000000001</v>
      </c>
      <c r="I74" s="11">
        <f t="shared" si="6"/>
        <v>1.049946</v>
      </c>
      <c r="J74" s="11">
        <f t="shared" si="7"/>
        <v>1.0041892137208979</v>
      </c>
    </row>
    <row r="75" spans="1:10">
      <c r="A75" s="76">
        <v>46</v>
      </c>
      <c r="B75" s="65">
        <v>35915</v>
      </c>
      <c r="C75" s="11">
        <v>-3.8251E-2</v>
      </c>
      <c r="D75" s="11">
        <v>-3.2086000000000003E-2</v>
      </c>
      <c r="E75" s="11">
        <v>9.0760000000000007E-3</v>
      </c>
      <c r="F75" s="11">
        <v>4.2381734839793683E-3</v>
      </c>
      <c r="G75" s="11">
        <f t="shared" si="4"/>
        <v>0.96174899999999997</v>
      </c>
      <c r="H75" s="11">
        <f t="shared" si="5"/>
        <v>0.96791399999999994</v>
      </c>
      <c r="I75" s="11">
        <f t="shared" si="6"/>
        <v>1.0090760000000001</v>
      </c>
      <c r="J75" s="11">
        <f t="shared" si="7"/>
        <v>1.0042381734839794</v>
      </c>
    </row>
    <row r="76" spans="1:10">
      <c r="A76" s="76">
        <v>47</v>
      </c>
      <c r="B76" s="65">
        <v>35944</v>
      </c>
      <c r="C76" s="11">
        <v>-1.5152000000000001E-2</v>
      </c>
      <c r="D76" s="11">
        <v>-4.2154999999999998E-2</v>
      </c>
      <c r="E76" s="11">
        <v>-1.8825999999999999E-2</v>
      </c>
      <c r="F76" s="11">
        <v>4.2218548890238239E-3</v>
      </c>
      <c r="G76" s="11">
        <f t="shared" si="4"/>
        <v>0.98484799999999995</v>
      </c>
      <c r="H76" s="11">
        <f t="shared" si="5"/>
        <v>0.95784500000000006</v>
      </c>
      <c r="I76" s="11">
        <f t="shared" si="6"/>
        <v>0.98117399999999999</v>
      </c>
      <c r="J76" s="11">
        <f t="shared" si="7"/>
        <v>1.0042218548890238</v>
      </c>
    </row>
    <row r="77" spans="1:10">
      <c r="A77" s="76">
        <v>48</v>
      </c>
      <c r="B77" s="65">
        <v>35976</v>
      </c>
      <c r="C77" s="11">
        <v>-3.0769000000000001E-2</v>
      </c>
      <c r="D77" s="11">
        <v>7.5911999999999993E-2</v>
      </c>
      <c r="E77" s="11">
        <v>3.9438000000000001E-2</v>
      </c>
      <c r="F77" s="11">
        <v>4.1973745102803495E-3</v>
      </c>
      <c r="G77" s="11">
        <f t="shared" si="4"/>
        <v>0.96923099999999995</v>
      </c>
      <c r="H77" s="11">
        <f t="shared" si="5"/>
        <v>1.075912</v>
      </c>
      <c r="I77" s="11">
        <f t="shared" si="6"/>
        <v>1.0394380000000001</v>
      </c>
      <c r="J77" s="11">
        <f t="shared" si="7"/>
        <v>1.0041973745102803</v>
      </c>
    </row>
    <row r="78" spans="1:10">
      <c r="A78" s="76">
        <v>49</v>
      </c>
      <c r="B78" s="65">
        <v>36007</v>
      </c>
      <c r="C78" s="11">
        <v>-2.0160999999999998E-2</v>
      </c>
      <c r="D78" s="11">
        <v>-8.1410999999999997E-2</v>
      </c>
      <c r="E78" s="11">
        <v>-1.1615E-2</v>
      </c>
      <c r="F78" s="11">
        <v>4.1565672469039416E-3</v>
      </c>
      <c r="G78" s="11">
        <f t="shared" si="4"/>
        <v>0.97983900000000002</v>
      </c>
      <c r="H78" s="11">
        <f t="shared" si="5"/>
        <v>0.91858899999999999</v>
      </c>
      <c r="I78" s="11">
        <f t="shared" si="6"/>
        <v>0.98838499999999996</v>
      </c>
      <c r="J78" s="11">
        <f t="shared" si="7"/>
        <v>1.0041565672469039</v>
      </c>
    </row>
    <row r="79" spans="1:10">
      <c r="A79" s="76">
        <v>50</v>
      </c>
      <c r="B79" s="65">
        <v>36038</v>
      </c>
      <c r="C79" s="11">
        <v>-6.3785999999999995E-2</v>
      </c>
      <c r="D79" s="11">
        <v>0.130694</v>
      </c>
      <c r="E79" s="11">
        <v>-0.14579700000000001</v>
      </c>
      <c r="F79" s="11">
        <v>3.9115493756787245E-3</v>
      </c>
      <c r="G79" s="11">
        <f t="shared" si="4"/>
        <v>0.93621399999999999</v>
      </c>
      <c r="H79" s="11">
        <f t="shared" si="5"/>
        <v>1.1306940000000001</v>
      </c>
      <c r="I79" s="11">
        <f t="shared" si="6"/>
        <v>0.85420300000000005</v>
      </c>
      <c r="J79" s="11">
        <f t="shared" si="7"/>
        <v>1.0039115493756787</v>
      </c>
    </row>
    <row r="80" spans="1:10">
      <c r="A80" s="76">
        <v>51</v>
      </c>
      <c r="B80" s="65">
        <v>36068</v>
      </c>
      <c r="C80" s="11">
        <v>0.107692</v>
      </c>
      <c r="D80" s="11">
        <v>9.9074999999999996E-2</v>
      </c>
      <c r="E80" s="11">
        <v>6.2396E-2</v>
      </c>
      <c r="F80" s="11">
        <v>3.3632607275555504E-3</v>
      </c>
      <c r="G80" s="11">
        <f t="shared" si="4"/>
        <v>1.1076919999999999</v>
      </c>
      <c r="H80" s="11">
        <f t="shared" si="5"/>
        <v>1.099075</v>
      </c>
      <c r="I80" s="11">
        <f t="shared" si="6"/>
        <v>1.0623959999999999</v>
      </c>
      <c r="J80" s="11">
        <f t="shared" si="7"/>
        <v>1.0033632607275556</v>
      </c>
    </row>
    <row r="81" spans="1:10">
      <c r="A81" s="76">
        <v>52</v>
      </c>
      <c r="B81" s="65">
        <v>36098</v>
      </c>
      <c r="C81" s="11">
        <v>1.2097E-2</v>
      </c>
      <c r="D81" s="11">
        <v>-3.6058E-2</v>
      </c>
      <c r="E81" s="11">
        <v>8.0294000000000004E-2</v>
      </c>
      <c r="F81" s="11">
        <v>3.7398587917578663E-3</v>
      </c>
      <c r="G81" s="11">
        <f t="shared" si="4"/>
        <v>1.012097</v>
      </c>
      <c r="H81" s="11">
        <f t="shared" si="5"/>
        <v>0.96394199999999997</v>
      </c>
      <c r="I81" s="11">
        <f t="shared" si="6"/>
        <v>1.0802940000000001</v>
      </c>
      <c r="J81" s="11">
        <f t="shared" si="7"/>
        <v>1.0037398587917579</v>
      </c>
    </row>
    <row r="82" spans="1:10">
      <c r="A82" s="76">
        <v>53</v>
      </c>
      <c r="B82" s="65">
        <v>36129</v>
      </c>
      <c r="C82" s="11">
        <v>-1.3944E-2</v>
      </c>
      <c r="D82" s="11">
        <v>2.4289000000000002E-2</v>
      </c>
      <c r="E82" s="11">
        <v>5.9125999999999998E-2</v>
      </c>
      <c r="F82" s="11">
        <v>3.7153195748071965E-3</v>
      </c>
      <c r="G82" s="11">
        <f t="shared" si="4"/>
        <v>0.98605600000000004</v>
      </c>
      <c r="H82" s="11">
        <f t="shared" si="5"/>
        <v>1.024289</v>
      </c>
      <c r="I82" s="11">
        <f t="shared" si="6"/>
        <v>1.059126</v>
      </c>
      <c r="J82" s="11">
        <f t="shared" si="7"/>
        <v>1.0037153195748072</v>
      </c>
    </row>
    <row r="83" spans="1:10">
      <c r="A83" s="76">
        <v>54</v>
      </c>
      <c r="B83" s="65">
        <v>36160</v>
      </c>
      <c r="C83" s="11">
        <v>-2.2221999999999999E-2</v>
      </c>
      <c r="D83" s="11">
        <v>4.0590000000000001E-2</v>
      </c>
      <c r="E83" s="11">
        <v>5.6375000000000001E-2</v>
      </c>
      <c r="F83" s="11">
        <v>3.6744142126294843E-3</v>
      </c>
      <c r="G83" s="11">
        <f t="shared" si="4"/>
        <v>0.97777800000000004</v>
      </c>
      <c r="H83" s="11">
        <f t="shared" si="5"/>
        <v>1.0405899999999999</v>
      </c>
      <c r="I83" s="11">
        <f t="shared" si="6"/>
        <v>1.0563750000000001</v>
      </c>
      <c r="J83" s="11">
        <f t="shared" si="7"/>
        <v>1.0036744142126295</v>
      </c>
    </row>
    <row r="84" spans="1:10">
      <c r="A84" s="76">
        <v>55</v>
      </c>
      <c r="B84" s="65">
        <v>36189</v>
      </c>
      <c r="C84" s="11">
        <v>-3.7815000000000001E-2</v>
      </c>
      <c r="D84" s="11">
        <v>-6.5012E-2</v>
      </c>
      <c r="E84" s="11">
        <v>4.1008999999999997E-2</v>
      </c>
      <c r="F84" s="11">
        <v>3.7643950094277123E-3</v>
      </c>
      <c r="G84" s="11">
        <f t="shared" si="4"/>
        <v>0.96218499999999996</v>
      </c>
      <c r="H84" s="11">
        <f t="shared" si="5"/>
        <v>0.93498800000000004</v>
      </c>
      <c r="I84" s="11">
        <f t="shared" si="6"/>
        <v>1.0410090000000001</v>
      </c>
      <c r="J84" s="11">
        <f t="shared" si="7"/>
        <v>1.0037643950094277</v>
      </c>
    </row>
    <row r="85" spans="1:10">
      <c r="A85" s="76">
        <v>56</v>
      </c>
      <c r="B85" s="65">
        <v>36217</v>
      </c>
      <c r="C85" s="11">
        <v>-1.3100000000000001E-2</v>
      </c>
      <c r="D85" s="11">
        <v>-4.3540000000000002E-2</v>
      </c>
      <c r="E85" s="11">
        <v>-3.2282999999999999E-2</v>
      </c>
      <c r="F85" s="11">
        <v>3.7725730822832926E-3</v>
      </c>
      <c r="G85" s="11">
        <f t="shared" si="4"/>
        <v>0.9869</v>
      </c>
      <c r="H85" s="11">
        <f t="shared" si="5"/>
        <v>0.95645999999999998</v>
      </c>
      <c r="I85" s="11">
        <f t="shared" si="6"/>
        <v>0.96771700000000005</v>
      </c>
      <c r="J85" s="11">
        <f t="shared" si="7"/>
        <v>1.0037725730822833</v>
      </c>
    </row>
    <row r="86" spans="1:10">
      <c r="A86" s="76">
        <v>57</v>
      </c>
      <c r="B86" s="65">
        <v>36250</v>
      </c>
      <c r="C86" s="11">
        <v>-5.7521999999999997E-2</v>
      </c>
      <c r="D86" s="11">
        <v>-3.0748999999999999E-2</v>
      </c>
      <c r="E86" s="11">
        <v>3.8794000000000002E-2</v>
      </c>
      <c r="F86" s="11">
        <v>3.6416839202007001E-3</v>
      </c>
      <c r="G86" s="11">
        <f t="shared" si="4"/>
        <v>0.94247800000000004</v>
      </c>
      <c r="H86" s="11">
        <f t="shared" si="5"/>
        <v>0.96925099999999997</v>
      </c>
      <c r="I86" s="11">
        <f t="shared" si="6"/>
        <v>1.038794</v>
      </c>
      <c r="J86" s="11">
        <f t="shared" si="7"/>
        <v>1.0036416839202007</v>
      </c>
    </row>
    <row r="87" spans="1:10">
      <c r="A87" s="76">
        <v>58</v>
      </c>
      <c r="B87" s="65">
        <v>36280</v>
      </c>
      <c r="C87" s="11">
        <v>0.20813400000000001</v>
      </c>
      <c r="D87" s="11">
        <v>2.7590000000000002E-3</v>
      </c>
      <c r="E87" s="11">
        <v>3.7943999999999999E-2</v>
      </c>
      <c r="F87" s="11">
        <v>3.8216345246488981E-3</v>
      </c>
      <c r="G87" s="11">
        <f t="shared" si="4"/>
        <v>1.208134</v>
      </c>
      <c r="H87" s="11">
        <f t="shared" si="5"/>
        <v>1.002759</v>
      </c>
      <c r="I87" s="11">
        <f t="shared" si="6"/>
        <v>1.037944</v>
      </c>
      <c r="J87" s="11">
        <f t="shared" si="7"/>
        <v>1.0038216345246489</v>
      </c>
    </row>
    <row r="88" spans="1:10">
      <c r="A88" s="76">
        <v>59</v>
      </c>
      <c r="B88" s="65">
        <v>36308</v>
      </c>
      <c r="C88" s="11">
        <v>1.7822000000000001E-2</v>
      </c>
      <c r="D88" s="11">
        <v>8.0549999999999997E-2</v>
      </c>
      <c r="E88" s="11">
        <v>-2.4969999999999999E-2</v>
      </c>
      <c r="F88" s="11">
        <v>3.8952042157516242E-3</v>
      </c>
      <c r="G88" s="11">
        <f t="shared" si="4"/>
        <v>1.017822</v>
      </c>
      <c r="H88" s="11">
        <f t="shared" si="5"/>
        <v>1.0805499999999999</v>
      </c>
      <c r="I88" s="11">
        <f t="shared" si="6"/>
        <v>0.97502999999999995</v>
      </c>
      <c r="J88" s="11">
        <f t="shared" si="7"/>
        <v>1.0038952042157516</v>
      </c>
    </row>
    <row r="89" spans="1:10">
      <c r="A89" s="76">
        <v>60</v>
      </c>
      <c r="B89" s="65">
        <v>36341</v>
      </c>
      <c r="C89" s="11">
        <v>0.118288</v>
      </c>
      <c r="D89" s="11">
        <v>-6.8210999999999994E-2</v>
      </c>
      <c r="E89" s="11">
        <v>5.4438E-2</v>
      </c>
      <c r="F89" s="11">
        <v>3.8706839806363913E-3</v>
      </c>
      <c r="G89" s="11">
        <f t="shared" si="4"/>
        <v>1.1182879999999999</v>
      </c>
      <c r="H89" s="11">
        <f t="shared" si="5"/>
        <v>0.93178899999999998</v>
      </c>
      <c r="I89" s="11">
        <f t="shared" si="6"/>
        <v>1.054438</v>
      </c>
      <c r="J89" s="11">
        <f t="shared" si="7"/>
        <v>1.0038706839806364</v>
      </c>
    </row>
    <row r="90" spans="1:10">
      <c r="A90" s="76">
        <v>61</v>
      </c>
      <c r="B90" s="65">
        <v>36371</v>
      </c>
      <c r="C90" s="11">
        <v>-4.5935999999999998E-2</v>
      </c>
      <c r="D90" s="11">
        <v>-3.8674E-2</v>
      </c>
      <c r="E90" s="11">
        <v>-3.2045999999999998E-2</v>
      </c>
      <c r="F90" s="11">
        <v>4.0177604947122525E-3</v>
      </c>
      <c r="G90" s="11">
        <f t="shared" si="4"/>
        <v>0.95406400000000002</v>
      </c>
      <c r="H90" s="11">
        <f t="shared" si="5"/>
        <v>0.96132600000000001</v>
      </c>
      <c r="I90" s="11">
        <f t="shared" si="6"/>
        <v>0.96795399999999998</v>
      </c>
      <c r="J90" s="11">
        <f t="shared" si="7"/>
        <v>1.0040177604947123</v>
      </c>
    </row>
    <row r="91" spans="1:10">
      <c r="A91" s="76">
        <v>62</v>
      </c>
      <c r="B91" s="65">
        <v>36403</v>
      </c>
      <c r="C91" s="11">
        <v>2.5926000000000001E-2</v>
      </c>
      <c r="D91" s="11">
        <v>2.3793000000000002E-2</v>
      </c>
      <c r="E91" s="11">
        <v>-6.254E-3</v>
      </c>
      <c r="F91" s="11">
        <v>3.9769167126881833E-3</v>
      </c>
      <c r="G91" s="11">
        <f t="shared" si="4"/>
        <v>1.0259259999999999</v>
      </c>
      <c r="H91" s="11">
        <f t="shared" si="5"/>
        <v>1.023793</v>
      </c>
      <c r="I91" s="11">
        <f t="shared" si="6"/>
        <v>0.99374600000000002</v>
      </c>
      <c r="J91" s="11">
        <f t="shared" si="7"/>
        <v>1.0039769167126882</v>
      </c>
    </row>
    <row r="92" spans="1:10">
      <c r="A92" s="76">
        <v>63</v>
      </c>
      <c r="B92" s="65">
        <v>36433</v>
      </c>
      <c r="C92" s="11">
        <v>2.4910000000000002E-2</v>
      </c>
      <c r="D92" s="11">
        <v>-5.6818E-2</v>
      </c>
      <c r="E92" s="11">
        <v>-2.8552000000000001E-2</v>
      </c>
      <c r="F92" s="11">
        <v>4.1402420196134937E-3</v>
      </c>
      <c r="G92" s="11">
        <f t="shared" si="4"/>
        <v>1.02491</v>
      </c>
      <c r="H92" s="11">
        <f t="shared" si="5"/>
        <v>0.94318199999999996</v>
      </c>
      <c r="I92" s="11">
        <f t="shared" si="6"/>
        <v>0.97144799999999998</v>
      </c>
      <c r="J92" s="11">
        <f t="shared" si="7"/>
        <v>1.0041402420196135</v>
      </c>
    </row>
    <row r="93" spans="1:10">
      <c r="A93" s="76">
        <v>64</v>
      </c>
      <c r="B93" s="65">
        <v>36462</v>
      </c>
      <c r="C93" s="11">
        <v>-6.7978999999999998E-2</v>
      </c>
      <c r="D93" s="11">
        <v>-7.9819000000000001E-2</v>
      </c>
      <c r="E93" s="11">
        <v>6.2538999999999997E-2</v>
      </c>
      <c r="F93" s="11">
        <v>4.3115907584712065E-3</v>
      </c>
      <c r="G93" s="11">
        <f t="shared" si="4"/>
        <v>0.93202099999999999</v>
      </c>
      <c r="H93" s="11">
        <f t="shared" si="5"/>
        <v>0.92018100000000003</v>
      </c>
      <c r="I93" s="11">
        <f t="shared" si="6"/>
        <v>1.0625389999999999</v>
      </c>
      <c r="J93" s="11">
        <f t="shared" si="7"/>
        <v>1.0043115907584712</v>
      </c>
    </row>
    <row r="94" spans="1:10">
      <c r="A94" s="76">
        <v>65</v>
      </c>
      <c r="B94" s="65">
        <v>36494</v>
      </c>
      <c r="C94" s="11">
        <v>-3.839E-3</v>
      </c>
      <c r="D94" s="11">
        <v>-8.2553000000000001E-2</v>
      </c>
      <c r="E94" s="11">
        <v>1.9061999999999999E-2</v>
      </c>
      <c r="F94" s="11">
        <v>4.4175905807017912E-3</v>
      </c>
      <c r="G94" s="11">
        <f t="shared" si="4"/>
        <v>0.99616099999999996</v>
      </c>
      <c r="H94" s="11">
        <f t="shared" si="5"/>
        <v>0.91744700000000001</v>
      </c>
      <c r="I94" s="11">
        <f t="shared" si="6"/>
        <v>1.0190619999999999</v>
      </c>
      <c r="J94" s="11">
        <f t="shared" si="7"/>
        <v>1.0044175905807018</v>
      </c>
    </row>
    <row r="95" spans="1:10">
      <c r="A95" s="76">
        <v>66</v>
      </c>
      <c r="B95" s="65">
        <v>36525</v>
      </c>
      <c r="C95" s="11">
        <v>6.5125000000000002E-2</v>
      </c>
      <c r="D95" s="11">
        <v>0</v>
      </c>
      <c r="E95" s="11">
        <v>5.7844E-2</v>
      </c>
      <c r="F95" s="11">
        <v>4.5316817182770031E-3</v>
      </c>
      <c r="G95" s="11">
        <f t="shared" ref="G95:I158" si="8">1+C95</f>
        <v>1.0651250000000001</v>
      </c>
      <c r="H95" s="11">
        <f t="shared" si="8"/>
        <v>1</v>
      </c>
      <c r="I95" s="11">
        <f t="shared" si="8"/>
        <v>1.057844</v>
      </c>
      <c r="J95" s="11">
        <f t="shared" ref="J95:J158" si="9">1+F95</f>
        <v>1.004531681718277</v>
      </c>
    </row>
    <row r="96" spans="1:10">
      <c r="A96" s="76">
        <v>67</v>
      </c>
      <c r="B96" s="65">
        <v>36556</v>
      </c>
      <c r="C96" s="11">
        <v>0</v>
      </c>
      <c r="D96" s="11">
        <v>-5.2535999999999999E-2</v>
      </c>
      <c r="E96" s="11">
        <v>-5.0903999999999998E-2</v>
      </c>
      <c r="F96" s="11">
        <v>4.718976621480353E-3</v>
      </c>
      <c r="G96" s="11">
        <f t="shared" si="8"/>
        <v>1</v>
      </c>
      <c r="H96" s="11">
        <f t="shared" si="8"/>
        <v>0.94746399999999997</v>
      </c>
      <c r="I96" s="11">
        <f t="shared" si="8"/>
        <v>0.94909600000000005</v>
      </c>
      <c r="J96" s="11">
        <f t="shared" si="9"/>
        <v>1.0047189766214804</v>
      </c>
    </row>
    <row r="97" spans="1:10">
      <c r="A97" s="76">
        <v>68</v>
      </c>
      <c r="B97" s="65">
        <v>36585</v>
      </c>
      <c r="C97" s="11">
        <v>3.6764999999999999E-2</v>
      </c>
      <c r="D97" s="11">
        <v>-0.14011499999999999</v>
      </c>
      <c r="E97" s="11">
        <v>-2.0108000000000001E-2</v>
      </c>
      <c r="F97" s="11">
        <v>4.8247617856966851E-3</v>
      </c>
      <c r="G97" s="11">
        <f t="shared" si="8"/>
        <v>1.0367649999999999</v>
      </c>
      <c r="H97" s="11">
        <f t="shared" si="8"/>
        <v>0.85988500000000001</v>
      </c>
      <c r="I97" s="11">
        <f t="shared" si="8"/>
        <v>0.97989199999999999</v>
      </c>
      <c r="J97" s="11">
        <f t="shared" si="9"/>
        <v>1.0048247617856967</v>
      </c>
    </row>
    <row r="98" spans="1:10">
      <c r="A98" s="76">
        <v>69</v>
      </c>
      <c r="B98" s="65">
        <v>36616</v>
      </c>
      <c r="C98" s="11">
        <v>3.6879000000000002E-2</v>
      </c>
      <c r="D98" s="11">
        <v>5.6689000000000003E-2</v>
      </c>
      <c r="E98" s="11">
        <v>9.672E-2</v>
      </c>
      <c r="F98" s="11">
        <v>4.7922184350948083E-3</v>
      </c>
      <c r="G98" s="11">
        <f t="shared" si="8"/>
        <v>1.0368790000000001</v>
      </c>
      <c r="H98" s="11">
        <f t="shared" si="8"/>
        <v>1.056689</v>
      </c>
      <c r="I98" s="11">
        <f t="shared" si="8"/>
        <v>1.0967199999999999</v>
      </c>
      <c r="J98" s="11">
        <f t="shared" si="9"/>
        <v>1.0047922184350948</v>
      </c>
    </row>
    <row r="99" spans="1:10">
      <c r="A99" s="76">
        <v>70</v>
      </c>
      <c r="B99" s="65">
        <v>36644</v>
      </c>
      <c r="C99" s="11">
        <v>7.2916999999999996E-2</v>
      </c>
      <c r="D99" s="11">
        <v>0.20815500000000001</v>
      </c>
      <c r="E99" s="11">
        <v>-3.0796E-2</v>
      </c>
      <c r="F99" s="11">
        <v>4.9304912953631597E-3</v>
      </c>
      <c r="G99" s="11">
        <f t="shared" si="8"/>
        <v>1.0729169999999999</v>
      </c>
      <c r="H99" s="11">
        <f t="shared" si="8"/>
        <v>1.2081550000000001</v>
      </c>
      <c r="I99" s="11">
        <f t="shared" si="8"/>
        <v>0.96920399999999995</v>
      </c>
      <c r="J99" s="11">
        <f t="shared" si="9"/>
        <v>1.0049304912953632</v>
      </c>
    </row>
    <row r="100" spans="1:10">
      <c r="A100" s="76">
        <v>71</v>
      </c>
      <c r="B100" s="65">
        <v>36677</v>
      </c>
      <c r="C100" s="11">
        <v>3.0744E-2</v>
      </c>
      <c r="D100" s="11">
        <v>-5.7335999999999998E-2</v>
      </c>
      <c r="E100" s="11">
        <v>-2.1915E-2</v>
      </c>
      <c r="F100" s="11">
        <v>4.8247617856966851E-3</v>
      </c>
      <c r="G100" s="11">
        <f t="shared" si="8"/>
        <v>1.0307440000000001</v>
      </c>
      <c r="H100" s="11">
        <f t="shared" si="8"/>
        <v>0.94266399999999995</v>
      </c>
      <c r="I100" s="11">
        <f t="shared" si="8"/>
        <v>0.97808499999999998</v>
      </c>
      <c r="J100" s="11">
        <f t="shared" si="9"/>
        <v>1.0048247617856967</v>
      </c>
    </row>
    <row r="101" spans="1:10">
      <c r="A101" s="76">
        <v>72</v>
      </c>
      <c r="B101" s="65">
        <v>36707</v>
      </c>
      <c r="C101" s="11">
        <v>7.0266999999999996E-2</v>
      </c>
      <c r="D101" s="11">
        <v>-9.1953999999999994E-2</v>
      </c>
      <c r="E101" s="11">
        <v>2.3934E-2</v>
      </c>
      <c r="F101" s="11">
        <v>5.0524178109889739E-3</v>
      </c>
      <c r="G101" s="11">
        <f t="shared" si="8"/>
        <v>1.0702670000000001</v>
      </c>
      <c r="H101" s="11">
        <f t="shared" si="8"/>
        <v>0.90804600000000002</v>
      </c>
      <c r="I101" s="11">
        <f t="shared" si="8"/>
        <v>1.0239339999999999</v>
      </c>
      <c r="J101" s="11">
        <f t="shared" si="9"/>
        <v>1.005052417810989</v>
      </c>
    </row>
    <row r="102" spans="1:10">
      <c r="A102" s="76">
        <v>73</v>
      </c>
      <c r="B102" s="65">
        <v>36738</v>
      </c>
      <c r="C102" s="11">
        <v>0.17261899999999999</v>
      </c>
      <c r="D102" s="11">
        <v>2.3206999999999998E-2</v>
      </c>
      <c r="E102" s="11">
        <v>-1.6341000000000001E-2</v>
      </c>
      <c r="F102" s="11">
        <v>5.1661492053167724E-3</v>
      </c>
      <c r="G102" s="11">
        <f t="shared" si="8"/>
        <v>1.1726190000000001</v>
      </c>
      <c r="H102" s="11">
        <f t="shared" si="8"/>
        <v>1.023207</v>
      </c>
      <c r="I102" s="11">
        <f t="shared" si="8"/>
        <v>0.98365899999999995</v>
      </c>
      <c r="J102" s="11">
        <f t="shared" si="9"/>
        <v>1.0051661492053168</v>
      </c>
    </row>
    <row r="103" spans="1:10">
      <c r="A103" s="76">
        <v>74</v>
      </c>
      <c r="B103" s="65">
        <v>36769</v>
      </c>
      <c r="C103" s="11">
        <v>-1.2689999999999999E-3</v>
      </c>
      <c r="D103" s="11">
        <v>5.0969E-2</v>
      </c>
      <c r="E103" s="11">
        <v>6.0699000000000003E-2</v>
      </c>
      <c r="F103" s="11">
        <v>5.0849190615225304E-3</v>
      </c>
      <c r="G103" s="11">
        <f t="shared" si="8"/>
        <v>0.99873100000000004</v>
      </c>
      <c r="H103" s="11">
        <f t="shared" si="8"/>
        <v>1.050969</v>
      </c>
      <c r="I103" s="11">
        <f t="shared" si="8"/>
        <v>1.0606990000000001</v>
      </c>
      <c r="J103" s="11">
        <f t="shared" si="9"/>
        <v>1.0050849190615225</v>
      </c>
    </row>
    <row r="104" spans="1:10">
      <c r="A104" s="76">
        <v>75</v>
      </c>
      <c r="B104" s="65">
        <v>36798</v>
      </c>
      <c r="C104" s="11">
        <v>0.13819600000000001</v>
      </c>
      <c r="D104" s="11">
        <v>8.9819999999999997E-2</v>
      </c>
      <c r="E104" s="11">
        <v>-5.3483000000000003E-2</v>
      </c>
      <c r="F104" s="11">
        <v>5.174270414727733E-3</v>
      </c>
      <c r="G104" s="11">
        <f t="shared" si="8"/>
        <v>1.138196</v>
      </c>
      <c r="H104" s="11">
        <f t="shared" si="8"/>
        <v>1.08982</v>
      </c>
      <c r="I104" s="11">
        <f t="shared" si="8"/>
        <v>0.94651700000000005</v>
      </c>
      <c r="J104" s="11">
        <f t="shared" si="9"/>
        <v>1.0051742704147277</v>
      </c>
    </row>
    <row r="105" spans="1:10">
      <c r="A105" s="76">
        <v>76</v>
      </c>
      <c r="B105" s="65">
        <v>36830</v>
      </c>
      <c r="C105" s="11">
        <v>-6.0948000000000002E-2</v>
      </c>
      <c r="D105" s="11">
        <v>3.1136E-2</v>
      </c>
      <c r="E105" s="11">
        <v>-4.9490000000000003E-3</v>
      </c>
      <c r="F105" s="11">
        <v>5.2311096965727E-3</v>
      </c>
      <c r="G105" s="11">
        <f t="shared" si="8"/>
        <v>0.939052</v>
      </c>
      <c r="H105" s="11">
        <f t="shared" si="8"/>
        <v>1.0311360000000001</v>
      </c>
      <c r="I105" s="11">
        <f t="shared" si="8"/>
        <v>0.99505100000000002</v>
      </c>
      <c r="J105" s="11">
        <f t="shared" si="9"/>
        <v>1.0052311096965727</v>
      </c>
    </row>
    <row r="106" spans="1:10">
      <c r="A106" s="76">
        <v>77</v>
      </c>
      <c r="B106" s="65">
        <v>36860</v>
      </c>
      <c r="C106" s="11">
        <v>1.0817E-2</v>
      </c>
      <c r="D106" s="11">
        <v>7.4103000000000002E-2</v>
      </c>
      <c r="E106" s="11">
        <v>-8.0069000000000001E-2</v>
      </c>
      <c r="F106" s="11">
        <v>4.889832681570061E-3</v>
      </c>
      <c r="G106" s="11">
        <f t="shared" si="8"/>
        <v>1.0108170000000001</v>
      </c>
      <c r="H106" s="11">
        <f t="shared" si="8"/>
        <v>1.074103</v>
      </c>
      <c r="I106" s="11">
        <f t="shared" si="8"/>
        <v>0.91993100000000005</v>
      </c>
      <c r="J106" s="11">
        <f t="shared" si="9"/>
        <v>1.0048898326815701</v>
      </c>
    </row>
    <row r="107" spans="1:10">
      <c r="A107" s="76">
        <v>78</v>
      </c>
      <c r="B107" s="65">
        <v>36889</v>
      </c>
      <c r="C107" s="11">
        <v>5.3221999999999998E-2</v>
      </c>
      <c r="D107" s="11">
        <v>3.3556999999999997E-2</v>
      </c>
      <c r="E107" s="11">
        <v>4.0530000000000002E-3</v>
      </c>
      <c r="F107" s="11">
        <v>4.3605207040371408E-3</v>
      </c>
      <c r="G107" s="11">
        <f t="shared" si="8"/>
        <v>1.0532220000000001</v>
      </c>
      <c r="H107" s="11">
        <f t="shared" si="8"/>
        <v>1.0335570000000001</v>
      </c>
      <c r="I107" s="11">
        <f t="shared" si="8"/>
        <v>1.0040530000000001</v>
      </c>
      <c r="J107" s="11">
        <f t="shared" si="9"/>
        <v>1.0043605207040371</v>
      </c>
    </row>
    <row r="108" spans="1:10">
      <c r="A108" s="76">
        <v>79</v>
      </c>
      <c r="B108" s="65">
        <v>36922</v>
      </c>
      <c r="C108" s="11">
        <v>-5.4795000000000003E-2</v>
      </c>
      <c r="D108" s="11">
        <v>-9.2467999999999995E-2</v>
      </c>
      <c r="E108" s="11">
        <v>3.4637000000000001E-2</v>
      </c>
      <c r="F108" s="11">
        <v>4.132078908291037E-3</v>
      </c>
      <c r="G108" s="11">
        <f t="shared" si="8"/>
        <v>0.94520499999999996</v>
      </c>
      <c r="H108" s="11">
        <f t="shared" si="8"/>
        <v>0.90753200000000001</v>
      </c>
      <c r="I108" s="11">
        <f t="shared" si="8"/>
        <v>1.034637</v>
      </c>
      <c r="J108" s="11">
        <f t="shared" si="9"/>
        <v>1.004132078908291</v>
      </c>
    </row>
    <row r="109" spans="1:10">
      <c r="A109" s="76">
        <v>80</v>
      </c>
      <c r="B109" s="65">
        <v>36950</v>
      </c>
      <c r="C109" s="11">
        <v>-3.0918000000000001E-2</v>
      </c>
      <c r="D109" s="11">
        <v>7.0979E-2</v>
      </c>
      <c r="E109" s="11">
        <v>-9.2290999999999998E-2</v>
      </c>
      <c r="F109" s="11">
        <v>3.7480378641947532E-3</v>
      </c>
      <c r="G109" s="11">
        <f t="shared" si="8"/>
        <v>0.969082</v>
      </c>
      <c r="H109" s="11">
        <f t="shared" si="8"/>
        <v>1.0709789999999999</v>
      </c>
      <c r="I109" s="11">
        <f t="shared" si="8"/>
        <v>0.90770899999999999</v>
      </c>
      <c r="J109" s="11">
        <f t="shared" si="9"/>
        <v>1.0037480378641948</v>
      </c>
    </row>
    <row r="110" spans="1:10">
      <c r="A110" s="76">
        <v>81</v>
      </c>
      <c r="B110" s="65">
        <v>36980</v>
      </c>
      <c r="C110" s="11">
        <v>-2.7916E-2</v>
      </c>
      <c r="D110" s="11">
        <v>6.2379999999999996E-3</v>
      </c>
      <c r="E110" s="11">
        <v>-6.4204999999999998E-2</v>
      </c>
      <c r="F110" s="11">
        <v>3.2812979870655568E-3</v>
      </c>
      <c r="G110" s="11">
        <f t="shared" si="8"/>
        <v>0.97208399999999995</v>
      </c>
      <c r="H110" s="11">
        <f t="shared" si="8"/>
        <v>1.006238</v>
      </c>
      <c r="I110" s="11">
        <f t="shared" si="8"/>
        <v>0.93579500000000004</v>
      </c>
      <c r="J110" s="11">
        <f t="shared" si="9"/>
        <v>1.0032812979870656</v>
      </c>
    </row>
    <row r="111" spans="1:10">
      <c r="A111" s="76">
        <v>82</v>
      </c>
      <c r="B111" s="65">
        <v>37011</v>
      </c>
      <c r="C111" s="11">
        <v>-2.1852E-2</v>
      </c>
      <c r="D111" s="11">
        <v>8.3560000000000006E-3</v>
      </c>
      <c r="E111" s="11">
        <v>7.6813999999999993E-2</v>
      </c>
      <c r="F111" s="11">
        <v>3.0598312035203801E-3</v>
      </c>
      <c r="G111" s="11">
        <f t="shared" si="8"/>
        <v>0.97814800000000002</v>
      </c>
      <c r="H111" s="11">
        <f t="shared" si="8"/>
        <v>1.008356</v>
      </c>
      <c r="I111" s="11">
        <f t="shared" si="8"/>
        <v>1.0768139999999999</v>
      </c>
      <c r="J111" s="11">
        <f t="shared" si="9"/>
        <v>1.0030598312035204</v>
      </c>
    </row>
    <row r="112" spans="1:10">
      <c r="A112" s="76">
        <v>83</v>
      </c>
      <c r="B112" s="65">
        <v>37042</v>
      </c>
      <c r="C112" s="11">
        <v>0</v>
      </c>
      <c r="D112" s="11">
        <v>6.1213999999999998E-2</v>
      </c>
      <c r="E112" s="11">
        <v>5.0899999999999999E-3</v>
      </c>
      <c r="F112" s="11">
        <v>2.953111790845675E-3</v>
      </c>
      <c r="G112" s="11">
        <f t="shared" si="8"/>
        <v>1</v>
      </c>
      <c r="H112" s="11">
        <f t="shared" si="8"/>
        <v>1.0612140000000001</v>
      </c>
      <c r="I112" s="11">
        <f t="shared" si="8"/>
        <v>1.00509</v>
      </c>
      <c r="J112" s="11">
        <f t="shared" si="9"/>
        <v>1.0029531117908457</v>
      </c>
    </row>
    <row r="113" spans="1:10">
      <c r="A113" s="76">
        <v>84</v>
      </c>
      <c r="B113" s="65">
        <v>37071</v>
      </c>
      <c r="C113" s="11">
        <v>6.9149000000000002E-2</v>
      </c>
      <c r="D113" s="11">
        <v>1.6603E-2</v>
      </c>
      <c r="E113" s="11">
        <v>-2.5003999999999998E-2</v>
      </c>
      <c r="F113" s="11">
        <v>2.9695338579054376E-3</v>
      </c>
      <c r="G113" s="11">
        <f t="shared" si="8"/>
        <v>1.0691489999999999</v>
      </c>
      <c r="H113" s="11">
        <f t="shared" si="8"/>
        <v>1.0166029999999999</v>
      </c>
      <c r="I113" s="11">
        <f t="shared" si="8"/>
        <v>0.97499599999999997</v>
      </c>
      <c r="J113" s="11">
        <f t="shared" si="9"/>
        <v>1.0029695338579054</v>
      </c>
    </row>
    <row r="114" spans="1:10">
      <c r="A114" s="76">
        <v>85</v>
      </c>
      <c r="B114" s="65">
        <v>37103</v>
      </c>
      <c r="C114" s="11">
        <v>2.7244999999999998E-2</v>
      </c>
      <c r="D114" s="11">
        <v>-1.5070000000000001E-3</v>
      </c>
      <c r="E114" s="11">
        <v>-1.0772E-2</v>
      </c>
      <c r="F114" s="11">
        <v>2.8463355704506643E-3</v>
      </c>
      <c r="G114" s="11">
        <f t="shared" si="8"/>
        <v>1.027245</v>
      </c>
      <c r="H114" s="11">
        <f t="shared" si="8"/>
        <v>0.99849299999999996</v>
      </c>
      <c r="I114" s="11">
        <f t="shared" si="8"/>
        <v>0.989228</v>
      </c>
      <c r="J114" s="11">
        <f t="shared" si="9"/>
        <v>1.0028463355704507</v>
      </c>
    </row>
    <row r="115" spans="1:10">
      <c r="A115" s="76">
        <v>86</v>
      </c>
      <c r="B115" s="65">
        <v>37134</v>
      </c>
      <c r="C115" s="11">
        <v>2.3576E-2</v>
      </c>
      <c r="D115" s="11">
        <v>4.3029999999999999E-2</v>
      </c>
      <c r="E115" s="11">
        <v>-6.4107999999999998E-2</v>
      </c>
      <c r="F115" s="11">
        <v>2.2292062775393084E-3</v>
      </c>
      <c r="G115" s="11">
        <f t="shared" si="8"/>
        <v>1.023576</v>
      </c>
      <c r="H115" s="11">
        <f t="shared" si="8"/>
        <v>1.0430299999999999</v>
      </c>
      <c r="I115" s="11">
        <f t="shared" si="8"/>
        <v>0.93589199999999995</v>
      </c>
      <c r="J115" s="11">
        <f t="shared" si="9"/>
        <v>1.0022292062775393</v>
      </c>
    </row>
    <row r="116" spans="1:10">
      <c r="A116" s="76">
        <v>87</v>
      </c>
      <c r="B116" s="65">
        <v>37162</v>
      </c>
      <c r="C116" s="11">
        <v>-4.4145999999999998E-2</v>
      </c>
      <c r="D116" s="11">
        <v>-4.4010000000000004E-3</v>
      </c>
      <c r="E116" s="11">
        <v>-8.1723000000000004E-2</v>
      </c>
      <c r="F116" s="11">
        <v>1.8249866044590668E-3</v>
      </c>
      <c r="G116" s="11">
        <f t="shared" si="8"/>
        <v>0.95585399999999998</v>
      </c>
      <c r="H116" s="11">
        <f t="shared" si="8"/>
        <v>0.99559900000000001</v>
      </c>
      <c r="I116" s="11">
        <f t="shared" si="8"/>
        <v>0.91827700000000001</v>
      </c>
      <c r="J116" s="11">
        <f t="shared" si="9"/>
        <v>1.0018249866044591</v>
      </c>
    </row>
    <row r="117" spans="1:10">
      <c r="A117" s="76">
        <v>88</v>
      </c>
      <c r="B117" s="65">
        <v>37195</v>
      </c>
      <c r="C117" s="11">
        <v>-4.5824999999999998E-2</v>
      </c>
      <c r="D117" s="11">
        <v>-3.0206E-2</v>
      </c>
      <c r="E117" s="11">
        <v>1.8099000000000001E-2</v>
      </c>
      <c r="F117" s="11">
        <v>1.5853698745496025E-3</v>
      </c>
      <c r="G117" s="11">
        <f t="shared" si="8"/>
        <v>0.954175</v>
      </c>
      <c r="H117" s="11">
        <f t="shared" si="8"/>
        <v>0.96979400000000004</v>
      </c>
      <c r="I117" s="11">
        <f t="shared" si="8"/>
        <v>1.0180990000000001</v>
      </c>
      <c r="J117" s="11">
        <f t="shared" si="9"/>
        <v>1.0015853698745496</v>
      </c>
    </row>
    <row r="118" spans="1:10">
      <c r="A118" s="76">
        <v>89</v>
      </c>
      <c r="B118" s="65">
        <v>37225</v>
      </c>
      <c r="C118" s="11">
        <v>1.7715999999999999E-2</v>
      </c>
      <c r="D118" s="11">
        <v>-8.1030000000000008E-3</v>
      </c>
      <c r="E118" s="11">
        <v>7.5176000000000007E-2</v>
      </c>
      <c r="F118" s="11">
        <v>1.4282240519831735E-3</v>
      </c>
      <c r="G118" s="11">
        <f t="shared" si="8"/>
        <v>1.0177160000000001</v>
      </c>
      <c r="H118" s="11">
        <f t="shared" si="8"/>
        <v>0.99189700000000003</v>
      </c>
      <c r="I118" s="11">
        <f t="shared" si="8"/>
        <v>1.0751759999999999</v>
      </c>
      <c r="J118" s="11">
        <f t="shared" si="9"/>
        <v>1.0014282240519832</v>
      </c>
    </row>
    <row r="119" spans="1:10">
      <c r="A119" s="76">
        <v>90</v>
      </c>
      <c r="B119" s="65">
        <v>37256</v>
      </c>
      <c r="C119" s="11">
        <v>5.0965000000000003E-2</v>
      </c>
      <c r="D119" s="11">
        <v>4.5053999999999997E-2</v>
      </c>
      <c r="E119" s="11">
        <v>7.574E-3</v>
      </c>
      <c r="F119" s="11">
        <v>1.3951250046282393E-3</v>
      </c>
      <c r="G119" s="11">
        <f t="shared" si="8"/>
        <v>1.0509649999999999</v>
      </c>
      <c r="H119" s="11">
        <f t="shared" si="8"/>
        <v>1.0450539999999999</v>
      </c>
      <c r="I119" s="11">
        <f t="shared" si="8"/>
        <v>1.007574</v>
      </c>
      <c r="J119" s="11">
        <f t="shared" si="9"/>
        <v>1.0013951250046282</v>
      </c>
    </row>
    <row r="120" spans="1:10">
      <c r="A120" s="76">
        <v>91</v>
      </c>
      <c r="B120" s="65">
        <v>37287</v>
      </c>
      <c r="C120" s="11">
        <v>-6.2133000000000001E-2</v>
      </c>
      <c r="D120" s="11">
        <v>1.5610000000000001E-2</v>
      </c>
      <c r="E120" s="11">
        <v>-1.5573999999999999E-2</v>
      </c>
      <c r="F120" s="11">
        <v>1.4613176303193143E-3</v>
      </c>
      <c r="G120" s="11">
        <f t="shared" si="8"/>
        <v>0.93786700000000001</v>
      </c>
      <c r="H120" s="11">
        <f t="shared" si="8"/>
        <v>1.0156099999999999</v>
      </c>
      <c r="I120" s="11">
        <f t="shared" si="8"/>
        <v>0.98442600000000002</v>
      </c>
      <c r="J120" s="11">
        <f t="shared" si="9"/>
        <v>1.0014613176303193</v>
      </c>
    </row>
    <row r="121" spans="1:10">
      <c r="A121" s="76">
        <v>92</v>
      </c>
      <c r="B121" s="65">
        <v>37315</v>
      </c>
      <c r="C121" s="11">
        <v>2.2873999999999999E-2</v>
      </c>
      <c r="D121" s="11">
        <v>8.9049999999999997E-3</v>
      </c>
      <c r="E121" s="11">
        <v>-2.0766E-2</v>
      </c>
      <c r="F121" s="11">
        <v>1.5192182385594943E-3</v>
      </c>
      <c r="G121" s="11">
        <f t="shared" si="8"/>
        <v>1.0228740000000001</v>
      </c>
      <c r="H121" s="11">
        <f t="shared" si="8"/>
        <v>1.0089049999999999</v>
      </c>
      <c r="I121" s="11">
        <f t="shared" si="8"/>
        <v>0.97923400000000005</v>
      </c>
      <c r="J121" s="11">
        <f t="shared" si="9"/>
        <v>1.0015192182385595</v>
      </c>
    </row>
    <row r="122" spans="1:10">
      <c r="A122" s="76">
        <v>93</v>
      </c>
      <c r="B122" s="65">
        <v>37343</v>
      </c>
      <c r="C122" s="11">
        <v>0.117089</v>
      </c>
      <c r="D122" s="11">
        <v>2.7206000000000001E-2</v>
      </c>
      <c r="E122" s="11">
        <v>3.6739000000000001E-2</v>
      </c>
      <c r="F122" s="11">
        <v>1.4530447483469544E-3</v>
      </c>
      <c r="G122" s="11">
        <f t="shared" si="8"/>
        <v>1.117089</v>
      </c>
      <c r="H122" s="11">
        <f t="shared" si="8"/>
        <v>1.0272060000000001</v>
      </c>
      <c r="I122" s="11">
        <f t="shared" si="8"/>
        <v>1.0367390000000001</v>
      </c>
      <c r="J122" s="11">
        <f t="shared" si="9"/>
        <v>1.001453044748347</v>
      </c>
    </row>
    <row r="123" spans="1:10">
      <c r="A123" s="76">
        <v>94</v>
      </c>
      <c r="B123" s="65">
        <v>37376</v>
      </c>
      <c r="C123" s="11">
        <v>-3.4499999999999999E-3</v>
      </c>
      <c r="D123" s="11">
        <v>4.0085999999999997E-2</v>
      </c>
      <c r="E123" s="11">
        <v>-6.1418E-2</v>
      </c>
      <c r="F123" s="11">
        <v>1.4613176303193143E-3</v>
      </c>
      <c r="G123" s="11">
        <f t="shared" si="8"/>
        <v>0.99655000000000005</v>
      </c>
      <c r="H123" s="11">
        <f t="shared" si="8"/>
        <v>1.0400860000000001</v>
      </c>
      <c r="I123" s="11">
        <f t="shared" si="8"/>
        <v>0.93858200000000003</v>
      </c>
      <c r="J123" s="11">
        <f t="shared" si="9"/>
        <v>1.0014613176303193</v>
      </c>
    </row>
    <row r="124" spans="1:10">
      <c r="A124" s="76">
        <v>95</v>
      </c>
      <c r="B124" s="65">
        <v>37407</v>
      </c>
      <c r="C124" s="11">
        <v>4.8079999999999998E-3</v>
      </c>
      <c r="D124" s="11">
        <v>1.6861999999999999E-2</v>
      </c>
      <c r="E124" s="11">
        <v>-9.0810000000000005E-3</v>
      </c>
      <c r="F124" s="11">
        <v>1.4364979592100813E-3</v>
      </c>
      <c r="G124" s="11">
        <f t="shared" si="8"/>
        <v>1.0048079999999999</v>
      </c>
      <c r="H124" s="11">
        <f t="shared" si="8"/>
        <v>1.0168619999999999</v>
      </c>
      <c r="I124" s="11">
        <f t="shared" si="8"/>
        <v>0.99091899999999999</v>
      </c>
      <c r="J124" s="11">
        <f t="shared" si="9"/>
        <v>1.0014364979592101</v>
      </c>
    </row>
    <row r="125" spans="1:10">
      <c r="A125" s="76">
        <v>96</v>
      </c>
      <c r="B125" s="65">
        <v>37435</v>
      </c>
      <c r="C125" s="11">
        <v>6.1627000000000001E-2</v>
      </c>
      <c r="D125" s="11">
        <v>-4.6149999999999997E-2</v>
      </c>
      <c r="E125" s="11">
        <v>-7.2465000000000002E-2</v>
      </c>
      <c r="F125" s="11">
        <v>1.4199498029425772E-3</v>
      </c>
      <c r="G125" s="11">
        <f t="shared" si="8"/>
        <v>1.0616270000000001</v>
      </c>
      <c r="H125" s="11">
        <f t="shared" si="8"/>
        <v>0.95384999999999998</v>
      </c>
      <c r="I125" s="11">
        <f t="shared" si="8"/>
        <v>0.927535</v>
      </c>
      <c r="J125" s="11">
        <f t="shared" si="9"/>
        <v>1.0014199498029426</v>
      </c>
    </row>
    <row r="126" spans="1:10">
      <c r="A126" s="76">
        <v>97</v>
      </c>
      <c r="B126" s="65">
        <v>37468</v>
      </c>
      <c r="C126" s="11">
        <v>-6.7641999999999994E-2</v>
      </c>
      <c r="D126" s="11">
        <v>2.6346999999999999E-2</v>
      </c>
      <c r="E126" s="11">
        <v>-7.8994999999999996E-2</v>
      </c>
      <c r="F126" s="11">
        <v>1.3702971288724886E-3</v>
      </c>
      <c r="G126" s="11">
        <f t="shared" si="8"/>
        <v>0.93235800000000002</v>
      </c>
      <c r="H126" s="11">
        <f t="shared" si="8"/>
        <v>1.0263469999999999</v>
      </c>
      <c r="I126" s="11">
        <f t="shared" si="8"/>
        <v>0.92100499999999996</v>
      </c>
      <c r="J126" s="11">
        <f t="shared" si="9"/>
        <v>1.0013702971288725</v>
      </c>
    </row>
    <row r="127" spans="1:10">
      <c r="A127" s="76">
        <v>98</v>
      </c>
      <c r="B127" s="65">
        <v>37498</v>
      </c>
      <c r="C127" s="11">
        <v>3.5293999999999999E-2</v>
      </c>
      <c r="D127" s="11">
        <v>-3.7456000000000003E-2</v>
      </c>
      <c r="E127" s="11">
        <v>4.8809999999999999E-3</v>
      </c>
      <c r="F127" s="11">
        <v>1.3785734294475827E-3</v>
      </c>
      <c r="G127" s="11">
        <f t="shared" si="8"/>
        <v>1.0352939999999999</v>
      </c>
      <c r="H127" s="11">
        <f t="shared" si="8"/>
        <v>0.96254399999999996</v>
      </c>
      <c r="I127" s="11">
        <f t="shared" si="8"/>
        <v>1.0048809999999999</v>
      </c>
      <c r="J127" s="11">
        <f t="shared" si="9"/>
        <v>1.0013785734294476</v>
      </c>
    </row>
    <row r="128" spans="1:10">
      <c r="A128" s="76">
        <v>99</v>
      </c>
      <c r="B128" s="65">
        <v>37529</v>
      </c>
      <c r="C128" s="11">
        <v>-4.9052999999999999E-2</v>
      </c>
      <c r="D128" s="11">
        <v>-1.1551000000000001E-2</v>
      </c>
      <c r="E128" s="11">
        <v>-0.110013</v>
      </c>
      <c r="F128" s="11">
        <v>1.3371885059489941E-3</v>
      </c>
      <c r="G128" s="11">
        <f t="shared" si="8"/>
        <v>0.95094699999999999</v>
      </c>
      <c r="H128" s="11">
        <f t="shared" si="8"/>
        <v>0.98844900000000002</v>
      </c>
      <c r="I128" s="11">
        <f t="shared" si="8"/>
        <v>0.88998699999999997</v>
      </c>
      <c r="J128" s="11">
        <f t="shared" si="9"/>
        <v>1.001337188505949</v>
      </c>
    </row>
    <row r="129" spans="1:10">
      <c r="A129" s="76">
        <v>100</v>
      </c>
      <c r="B129" s="65">
        <v>37560</v>
      </c>
      <c r="C129" s="11">
        <v>-4.0049000000000001E-2</v>
      </c>
      <c r="D129" s="11">
        <v>5.8429000000000002E-2</v>
      </c>
      <c r="E129" s="11">
        <v>8.6435999999999999E-2</v>
      </c>
      <c r="F129" s="11">
        <v>1.0389643083117406E-3</v>
      </c>
      <c r="G129" s="11">
        <f t="shared" si="8"/>
        <v>0.959951</v>
      </c>
      <c r="H129" s="11">
        <f t="shared" si="8"/>
        <v>1.0584290000000001</v>
      </c>
      <c r="I129" s="11">
        <f t="shared" si="8"/>
        <v>1.086436</v>
      </c>
      <c r="J129" s="11">
        <f t="shared" si="9"/>
        <v>1.0010389643083117</v>
      </c>
    </row>
    <row r="130" spans="1:10">
      <c r="A130" s="76">
        <v>101</v>
      </c>
      <c r="B130" s="65">
        <v>37589</v>
      </c>
      <c r="C130" s="11">
        <v>7.4589000000000003E-2</v>
      </c>
      <c r="D130" s="11">
        <v>-5.3206000000000003E-2</v>
      </c>
      <c r="E130" s="11">
        <v>5.7070000000000003E-2</v>
      </c>
      <c r="F130" s="11">
        <v>1.0058008507165539E-3</v>
      </c>
      <c r="G130" s="11">
        <f t="shared" si="8"/>
        <v>1.074589</v>
      </c>
      <c r="H130" s="11">
        <f t="shared" si="8"/>
        <v>0.94679400000000002</v>
      </c>
      <c r="I130" s="11">
        <f t="shared" si="8"/>
        <v>1.05707</v>
      </c>
      <c r="J130" s="11">
        <f t="shared" si="9"/>
        <v>1.0010058008507166</v>
      </c>
    </row>
    <row r="131" spans="1:10">
      <c r="A131" s="76">
        <v>102</v>
      </c>
      <c r="B131" s="65">
        <v>37621</v>
      </c>
      <c r="C131" s="11">
        <v>1.2156999999999999E-2</v>
      </c>
      <c r="D131" s="11">
        <v>7.7232999999999996E-2</v>
      </c>
      <c r="E131" s="11">
        <v>-6.0332999999999998E-2</v>
      </c>
      <c r="F131" s="11">
        <v>9.8921706162169443E-4</v>
      </c>
      <c r="G131" s="11">
        <f t="shared" si="8"/>
        <v>1.012157</v>
      </c>
      <c r="H131" s="11">
        <f t="shared" si="8"/>
        <v>1.0772330000000001</v>
      </c>
      <c r="I131" s="11">
        <f t="shared" si="8"/>
        <v>0.93966700000000003</v>
      </c>
      <c r="J131" s="11">
        <f t="shared" si="9"/>
        <v>1.0009892170616217</v>
      </c>
    </row>
    <row r="132" spans="1:10">
      <c r="A132" s="76">
        <v>103</v>
      </c>
      <c r="B132" s="65">
        <v>37652</v>
      </c>
      <c r="C132" s="11">
        <v>-7.2760000000000003E-3</v>
      </c>
      <c r="D132" s="11">
        <v>-6.7724999999999994E-2</v>
      </c>
      <c r="E132" s="11">
        <v>-2.7414999999999998E-2</v>
      </c>
      <c r="F132" s="11">
        <v>9.8921706162169443E-4</v>
      </c>
      <c r="G132" s="11">
        <f t="shared" si="8"/>
        <v>0.99272400000000005</v>
      </c>
      <c r="H132" s="11">
        <f t="shared" si="8"/>
        <v>0.93227499999999996</v>
      </c>
      <c r="I132" s="11">
        <f t="shared" si="8"/>
        <v>0.97258500000000003</v>
      </c>
      <c r="J132" s="11">
        <f t="shared" si="9"/>
        <v>1.0009892170616217</v>
      </c>
    </row>
    <row r="133" spans="1:10">
      <c r="A133" s="76">
        <v>104</v>
      </c>
      <c r="B133" s="65">
        <v>37680</v>
      </c>
      <c r="C133" s="11">
        <v>9.3109999999999998E-3</v>
      </c>
      <c r="D133" s="11">
        <v>-9.018E-3</v>
      </c>
      <c r="E133" s="11">
        <v>-1.7003999999999998E-2</v>
      </c>
      <c r="F133" s="11">
        <v>9.5604536158644393E-4</v>
      </c>
      <c r="G133" s="11">
        <f t="shared" si="8"/>
        <v>1.0093110000000001</v>
      </c>
      <c r="H133" s="11">
        <f t="shared" si="8"/>
        <v>0.99098200000000003</v>
      </c>
      <c r="I133" s="11">
        <f t="shared" si="8"/>
        <v>0.98299599999999998</v>
      </c>
      <c r="J133" s="11">
        <f t="shared" si="9"/>
        <v>1.0009560453615864</v>
      </c>
    </row>
    <row r="134" spans="1:10">
      <c r="A134" s="76">
        <v>105</v>
      </c>
      <c r="B134" s="65">
        <v>37711</v>
      </c>
      <c r="C134" s="11">
        <v>4.0823999999999999E-2</v>
      </c>
      <c r="D134" s="11">
        <v>-1.359E-2</v>
      </c>
      <c r="E134" s="11">
        <v>8.3580000000000008E-3</v>
      </c>
      <c r="F134" s="11">
        <v>9.5604536158644393E-4</v>
      </c>
      <c r="G134" s="11">
        <f t="shared" si="8"/>
        <v>1.040824</v>
      </c>
      <c r="H134" s="11">
        <f t="shared" si="8"/>
        <v>0.98641000000000001</v>
      </c>
      <c r="I134" s="11">
        <f t="shared" si="8"/>
        <v>1.0083580000000001</v>
      </c>
      <c r="J134" s="11">
        <f t="shared" si="9"/>
        <v>1.0009560453615864</v>
      </c>
    </row>
    <row r="135" spans="1:10">
      <c r="A135" s="76">
        <v>106</v>
      </c>
      <c r="B135" s="65">
        <v>37741</v>
      </c>
      <c r="C135" s="11">
        <v>5.2056999999999999E-2</v>
      </c>
      <c r="D135" s="11">
        <v>1.0397999999999999E-2</v>
      </c>
      <c r="E135" s="11">
        <v>8.1044000000000005E-2</v>
      </c>
      <c r="F135" s="11">
        <v>9.0627750316119027E-4</v>
      </c>
      <c r="G135" s="11">
        <f t="shared" si="8"/>
        <v>1.052057</v>
      </c>
      <c r="H135" s="11">
        <f t="shared" si="8"/>
        <v>1.0103979999999999</v>
      </c>
      <c r="I135" s="11">
        <f t="shared" si="8"/>
        <v>1.0810439999999999</v>
      </c>
      <c r="J135" s="11">
        <f t="shared" si="9"/>
        <v>1.0009062775031612</v>
      </c>
    </row>
    <row r="136" spans="1:10">
      <c r="A136" s="76">
        <v>107</v>
      </c>
      <c r="B136" s="65">
        <v>37771</v>
      </c>
      <c r="C136" s="11">
        <v>3.6747000000000002E-2</v>
      </c>
      <c r="D136" s="11">
        <v>0.12040099999999999</v>
      </c>
      <c r="E136" s="11">
        <v>5.0899E-2</v>
      </c>
      <c r="F136" s="11">
        <v>7.8180369700842078E-4</v>
      </c>
      <c r="G136" s="11">
        <f t="shared" si="8"/>
        <v>1.0367470000000001</v>
      </c>
      <c r="H136" s="11">
        <f t="shared" si="8"/>
        <v>1.120401</v>
      </c>
      <c r="I136" s="11">
        <f t="shared" si="8"/>
        <v>1.050899</v>
      </c>
      <c r="J136" s="11">
        <f t="shared" si="9"/>
        <v>1.0007818036970084</v>
      </c>
    </row>
    <row r="137" spans="1:10">
      <c r="A137" s="76">
        <v>108</v>
      </c>
      <c r="B137" s="65">
        <v>37802</v>
      </c>
      <c r="C137" s="11">
        <v>1.8249000000000001E-2</v>
      </c>
      <c r="D137" s="11">
        <v>6.7460000000000003E-3</v>
      </c>
      <c r="E137" s="11">
        <v>1.1322E-2</v>
      </c>
      <c r="F137" s="11">
        <v>7.6520133958157821E-4</v>
      </c>
      <c r="G137" s="11">
        <f t="shared" si="8"/>
        <v>1.018249</v>
      </c>
      <c r="H137" s="11">
        <f t="shared" si="8"/>
        <v>1.0067459999999999</v>
      </c>
      <c r="I137" s="11">
        <f t="shared" si="8"/>
        <v>1.0113220000000001</v>
      </c>
      <c r="J137" s="11">
        <f t="shared" si="9"/>
        <v>1.0007652013395816</v>
      </c>
    </row>
    <row r="138" spans="1:10">
      <c r="A138" s="76">
        <v>109</v>
      </c>
      <c r="B138" s="65">
        <v>37833</v>
      </c>
      <c r="C138" s="11">
        <v>5.8514999999999998E-2</v>
      </c>
      <c r="D138" s="11">
        <v>-8.2486000000000004E-2</v>
      </c>
      <c r="E138" s="11">
        <v>1.6223999999999999E-2</v>
      </c>
      <c r="F138" s="11">
        <v>8.0670465135090907E-4</v>
      </c>
      <c r="G138" s="11">
        <f t="shared" si="8"/>
        <v>1.0585150000000001</v>
      </c>
      <c r="H138" s="11">
        <f t="shared" si="8"/>
        <v>0.91751399999999994</v>
      </c>
      <c r="I138" s="11">
        <f t="shared" si="8"/>
        <v>1.016224</v>
      </c>
      <c r="J138" s="11">
        <f t="shared" si="9"/>
        <v>1.0008067046513509</v>
      </c>
    </row>
    <row r="139" spans="1:10">
      <c r="A139" s="76">
        <v>110</v>
      </c>
      <c r="B139" s="65">
        <v>37862</v>
      </c>
      <c r="C139" s="11">
        <v>3.7129000000000002E-2</v>
      </c>
      <c r="D139" s="11">
        <v>9.5689999999999994E-3</v>
      </c>
      <c r="E139" s="11">
        <v>1.7873E-2</v>
      </c>
      <c r="F139" s="11">
        <v>7.984046774345277E-4</v>
      </c>
      <c r="G139" s="11">
        <f t="shared" si="8"/>
        <v>1.037129</v>
      </c>
      <c r="H139" s="11">
        <f t="shared" si="8"/>
        <v>1.0095689999999999</v>
      </c>
      <c r="I139" s="11">
        <f t="shared" si="8"/>
        <v>1.017873</v>
      </c>
      <c r="J139" s="11">
        <f t="shared" si="9"/>
        <v>1.0007984046774345</v>
      </c>
    </row>
    <row r="140" spans="1:10">
      <c r="A140" s="76">
        <v>111</v>
      </c>
      <c r="B140" s="65">
        <v>37894</v>
      </c>
      <c r="C140" s="11">
        <v>1.0182999999999999E-2</v>
      </c>
      <c r="D140" s="11">
        <v>3.1116000000000001E-2</v>
      </c>
      <c r="E140" s="11">
        <v>-1.1944E-2</v>
      </c>
      <c r="F140" s="11">
        <v>7.8180369700842078E-4</v>
      </c>
      <c r="G140" s="11">
        <f t="shared" si="8"/>
        <v>1.0101830000000001</v>
      </c>
      <c r="H140" s="11">
        <f t="shared" si="8"/>
        <v>1.0311159999999999</v>
      </c>
      <c r="I140" s="11">
        <f t="shared" si="8"/>
        <v>0.98805600000000005</v>
      </c>
      <c r="J140" s="11">
        <f t="shared" si="9"/>
        <v>1.0007818036970084</v>
      </c>
    </row>
    <row r="141" spans="1:10">
      <c r="A141" s="76">
        <v>112</v>
      </c>
      <c r="B141" s="65">
        <v>37925</v>
      </c>
      <c r="C141" s="11">
        <v>-4.5128000000000001E-2</v>
      </c>
      <c r="D141" s="11">
        <v>-7.1149999999999998E-3</v>
      </c>
      <c r="E141" s="11">
        <v>5.4961999999999997E-2</v>
      </c>
      <c r="F141" s="11">
        <v>7.9010435933080103E-4</v>
      </c>
      <c r="G141" s="11">
        <f t="shared" si="8"/>
        <v>0.95487199999999994</v>
      </c>
      <c r="H141" s="11">
        <f t="shared" si="8"/>
        <v>0.99288500000000002</v>
      </c>
      <c r="I141" s="11">
        <f t="shared" si="8"/>
        <v>1.054962</v>
      </c>
      <c r="J141" s="11">
        <f t="shared" si="9"/>
        <v>1.0007901043593308</v>
      </c>
    </row>
    <row r="142" spans="1:10">
      <c r="A142" s="76">
        <v>113</v>
      </c>
      <c r="B142" s="65">
        <v>37953</v>
      </c>
      <c r="C142" s="11">
        <v>6.7969000000000002E-2</v>
      </c>
      <c r="D142" s="11">
        <v>9.6369999999999997E-3</v>
      </c>
      <c r="E142" s="11">
        <v>7.1289999999999999E-3</v>
      </c>
      <c r="F142" s="11">
        <v>7.5689964441472135E-4</v>
      </c>
      <c r="G142" s="11">
        <f t="shared" si="8"/>
        <v>1.0679689999999999</v>
      </c>
      <c r="H142" s="11">
        <f t="shared" si="8"/>
        <v>1.0096369999999999</v>
      </c>
      <c r="I142" s="11">
        <f t="shared" si="8"/>
        <v>1.0071289999999999</v>
      </c>
      <c r="J142" s="11">
        <f t="shared" si="9"/>
        <v>1.0007568996444147</v>
      </c>
    </row>
    <row r="143" spans="1:10">
      <c r="A143" s="76">
        <v>114</v>
      </c>
      <c r="B143" s="65">
        <v>37986</v>
      </c>
      <c r="C143" s="11">
        <v>1.6419E-2</v>
      </c>
      <c r="D143" s="11">
        <v>6.7246E-2</v>
      </c>
      <c r="E143" s="11">
        <v>5.0764999999999998E-2</v>
      </c>
      <c r="F143" s="11">
        <v>7.4859760490331162E-4</v>
      </c>
      <c r="G143" s="11">
        <f t="shared" si="8"/>
        <v>1.016419</v>
      </c>
      <c r="H143" s="11">
        <f t="shared" si="8"/>
        <v>1.0672459999999999</v>
      </c>
      <c r="I143" s="11">
        <f t="shared" si="8"/>
        <v>1.0507649999999999</v>
      </c>
      <c r="J143" s="11">
        <f t="shared" si="9"/>
        <v>1.0007485976049033</v>
      </c>
    </row>
    <row r="144" spans="1:10">
      <c r="A144" s="76">
        <v>115</v>
      </c>
      <c r="B144" s="65">
        <v>38016</v>
      </c>
      <c r="C144" s="11">
        <v>-3.2232999999999998E-2</v>
      </c>
      <c r="D144" s="11">
        <v>1.9064999999999999E-2</v>
      </c>
      <c r="E144" s="11">
        <v>1.7276E-2</v>
      </c>
      <c r="F144" s="11">
        <v>7.8180369700842078E-4</v>
      </c>
      <c r="G144" s="11">
        <f t="shared" si="8"/>
        <v>0.96776700000000004</v>
      </c>
      <c r="H144" s="11">
        <f t="shared" si="8"/>
        <v>1.0190649999999999</v>
      </c>
      <c r="I144" s="11">
        <f t="shared" si="8"/>
        <v>1.0172760000000001</v>
      </c>
      <c r="J144" s="11">
        <f t="shared" si="9"/>
        <v>1.0007818036970084</v>
      </c>
    </row>
    <row r="145" spans="1:10">
      <c r="A145" s="76">
        <v>116</v>
      </c>
      <c r="B145" s="65">
        <v>38044</v>
      </c>
      <c r="C145" s="11">
        <v>1.3194000000000001E-2</v>
      </c>
      <c r="D145" s="11">
        <v>2.0648E-2</v>
      </c>
      <c r="E145" s="11">
        <v>1.2208999999999999E-2</v>
      </c>
      <c r="F145" s="11">
        <v>7.9010435933080103E-4</v>
      </c>
      <c r="G145" s="11">
        <f t="shared" si="8"/>
        <v>1.0131939999999999</v>
      </c>
      <c r="H145" s="11">
        <f t="shared" si="8"/>
        <v>1.020648</v>
      </c>
      <c r="I145" s="11">
        <f t="shared" si="8"/>
        <v>1.0122089999999999</v>
      </c>
      <c r="J145" s="11">
        <f t="shared" si="9"/>
        <v>1.0007901043593308</v>
      </c>
    </row>
    <row r="146" spans="1:10">
      <c r="A146" s="76">
        <v>117</v>
      </c>
      <c r="B146" s="65">
        <v>38077</v>
      </c>
      <c r="C146" s="11">
        <v>5.2724E-2</v>
      </c>
      <c r="D146" s="11">
        <v>-1.585E-3</v>
      </c>
      <c r="E146" s="11">
        <v>-1.6358999999999999E-2</v>
      </c>
      <c r="F146" s="11">
        <v>7.984046774345277E-4</v>
      </c>
      <c r="G146" s="11">
        <f t="shared" si="8"/>
        <v>1.052724</v>
      </c>
      <c r="H146" s="11">
        <f t="shared" si="8"/>
        <v>0.99841500000000005</v>
      </c>
      <c r="I146" s="11">
        <f t="shared" si="8"/>
        <v>0.98364099999999999</v>
      </c>
      <c r="J146" s="11">
        <f t="shared" si="9"/>
        <v>1.0007984046774345</v>
      </c>
    </row>
    <row r="147" spans="1:10">
      <c r="A147" s="76">
        <v>118</v>
      </c>
      <c r="B147" s="65">
        <v>38107</v>
      </c>
      <c r="C147" s="11">
        <v>-6.9466E-2</v>
      </c>
      <c r="D147" s="11">
        <v>-6.5532999999999994E-2</v>
      </c>
      <c r="E147" s="11">
        <v>-1.6791E-2</v>
      </c>
      <c r="F147" s="11">
        <v>8.6479483415757841E-4</v>
      </c>
      <c r="G147" s="11">
        <f t="shared" si="8"/>
        <v>0.93053399999999997</v>
      </c>
      <c r="H147" s="11">
        <f t="shared" si="8"/>
        <v>0.93446700000000005</v>
      </c>
      <c r="I147" s="11">
        <f t="shared" si="8"/>
        <v>0.983209</v>
      </c>
      <c r="J147" s="11">
        <f t="shared" si="9"/>
        <v>1.0008647948341576</v>
      </c>
    </row>
    <row r="148" spans="1:10">
      <c r="A148" s="76">
        <v>119</v>
      </c>
      <c r="B148" s="65">
        <v>38135</v>
      </c>
      <c r="C148" s="11">
        <v>7.5471999999999997E-2</v>
      </c>
      <c r="D148" s="11">
        <v>-3.3607999999999999E-2</v>
      </c>
      <c r="E148" s="11">
        <v>1.2083E-2</v>
      </c>
      <c r="F148" s="11">
        <v>1.0721222734495495E-3</v>
      </c>
      <c r="G148" s="11">
        <f t="shared" si="8"/>
        <v>1.075472</v>
      </c>
      <c r="H148" s="11">
        <f t="shared" si="8"/>
        <v>0.96639200000000003</v>
      </c>
      <c r="I148" s="11">
        <f t="shared" si="8"/>
        <v>1.0120830000000001</v>
      </c>
      <c r="J148" s="11">
        <f t="shared" si="9"/>
        <v>1.0010721222734495</v>
      </c>
    </row>
    <row r="149" spans="1:10">
      <c r="A149" s="76">
        <v>120</v>
      </c>
      <c r="B149" s="65">
        <v>38168</v>
      </c>
      <c r="C149" s="11">
        <v>5.4767000000000003E-2</v>
      </c>
      <c r="D149" s="11">
        <v>1.2736000000000001E-2</v>
      </c>
      <c r="E149" s="11">
        <v>1.7989000000000002E-2</v>
      </c>
      <c r="F149" s="11">
        <v>1.1301355022326209E-3</v>
      </c>
      <c r="G149" s="11">
        <f t="shared" si="8"/>
        <v>1.054767</v>
      </c>
      <c r="H149" s="11">
        <f t="shared" si="8"/>
        <v>1.0127360000000001</v>
      </c>
      <c r="I149" s="11">
        <f t="shared" si="8"/>
        <v>1.017989</v>
      </c>
      <c r="J149" s="11">
        <f t="shared" si="9"/>
        <v>1.0011301355022326</v>
      </c>
    </row>
    <row r="150" spans="1:10">
      <c r="A150" s="76">
        <v>121</v>
      </c>
      <c r="B150" s="65">
        <v>38198</v>
      </c>
      <c r="C150" s="11">
        <v>-3.5845000000000002E-2</v>
      </c>
      <c r="D150" s="11">
        <v>3.0433000000000002E-2</v>
      </c>
      <c r="E150" s="11">
        <v>-3.4291000000000002E-2</v>
      </c>
      <c r="F150" s="11">
        <v>1.2461115590762795E-3</v>
      </c>
      <c r="G150" s="11">
        <f t="shared" si="8"/>
        <v>0.96415499999999998</v>
      </c>
      <c r="H150" s="11">
        <f t="shared" si="8"/>
        <v>1.0304329999999999</v>
      </c>
      <c r="I150" s="11">
        <f t="shared" si="8"/>
        <v>0.96570900000000004</v>
      </c>
      <c r="J150" s="11">
        <f t="shared" si="9"/>
        <v>1.0012461115590763</v>
      </c>
    </row>
    <row r="151" spans="1:10">
      <c r="A151" s="76">
        <v>122</v>
      </c>
      <c r="B151" s="65">
        <v>38230</v>
      </c>
      <c r="C151" s="11">
        <v>0.11912</v>
      </c>
      <c r="D151" s="11">
        <v>4.3812999999999998E-2</v>
      </c>
      <c r="E151" s="11">
        <v>2.287E-3</v>
      </c>
      <c r="F151" s="11">
        <v>1.3951250046282393E-3</v>
      </c>
      <c r="G151" s="11">
        <f t="shared" si="8"/>
        <v>1.1191200000000001</v>
      </c>
      <c r="H151" s="11">
        <f t="shared" si="8"/>
        <v>1.0438130000000001</v>
      </c>
      <c r="I151" s="11">
        <f t="shared" si="8"/>
        <v>1.0022869999999999</v>
      </c>
      <c r="J151" s="11">
        <f t="shared" si="9"/>
        <v>1.0013951250046282</v>
      </c>
    </row>
    <row r="152" spans="1:10">
      <c r="A152" s="76">
        <v>123</v>
      </c>
      <c r="B152" s="65">
        <v>38260</v>
      </c>
      <c r="C152" s="11">
        <v>-1.5051E-2</v>
      </c>
      <c r="D152" s="11">
        <v>-3.7910000000000001E-3</v>
      </c>
      <c r="E152" s="11">
        <v>9.3640000000000008E-3</v>
      </c>
      <c r="F152" s="11">
        <v>1.4861342262237898E-3</v>
      </c>
      <c r="G152" s="11">
        <f t="shared" si="8"/>
        <v>0.98494899999999996</v>
      </c>
      <c r="H152" s="11">
        <f t="shared" si="8"/>
        <v>0.99620900000000001</v>
      </c>
      <c r="I152" s="11">
        <f t="shared" si="8"/>
        <v>1.0093639999999999</v>
      </c>
      <c r="J152" s="11">
        <f t="shared" si="9"/>
        <v>1.0014861342262238</v>
      </c>
    </row>
    <row r="153" spans="1:10">
      <c r="A153" s="76">
        <v>124</v>
      </c>
      <c r="B153" s="65">
        <v>38289</v>
      </c>
      <c r="C153" s="11">
        <v>9.1996999999999995E-2</v>
      </c>
      <c r="D153" s="11">
        <v>3.3538999999999999E-2</v>
      </c>
      <c r="E153" s="11">
        <v>1.4014E-2</v>
      </c>
      <c r="F153" s="11">
        <v>1.7506534564204479E-3</v>
      </c>
      <c r="G153" s="11">
        <f t="shared" si="8"/>
        <v>1.0919970000000001</v>
      </c>
      <c r="H153" s="11">
        <f t="shared" si="8"/>
        <v>1.033539</v>
      </c>
      <c r="I153" s="11">
        <f t="shared" si="8"/>
        <v>1.014014</v>
      </c>
      <c r="J153" s="11">
        <f t="shared" si="9"/>
        <v>1.0017506534564204</v>
      </c>
    </row>
    <row r="154" spans="1:10">
      <c r="A154" s="76">
        <v>125</v>
      </c>
      <c r="B154" s="65">
        <v>38321</v>
      </c>
      <c r="C154" s="11">
        <v>2.6383E-2</v>
      </c>
      <c r="D154" s="11">
        <v>2.2209E-2</v>
      </c>
      <c r="E154" s="11">
        <v>3.8594999999999997E-2</v>
      </c>
      <c r="F154" s="11">
        <v>1.8415013374062372E-3</v>
      </c>
      <c r="G154" s="11">
        <f t="shared" si="8"/>
        <v>1.026383</v>
      </c>
      <c r="H154" s="11">
        <f t="shared" si="8"/>
        <v>1.0222089999999999</v>
      </c>
      <c r="I154" s="11">
        <f t="shared" si="8"/>
        <v>1.0385949999999999</v>
      </c>
      <c r="J154" s="11">
        <f t="shared" si="9"/>
        <v>1.0018415013374062</v>
      </c>
    </row>
    <row r="155" spans="1:10">
      <c r="A155" s="76">
        <v>126</v>
      </c>
      <c r="B155" s="65">
        <v>38352</v>
      </c>
      <c r="C155" s="11">
        <v>5.0416000000000002E-2</v>
      </c>
      <c r="D155" s="11">
        <v>-2.2799999999999999E-3</v>
      </c>
      <c r="E155" s="11">
        <v>3.2458000000000001E-2</v>
      </c>
      <c r="F155" s="11">
        <v>1.9653184676531321E-3</v>
      </c>
      <c r="G155" s="11">
        <f t="shared" si="8"/>
        <v>1.050416</v>
      </c>
      <c r="H155" s="11">
        <f t="shared" si="8"/>
        <v>0.99772000000000005</v>
      </c>
      <c r="I155" s="11">
        <f t="shared" si="8"/>
        <v>1.0324580000000001</v>
      </c>
      <c r="J155" s="11">
        <f t="shared" si="9"/>
        <v>1.0019653184676531</v>
      </c>
    </row>
    <row r="156" spans="1:10">
      <c r="A156" s="76">
        <v>127</v>
      </c>
      <c r="B156" s="65">
        <v>38383</v>
      </c>
      <c r="C156" s="11">
        <v>-0.14140800000000001</v>
      </c>
      <c r="D156" s="11">
        <v>2.7430000000000002E-3</v>
      </c>
      <c r="E156" s="11">
        <v>-2.529E-2</v>
      </c>
      <c r="F156" s="11">
        <v>2.1385340274766573E-3</v>
      </c>
      <c r="G156" s="11">
        <f t="shared" si="8"/>
        <v>0.85859200000000002</v>
      </c>
      <c r="H156" s="11">
        <f t="shared" si="8"/>
        <v>1.0027429999999999</v>
      </c>
      <c r="I156" s="11">
        <f t="shared" si="8"/>
        <v>0.97470999999999997</v>
      </c>
      <c r="J156" s="11">
        <f t="shared" si="9"/>
        <v>1.0021385340274767</v>
      </c>
    </row>
    <row r="157" spans="1:10">
      <c r="A157" s="76">
        <v>128</v>
      </c>
      <c r="B157" s="65">
        <v>38411</v>
      </c>
      <c r="C157" s="11">
        <v>1.807E-3</v>
      </c>
      <c r="D157" s="11">
        <v>-1.2537E-2</v>
      </c>
      <c r="E157" s="11">
        <v>1.8903E-2</v>
      </c>
      <c r="F157" s="11">
        <v>2.3198375302941887E-3</v>
      </c>
      <c r="G157" s="11">
        <f t="shared" si="8"/>
        <v>1.0018069999999999</v>
      </c>
      <c r="H157" s="11">
        <f t="shared" si="8"/>
        <v>0.98746299999999998</v>
      </c>
      <c r="I157" s="11">
        <f t="shared" si="8"/>
        <v>1.0189029999999999</v>
      </c>
      <c r="J157" s="11">
        <f t="shared" si="9"/>
        <v>1.0023198375302942</v>
      </c>
    </row>
    <row r="158" spans="1:10">
      <c r="A158" s="76">
        <v>129</v>
      </c>
      <c r="B158" s="65">
        <v>38442</v>
      </c>
      <c r="C158" s="11">
        <v>-3.0105E-2</v>
      </c>
      <c r="D158" s="11">
        <v>-1.3332999999999999E-2</v>
      </c>
      <c r="E158" s="11">
        <v>-1.9118E-2</v>
      </c>
      <c r="F158" s="11">
        <v>2.3527841928199233E-3</v>
      </c>
      <c r="G158" s="11">
        <f t="shared" si="8"/>
        <v>0.96989499999999995</v>
      </c>
      <c r="H158" s="11">
        <f t="shared" si="8"/>
        <v>0.98666699999999996</v>
      </c>
      <c r="I158" s="11">
        <f t="shared" si="8"/>
        <v>0.98088200000000003</v>
      </c>
      <c r="J158" s="11">
        <f t="shared" si="9"/>
        <v>1.0023527841928199</v>
      </c>
    </row>
    <row r="159" spans="1:10">
      <c r="A159" s="76">
        <v>130</v>
      </c>
      <c r="B159" s="65">
        <v>38471</v>
      </c>
      <c r="C159" s="11">
        <v>9.9131999999999998E-2</v>
      </c>
      <c r="D159" s="11">
        <v>2.6079000000000001E-2</v>
      </c>
      <c r="E159" s="11">
        <v>-2.0108999999999998E-2</v>
      </c>
      <c r="F159" s="11">
        <v>2.4021940363758709E-3</v>
      </c>
      <c r="G159" s="11">
        <f t="shared" ref="G159:I222" si="10">1+C159</f>
        <v>1.099132</v>
      </c>
      <c r="H159" s="11">
        <f t="shared" si="10"/>
        <v>1.026079</v>
      </c>
      <c r="I159" s="11">
        <f t="shared" si="10"/>
        <v>0.97989099999999996</v>
      </c>
      <c r="J159" s="11">
        <f t="shared" ref="J159:J222" si="11">1+F159</f>
        <v>1.0024021940363759</v>
      </c>
    </row>
    <row r="160" spans="1:10">
      <c r="A160" s="76">
        <v>131</v>
      </c>
      <c r="B160" s="65">
        <v>38503</v>
      </c>
      <c r="C160" s="11">
        <v>5.3324999999999997E-2</v>
      </c>
      <c r="D160" s="11">
        <v>6.4695000000000003E-2</v>
      </c>
      <c r="E160" s="11">
        <v>2.9951999999999999E-2</v>
      </c>
      <c r="F160" s="11">
        <v>2.5174363378128728E-3</v>
      </c>
      <c r="G160" s="11">
        <f t="shared" si="10"/>
        <v>1.0533250000000001</v>
      </c>
      <c r="H160" s="11">
        <f t="shared" si="10"/>
        <v>1.0646949999999999</v>
      </c>
      <c r="I160" s="11">
        <f t="shared" si="10"/>
        <v>1.029952</v>
      </c>
      <c r="J160" s="11">
        <f t="shared" si="11"/>
        <v>1.0025174363378129</v>
      </c>
    </row>
    <row r="161" spans="1:10">
      <c r="A161" s="76">
        <v>132</v>
      </c>
      <c r="B161" s="65">
        <v>38533</v>
      </c>
      <c r="C161" s="11">
        <v>4.8375000000000001E-2</v>
      </c>
      <c r="D161" s="11">
        <v>2.9224E-2</v>
      </c>
      <c r="E161" s="11">
        <v>-1.4300000000000001E-4</v>
      </c>
      <c r="F161" s="11">
        <v>2.7230615627837906E-3</v>
      </c>
      <c r="G161" s="11">
        <f t="shared" si="10"/>
        <v>1.0483750000000001</v>
      </c>
      <c r="H161" s="11">
        <f t="shared" si="10"/>
        <v>1.0292239999999999</v>
      </c>
      <c r="I161" s="11">
        <f t="shared" si="10"/>
        <v>0.999857</v>
      </c>
      <c r="J161" s="11">
        <f t="shared" si="11"/>
        <v>1.0027230615627838</v>
      </c>
    </row>
    <row r="162" spans="1:10">
      <c r="A162" s="76">
        <v>133</v>
      </c>
      <c r="B162" s="65">
        <v>38562</v>
      </c>
      <c r="C162" s="11">
        <v>0.105948</v>
      </c>
      <c r="D162" s="11">
        <v>2.8181000000000001E-2</v>
      </c>
      <c r="E162" s="11">
        <v>3.5968E-2</v>
      </c>
      <c r="F162" s="11">
        <v>2.9120507402111695E-3</v>
      </c>
      <c r="G162" s="11">
        <f t="shared" si="10"/>
        <v>1.1059479999999999</v>
      </c>
      <c r="H162" s="11">
        <f t="shared" si="10"/>
        <v>1.028181</v>
      </c>
      <c r="I162" s="11">
        <f t="shared" si="10"/>
        <v>1.035968</v>
      </c>
      <c r="J162" s="11">
        <f t="shared" si="11"/>
        <v>1.0029120507402112</v>
      </c>
    </row>
    <row r="163" spans="1:10">
      <c r="A163" s="76">
        <v>134</v>
      </c>
      <c r="B163" s="65">
        <v>38595</v>
      </c>
      <c r="C163" s="11">
        <v>-4.2564999999999999E-2</v>
      </c>
      <c r="D163" s="11">
        <v>-1.4120000000000001E-2</v>
      </c>
      <c r="E163" s="11">
        <v>-1.1221999999999999E-2</v>
      </c>
      <c r="F163" s="11">
        <v>2.8874100745721609E-3</v>
      </c>
      <c r="G163" s="11">
        <f t="shared" si="10"/>
        <v>0.95743500000000004</v>
      </c>
      <c r="H163" s="11">
        <f t="shared" si="10"/>
        <v>0.98587999999999998</v>
      </c>
      <c r="I163" s="11">
        <f t="shared" si="10"/>
        <v>0.98877800000000005</v>
      </c>
      <c r="J163" s="11">
        <f t="shared" si="11"/>
        <v>1.0028874100745722</v>
      </c>
    </row>
    <row r="164" spans="1:10">
      <c r="A164" s="76">
        <v>135</v>
      </c>
      <c r="B164" s="65">
        <v>38625</v>
      </c>
      <c r="C164" s="11">
        <v>3.2518999999999999E-2</v>
      </c>
      <c r="D164" s="11">
        <v>3.4960999999999999E-2</v>
      </c>
      <c r="E164" s="11">
        <v>6.9490000000000003E-3</v>
      </c>
      <c r="F164" s="11">
        <v>3.1336806308761567E-3</v>
      </c>
      <c r="G164" s="11">
        <f t="shared" si="10"/>
        <v>1.032519</v>
      </c>
      <c r="H164" s="11">
        <f t="shared" si="10"/>
        <v>1.034961</v>
      </c>
      <c r="I164" s="11">
        <f t="shared" si="10"/>
        <v>1.0069490000000001</v>
      </c>
      <c r="J164" s="11">
        <f t="shared" si="11"/>
        <v>1.0031336806308762</v>
      </c>
    </row>
    <row r="165" spans="1:10">
      <c r="A165" s="76">
        <v>136</v>
      </c>
      <c r="B165" s="65">
        <v>38656</v>
      </c>
      <c r="C165" s="11">
        <v>-1.333E-3</v>
      </c>
      <c r="D165" s="11">
        <v>-6.2822000000000003E-2</v>
      </c>
      <c r="E165" s="11">
        <v>-1.7741E-2</v>
      </c>
      <c r="F165" s="11">
        <v>3.2812979870655568E-3</v>
      </c>
      <c r="G165" s="11">
        <f t="shared" si="10"/>
        <v>0.99866699999999997</v>
      </c>
      <c r="H165" s="11">
        <f t="shared" si="10"/>
        <v>0.93717799999999996</v>
      </c>
      <c r="I165" s="11">
        <f t="shared" si="10"/>
        <v>0.98225899999999999</v>
      </c>
      <c r="J165" s="11">
        <f t="shared" si="11"/>
        <v>1.0032812979870656</v>
      </c>
    </row>
    <row r="166" spans="1:10">
      <c r="A166" s="76">
        <v>137</v>
      </c>
      <c r="B166" s="65">
        <v>38686</v>
      </c>
      <c r="C166" s="11">
        <v>2.0249E-2</v>
      </c>
      <c r="D166" s="11">
        <v>1.3407000000000001E-2</v>
      </c>
      <c r="E166" s="11">
        <v>3.5186000000000002E-2</v>
      </c>
      <c r="F166" s="11">
        <v>3.2812979870655568E-3</v>
      </c>
      <c r="G166" s="11">
        <f t="shared" si="10"/>
        <v>1.020249</v>
      </c>
      <c r="H166" s="11">
        <f t="shared" si="10"/>
        <v>1.0134069999999999</v>
      </c>
      <c r="I166" s="11">
        <f t="shared" si="10"/>
        <v>1.0351859999999999</v>
      </c>
      <c r="J166" s="11">
        <f t="shared" si="11"/>
        <v>1.0032812979870656</v>
      </c>
    </row>
    <row r="167" spans="1:10">
      <c r="A167" s="76">
        <v>138</v>
      </c>
      <c r="B167" s="65">
        <v>38716</v>
      </c>
      <c r="C167" s="11">
        <v>1.4286E-2</v>
      </c>
      <c r="D167" s="11">
        <v>1.7347000000000001E-2</v>
      </c>
      <c r="E167" s="11">
        <v>-9.5200000000000005E-4</v>
      </c>
      <c r="F167" s="11">
        <v>3.5843930632286636E-3</v>
      </c>
      <c r="G167" s="11">
        <f t="shared" si="10"/>
        <v>1.014286</v>
      </c>
      <c r="H167" s="11">
        <f t="shared" si="10"/>
        <v>1.017347</v>
      </c>
      <c r="I167" s="11">
        <f t="shared" si="10"/>
        <v>0.99904800000000005</v>
      </c>
      <c r="J167" s="11">
        <f t="shared" si="11"/>
        <v>1.0035843930632287</v>
      </c>
    </row>
    <row r="168" spans="1:10">
      <c r="A168" s="76">
        <v>139</v>
      </c>
      <c r="B168" s="65">
        <v>38748</v>
      </c>
      <c r="C168" s="11">
        <v>7.7873999999999999E-2</v>
      </c>
      <c r="D168" s="11">
        <v>1.4677000000000001E-2</v>
      </c>
      <c r="E168" s="11">
        <v>2.5467E-2</v>
      </c>
      <c r="F168" s="11">
        <v>3.7480378641947532E-3</v>
      </c>
      <c r="G168" s="11">
        <f t="shared" si="10"/>
        <v>1.077874</v>
      </c>
      <c r="H168" s="11">
        <f t="shared" si="10"/>
        <v>1.0146770000000001</v>
      </c>
      <c r="I168" s="11">
        <f t="shared" si="10"/>
        <v>1.0254669999999999</v>
      </c>
      <c r="J168" s="11">
        <f t="shared" si="11"/>
        <v>1.0037480378641948</v>
      </c>
    </row>
    <row r="169" spans="1:10">
      <c r="A169" s="76">
        <v>140</v>
      </c>
      <c r="B169" s="65">
        <v>38776</v>
      </c>
      <c r="C169" s="11">
        <v>2.7169999999999998E-3</v>
      </c>
      <c r="D169" s="11">
        <v>-1.2019E-2</v>
      </c>
      <c r="E169" s="11">
        <v>4.5300000000000001E-4</v>
      </c>
      <c r="F169" s="11">
        <v>3.8216345246488981E-3</v>
      </c>
      <c r="G169" s="11">
        <f t="shared" si="10"/>
        <v>1.0027170000000001</v>
      </c>
      <c r="H169" s="11">
        <f t="shared" si="10"/>
        <v>0.987981</v>
      </c>
      <c r="I169" s="11">
        <f t="shared" si="10"/>
        <v>1.000453</v>
      </c>
      <c r="J169" s="11">
        <f t="shared" si="11"/>
        <v>1.0038216345246489</v>
      </c>
    </row>
    <row r="170" spans="1:10">
      <c r="A170" s="76">
        <v>141</v>
      </c>
      <c r="B170" s="65">
        <v>38807</v>
      </c>
      <c r="C170" s="11">
        <v>9.9547999999999998E-2</v>
      </c>
      <c r="D170" s="11">
        <v>-5.1667999999999999E-2</v>
      </c>
      <c r="E170" s="11">
        <v>1.1065E-2</v>
      </c>
      <c r="F170" s="11">
        <v>3.8952042157516242E-3</v>
      </c>
      <c r="G170" s="11">
        <f t="shared" si="10"/>
        <v>1.099548</v>
      </c>
      <c r="H170" s="11">
        <f t="shared" si="10"/>
        <v>0.94833199999999995</v>
      </c>
      <c r="I170" s="11">
        <f t="shared" si="10"/>
        <v>1.0110650000000001</v>
      </c>
      <c r="J170" s="11">
        <f t="shared" si="11"/>
        <v>1.0038952042157516</v>
      </c>
    </row>
    <row r="171" spans="1:10">
      <c r="A171" s="76">
        <v>142</v>
      </c>
      <c r="B171" s="65">
        <v>38835</v>
      </c>
      <c r="C171" s="11">
        <v>3.4030000000000002E-3</v>
      </c>
      <c r="D171" s="11">
        <v>-8.7360000000000007E-3</v>
      </c>
      <c r="E171" s="11">
        <v>1.2187E-2</v>
      </c>
      <c r="F171" s="11">
        <v>3.9932552224561935E-3</v>
      </c>
      <c r="G171" s="11">
        <f t="shared" si="10"/>
        <v>1.003403</v>
      </c>
      <c r="H171" s="11">
        <f t="shared" si="10"/>
        <v>0.99126400000000003</v>
      </c>
      <c r="I171" s="11">
        <f t="shared" si="10"/>
        <v>1.0121869999999999</v>
      </c>
      <c r="J171" s="11">
        <f t="shared" si="11"/>
        <v>1.0039932552224562</v>
      </c>
    </row>
    <row r="172" spans="1:10">
      <c r="A172" s="76">
        <v>143</v>
      </c>
      <c r="B172" s="65">
        <v>38868</v>
      </c>
      <c r="C172" s="11">
        <v>-2.3831000000000001E-2</v>
      </c>
      <c r="D172" s="11">
        <v>3.6061999999999997E-2</v>
      </c>
      <c r="E172" s="11">
        <v>-3.0917E-2</v>
      </c>
      <c r="F172" s="11">
        <v>4.0585959707315489E-3</v>
      </c>
      <c r="G172" s="11">
        <f t="shared" si="10"/>
        <v>0.97616899999999995</v>
      </c>
      <c r="H172" s="11">
        <f t="shared" si="10"/>
        <v>1.036062</v>
      </c>
      <c r="I172" s="11">
        <f t="shared" si="10"/>
        <v>0.96908300000000003</v>
      </c>
      <c r="J172" s="11">
        <f t="shared" si="11"/>
        <v>1.0040585959707315</v>
      </c>
    </row>
    <row r="173" spans="1:10">
      <c r="A173" s="76">
        <v>144</v>
      </c>
      <c r="B173" s="65">
        <v>38898</v>
      </c>
      <c r="C173" s="11">
        <v>5.6337999999999999E-2</v>
      </c>
      <c r="D173" s="11">
        <v>7.7099999999999998E-3</v>
      </c>
      <c r="E173" s="11">
        <v>8.7000000000000001E-5</v>
      </c>
      <c r="F173" s="11">
        <v>4.1892137208978664E-3</v>
      </c>
      <c r="G173" s="11">
        <f t="shared" si="10"/>
        <v>1.056338</v>
      </c>
      <c r="H173" s="11">
        <f t="shared" si="10"/>
        <v>1.0077100000000001</v>
      </c>
      <c r="I173" s="11">
        <f t="shared" si="10"/>
        <v>1.0000869999999999</v>
      </c>
      <c r="J173" s="11">
        <f t="shared" si="11"/>
        <v>1.0041892137208979</v>
      </c>
    </row>
    <row r="174" spans="1:10">
      <c r="A174" s="76">
        <v>145</v>
      </c>
      <c r="B174" s="65">
        <v>38929</v>
      </c>
      <c r="C174" s="11">
        <v>4.863E-2</v>
      </c>
      <c r="D174" s="11">
        <v>5.4679999999999999E-2</v>
      </c>
      <c r="E174" s="11">
        <v>5.0860000000000002E-3</v>
      </c>
      <c r="F174" s="11">
        <v>4.1973745102803495E-3</v>
      </c>
      <c r="G174" s="11">
        <f t="shared" si="10"/>
        <v>1.04863</v>
      </c>
      <c r="H174" s="11">
        <f t="shared" si="10"/>
        <v>1.0546800000000001</v>
      </c>
      <c r="I174" s="11">
        <f t="shared" si="10"/>
        <v>1.0050859999999999</v>
      </c>
      <c r="J174" s="11">
        <f t="shared" si="11"/>
        <v>1.0041973745102803</v>
      </c>
    </row>
    <row r="175" spans="1:10">
      <c r="A175" s="76">
        <v>146</v>
      </c>
      <c r="B175" s="65">
        <v>38960</v>
      </c>
      <c r="C175" s="11">
        <v>7.1568999999999994E-2</v>
      </c>
      <c r="D175" s="11">
        <v>-2.0270000000000002E-3</v>
      </c>
      <c r="E175" s="11">
        <v>2.1274000000000001E-2</v>
      </c>
      <c r="F175" s="11">
        <v>4.0667620695418183E-3</v>
      </c>
      <c r="G175" s="11">
        <f t="shared" si="10"/>
        <v>1.071569</v>
      </c>
      <c r="H175" s="11">
        <f t="shared" si="10"/>
        <v>0.997973</v>
      </c>
      <c r="I175" s="11">
        <f t="shared" si="10"/>
        <v>1.021274</v>
      </c>
      <c r="J175" s="11">
        <f t="shared" si="11"/>
        <v>1.0040667620695418</v>
      </c>
    </row>
    <row r="176" spans="1:10">
      <c r="A176" s="76">
        <v>147</v>
      </c>
      <c r="B176" s="65">
        <v>38989</v>
      </c>
      <c r="C176" s="11">
        <v>-2.5742999999999999E-2</v>
      </c>
      <c r="D176" s="11">
        <v>0</v>
      </c>
      <c r="E176" s="11">
        <v>2.4566000000000001E-2</v>
      </c>
      <c r="F176" s="11">
        <v>4.1647293629312188E-3</v>
      </c>
      <c r="G176" s="11">
        <f t="shared" si="10"/>
        <v>0.97425700000000004</v>
      </c>
      <c r="H176" s="11">
        <f t="shared" si="10"/>
        <v>1</v>
      </c>
      <c r="I176" s="11">
        <f t="shared" si="10"/>
        <v>1.0245660000000001</v>
      </c>
      <c r="J176" s="11">
        <f t="shared" si="11"/>
        <v>1.0041647293629312</v>
      </c>
    </row>
    <row r="177" spans="1:10">
      <c r="A177" s="76">
        <v>148</v>
      </c>
      <c r="B177" s="65">
        <v>39021</v>
      </c>
      <c r="C177" s="11">
        <v>9.7858000000000001E-2</v>
      </c>
      <c r="D177" s="11">
        <v>4.6537000000000002E-2</v>
      </c>
      <c r="E177" s="11">
        <v>3.1508000000000001E-2</v>
      </c>
      <c r="F177" s="11">
        <v>4.1810525998986492E-3</v>
      </c>
      <c r="G177" s="11">
        <f t="shared" si="10"/>
        <v>1.097858</v>
      </c>
      <c r="H177" s="11">
        <f t="shared" si="10"/>
        <v>1.0465370000000001</v>
      </c>
      <c r="I177" s="11">
        <f t="shared" si="10"/>
        <v>1.0315080000000001</v>
      </c>
      <c r="J177" s="11">
        <f t="shared" si="11"/>
        <v>1.0041810525998986</v>
      </c>
    </row>
    <row r="178" spans="1:10">
      <c r="A178" s="76">
        <v>149</v>
      </c>
      <c r="B178" s="65">
        <v>39051</v>
      </c>
      <c r="C178" s="11">
        <v>-9.3039999999999998E-3</v>
      </c>
      <c r="D178" s="11">
        <v>9.2040000000000004E-3</v>
      </c>
      <c r="E178" s="11">
        <v>1.6466999999999999E-2</v>
      </c>
      <c r="F178" s="11">
        <v>4.0994231444611007E-3</v>
      </c>
      <c r="G178" s="11">
        <f t="shared" si="10"/>
        <v>0.99069600000000002</v>
      </c>
      <c r="H178" s="11">
        <f t="shared" si="10"/>
        <v>1.009204</v>
      </c>
      <c r="I178" s="11">
        <f t="shared" si="10"/>
        <v>1.016467</v>
      </c>
      <c r="J178" s="11">
        <f t="shared" si="11"/>
        <v>1.0040994231444611</v>
      </c>
    </row>
    <row r="179" spans="1:10">
      <c r="A179" s="76">
        <v>150</v>
      </c>
      <c r="B179" s="65">
        <v>39080</v>
      </c>
      <c r="C179" s="11">
        <v>-1.4768E-2</v>
      </c>
      <c r="D179" s="11">
        <v>-3.1110000000000001E-3</v>
      </c>
      <c r="E179" s="11">
        <v>1.2616E-2</v>
      </c>
      <c r="F179" s="11">
        <v>4.2136950943136853E-3</v>
      </c>
      <c r="G179" s="11">
        <f t="shared" si="10"/>
        <v>0.985232</v>
      </c>
      <c r="H179" s="11">
        <f t="shared" si="10"/>
        <v>0.99688900000000003</v>
      </c>
      <c r="I179" s="11">
        <f t="shared" si="10"/>
        <v>1.012616</v>
      </c>
      <c r="J179" s="11">
        <f t="shared" si="11"/>
        <v>1.0042136950943137</v>
      </c>
    </row>
    <row r="180" spans="1:10">
      <c r="A180" s="76">
        <v>151</v>
      </c>
      <c r="B180" s="65">
        <v>39113</v>
      </c>
      <c r="C180" s="11">
        <v>0.11675099999999999</v>
      </c>
      <c r="D180" s="11">
        <v>4.3689999999999996E-3</v>
      </c>
      <c r="E180" s="11">
        <v>1.4059E-2</v>
      </c>
      <c r="F180" s="11">
        <v>4.2544907531789633E-3</v>
      </c>
      <c r="G180" s="11">
        <f t="shared" si="10"/>
        <v>1.116751</v>
      </c>
      <c r="H180" s="11">
        <f t="shared" si="10"/>
        <v>1.0043690000000001</v>
      </c>
      <c r="I180" s="11">
        <f t="shared" si="10"/>
        <v>1.014059</v>
      </c>
      <c r="J180" s="11">
        <f t="shared" si="11"/>
        <v>1.004254490753179</v>
      </c>
    </row>
    <row r="181" spans="1:10">
      <c r="A181" s="76">
        <v>152</v>
      </c>
      <c r="B181" s="65">
        <v>39141</v>
      </c>
      <c r="C181" s="11">
        <v>-3.7758E-2</v>
      </c>
      <c r="D181" s="11">
        <v>1.8227E-2</v>
      </c>
      <c r="E181" s="11">
        <v>-2.1846000000000001E-2</v>
      </c>
      <c r="F181" s="11">
        <v>4.1892137208978664E-3</v>
      </c>
      <c r="G181" s="11">
        <f t="shared" si="10"/>
        <v>0.96224200000000004</v>
      </c>
      <c r="H181" s="11">
        <f t="shared" si="10"/>
        <v>1.018227</v>
      </c>
      <c r="I181" s="11">
        <f t="shared" si="10"/>
        <v>0.97815399999999997</v>
      </c>
      <c r="J181" s="11">
        <f t="shared" si="11"/>
        <v>1.0041892137208979</v>
      </c>
    </row>
    <row r="182" spans="1:10">
      <c r="A182" s="76">
        <v>153</v>
      </c>
      <c r="B182" s="65">
        <v>39171</v>
      </c>
      <c r="C182" s="11">
        <v>-6.1055999999999999E-2</v>
      </c>
      <c r="D182" s="11">
        <v>5.1049999999999998E-2</v>
      </c>
      <c r="E182" s="11">
        <v>9.9799999999999993E-3</v>
      </c>
      <c r="F182" s="11">
        <v>4.132078908291037E-3</v>
      </c>
      <c r="G182" s="11">
        <f t="shared" si="10"/>
        <v>0.938944</v>
      </c>
      <c r="H182" s="11">
        <f t="shared" si="10"/>
        <v>1.05105</v>
      </c>
      <c r="I182" s="11">
        <f t="shared" si="10"/>
        <v>1.0099800000000001</v>
      </c>
      <c r="J182" s="11">
        <f t="shared" si="11"/>
        <v>1.004132078908291</v>
      </c>
    </row>
    <row r="183" spans="1:10">
      <c r="A183" s="76">
        <v>154</v>
      </c>
      <c r="B183" s="65">
        <v>39202</v>
      </c>
      <c r="C183" s="11">
        <v>-4.7879999999999997E-3</v>
      </c>
      <c r="D183" s="11">
        <v>3.9170000000000003E-3</v>
      </c>
      <c r="E183" s="11">
        <v>4.3291000000000003E-2</v>
      </c>
      <c r="F183" s="11">
        <v>4.0177604947122525E-3</v>
      </c>
      <c r="G183" s="11">
        <f t="shared" si="10"/>
        <v>0.99521199999999999</v>
      </c>
      <c r="H183" s="11">
        <f t="shared" si="10"/>
        <v>1.0039169999999999</v>
      </c>
      <c r="I183" s="11">
        <f t="shared" si="10"/>
        <v>1.043291</v>
      </c>
      <c r="J183" s="11">
        <f t="shared" si="11"/>
        <v>1.0040177604947123</v>
      </c>
    </row>
    <row r="184" spans="1:10">
      <c r="A184" s="76">
        <v>155</v>
      </c>
      <c r="B184" s="65">
        <v>39233</v>
      </c>
      <c r="C184" s="11">
        <v>-1.2649000000000001E-2</v>
      </c>
      <c r="D184" s="11">
        <v>-3.6285999999999999E-2</v>
      </c>
      <c r="E184" s="11">
        <v>3.2549000000000002E-2</v>
      </c>
      <c r="F184" s="11">
        <v>3.9115493756787245E-3</v>
      </c>
      <c r="G184" s="11">
        <f t="shared" si="10"/>
        <v>0.98735099999999998</v>
      </c>
      <c r="H184" s="11">
        <f t="shared" si="10"/>
        <v>0.96371399999999996</v>
      </c>
      <c r="I184" s="11">
        <f t="shared" si="10"/>
        <v>1.0325489999999999</v>
      </c>
      <c r="J184" s="11">
        <f t="shared" si="11"/>
        <v>1.0039115493756787</v>
      </c>
    </row>
    <row r="185" spans="1:10">
      <c r="A185" s="76">
        <v>156</v>
      </c>
      <c r="B185" s="65">
        <v>39262</v>
      </c>
      <c r="C185" s="11">
        <v>-7.8598000000000001E-2</v>
      </c>
      <c r="D185" s="11">
        <v>-7.5788999999999995E-2</v>
      </c>
      <c r="E185" s="11">
        <v>-1.7815999999999999E-2</v>
      </c>
      <c r="F185" s="11">
        <v>4.0912583737200414E-3</v>
      </c>
      <c r="G185" s="11">
        <f t="shared" si="10"/>
        <v>0.92140200000000005</v>
      </c>
      <c r="H185" s="11">
        <f t="shared" si="10"/>
        <v>0.924211</v>
      </c>
      <c r="I185" s="11">
        <f t="shared" si="10"/>
        <v>0.98218399999999995</v>
      </c>
      <c r="J185" s="11">
        <f t="shared" si="11"/>
        <v>1.00409125837372</v>
      </c>
    </row>
    <row r="186" spans="1:10">
      <c r="A186" s="76">
        <v>157</v>
      </c>
      <c r="B186" s="65">
        <v>39294</v>
      </c>
      <c r="C186" s="11">
        <v>-7.4979000000000004E-2</v>
      </c>
      <c r="D186" s="11">
        <v>-3.1914999999999999E-2</v>
      </c>
      <c r="E186" s="11">
        <v>-3.1981999999999997E-2</v>
      </c>
      <c r="F186" s="11">
        <v>3.5680212430042602E-3</v>
      </c>
      <c r="G186" s="11">
        <f t="shared" si="10"/>
        <v>0.92502099999999998</v>
      </c>
      <c r="H186" s="11">
        <f t="shared" si="10"/>
        <v>0.96808499999999997</v>
      </c>
      <c r="I186" s="11">
        <f t="shared" si="10"/>
        <v>0.96801800000000005</v>
      </c>
      <c r="J186" s="11">
        <f t="shared" si="11"/>
        <v>1.0035680212430043</v>
      </c>
    </row>
    <row r="187" spans="1:10">
      <c r="A187" s="76">
        <v>158</v>
      </c>
      <c r="B187" s="65">
        <v>39325</v>
      </c>
      <c r="C187" s="11">
        <v>9.4906000000000004E-2</v>
      </c>
      <c r="D187" s="11">
        <v>6.5018000000000006E-2</v>
      </c>
      <c r="E187" s="11">
        <v>1.2864E-2</v>
      </c>
      <c r="F187" s="11">
        <v>3.2976932136625781E-3</v>
      </c>
      <c r="G187" s="11">
        <f t="shared" si="10"/>
        <v>1.0949059999999999</v>
      </c>
      <c r="H187" s="11">
        <f t="shared" si="10"/>
        <v>1.065018</v>
      </c>
      <c r="I187" s="11">
        <f t="shared" si="10"/>
        <v>1.012864</v>
      </c>
      <c r="J187" s="11">
        <f t="shared" si="11"/>
        <v>1.0032976932136626</v>
      </c>
    </row>
    <row r="188" spans="1:10">
      <c r="A188" s="76">
        <v>159</v>
      </c>
      <c r="B188" s="65">
        <v>39353</v>
      </c>
      <c r="C188" s="11">
        <v>6.0280000000000004E-3</v>
      </c>
      <c r="D188" s="11">
        <v>7.8359999999999992E-3</v>
      </c>
      <c r="E188" s="11">
        <v>3.5793999999999999E-2</v>
      </c>
      <c r="F188" s="11">
        <v>3.3058903246372395E-3</v>
      </c>
      <c r="G188" s="11">
        <f t="shared" si="10"/>
        <v>1.0060279999999999</v>
      </c>
      <c r="H188" s="11">
        <f t="shared" si="10"/>
        <v>1.007836</v>
      </c>
      <c r="I188" s="11">
        <f t="shared" si="10"/>
        <v>1.0357940000000001</v>
      </c>
      <c r="J188" s="11">
        <f t="shared" si="11"/>
        <v>1.0033058903246372</v>
      </c>
    </row>
    <row r="189" spans="1:10">
      <c r="A189" s="76">
        <v>160</v>
      </c>
      <c r="B189" s="65">
        <v>39386</v>
      </c>
      <c r="C189" s="11">
        <v>4.9842999999999998E-2</v>
      </c>
      <c r="D189" s="11">
        <v>1.7062999999999998E-2</v>
      </c>
      <c r="E189" s="11">
        <v>1.4822E-2</v>
      </c>
      <c r="F189" s="11">
        <v>2.7723802588286439E-3</v>
      </c>
      <c r="G189" s="11">
        <f t="shared" si="10"/>
        <v>1.0498430000000001</v>
      </c>
      <c r="H189" s="11">
        <f t="shared" si="10"/>
        <v>1.0170630000000001</v>
      </c>
      <c r="I189" s="11">
        <f t="shared" si="10"/>
        <v>1.0148219999999999</v>
      </c>
      <c r="J189" s="11">
        <f t="shared" si="11"/>
        <v>1.0027723802588286</v>
      </c>
    </row>
    <row r="190" spans="1:10">
      <c r="A190" s="76">
        <v>161</v>
      </c>
      <c r="B190" s="65">
        <v>39416</v>
      </c>
      <c r="C190" s="11">
        <v>-0.159524</v>
      </c>
      <c r="D190" s="11">
        <v>4.1197999999999999E-2</v>
      </c>
      <c r="E190" s="11">
        <v>-4.4042999999999999E-2</v>
      </c>
      <c r="F190" s="11">
        <v>2.5421225011967863E-3</v>
      </c>
      <c r="G190" s="11">
        <f t="shared" si="10"/>
        <v>0.840476</v>
      </c>
      <c r="H190" s="11">
        <f t="shared" si="10"/>
        <v>1.0411980000000001</v>
      </c>
      <c r="I190" s="11">
        <f t="shared" si="10"/>
        <v>0.95595699999999995</v>
      </c>
      <c r="J190" s="11">
        <f t="shared" si="11"/>
        <v>1.0025421225011968</v>
      </c>
    </row>
    <row r="191" spans="1:10">
      <c r="A191" s="76">
        <v>162</v>
      </c>
      <c r="B191" s="65">
        <v>39447</v>
      </c>
      <c r="C191" s="11">
        <v>-5.1282000000000001E-2</v>
      </c>
      <c r="D191" s="11">
        <v>8.2559999999999995E-3</v>
      </c>
      <c r="E191" s="11">
        <v>-8.6280000000000003E-3</v>
      </c>
      <c r="F191" s="11">
        <v>2.3363115384023025E-3</v>
      </c>
      <c r="G191" s="11">
        <f t="shared" si="10"/>
        <v>0.94871799999999995</v>
      </c>
      <c r="H191" s="11">
        <f t="shared" si="10"/>
        <v>1.008256</v>
      </c>
      <c r="I191" s="11">
        <f t="shared" si="10"/>
        <v>0.99137200000000003</v>
      </c>
      <c r="J191" s="11">
        <f t="shared" si="11"/>
        <v>1.0023363115384023</v>
      </c>
    </row>
    <row r="192" spans="1:10">
      <c r="A192" s="76">
        <v>163</v>
      </c>
      <c r="B192" s="65">
        <v>39478</v>
      </c>
      <c r="C192" s="11">
        <v>6.2775999999999998E-2</v>
      </c>
      <c r="D192" s="11">
        <v>-0.108086</v>
      </c>
      <c r="E192" s="11">
        <v>-6.1163000000000002E-2</v>
      </c>
      <c r="F192" s="11">
        <v>1.8002119525051263E-3</v>
      </c>
      <c r="G192" s="11">
        <f t="shared" si="10"/>
        <v>1.0627759999999999</v>
      </c>
      <c r="H192" s="11">
        <f t="shared" si="10"/>
        <v>0.89191399999999998</v>
      </c>
      <c r="I192" s="11">
        <f t="shared" si="10"/>
        <v>0.93883700000000003</v>
      </c>
      <c r="J192" s="11">
        <f t="shared" si="11"/>
        <v>1.0018002119525051</v>
      </c>
    </row>
    <row r="193" spans="1:10">
      <c r="A193" s="76">
        <v>164</v>
      </c>
      <c r="B193" s="65">
        <v>39507</v>
      </c>
      <c r="C193" s="11">
        <v>1.3802E-2</v>
      </c>
      <c r="D193" s="11">
        <v>-4.8084000000000002E-2</v>
      </c>
      <c r="E193" s="11">
        <v>-3.4761E-2</v>
      </c>
      <c r="F193" s="11">
        <v>1.0638332969736819E-3</v>
      </c>
      <c r="G193" s="11">
        <f t="shared" si="10"/>
        <v>1.0138020000000001</v>
      </c>
      <c r="H193" s="11">
        <f t="shared" si="10"/>
        <v>0.95191599999999998</v>
      </c>
      <c r="I193" s="11">
        <f t="shared" si="10"/>
        <v>0.96523899999999996</v>
      </c>
      <c r="J193" s="11">
        <f t="shared" si="11"/>
        <v>1.0010638332969737</v>
      </c>
    </row>
    <row r="194" spans="1:10">
      <c r="A194" s="76">
        <v>165</v>
      </c>
      <c r="B194" s="65">
        <v>39538</v>
      </c>
      <c r="C194" s="11">
        <v>9.4821000000000003E-2</v>
      </c>
      <c r="D194" s="11">
        <v>-2.9101999999999999E-2</v>
      </c>
      <c r="E194" s="11">
        <v>-5.96E-3</v>
      </c>
      <c r="F194" s="11">
        <v>1.0886991969722981E-3</v>
      </c>
      <c r="G194" s="11">
        <f t="shared" si="10"/>
        <v>1.094821</v>
      </c>
      <c r="H194" s="11">
        <f t="shared" si="10"/>
        <v>0.97089800000000004</v>
      </c>
      <c r="I194" s="11">
        <f t="shared" si="10"/>
        <v>0.99404000000000003</v>
      </c>
      <c r="J194" s="11">
        <f t="shared" si="11"/>
        <v>1.0010886991969723</v>
      </c>
    </row>
    <row r="195" spans="1:10">
      <c r="A195" s="76">
        <v>166</v>
      </c>
      <c r="B195" s="65">
        <v>39568</v>
      </c>
      <c r="C195" s="11">
        <v>4.4042999999999999E-2</v>
      </c>
      <c r="D195" s="11">
        <v>4.7858999999999999E-2</v>
      </c>
      <c r="E195" s="11">
        <v>4.7546999999999999E-2</v>
      </c>
      <c r="F195" s="11">
        <v>1.4613176303193143E-3</v>
      </c>
      <c r="G195" s="11">
        <f t="shared" si="10"/>
        <v>1.0440430000000001</v>
      </c>
      <c r="H195" s="11">
        <f t="shared" si="10"/>
        <v>1.0478590000000001</v>
      </c>
      <c r="I195" s="11">
        <f t="shared" si="10"/>
        <v>1.047547</v>
      </c>
      <c r="J195" s="11">
        <f t="shared" si="11"/>
        <v>1.0014613176303193</v>
      </c>
    </row>
    <row r="196" spans="1:10">
      <c r="A196" s="76">
        <v>167</v>
      </c>
      <c r="B196" s="65">
        <v>39598</v>
      </c>
      <c r="C196" s="11">
        <v>3.9500000000000004E-3</v>
      </c>
      <c r="D196" s="11">
        <v>6.8510000000000003E-3</v>
      </c>
      <c r="E196" s="11">
        <v>1.0673999999999999E-2</v>
      </c>
      <c r="F196" s="11">
        <v>1.5688340135169287E-3</v>
      </c>
      <c r="G196" s="11">
        <f t="shared" si="10"/>
        <v>1.0039499999999999</v>
      </c>
      <c r="H196" s="11">
        <f t="shared" si="10"/>
        <v>1.0068509999999999</v>
      </c>
      <c r="I196" s="11">
        <f t="shared" si="10"/>
        <v>1.0106740000000001</v>
      </c>
      <c r="J196" s="11">
        <f t="shared" si="11"/>
        <v>1.0015688340135169</v>
      </c>
    </row>
    <row r="197" spans="1:10">
      <c r="A197" s="76">
        <v>168</v>
      </c>
      <c r="B197" s="65">
        <v>39629</v>
      </c>
      <c r="C197" s="11">
        <v>-0.100025</v>
      </c>
      <c r="D197" s="11">
        <v>-5.3511000000000003E-2</v>
      </c>
      <c r="E197" s="11">
        <v>-8.5961999999999997E-2</v>
      </c>
      <c r="F197" s="11">
        <v>1.3785734294475827E-3</v>
      </c>
      <c r="G197" s="11">
        <f t="shared" si="10"/>
        <v>0.89997499999999997</v>
      </c>
      <c r="H197" s="11">
        <f t="shared" si="10"/>
        <v>0.94648900000000002</v>
      </c>
      <c r="I197" s="11">
        <f t="shared" si="10"/>
        <v>0.91403800000000002</v>
      </c>
      <c r="J197" s="11">
        <f t="shared" si="11"/>
        <v>1.0013785734294476</v>
      </c>
    </row>
    <row r="198" spans="1:10">
      <c r="A198" s="76">
        <v>169</v>
      </c>
      <c r="B198" s="65">
        <v>39660</v>
      </c>
      <c r="C198" s="11">
        <v>0.13943700000000001</v>
      </c>
      <c r="D198" s="11">
        <v>1.5605000000000001E-2</v>
      </c>
      <c r="E198" s="11">
        <v>-9.8589999999999997E-3</v>
      </c>
      <c r="F198" s="11">
        <v>1.4530447483469544E-3</v>
      </c>
      <c r="G198" s="11">
        <f t="shared" si="10"/>
        <v>1.139437</v>
      </c>
      <c r="H198" s="11">
        <f t="shared" si="10"/>
        <v>1.0156050000000001</v>
      </c>
      <c r="I198" s="11">
        <f t="shared" si="10"/>
        <v>0.99014100000000005</v>
      </c>
      <c r="J198" s="11">
        <f t="shared" si="11"/>
        <v>1.001453044748347</v>
      </c>
    </row>
    <row r="199" spans="1:10">
      <c r="A199" s="76">
        <v>170</v>
      </c>
      <c r="B199" s="65">
        <v>39689</v>
      </c>
      <c r="C199" s="11">
        <v>-3.2962999999999999E-2</v>
      </c>
      <c r="D199" s="11">
        <v>4.4962000000000002E-2</v>
      </c>
      <c r="E199" s="11">
        <v>1.2191E-2</v>
      </c>
      <c r="F199" s="11">
        <v>9.5604536158644393E-4</v>
      </c>
      <c r="G199" s="11">
        <f t="shared" si="10"/>
        <v>0.96703700000000004</v>
      </c>
      <c r="H199" s="11">
        <f t="shared" si="10"/>
        <v>1.0449619999999999</v>
      </c>
      <c r="I199" s="11">
        <f t="shared" si="10"/>
        <v>1.0121910000000001</v>
      </c>
      <c r="J199" s="11">
        <f t="shared" si="11"/>
        <v>1.0009560453615864</v>
      </c>
    </row>
    <row r="200" spans="1:10">
      <c r="A200" s="76">
        <v>171</v>
      </c>
      <c r="B200" s="65">
        <v>39721</v>
      </c>
      <c r="C200" s="11">
        <v>1.7042999999999999E-2</v>
      </c>
      <c r="D200" s="11">
        <v>5.0367000000000002E-2</v>
      </c>
      <c r="E200" s="11">
        <v>-9.0790999999999997E-2</v>
      </c>
      <c r="F200" s="11">
        <v>5.7417517592184275E-4</v>
      </c>
      <c r="G200" s="11">
        <f t="shared" si="10"/>
        <v>1.0170429999999999</v>
      </c>
      <c r="H200" s="11">
        <f t="shared" si="10"/>
        <v>1.0503670000000001</v>
      </c>
      <c r="I200" s="11">
        <f t="shared" si="10"/>
        <v>0.90920900000000004</v>
      </c>
      <c r="J200" s="11">
        <f t="shared" si="11"/>
        <v>1.0005741751759218</v>
      </c>
    </row>
    <row r="201" spans="1:10">
      <c r="A201" s="76">
        <v>172</v>
      </c>
      <c r="B201" s="65">
        <v>39752</v>
      </c>
      <c r="C201" s="11">
        <v>-0.17772299999999999</v>
      </c>
      <c r="D201" s="11">
        <v>8.3800000000000003E-3</v>
      </c>
      <c r="E201" s="11">
        <v>-0.16942499999999999</v>
      </c>
      <c r="F201" s="11">
        <v>1.5827069608320699E-4</v>
      </c>
      <c r="G201" s="11">
        <f t="shared" si="10"/>
        <v>0.82227700000000004</v>
      </c>
      <c r="H201" s="11">
        <f t="shared" si="10"/>
        <v>1.0083800000000001</v>
      </c>
      <c r="I201" s="11">
        <f t="shared" si="10"/>
        <v>0.83057500000000006</v>
      </c>
      <c r="J201" s="11">
        <f t="shared" si="11"/>
        <v>1.0001582706960832</v>
      </c>
    </row>
    <row r="202" spans="1:10">
      <c r="A202" s="76">
        <v>173</v>
      </c>
      <c r="B202" s="65">
        <v>39780</v>
      </c>
      <c r="C202" s="11">
        <v>-0.111305</v>
      </c>
      <c r="D202" s="11">
        <v>-5.4132E-2</v>
      </c>
      <c r="E202" s="11">
        <v>-7.4848999999999999E-2</v>
      </c>
      <c r="F202" s="11">
        <v>2.4998437643253268E-5</v>
      </c>
      <c r="G202" s="11">
        <f t="shared" si="10"/>
        <v>0.88869500000000001</v>
      </c>
      <c r="H202" s="11">
        <f t="shared" si="10"/>
        <v>0.94586800000000004</v>
      </c>
      <c r="I202" s="11">
        <f t="shared" si="10"/>
        <v>0.92515100000000006</v>
      </c>
      <c r="J202" s="11">
        <f t="shared" si="11"/>
        <v>1.0000249984376433</v>
      </c>
    </row>
    <row r="203" spans="1:10">
      <c r="A203" s="76">
        <v>174</v>
      </c>
      <c r="B203" s="65">
        <v>39813</v>
      </c>
      <c r="C203" s="11">
        <v>-0.10061299999999999</v>
      </c>
      <c r="D203" s="11">
        <v>-3.6148E-2</v>
      </c>
      <c r="E203" s="11">
        <v>7.8220000000000008E-3</v>
      </c>
      <c r="F203" s="11">
        <v>1.0830400470474011E-4</v>
      </c>
      <c r="G203" s="11">
        <f t="shared" si="10"/>
        <v>0.89938700000000005</v>
      </c>
      <c r="H203" s="11">
        <f t="shared" si="10"/>
        <v>0.96385200000000004</v>
      </c>
      <c r="I203" s="11">
        <f t="shared" si="10"/>
        <v>1.007822</v>
      </c>
      <c r="J203" s="11">
        <f t="shared" si="11"/>
        <v>1.0001083040047047</v>
      </c>
    </row>
    <row r="204" spans="1:10">
      <c r="A204" s="76">
        <v>175</v>
      </c>
      <c r="B204" s="65">
        <v>39843</v>
      </c>
      <c r="C204" s="11">
        <v>-0.13941400000000001</v>
      </c>
      <c r="D204" s="11">
        <v>4.6751000000000001E-2</v>
      </c>
      <c r="E204" s="11">
        <v>-8.5656999999999997E-2</v>
      </c>
      <c r="F204" s="11">
        <v>2.4984389307713961E-4</v>
      </c>
      <c r="G204" s="11">
        <f t="shared" si="10"/>
        <v>0.86058599999999996</v>
      </c>
      <c r="H204" s="11">
        <f t="shared" si="10"/>
        <v>1.046751</v>
      </c>
      <c r="I204" s="11">
        <f t="shared" si="10"/>
        <v>0.91434300000000002</v>
      </c>
      <c r="J204" s="11">
        <f t="shared" si="11"/>
        <v>1.0002498438930771</v>
      </c>
    </row>
    <row r="205" spans="1:10">
      <c r="A205" s="76">
        <v>176</v>
      </c>
      <c r="B205" s="65">
        <v>39871</v>
      </c>
      <c r="C205" s="11">
        <v>-0.17638200000000001</v>
      </c>
      <c r="D205" s="11">
        <v>-9.6933000000000005E-2</v>
      </c>
      <c r="E205" s="11">
        <v>-0.109931</v>
      </c>
      <c r="F205" s="11">
        <v>1.8324936199687336E-4</v>
      </c>
      <c r="G205" s="11">
        <f t="shared" si="10"/>
        <v>0.82361799999999996</v>
      </c>
      <c r="H205" s="11">
        <f t="shared" si="10"/>
        <v>0.90306699999999995</v>
      </c>
      <c r="I205" s="11">
        <f t="shared" si="10"/>
        <v>0.890069</v>
      </c>
      <c r="J205" s="11">
        <f t="shared" si="11"/>
        <v>1.0001832493619969</v>
      </c>
    </row>
    <row r="206" spans="1:10">
      <c r="A206" s="76">
        <v>177</v>
      </c>
      <c r="B206" s="65">
        <v>39903</v>
      </c>
      <c r="C206" s="11">
        <v>7.2978000000000001E-2</v>
      </c>
      <c r="D206" s="11">
        <v>9.3896999999999994E-2</v>
      </c>
      <c r="E206" s="11">
        <v>8.5404999999999995E-2</v>
      </c>
      <c r="F206" s="11">
        <v>1.3328891060493397E-4</v>
      </c>
      <c r="G206" s="11">
        <f t="shared" si="10"/>
        <v>1.072978</v>
      </c>
      <c r="H206" s="11">
        <f t="shared" si="10"/>
        <v>1.0938969999999999</v>
      </c>
      <c r="I206" s="11">
        <f t="shared" si="10"/>
        <v>1.085405</v>
      </c>
      <c r="J206" s="11">
        <f t="shared" si="11"/>
        <v>1.0001332889106049</v>
      </c>
    </row>
    <row r="207" spans="1:10">
      <c r="A207" s="76">
        <v>178</v>
      </c>
      <c r="B207" s="65">
        <v>39933</v>
      </c>
      <c r="C207" s="11">
        <v>0.107255</v>
      </c>
      <c r="D207" s="11">
        <v>-6.2609999999999999E-2</v>
      </c>
      <c r="E207" s="11">
        <v>9.3924999999999995E-2</v>
      </c>
      <c r="F207" s="11">
        <v>1.4994378091781613E-4</v>
      </c>
      <c r="G207" s="11">
        <f t="shared" si="10"/>
        <v>1.1072550000000001</v>
      </c>
      <c r="H207" s="11">
        <f t="shared" si="10"/>
        <v>0.93738999999999995</v>
      </c>
      <c r="I207" s="11">
        <f t="shared" si="10"/>
        <v>1.093925</v>
      </c>
      <c r="J207" s="11">
        <f t="shared" si="11"/>
        <v>1.0001499437809178</v>
      </c>
    </row>
    <row r="208" spans="1:10">
      <c r="A208" s="76">
        <v>179</v>
      </c>
      <c r="B208" s="65">
        <v>39962</v>
      </c>
      <c r="C208" s="11">
        <v>7.2452000000000003E-2</v>
      </c>
      <c r="D208" s="11">
        <v>-2.9086999999999998E-2</v>
      </c>
      <c r="E208" s="11">
        <v>5.3081000000000003E-2</v>
      </c>
      <c r="F208" s="11">
        <v>1.4994378091781613E-4</v>
      </c>
      <c r="G208" s="11">
        <f t="shared" si="10"/>
        <v>1.072452</v>
      </c>
      <c r="H208" s="11">
        <f t="shared" si="10"/>
        <v>0.97091300000000003</v>
      </c>
      <c r="I208" s="11">
        <f t="shared" si="10"/>
        <v>1.0530809999999999</v>
      </c>
      <c r="J208" s="11">
        <f t="shared" si="11"/>
        <v>1.0001499437809178</v>
      </c>
    </row>
    <row r="209" spans="1:10">
      <c r="A209" s="76">
        <v>180</v>
      </c>
      <c r="B209" s="65">
        <v>39994</v>
      </c>
      <c r="C209" s="11">
        <v>-7.0934999999999998E-2</v>
      </c>
      <c r="D209" s="11">
        <v>5.5273999999999997E-2</v>
      </c>
      <c r="E209" s="11">
        <v>1.9599999999999999E-4</v>
      </c>
      <c r="F209" s="11">
        <v>1.4994378091781613E-4</v>
      </c>
      <c r="G209" s="11">
        <f t="shared" si="10"/>
        <v>0.92906500000000003</v>
      </c>
      <c r="H209" s="11">
        <f t="shared" si="10"/>
        <v>1.055274</v>
      </c>
      <c r="I209" s="11">
        <f t="shared" si="10"/>
        <v>1.0001960000000001</v>
      </c>
      <c r="J209" s="11">
        <f t="shared" si="11"/>
        <v>1.0001499437809178</v>
      </c>
    </row>
    <row r="210" spans="1:10">
      <c r="A210" s="76">
        <v>181</v>
      </c>
      <c r="B210" s="65">
        <v>40025</v>
      </c>
      <c r="C210" s="11">
        <v>4.4672999999999997E-2</v>
      </c>
      <c r="D210" s="11">
        <v>5.1844000000000001E-2</v>
      </c>
      <c r="E210" s="11">
        <v>7.4142E-2</v>
      </c>
      <c r="F210" s="11">
        <v>1.4161651910238326E-4</v>
      </c>
      <c r="G210" s="11">
        <f t="shared" si="10"/>
        <v>1.044673</v>
      </c>
      <c r="H210" s="11">
        <f t="shared" si="10"/>
        <v>1.051844</v>
      </c>
      <c r="I210" s="11">
        <f t="shared" si="10"/>
        <v>1.0741419999999999</v>
      </c>
      <c r="J210" s="11">
        <f t="shared" si="11"/>
        <v>1.0001416165191024</v>
      </c>
    </row>
    <row r="211" spans="1:10">
      <c r="A211" s="76">
        <v>182</v>
      </c>
      <c r="B211" s="65">
        <v>40056</v>
      </c>
      <c r="C211" s="11">
        <v>0.14767</v>
      </c>
      <c r="D211" s="11">
        <v>3.6076999999999998E-2</v>
      </c>
      <c r="E211" s="11">
        <v>3.356E-2</v>
      </c>
      <c r="F211" s="11">
        <v>9.9975009162811546E-5</v>
      </c>
      <c r="G211" s="11">
        <f t="shared" si="10"/>
        <v>1.14767</v>
      </c>
      <c r="H211" s="11">
        <f t="shared" si="10"/>
        <v>1.0360769999999999</v>
      </c>
      <c r="I211" s="11">
        <f t="shared" si="10"/>
        <v>1.03356</v>
      </c>
      <c r="J211" s="11">
        <f t="shared" si="11"/>
        <v>1.0000999750091628</v>
      </c>
    </row>
    <row r="212" spans="1:10">
      <c r="A212" s="76">
        <v>183</v>
      </c>
      <c r="B212" s="65">
        <v>40086</v>
      </c>
      <c r="C212" s="11">
        <v>8.0418000000000003E-2</v>
      </c>
      <c r="D212" s="11">
        <v>1.8661000000000001E-2</v>
      </c>
      <c r="E212" s="11">
        <v>3.5722999999999998E-2</v>
      </c>
      <c r="F212" s="11">
        <v>5.8324828208000667E-5</v>
      </c>
      <c r="G212" s="11">
        <f t="shared" si="10"/>
        <v>1.0804180000000001</v>
      </c>
      <c r="H212" s="11">
        <f t="shared" si="10"/>
        <v>1.018661</v>
      </c>
      <c r="I212" s="11">
        <f t="shared" si="10"/>
        <v>1.0357229999999999</v>
      </c>
      <c r="J212" s="11">
        <f t="shared" si="11"/>
        <v>1.000058324828208</v>
      </c>
    </row>
    <row r="213" spans="1:10">
      <c r="A213" s="76">
        <v>184</v>
      </c>
      <c r="B213" s="65">
        <v>40116</v>
      </c>
      <c r="C213" s="11">
        <v>-5.5289999999999999E-2</v>
      </c>
      <c r="D213" s="11">
        <v>-6.3509999999999999E-3</v>
      </c>
      <c r="E213" s="11">
        <v>-1.9761999999999998E-2</v>
      </c>
      <c r="F213" s="11">
        <v>4.166232705182793E-5</v>
      </c>
      <c r="G213" s="11">
        <f t="shared" si="10"/>
        <v>0.94471000000000005</v>
      </c>
      <c r="H213" s="11">
        <f t="shared" si="10"/>
        <v>0.993649</v>
      </c>
      <c r="I213" s="11">
        <f t="shared" si="10"/>
        <v>0.98023800000000005</v>
      </c>
      <c r="J213" s="11">
        <f t="shared" si="11"/>
        <v>1.0000416623270518</v>
      </c>
    </row>
    <row r="214" spans="1:10">
      <c r="A214" s="76">
        <v>185</v>
      </c>
      <c r="B214" s="65">
        <v>40147</v>
      </c>
      <c r="C214" s="11">
        <v>6.0787000000000001E-2</v>
      </c>
      <c r="D214" s="11">
        <v>6.9321999999999995E-2</v>
      </c>
      <c r="E214" s="11">
        <v>5.7363999999999998E-2</v>
      </c>
      <c r="F214" s="11">
        <v>4.166232705182793E-5</v>
      </c>
      <c r="G214" s="11">
        <f t="shared" si="10"/>
        <v>1.0607869999999999</v>
      </c>
      <c r="H214" s="11">
        <f t="shared" si="10"/>
        <v>1.0693220000000001</v>
      </c>
      <c r="I214" s="11">
        <f t="shared" si="10"/>
        <v>1.057364</v>
      </c>
      <c r="J214" s="11">
        <f t="shared" si="11"/>
        <v>1.0000416623270518</v>
      </c>
    </row>
    <row r="215" spans="1:10">
      <c r="A215" s="76">
        <v>186</v>
      </c>
      <c r="B215" s="65">
        <v>40178</v>
      </c>
      <c r="C215" s="11">
        <v>6.1817999999999998E-2</v>
      </c>
      <c r="D215" s="11">
        <v>5.8728000000000002E-2</v>
      </c>
      <c r="E215" s="11">
        <v>1.7770999999999999E-2</v>
      </c>
      <c r="F215" s="11">
        <v>4.9993751145560594E-5</v>
      </c>
      <c r="G215" s="11">
        <f t="shared" si="10"/>
        <v>1.0618179999999999</v>
      </c>
      <c r="H215" s="11">
        <f t="shared" si="10"/>
        <v>1.0587279999999999</v>
      </c>
      <c r="I215" s="11">
        <f t="shared" si="10"/>
        <v>1.017771</v>
      </c>
      <c r="J215" s="11">
        <f t="shared" si="11"/>
        <v>1.0000499937511456</v>
      </c>
    </row>
    <row r="216" spans="1:10">
      <c r="A216" s="76">
        <v>187</v>
      </c>
      <c r="B216" s="65">
        <v>40207</v>
      </c>
      <c r="C216" s="11">
        <v>-4.734E-2</v>
      </c>
      <c r="D216" s="11">
        <v>-3.7199999999999997E-2</v>
      </c>
      <c r="E216" s="11">
        <v>-3.6974E-2</v>
      </c>
      <c r="F216" s="11">
        <v>9.1645666780104662E-5</v>
      </c>
      <c r="G216" s="11">
        <f t="shared" si="10"/>
        <v>0.95265999999999995</v>
      </c>
      <c r="H216" s="11">
        <f t="shared" si="10"/>
        <v>0.96279999999999999</v>
      </c>
      <c r="I216" s="11">
        <f t="shared" si="10"/>
        <v>0.96302600000000005</v>
      </c>
      <c r="J216" s="11">
        <f t="shared" si="11"/>
        <v>1.0000916456667801</v>
      </c>
    </row>
    <row r="217" spans="1:10">
      <c r="A217" s="76">
        <v>188</v>
      </c>
      <c r="B217" s="65">
        <v>40235</v>
      </c>
      <c r="C217" s="11">
        <v>7.7926999999999996E-2</v>
      </c>
      <c r="D217" s="11">
        <v>-9.0310000000000008E-3</v>
      </c>
      <c r="E217" s="11">
        <v>2.8514000000000001E-2</v>
      </c>
      <c r="F217" s="11">
        <v>1.2496095539415997E-4</v>
      </c>
      <c r="G217" s="11">
        <f t="shared" si="10"/>
        <v>1.0779270000000001</v>
      </c>
      <c r="H217" s="11">
        <f t="shared" si="10"/>
        <v>0.99096899999999999</v>
      </c>
      <c r="I217" s="11">
        <f t="shared" si="10"/>
        <v>1.0285139999999999</v>
      </c>
      <c r="J217" s="11">
        <f t="shared" si="11"/>
        <v>1.0001249609553942</v>
      </c>
    </row>
    <row r="218" spans="1:10">
      <c r="A218" s="76">
        <v>189</v>
      </c>
      <c r="B218" s="65">
        <v>40268</v>
      </c>
      <c r="C218" s="11">
        <v>5.9167999999999998E-2</v>
      </c>
      <c r="D218" s="11">
        <v>4.1870999999999998E-2</v>
      </c>
      <c r="E218" s="11">
        <v>5.8796000000000001E-2</v>
      </c>
      <c r="F218" s="11">
        <v>1.3328891060493397E-4</v>
      </c>
      <c r="G218" s="11">
        <f t="shared" si="10"/>
        <v>1.0591680000000001</v>
      </c>
      <c r="H218" s="11">
        <f t="shared" si="10"/>
        <v>1.041871</v>
      </c>
      <c r="I218" s="11">
        <f t="shared" si="10"/>
        <v>1.0587960000000001</v>
      </c>
      <c r="J218" s="11">
        <f t="shared" si="11"/>
        <v>1.0001332889106049</v>
      </c>
    </row>
    <row r="219" spans="1:10">
      <c r="A219" s="76">
        <v>190</v>
      </c>
      <c r="B219" s="65">
        <v>40298</v>
      </c>
      <c r="C219" s="11">
        <v>0.176431</v>
      </c>
      <c r="D219" s="11">
        <v>1.4818E-2</v>
      </c>
      <c r="E219" s="11">
        <v>1.4759E-2</v>
      </c>
      <c r="F219" s="11">
        <v>1.3328891060493397E-4</v>
      </c>
      <c r="G219" s="11">
        <f t="shared" si="10"/>
        <v>1.176431</v>
      </c>
      <c r="H219" s="11">
        <f t="shared" si="10"/>
        <v>1.014818</v>
      </c>
      <c r="I219" s="11">
        <f t="shared" si="10"/>
        <v>1.014759</v>
      </c>
      <c r="J219" s="11">
        <f t="shared" si="11"/>
        <v>1.0001332889106049</v>
      </c>
    </row>
    <row r="220" spans="1:10">
      <c r="A220" s="76">
        <v>191</v>
      </c>
      <c r="B220" s="65">
        <v>40326</v>
      </c>
      <c r="C220" s="11">
        <v>-5.5750000000000001E-3</v>
      </c>
      <c r="D220" s="11">
        <v>-4.4580000000000002E-2</v>
      </c>
      <c r="E220" s="11">
        <v>-8.1975999999999993E-2</v>
      </c>
      <c r="F220" s="11">
        <v>9.9975009162811546E-5</v>
      </c>
      <c r="G220" s="11">
        <f t="shared" si="10"/>
        <v>0.994425</v>
      </c>
      <c r="H220" s="11">
        <f t="shared" si="10"/>
        <v>0.95542000000000005</v>
      </c>
      <c r="I220" s="11">
        <f t="shared" si="10"/>
        <v>0.91802399999999995</v>
      </c>
      <c r="J220" s="11">
        <f t="shared" si="11"/>
        <v>1.0000999750091628</v>
      </c>
    </row>
    <row r="221" spans="1:10">
      <c r="A221" s="76">
        <v>192</v>
      </c>
      <c r="B221" s="65">
        <v>40359</v>
      </c>
      <c r="C221" s="11">
        <v>-6.3266000000000003E-2</v>
      </c>
      <c r="D221" s="11">
        <v>1.1975E-2</v>
      </c>
      <c r="E221" s="11">
        <v>-5.3881999999999999E-2</v>
      </c>
      <c r="F221" s="11">
        <v>1.3328891060493397E-4</v>
      </c>
      <c r="G221" s="11">
        <f t="shared" si="10"/>
        <v>0.93673399999999996</v>
      </c>
      <c r="H221" s="11">
        <f t="shared" si="10"/>
        <v>1.0119750000000001</v>
      </c>
      <c r="I221" s="11">
        <f t="shared" si="10"/>
        <v>0.94611800000000001</v>
      </c>
      <c r="J221" s="11">
        <f t="shared" si="11"/>
        <v>1.0001332889106049</v>
      </c>
    </row>
    <row r="222" spans="1:10">
      <c r="A222" s="76">
        <v>193</v>
      </c>
      <c r="B222" s="65">
        <v>40389</v>
      </c>
      <c r="C222" s="11">
        <v>7.7608999999999997E-2</v>
      </c>
      <c r="D222" s="11">
        <v>7.0069999999999993E-2</v>
      </c>
      <c r="E222" s="11">
        <v>6.8778000000000006E-2</v>
      </c>
      <c r="F222" s="11">
        <v>1.3328891060493397E-4</v>
      </c>
      <c r="G222" s="11">
        <f t="shared" si="10"/>
        <v>1.077609</v>
      </c>
      <c r="H222" s="11">
        <f t="shared" si="10"/>
        <v>1.0700700000000001</v>
      </c>
      <c r="I222" s="11">
        <f t="shared" si="10"/>
        <v>1.068778</v>
      </c>
      <c r="J222" s="11">
        <f t="shared" si="11"/>
        <v>1.0001332889106049</v>
      </c>
    </row>
    <row r="223" spans="1:10">
      <c r="A223" s="76">
        <v>194</v>
      </c>
      <c r="B223" s="65">
        <v>40421</v>
      </c>
      <c r="C223" s="11">
        <v>6.2789999999999999E-3</v>
      </c>
      <c r="D223" s="11">
        <v>4.3473999999999999E-2</v>
      </c>
      <c r="E223" s="11">
        <v>-4.7448999999999998E-2</v>
      </c>
      <c r="F223" s="11">
        <v>1.2496095539415997E-4</v>
      </c>
      <c r="G223" s="11">
        <f t="shared" ref="G223:I286" si="12">1+C223</f>
        <v>1.0062789999999999</v>
      </c>
      <c r="H223" s="11">
        <f t="shared" si="12"/>
        <v>1.043474</v>
      </c>
      <c r="I223" s="11">
        <f t="shared" si="12"/>
        <v>0.95255100000000004</v>
      </c>
      <c r="J223" s="11">
        <f t="shared" ref="J223:J286" si="13">1+F223</f>
        <v>1.0001249609553942</v>
      </c>
    </row>
    <row r="224" spans="1:10">
      <c r="A224" s="76">
        <v>195</v>
      </c>
      <c r="B224" s="65">
        <v>40451</v>
      </c>
      <c r="C224" s="11">
        <v>4.446E-2</v>
      </c>
      <c r="D224" s="11">
        <v>1.4517E-2</v>
      </c>
      <c r="E224" s="11">
        <v>8.7551000000000004E-2</v>
      </c>
      <c r="F224" s="11">
        <v>1.0830400470474011E-4</v>
      </c>
      <c r="G224" s="11">
        <f t="shared" si="12"/>
        <v>1.0444599999999999</v>
      </c>
      <c r="H224" s="11">
        <f t="shared" si="12"/>
        <v>1.0145169999999999</v>
      </c>
      <c r="I224" s="11">
        <f t="shared" si="12"/>
        <v>1.0875509999999999</v>
      </c>
      <c r="J224" s="11">
        <f t="shared" si="13"/>
        <v>1.0001083040047047</v>
      </c>
    </row>
    <row r="225" spans="1:10">
      <c r="A225" s="76">
        <v>196</v>
      </c>
      <c r="B225" s="65">
        <v>40480</v>
      </c>
      <c r="C225" s="11">
        <v>3.2163999999999998E-2</v>
      </c>
      <c r="D225" s="11">
        <v>3.1106999999999999E-2</v>
      </c>
      <c r="E225" s="11">
        <v>3.6856E-2</v>
      </c>
      <c r="F225" s="11">
        <v>1.1663265343808682E-4</v>
      </c>
      <c r="G225" s="11">
        <f t="shared" si="12"/>
        <v>1.0321640000000001</v>
      </c>
      <c r="H225" s="11">
        <f t="shared" si="12"/>
        <v>1.031107</v>
      </c>
      <c r="I225" s="11">
        <f t="shared" si="12"/>
        <v>1.036856</v>
      </c>
      <c r="J225" s="11">
        <f t="shared" si="13"/>
        <v>1.0001166326534381</v>
      </c>
    </row>
    <row r="226" spans="1:10">
      <c r="A226" s="76">
        <v>197</v>
      </c>
      <c r="B226" s="65">
        <v>40512</v>
      </c>
      <c r="C226" s="11">
        <v>-1.8768E-2</v>
      </c>
      <c r="D226" s="11">
        <v>-1.5185000000000001E-2</v>
      </c>
      <c r="E226" s="11">
        <v>-2.2899999999999999E-3</v>
      </c>
      <c r="F226" s="11">
        <v>1.1663265343808682E-4</v>
      </c>
      <c r="G226" s="11">
        <f t="shared" si="12"/>
        <v>0.98123199999999999</v>
      </c>
      <c r="H226" s="11">
        <f t="shared" si="12"/>
        <v>0.984815</v>
      </c>
      <c r="I226" s="11">
        <f t="shared" si="12"/>
        <v>0.99770999999999999</v>
      </c>
      <c r="J226" s="11">
        <f t="shared" si="13"/>
        <v>1.0001166326534381</v>
      </c>
    </row>
    <row r="227" spans="1:10">
      <c r="A227" s="76">
        <v>198</v>
      </c>
      <c r="B227" s="65">
        <v>40543</v>
      </c>
      <c r="C227" s="11">
        <v>3.9809999999999998E-2</v>
      </c>
      <c r="D227" s="11">
        <v>2.4809000000000001E-2</v>
      </c>
      <c r="E227" s="11">
        <v>6.5299999999999997E-2</v>
      </c>
      <c r="F227" s="11">
        <v>1.2496095539415997E-4</v>
      </c>
      <c r="G227" s="11">
        <f t="shared" si="12"/>
        <v>1.0398099999999999</v>
      </c>
      <c r="H227" s="11">
        <f t="shared" si="12"/>
        <v>1.0248090000000001</v>
      </c>
      <c r="I227" s="11">
        <f t="shared" si="12"/>
        <v>1.0652999999999999</v>
      </c>
      <c r="J227" s="11">
        <f t="shared" si="13"/>
        <v>1.0001249609553942</v>
      </c>
    </row>
    <row r="228" spans="1:10">
      <c r="A228" s="76">
        <v>199</v>
      </c>
      <c r="B228" s="65">
        <v>40574</v>
      </c>
      <c r="C228" s="11">
        <v>1.5584000000000001E-2</v>
      </c>
      <c r="D228" s="11">
        <v>6.8589999999999996E-3</v>
      </c>
      <c r="E228" s="11">
        <v>2.2645999999999999E-2</v>
      </c>
      <c r="F228" s="11">
        <v>1.0830400470474011E-4</v>
      </c>
      <c r="G228" s="11">
        <f t="shared" si="12"/>
        <v>1.015584</v>
      </c>
      <c r="H228" s="11">
        <f t="shared" si="12"/>
        <v>1.0068589999999999</v>
      </c>
      <c r="I228" s="11">
        <f t="shared" si="12"/>
        <v>1.0226459999999999</v>
      </c>
      <c r="J228" s="11">
        <f t="shared" si="13"/>
        <v>1.0001083040047047</v>
      </c>
    </row>
    <row r="229" spans="1:10">
      <c r="A229" s="76">
        <v>200</v>
      </c>
      <c r="B229" s="65">
        <v>40602</v>
      </c>
      <c r="C229" s="11">
        <v>6.7069000000000004E-2</v>
      </c>
      <c r="D229" s="11">
        <v>1.3424E-2</v>
      </c>
      <c r="E229" s="11">
        <v>3.1956999999999999E-2</v>
      </c>
      <c r="F229" s="11">
        <v>8.3315977525089124E-5</v>
      </c>
      <c r="G229" s="11">
        <f t="shared" si="12"/>
        <v>1.067069</v>
      </c>
      <c r="H229" s="11">
        <f t="shared" si="12"/>
        <v>1.0134240000000001</v>
      </c>
      <c r="I229" s="11">
        <f t="shared" si="12"/>
        <v>1.031957</v>
      </c>
      <c r="J229" s="11">
        <f t="shared" si="13"/>
        <v>1.0000833159775251</v>
      </c>
    </row>
    <row r="230" spans="1:10">
      <c r="A230" s="76">
        <v>201</v>
      </c>
      <c r="B230" s="65">
        <v>40633</v>
      </c>
      <c r="C230" s="11">
        <v>1.0179000000000001E-2</v>
      </c>
      <c r="D230" s="11">
        <v>1.4806E-2</v>
      </c>
      <c r="E230" s="11">
        <v>-1.047E-3</v>
      </c>
      <c r="F230" s="11">
        <v>4.9993751145560594E-5</v>
      </c>
      <c r="G230" s="11">
        <f t="shared" si="12"/>
        <v>1.0101789999999999</v>
      </c>
      <c r="H230" s="11">
        <f t="shared" si="12"/>
        <v>1.0148060000000001</v>
      </c>
      <c r="I230" s="11">
        <f t="shared" si="12"/>
        <v>0.99895299999999998</v>
      </c>
      <c r="J230" s="11">
        <f t="shared" si="13"/>
        <v>1.0000499937511456</v>
      </c>
    </row>
    <row r="231" spans="1:10">
      <c r="A231" s="76">
        <v>202</v>
      </c>
      <c r="B231" s="65">
        <v>40662</v>
      </c>
      <c r="C231" s="11">
        <v>9.2580999999999997E-2</v>
      </c>
      <c r="D231" s="11">
        <v>2.7602000000000002E-2</v>
      </c>
      <c r="E231" s="11">
        <v>2.8494999999999999E-2</v>
      </c>
      <c r="F231" s="11">
        <v>3.3330555895050296E-5</v>
      </c>
      <c r="G231" s="11">
        <f t="shared" si="12"/>
        <v>1.092581</v>
      </c>
      <c r="H231" s="11">
        <f t="shared" si="12"/>
        <v>1.0276019999999999</v>
      </c>
      <c r="I231" s="11">
        <f t="shared" si="12"/>
        <v>1.0284949999999999</v>
      </c>
      <c r="J231" s="11">
        <f t="shared" si="13"/>
        <v>1.0000333305558951</v>
      </c>
    </row>
    <row r="232" spans="1:10">
      <c r="A232" s="76">
        <v>203</v>
      </c>
      <c r="B232" s="65">
        <v>40694</v>
      </c>
      <c r="C232" s="11">
        <v>1.5722E-2</v>
      </c>
      <c r="D232" s="11">
        <v>2.9547E-2</v>
      </c>
      <c r="E232" s="11">
        <v>-1.3501000000000001E-2</v>
      </c>
      <c r="F232" s="11">
        <v>3.3330555895050296E-5</v>
      </c>
      <c r="G232" s="11">
        <f t="shared" si="12"/>
        <v>1.015722</v>
      </c>
      <c r="H232" s="11">
        <f t="shared" si="12"/>
        <v>1.029547</v>
      </c>
      <c r="I232" s="11">
        <f t="shared" si="12"/>
        <v>0.98649900000000001</v>
      </c>
      <c r="J232" s="11">
        <f t="shared" si="13"/>
        <v>1.0000333305558951</v>
      </c>
    </row>
    <row r="233" spans="1:10">
      <c r="A233" s="76">
        <v>204</v>
      </c>
      <c r="B233" s="65">
        <v>40724</v>
      </c>
      <c r="C233" s="11">
        <v>-9.3019999999999995E-3</v>
      </c>
      <c r="D233" s="11">
        <v>3.392E-3</v>
      </c>
      <c r="E233" s="11">
        <v>-1.8258E-2</v>
      </c>
      <c r="F233" s="11">
        <v>3.3330555895050296E-5</v>
      </c>
      <c r="G233" s="11">
        <f t="shared" si="12"/>
        <v>0.99069799999999997</v>
      </c>
      <c r="H233" s="11">
        <f t="shared" si="12"/>
        <v>1.0033920000000001</v>
      </c>
      <c r="I233" s="11">
        <f t="shared" si="12"/>
        <v>0.981742</v>
      </c>
      <c r="J233" s="11">
        <f t="shared" si="13"/>
        <v>1.0000333305558951</v>
      </c>
    </row>
    <row r="234" spans="1:10">
      <c r="A234" s="76">
        <v>205</v>
      </c>
      <c r="B234" s="65">
        <v>40753</v>
      </c>
      <c r="C234" s="11">
        <v>3.7475000000000001E-2</v>
      </c>
      <c r="D234" s="11">
        <v>-1.2021E-2</v>
      </c>
      <c r="E234" s="11">
        <v>-2.1474E-2</v>
      </c>
      <c r="F234" s="11">
        <v>1.666597226468447E-5</v>
      </c>
      <c r="G234" s="11">
        <f t="shared" si="12"/>
        <v>1.0374749999999999</v>
      </c>
      <c r="H234" s="11">
        <f t="shared" si="12"/>
        <v>0.98797900000000005</v>
      </c>
      <c r="I234" s="11">
        <f t="shared" si="12"/>
        <v>0.97852600000000001</v>
      </c>
      <c r="J234" s="11">
        <f t="shared" si="13"/>
        <v>1.0000166659722647</v>
      </c>
    </row>
    <row r="235" spans="1:10">
      <c r="A235" s="76">
        <v>206</v>
      </c>
      <c r="B235" s="65">
        <v>40786</v>
      </c>
      <c r="C235" s="11">
        <v>2.2727000000000001E-2</v>
      </c>
      <c r="D235" s="11">
        <v>8.0037999999999998E-2</v>
      </c>
      <c r="E235" s="11">
        <v>-5.6791000000000001E-2</v>
      </c>
      <c r="F235" s="11">
        <v>8.3331597275915215E-6</v>
      </c>
      <c r="G235" s="11">
        <f t="shared" si="12"/>
        <v>1.0227269999999999</v>
      </c>
      <c r="H235" s="11">
        <f t="shared" si="12"/>
        <v>1.0800380000000001</v>
      </c>
      <c r="I235" s="11">
        <f t="shared" si="12"/>
        <v>0.94320899999999996</v>
      </c>
      <c r="J235" s="11">
        <f t="shared" si="13"/>
        <v>1.0000083331597276</v>
      </c>
    </row>
    <row r="236" spans="1:10">
      <c r="A236" s="76">
        <v>207</v>
      </c>
      <c r="B236" s="65">
        <v>40816</v>
      </c>
      <c r="C236" s="11">
        <v>-0.156531</v>
      </c>
      <c r="D236" s="11">
        <v>1.4409999999999999E-2</v>
      </c>
      <c r="E236" s="11">
        <v>-7.1762000000000006E-2</v>
      </c>
      <c r="F236" s="11">
        <v>1.666597226468447E-5</v>
      </c>
      <c r="G236" s="11">
        <f t="shared" si="12"/>
        <v>0.84346900000000002</v>
      </c>
      <c r="H236" s="11">
        <f t="shared" si="12"/>
        <v>1.01441</v>
      </c>
      <c r="I236" s="11">
        <f t="shared" si="12"/>
        <v>0.92823800000000001</v>
      </c>
      <c r="J236" s="11">
        <f t="shared" si="13"/>
        <v>1.0000166659722647</v>
      </c>
    </row>
    <row r="237" spans="1:10">
      <c r="A237" s="76">
        <v>208</v>
      </c>
      <c r="B237" s="65">
        <v>40847</v>
      </c>
      <c r="C237" s="11">
        <v>0.18926999999999999</v>
      </c>
      <c r="D237" s="11">
        <v>1.4907E-2</v>
      </c>
      <c r="E237" s="11">
        <v>0.107723</v>
      </c>
      <c r="F237" s="11">
        <v>8.3331597275915215E-6</v>
      </c>
      <c r="G237" s="11">
        <f t="shared" si="12"/>
        <v>1.18927</v>
      </c>
      <c r="H237" s="11">
        <f t="shared" si="12"/>
        <v>1.014907</v>
      </c>
      <c r="I237" s="11">
        <f t="shared" si="12"/>
        <v>1.107723</v>
      </c>
      <c r="J237" s="11">
        <f t="shared" si="13"/>
        <v>1.0000083331597276</v>
      </c>
    </row>
    <row r="238" spans="1:10">
      <c r="A238" s="76">
        <v>209</v>
      </c>
      <c r="B238" s="65">
        <v>40877</v>
      </c>
      <c r="C238" s="11">
        <v>-6.9417000000000006E-2</v>
      </c>
      <c r="D238" s="11">
        <v>3.7151999999999998E-2</v>
      </c>
      <c r="E238" s="11">
        <v>-5.0590000000000001E-3</v>
      </c>
      <c r="F238" s="11">
        <v>8.3331597275915215E-6</v>
      </c>
      <c r="G238" s="11">
        <f t="shared" si="12"/>
        <v>0.93058299999999994</v>
      </c>
      <c r="H238" s="11">
        <f t="shared" si="12"/>
        <v>1.0371520000000001</v>
      </c>
      <c r="I238" s="11">
        <f t="shared" si="12"/>
        <v>0.99494099999999996</v>
      </c>
      <c r="J238" s="11">
        <f t="shared" si="13"/>
        <v>1.0000083331597276</v>
      </c>
    </row>
    <row r="239" spans="1:10">
      <c r="A239" s="76">
        <v>210</v>
      </c>
      <c r="B239" s="65">
        <v>40907</v>
      </c>
      <c r="C239" s="11">
        <v>6.5487000000000004E-2</v>
      </c>
      <c r="D239" s="11">
        <v>4.3924999999999999E-2</v>
      </c>
      <c r="E239" s="11">
        <v>8.5330000000000007E-3</v>
      </c>
      <c r="F239" s="11">
        <v>2.4998437643253268E-5</v>
      </c>
      <c r="G239" s="11">
        <f t="shared" si="12"/>
        <v>1.0654870000000001</v>
      </c>
      <c r="H239" s="11">
        <f t="shared" si="12"/>
        <v>1.043925</v>
      </c>
      <c r="I239" s="11">
        <f t="shared" si="12"/>
        <v>1.0085329999999999</v>
      </c>
      <c r="J239" s="11">
        <f t="shared" si="13"/>
        <v>1.0000249984376433</v>
      </c>
    </row>
    <row r="240" spans="1:10">
      <c r="A240" s="76">
        <v>211</v>
      </c>
      <c r="B240" s="65">
        <v>40939</v>
      </c>
      <c r="C240" s="11">
        <v>2.4837999999999999E-2</v>
      </c>
      <c r="D240" s="11">
        <v>-4.9492000000000001E-2</v>
      </c>
      <c r="E240" s="11">
        <v>4.3582999999999997E-2</v>
      </c>
      <c r="F240" s="11">
        <v>7.4985941366012554E-5</v>
      </c>
      <c r="G240" s="11">
        <f t="shared" si="12"/>
        <v>1.0248379999999999</v>
      </c>
      <c r="H240" s="11">
        <f t="shared" si="12"/>
        <v>0.95050800000000002</v>
      </c>
      <c r="I240" s="11">
        <f t="shared" si="12"/>
        <v>1.0435829999999999</v>
      </c>
      <c r="J240" s="11">
        <f t="shared" si="13"/>
        <v>1.000074985941366</v>
      </c>
    </row>
    <row r="241" spans="1:10">
      <c r="A241" s="76">
        <v>212</v>
      </c>
      <c r="B241" s="65">
        <v>40968</v>
      </c>
      <c r="C241" s="11">
        <v>-2.7847E-2</v>
      </c>
      <c r="D241" s="11">
        <v>-4.3249999999999999E-3</v>
      </c>
      <c r="E241" s="11">
        <v>4.0589E-2</v>
      </c>
      <c r="F241" s="11">
        <v>6.6655558270900528E-5</v>
      </c>
      <c r="G241" s="11">
        <f t="shared" si="12"/>
        <v>0.97215300000000004</v>
      </c>
      <c r="H241" s="11">
        <f t="shared" si="12"/>
        <v>0.99567499999999998</v>
      </c>
      <c r="I241" s="11">
        <f t="shared" si="12"/>
        <v>1.040589</v>
      </c>
      <c r="J241" s="11">
        <f t="shared" si="13"/>
        <v>1.0000666555582709</v>
      </c>
    </row>
    <row r="242" spans="1:10">
      <c r="A242" s="76">
        <v>213</v>
      </c>
      <c r="B242" s="65">
        <v>40998</v>
      </c>
      <c r="C242" s="11">
        <v>9.0149000000000007E-2</v>
      </c>
      <c r="D242" s="11">
        <v>5.5079999999999999E-3</v>
      </c>
      <c r="E242" s="11">
        <v>3.1331999999999999E-2</v>
      </c>
      <c r="F242" s="11">
        <v>6.6655558270900528E-5</v>
      </c>
      <c r="G242" s="11">
        <f t="shared" si="12"/>
        <v>1.090149</v>
      </c>
      <c r="H242" s="11">
        <f t="shared" si="12"/>
        <v>1.0055080000000001</v>
      </c>
      <c r="I242" s="11">
        <f t="shared" si="12"/>
        <v>1.0313319999999999</v>
      </c>
      <c r="J242" s="11">
        <f t="shared" si="13"/>
        <v>1.0000666555582709</v>
      </c>
    </row>
    <row r="243" spans="1:10">
      <c r="A243" s="76">
        <v>214</v>
      </c>
      <c r="B243" s="65">
        <v>41029</v>
      </c>
      <c r="C243" s="11">
        <v>4.2638000000000002E-2</v>
      </c>
      <c r="D243" s="11">
        <v>1.7631000000000001E-2</v>
      </c>
      <c r="E243" s="11">
        <v>-7.4970000000000002E-3</v>
      </c>
      <c r="F243" s="11">
        <v>7.4985941366012554E-5</v>
      </c>
      <c r="G243" s="11">
        <f t="shared" si="12"/>
        <v>1.042638</v>
      </c>
      <c r="H243" s="11">
        <f t="shared" si="12"/>
        <v>1.017631</v>
      </c>
      <c r="I243" s="11">
        <f t="shared" si="12"/>
        <v>0.99250300000000002</v>
      </c>
      <c r="J243" s="11">
        <f t="shared" si="13"/>
        <v>1.000074985941366</v>
      </c>
    </row>
    <row r="244" spans="1:10">
      <c r="A244" s="76">
        <v>215</v>
      </c>
      <c r="B244" s="65">
        <v>41060</v>
      </c>
      <c r="C244" s="11">
        <v>-4.7541E-2</v>
      </c>
      <c r="D244" s="11">
        <v>2.5484E-2</v>
      </c>
      <c r="E244" s="11">
        <v>-6.2650999999999998E-2</v>
      </c>
      <c r="F244" s="11">
        <v>7.4985941366012554E-5</v>
      </c>
      <c r="G244" s="11">
        <f t="shared" si="12"/>
        <v>0.95245899999999994</v>
      </c>
      <c r="H244" s="11">
        <f t="shared" si="12"/>
        <v>1.0254840000000001</v>
      </c>
      <c r="I244" s="11">
        <f t="shared" si="12"/>
        <v>0.93734899999999999</v>
      </c>
      <c r="J244" s="11">
        <f t="shared" si="13"/>
        <v>1.000074985941366</v>
      </c>
    </row>
    <row r="245" spans="1:10">
      <c r="A245" s="76">
        <v>216</v>
      </c>
      <c r="B245" s="65">
        <v>41089</v>
      </c>
      <c r="C245" s="11">
        <v>3.0307000000000001E-2</v>
      </c>
      <c r="D245" s="11">
        <v>3.0318000000000001E-2</v>
      </c>
      <c r="E245" s="11">
        <v>3.9555E-2</v>
      </c>
      <c r="F245" s="11">
        <v>8.3315977525089124E-5</v>
      </c>
      <c r="G245" s="11">
        <f t="shared" si="12"/>
        <v>1.0303070000000001</v>
      </c>
      <c r="H245" s="11">
        <f t="shared" si="12"/>
        <v>1.0303180000000001</v>
      </c>
      <c r="I245" s="11">
        <f t="shared" si="12"/>
        <v>1.039555</v>
      </c>
      <c r="J245" s="11">
        <f t="shared" si="13"/>
        <v>1.0000833159775251</v>
      </c>
    </row>
    <row r="246" spans="1:10">
      <c r="A246" s="76">
        <v>217</v>
      </c>
      <c r="B246" s="65">
        <v>41121</v>
      </c>
      <c r="C246" s="11">
        <v>2.2349000000000001E-2</v>
      </c>
      <c r="D246" s="11">
        <v>3.7144000000000003E-2</v>
      </c>
      <c r="E246" s="11">
        <v>1.2598E-2</v>
      </c>
      <c r="F246" s="11">
        <v>8.3315977525089124E-5</v>
      </c>
      <c r="G246" s="11">
        <f t="shared" si="12"/>
        <v>1.022349</v>
      </c>
      <c r="H246" s="11">
        <f t="shared" si="12"/>
        <v>1.0371440000000001</v>
      </c>
      <c r="I246" s="11">
        <f t="shared" si="12"/>
        <v>1.0125980000000001</v>
      </c>
      <c r="J246" s="11">
        <f t="shared" si="13"/>
        <v>1.0000833159775251</v>
      </c>
    </row>
    <row r="247" spans="1:10">
      <c r="A247" s="76">
        <v>218</v>
      </c>
      <c r="B247" s="65">
        <v>41152</v>
      </c>
      <c r="C247" s="11">
        <v>-3.4188999999999997E-2</v>
      </c>
      <c r="D247" s="11">
        <v>-5.0775000000000001E-2</v>
      </c>
      <c r="E247" s="11">
        <v>1.9762999999999999E-2</v>
      </c>
      <c r="F247" s="11">
        <v>9.1645666780104662E-5</v>
      </c>
      <c r="G247" s="11">
        <f t="shared" si="12"/>
        <v>0.96581099999999998</v>
      </c>
      <c r="H247" s="11">
        <f t="shared" si="12"/>
        <v>0.94922499999999999</v>
      </c>
      <c r="I247" s="11">
        <f t="shared" si="12"/>
        <v>1.019763</v>
      </c>
      <c r="J247" s="11">
        <f t="shared" si="13"/>
        <v>1.0000916456667801</v>
      </c>
    </row>
    <row r="248" spans="1:10">
      <c r="A248" s="76">
        <v>219</v>
      </c>
      <c r="B248" s="65">
        <v>41180</v>
      </c>
      <c r="C248" s="11">
        <v>-1.7371000000000001E-2</v>
      </c>
      <c r="D248" s="11">
        <v>-1.2042000000000001E-2</v>
      </c>
      <c r="E248" s="11">
        <v>2.4236000000000001E-2</v>
      </c>
      <c r="F248" s="11">
        <v>8.3315977525089124E-5</v>
      </c>
      <c r="G248" s="11">
        <f t="shared" si="12"/>
        <v>0.98262899999999997</v>
      </c>
      <c r="H248" s="11">
        <f t="shared" si="12"/>
        <v>0.987958</v>
      </c>
      <c r="I248" s="11">
        <f t="shared" si="12"/>
        <v>1.0242359999999999</v>
      </c>
      <c r="J248" s="11">
        <f t="shared" si="13"/>
        <v>1.0000833159775251</v>
      </c>
    </row>
    <row r="249" spans="1:10">
      <c r="A249" s="76">
        <v>220</v>
      </c>
      <c r="B249" s="65">
        <v>41213</v>
      </c>
      <c r="C249" s="11">
        <v>1.1873E-2</v>
      </c>
      <c r="D249" s="11">
        <v>8.182E-3</v>
      </c>
      <c r="E249" s="11">
        <v>-1.9789000000000001E-2</v>
      </c>
      <c r="F249" s="11">
        <v>7.4985941366012554E-5</v>
      </c>
      <c r="G249" s="11">
        <f t="shared" si="12"/>
        <v>1.011873</v>
      </c>
      <c r="H249" s="11">
        <f t="shared" si="12"/>
        <v>1.0081819999999999</v>
      </c>
      <c r="I249" s="11">
        <f t="shared" si="12"/>
        <v>0.98021099999999994</v>
      </c>
      <c r="J249" s="11">
        <f t="shared" si="13"/>
        <v>1.000074985941366</v>
      </c>
    </row>
    <row r="250" spans="1:10">
      <c r="A250" s="76">
        <v>221</v>
      </c>
      <c r="B250" s="65">
        <v>41243</v>
      </c>
      <c r="C250" s="11">
        <v>-6.3399999999999998E-2</v>
      </c>
      <c r="D250" s="11">
        <v>-6.5999000000000002E-2</v>
      </c>
      <c r="E250" s="11">
        <v>2.8470000000000001E-3</v>
      </c>
      <c r="F250" s="11">
        <v>5.8324828208000667E-5</v>
      </c>
      <c r="G250" s="11">
        <f t="shared" si="12"/>
        <v>0.93659999999999999</v>
      </c>
      <c r="H250" s="11">
        <f t="shared" si="12"/>
        <v>0.93400099999999997</v>
      </c>
      <c r="I250" s="11">
        <f t="shared" si="12"/>
        <v>1.002847</v>
      </c>
      <c r="J250" s="11">
        <f t="shared" si="13"/>
        <v>1.000058324828208</v>
      </c>
    </row>
    <row r="251" spans="1:10">
      <c r="A251" s="76">
        <v>222</v>
      </c>
      <c r="B251" s="65">
        <v>41274</v>
      </c>
      <c r="C251" s="11">
        <v>5.1676E-2</v>
      </c>
      <c r="D251" s="11">
        <v>-4.4809999999999997E-3</v>
      </c>
      <c r="E251" s="11">
        <v>7.0679999999999996E-3</v>
      </c>
      <c r="F251" s="11">
        <v>5.8324828208000667E-5</v>
      </c>
      <c r="G251" s="11">
        <f t="shared" si="12"/>
        <v>1.0516760000000001</v>
      </c>
      <c r="H251" s="11">
        <f t="shared" si="12"/>
        <v>0.99551900000000004</v>
      </c>
      <c r="I251" s="11">
        <f t="shared" si="12"/>
        <v>1.0070680000000001</v>
      </c>
      <c r="J251" s="11">
        <f t="shared" si="13"/>
        <v>1.000058324828208</v>
      </c>
    </row>
    <row r="252" spans="1:10">
      <c r="A252" s="76">
        <v>223</v>
      </c>
      <c r="B252" s="65">
        <v>41305</v>
      </c>
      <c r="C252" s="11">
        <v>4.8619000000000002E-2</v>
      </c>
      <c r="D252" s="11">
        <v>2.4126999999999999E-2</v>
      </c>
      <c r="E252" s="11">
        <v>5.0428000000000001E-2</v>
      </c>
      <c r="F252" s="11">
        <v>8.3315977525089124E-5</v>
      </c>
      <c r="G252" s="11">
        <f t="shared" si="12"/>
        <v>1.048619</v>
      </c>
      <c r="H252" s="11">
        <f t="shared" si="12"/>
        <v>1.024127</v>
      </c>
      <c r="I252" s="11">
        <f t="shared" si="12"/>
        <v>1.0504279999999999</v>
      </c>
      <c r="J252" s="11">
        <f t="shared" si="13"/>
        <v>1.0000833159775251</v>
      </c>
    </row>
    <row r="253" spans="1:10">
      <c r="A253" s="76">
        <v>224</v>
      </c>
      <c r="B253" s="65">
        <v>41333</v>
      </c>
      <c r="C253" s="11">
        <v>-3.1147999999999999E-2</v>
      </c>
      <c r="D253" s="11">
        <v>4.8084000000000002E-2</v>
      </c>
      <c r="E253" s="11">
        <v>1.1061E-2</v>
      </c>
      <c r="F253" s="11">
        <v>7.4985941366012554E-5</v>
      </c>
      <c r="G253" s="11">
        <f t="shared" si="12"/>
        <v>0.96885200000000005</v>
      </c>
      <c r="H253" s="11">
        <f t="shared" si="12"/>
        <v>1.048084</v>
      </c>
      <c r="I253" s="11">
        <f t="shared" si="12"/>
        <v>1.011061</v>
      </c>
      <c r="J253" s="11">
        <f t="shared" si="13"/>
        <v>1.000074985941366</v>
      </c>
    </row>
    <row r="254" spans="1:10">
      <c r="A254" s="76">
        <v>225</v>
      </c>
      <c r="B254" s="65">
        <v>41361</v>
      </c>
      <c r="C254" s="11">
        <v>1.8793000000000001E-2</v>
      </c>
      <c r="D254" s="11">
        <v>3.4407E-2</v>
      </c>
      <c r="E254" s="11">
        <v>3.5987999999999999E-2</v>
      </c>
      <c r="F254" s="11">
        <v>4.9993751145560594E-5</v>
      </c>
      <c r="G254" s="11">
        <f t="shared" si="12"/>
        <v>1.0187930000000001</v>
      </c>
      <c r="H254" s="11">
        <f t="shared" si="12"/>
        <v>1.0344070000000001</v>
      </c>
      <c r="I254" s="11">
        <f t="shared" si="12"/>
        <v>1.0359879999999999</v>
      </c>
      <c r="J254" s="11">
        <f t="shared" si="13"/>
        <v>1.0000499937511456</v>
      </c>
    </row>
    <row r="255" spans="1:10">
      <c r="A255" s="76">
        <v>226</v>
      </c>
      <c r="B255" s="65">
        <v>41394</v>
      </c>
      <c r="C255" s="11">
        <v>4.2966999999999998E-2</v>
      </c>
      <c r="D255" s="11">
        <v>4.2930000000000003E-2</v>
      </c>
      <c r="E255" s="11">
        <v>1.8086000000000001E-2</v>
      </c>
      <c r="F255" s="11">
        <v>3.3330555895050296E-5</v>
      </c>
      <c r="G255" s="11">
        <f t="shared" si="12"/>
        <v>1.042967</v>
      </c>
      <c r="H255" s="11">
        <f t="shared" si="12"/>
        <v>1.0429299999999999</v>
      </c>
      <c r="I255" s="11">
        <f t="shared" si="12"/>
        <v>1.018086</v>
      </c>
      <c r="J255" s="11">
        <f t="shared" si="13"/>
        <v>1.0000333305558951</v>
      </c>
    </row>
    <row r="256" spans="1:10">
      <c r="A256" s="76">
        <v>227</v>
      </c>
      <c r="B256" s="65">
        <v>41425</v>
      </c>
      <c r="C256" s="11">
        <v>5.7300000000000005E-4</v>
      </c>
      <c r="D256" s="11">
        <v>-9.3715999999999994E-2</v>
      </c>
      <c r="E256" s="11">
        <v>2.0763E-2</v>
      </c>
      <c r="F256" s="11">
        <v>4.166232705182793E-5</v>
      </c>
      <c r="G256" s="11">
        <f t="shared" si="12"/>
        <v>1.0005729999999999</v>
      </c>
      <c r="H256" s="11">
        <f t="shared" si="12"/>
        <v>0.90628399999999998</v>
      </c>
      <c r="I256" s="11">
        <f t="shared" si="12"/>
        <v>1.0207630000000001</v>
      </c>
      <c r="J256" s="11">
        <f t="shared" si="13"/>
        <v>1.0000416623270518</v>
      </c>
    </row>
    <row r="257" spans="1:10">
      <c r="A257" s="76">
        <v>228</v>
      </c>
      <c r="B257" s="65">
        <v>41453</v>
      </c>
      <c r="C257" s="11">
        <v>1.9028E-2</v>
      </c>
      <c r="D257" s="11">
        <v>2.1728000000000001E-2</v>
      </c>
      <c r="E257" s="11">
        <v>-1.4999E-2</v>
      </c>
      <c r="F257" s="11">
        <v>3.3330555895050296E-5</v>
      </c>
      <c r="G257" s="11">
        <f t="shared" si="12"/>
        <v>1.019028</v>
      </c>
      <c r="H257" s="11">
        <f t="shared" si="12"/>
        <v>1.021728</v>
      </c>
      <c r="I257" s="11">
        <f t="shared" si="12"/>
        <v>0.98500100000000002</v>
      </c>
      <c r="J257" s="11">
        <f t="shared" si="13"/>
        <v>1.0000333305558951</v>
      </c>
    </row>
    <row r="258" spans="1:10">
      <c r="A258" s="76">
        <v>229</v>
      </c>
      <c r="B258" s="65">
        <v>41486</v>
      </c>
      <c r="C258" s="11">
        <v>1.4912999999999999E-2</v>
      </c>
      <c r="D258" s="11">
        <v>2.7268000000000001E-2</v>
      </c>
      <c r="E258" s="11">
        <v>4.9461999999999999E-2</v>
      </c>
      <c r="F258" s="11">
        <v>3.3330555895050296E-5</v>
      </c>
      <c r="G258" s="11">
        <f t="shared" si="12"/>
        <v>1.014913</v>
      </c>
      <c r="H258" s="11">
        <f t="shared" si="12"/>
        <v>1.0272680000000001</v>
      </c>
      <c r="I258" s="11">
        <f t="shared" si="12"/>
        <v>1.0494619999999999</v>
      </c>
      <c r="J258" s="11">
        <f t="shared" si="13"/>
        <v>1.0000333305558951</v>
      </c>
    </row>
    <row r="259" spans="1:10">
      <c r="A259" s="76">
        <v>230</v>
      </c>
      <c r="B259" s="65">
        <v>41516</v>
      </c>
      <c r="C259" s="11">
        <v>-0.11147600000000001</v>
      </c>
      <c r="D259" s="11">
        <v>-5.1001999999999999E-2</v>
      </c>
      <c r="E259" s="11">
        <v>-3.1297999999999999E-2</v>
      </c>
      <c r="F259" s="11">
        <v>1.666597226468447E-5</v>
      </c>
      <c r="G259" s="11">
        <f t="shared" si="12"/>
        <v>0.88852399999999998</v>
      </c>
      <c r="H259" s="11">
        <f t="shared" si="12"/>
        <v>0.94899800000000001</v>
      </c>
      <c r="I259" s="11">
        <f t="shared" si="12"/>
        <v>0.96870199999999995</v>
      </c>
      <c r="J259" s="11">
        <f t="shared" si="13"/>
        <v>1.0000166659722647</v>
      </c>
    </row>
    <row r="260" spans="1:10">
      <c r="A260" s="76">
        <v>231</v>
      </c>
      <c r="B260" s="65">
        <v>41547</v>
      </c>
      <c r="C260" s="11">
        <v>3.9076E-2</v>
      </c>
      <c r="D260" s="11">
        <v>-1.9384999999999999E-2</v>
      </c>
      <c r="E260" s="11">
        <v>2.9749000000000001E-2</v>
      </c>
      <c r="F260" s="11">
        <v>4.166232705182793E-5</v>
      </c>
      <c r="G260" s="11">
        <f t="shared" si="12"/>
        <v>1.0390760000000001</v>
      </c>
      <c r="H260" s="11">
        <f t="shared" si="12"/>
        <v>0.98061500000000001</v>
      </c>
      <c r="I260" s="11">
        <f t="shared" si="12"/>
        <v>1.029749</v>
      </c>
      <c r="J260" s="11">
        <f t="shared" si="13"/>
        <v>1.0000416623270518</v>
      </c>
    </row>
    <row r="261" spans="1:10">
      <c r="A261" s="76">
        <v>232</v>
      </c>
      <c r="B261" s="65">
        <v>41578</v>
      </c>
      <c r="C261" s="11">
        <v>9.0047000000000002E-2</v>
      </c>
      <c r="D261" s="11">
        <v>5.5857999999999998E-2</v>
      </c>
      <c r="E261" s="11">
        <v>4.4595999999999997E-2</v>
      </c>
      <c r="F261" s="11">
        <v>5.8324828208000667E-5</v>
      </c>
      <c r="G261" s="11">
        <f t="shared" si="12"/>
        <v>1.090047</v>
      </c>
      <c r="H261" s="11">
        <f t="shared" si="12"/>
        <v>1.055858</v>
      </c>
      <c r="I261" s="11">
        <f t="shared" si="12"/>
        <v>1.0445960000000001</v>
      </c>
      <c r="J261" s="11">
        <f t="shared" si="13"/>
        <v>1.000058324828208</v>
      </c>
    </row>
    <row r="262" spans="1:10">
      <c r="A262" s="76">
        <v>233</v>
      </c>
      <c r="B262" s="65">
        <v>41607</v>
      </c>
      <c r="C262" s="11">
        <v>-5.7081E-2</v>
      </c>
      <c r="D262" s="11">
        <v>-4.1137E-2</v>
      </c>
      <c r="E262" s="11">
        <v>2.8049000000000001E-2</v>
      </c>
      <c r="F262" s="11">
        <v>5.8324828208000667E-5</v>
      </c>
      <c r="G262" s="11">
        <f t="shared" si="12"/>
        <v>0.94291899999999995</v>
      </c>
      <c r="H262" s="11">
        <f t="shared" si="12"/>
        <v>0.95886300000000002</v>
      </c>
      <c r="I262" s="11">
        <f t="shared" si="12"/>
        <v>1.028049</v>
      </c>
      <c r="J262" s="11">
        <f t="shared" si="13"/>
        <v>1.000058324828208</v>
      </c>
    </row>
    <row r="263" spans="1:10">
      <c r="A263" s="76">
        <v>234</v>
      </c>
      <c r="B263" s="65">
        <v>41639</v>
      </c>
      <c r="C263" s="11">
        <v>-4.6703000000000001E-2</v>
      </c>
      <c r="D263" s="11">
        <v>1.268E-3</v>
      </c>
      <c r="E263" s="11">
        <v>2.3563000000000001E-2</v>
      </c>
      <c r="F263" s="11">
        <v>3.3330555895050296E-5</v>
      </c>
      <c r="G263" s="11">
        <f t="shared" si="12"/>
        <v>0.95329699999999995</v>
      </c>
      <c r="H263" s="11">
        <f t="shared" si="12"/>
        <v>1.001268</v>
      </c>
      <c r="I263" s="11">
        <f t="shared" si="12"/>
        <v>1.023563</v>
      </c>
      <c r="J263" s="11">
        <f t="shared" si="13"/>
        <v>1.0000333305558951</v>
      </c>
    </row>
    <row r="264" spans="1:10">
      <c r="A264" s="76">
        <v>235</v>
      </c>
      <c r="B264" s="65">
        <v>41670</v>
      </c>
      <c r="C264" s="11">
        <v>0.103547</v>
      </c>
      <c r="D264" s="11">
        <v>-1.5737999999999999E-2</v>
      </c>
      <c r="E264" s="11">
        <v>-3.5582999999999997E-2</v>
      </c>
      <c r="F264" s="11">
        <v>4.166232705182793E-5</v>
      </c>
      <c r="G264" s="11">
        <f t="shared" si="12"/>
        <v>1.1035470000000001</v>
      </c>
      <c r="H264" s="11">
        <f t="shared" si="12"/>
        <v>0.98426199999999997</v>
      </c>
      <c r="I264" s="11">
        <f t="shared" si="12"/>
        <v>0.96441699999999997</v>
      </c>
      <c r="J264" s="11">
        <f t="shared" si="13"/>
        <v>1.0000416623270518</v>
      </c>
    </row>
    <row r="265" spans="1:10">
      <c r="A265" s="76">
        <v>236</v>
      </c>
      <c r="B265" s="65">
        <v>41698</v>
      </c>
      <c r="C265" s="11">
        <v>5.6071000000000003E-2</v>
      </c>
      <c r="D265" s="11">
        <v>4.172E-2</v>
      </c>
      <c r="E265" s="11">
        <v>4.3117000000000003E-2</v>
      </c>
      <c r="F265" s="11">
        <v>4.166232705182793E-5</v>
      </c>
      <c r="G265" s="11">
        <f t="shared" si="12"/>
        <v>1.056071</v>
      </c>
      <c r="H265" s="11">
        <f t="shared" si="12"/>
        <v>1.04172</v>
      </c>
      <c r="I265" s="11">
        <f t="shared" si="12"/>
        <v>1.0431170000000001</v>
      </c>
      <c r="J265" s="11">
        <f t="shared" si="13"/>
        <v>1.0000416623270518</v>
      </c>
    </row>
    <row r="266" spans="1:10">
      <c r="A266" s="76">
        <v>237</v>
      </c>
      <c r="B266" s="65">
        <v>41729</v>
      </c>
      <c r="C266" s="11">
        <v>2.3976000000000001E-2</v>
      </c>
      <c r="D266" s="11">
        <v>-4.2819000000000003E-2</v>
      </c>
      <c r="E266" s="11">
        <v>6.9319999999999998E-3</v>
      </c>
      <c r="F266" s="11">
        <v>2.4998437643253268E-5</v>
      </c>
      <c r="G266" s="11">
        <f t="shared" si="12"/>
        <v>1.023976</v>
      </c>
      <c r="H266" s="11">
        <f t="shared" si="12"/>
        <v>0.95718099999999995</v>
      </c>
      <c r="I266" s="11">
        <f t="shared" si="12"/>
        <v>1.0069319999999999</v>
      </c>
      <c r="J266" s="11">
        <f t="shared" si="13"/>
        <v>1.0000249984376433</v>
      </c>
    </row>
    <row r="267" spans="1:10">
      <c r="A267" s="76">
        <v>238</v>
      </c>
      <c r="B267" s="65">
        <v>41759</v>
      </c>
      <c r="C267" s="11">
        <v>1.8877000000000001E-2</v>
      </c>
      <c r="D267" s="11">
        <v>8.1640000000000004E-2</v>
      </c>
      <c r="E267" s="11">
        <v>6.2009999999999999E-3</v>
      </c>
      <c r="F267" s="11">
        <v>2.4998437643253268E-5</v>
      </c>
      <c r="G267" s="11">
        <f t="shared" si="12"/>
        <v>1.018877</v>
      </c>
      <c r="H267" s="11">
        <f t="shared" si="12"/>
        <v>1.0816399999999999</v>
      </c>
      <c r="I267" s="11">
        <f t="shared" si="12"/>
        <v>1.0062009999999999</v>
      </c>
      <c r="J267" s="11">
        <f t="shared" si="13"/>
        <v>1.0000249984376433</v>
      </c>
    </row>
    <row r="268" spans="1:10">
      <c r="A268" s="76">
        <v>239</v>
      </c>
      <c r="B268" s="65">
        <v>41789</v>
      </c>
      <c r="C268" s="11">
        <v>4.4442000000000002E-2</v>
      </c>
      <c r="D268" s="11">
        <v>-4.1186E-2</v>
      </c>
      <c r="E268" s="11">
        <v>2.103E-2</v>
      </c>
      <c r="F268" s="11">
        <v>3.3330555895050296E-5</v>
      </c>
      <c r="G268" s="11">
        <f t="shared" si="12"/>
        <v>1.0444420000000001</v>
      </c>
      <c r="H268" s="11">
        <f t="shared" si="12"/>
        <v>0.95881400000000006</v>
      </c>
      <c r="I268" s="11">
        <f t="shared" si="12"/>
        <v>1.0210300000000001</v>
      </c>
      <c r="J268" s="11">
        <f t="shared" si="13"/>
        <v>1.0000333305558951</v>
      </c>
    </row>
    <row r="269" spans="1:10">
      <c r="A269" s="76">
        <v>240</v>
      </c>
      <c r="B269" s="65">
        <v>41820</v>
      </c>
      <c r="C269" s="11">
        <v>2.9012E-2</v>
      </c>
      <c r="D269" s="11">
        <v>4.9626999999999998E-2</v>
      </c>
      <c r="E269" s="11">
        <v>1.9057999999999999E-2</v>
      </c>
      <c r="F269" s="11">
        <v>2.4998437643253268E-5</v>
      </c>
      <c r="G269" s="11">
        <f t="shared" si="12"/>
        <v>1.029012</v>
      </c>
      <c r="H269" s="11">
        <f t="shared" si="12"/>
        <v>1.0496270000000001</v>
      </c>
      <c r="I269" s="11">
        <f t="shared" si="12"/>
        <v>1.019058</v>
      </c>
      <c r="J269" s="11">
        <f t="shared" si="13"/>
        <v>1.0000249984376433</v>
      </c>
    </row>
    <row r="270" spans="1:10">
      <c r="A270" s="76">
        <v>241</v>
      </c>
      <c r="B270" s="65">
        <v>41851</v>
      </c>
      <c r="C270" s="11">
        <v>2.5201000000000001E-2</v>
      </c>
      <c r="D270" s="11">
        <v>-2.8576000000000001E-2</v>
      </c>
      <c r="E270" s="11">
        <v>-1.508E-2</v>
      </c>
      <c r="F270" s="11">
        <v>2.4998437643253268E-5</v>
      </c>
      <c r="G270" s="11">
        <f t="shared" si="12"/>
        <v>1.025201</v>
      </c>
      <c r="H270" s="11">
        <f t="shared" si="12"/>
        <v>0.97142399999999995</v>
      </c>
      <c r="I270" s="11">
        <f t="shared" si="12"/>
        <v>0.98492000000000002</v>
      </c>
      <c r="J270" s="11">
        <f t="shared" si="13"/>
        <v>1.0000249984376433</v>
      </c>
    </row>
    <row r="271" spans="1:10">
      <c r="A271" s="76">
        <v>242</v>
      </c>
      <c r="B271" s="65">
        <v>41880</v>
      </c>
      <c r="C271" s="11">
        <v>2.0466999999999999E-2</v>
      </c>
      <c r="D271" s="11">
        <v>4.3323E-2</v>
      </c>
      <c r="E271" s="11">
        <v>3.7655000000000001E-2</v>
      </c>
      <c r="F271" s="11">
        <v>1.666597226468447E-5</v>
      </c>
      <c r="G271" s="11">
        <f t="shared" si="12"/>
        <v>1.020467</v>
      </c>
      <c r="H271" s="11">
        <f t="shared" si="12"/>
        <v>1.043323</v>
      </c>
      <c r="I271" s="11">
        <f t="shared" si="12"/>
        <v>1.037655</v>
      </c>
      <c r="J271" s="11">
        <f t="shared" si="13"/>
        <v>1.0000166659722647</v>
      </c>
    </row>
    <row r="272" spans="1:10">
      <c r="A272" s="76">
        <v>243</v>
      </c>
      <c r="B272" s="65">
        <v>41912</v>
      </c>
      <c r="C272" s="11">
        <v>-6.9268999999999997E-2</v>
      </c>
      <c r="D272" s="11">
        <v>-2.1246999999999999E-2</v>
      </c>
      <c r="E272" s="11">
        <v>-1.5514E-2</v>
      </c>
      <c r="F272" s="11">
        <v>1.666597226468447E-5</v>
      </c>
      <c r="G272" s="11">
        <f t="shared" si="12"/>
        <v>0.93073099999999998</v>
      </c>
      <c r="H272" s="11">
        <f t="shared" si="12"/>
        <v>0.97875299999999998</v>
      </c>
      <c r="I272" s="11">
        <f t="shared" si="12"/>
        <v>0.98448599999999997</v>
      </c>
      <c r="J272" s="11">
        <f t="shared" si="13"/>
        <v>1.0000166659722647</v>
      </c>
    </row>
    <row r="273" spans="1:10">
      <c r="A273" s="76">
        <v>244</v>
      </c>
      <c r="B273" s="65">
        <v>41943</v>
      </c>
      <c r="C273" s="11">
        <v>0.12872700000000001</v>
      </c>
      <c r="D273" s="11">
        <v>0.11824900000000001</v>
      </c>
      <c r="E273" s="11">
        <v>2.3200999999999999E-2</v>
      </c>
      <c r="F273" s="11">
        <v>1.666597226468447E-5</v>
      </c>
      <c r="G273" s="11">
        <f t="shared" si="12"/>
        <v>1.128727</v>
      </c>
      <c r="H273" s="11">
        <f t="shared" si="12"/>
        <v>1.118249</v>
      </c>
      <c r="I273" s="11">
        <f t="shared" si="12"/>
        <v>1.023201</v>
      </c>
      <c r="J273" s="11">
        <f t="shared" si="13"/>
        <v>1.0000166659722647</v>
      </c>
    </row>
    <row r="274" spans="1:10">
      <c r="A274" s="76">
        <v>245</v>
      </c>
      <c r="B274" s="65">
        <v>41971</v>
      </c>
      <c r="C274" s="11">
        <v>3.222E-3</v>
      </c>
      <c r="D274" s="11">
        <v>6.6290000000000003E-3</v>
      </c>
      <c r="E274" s="11">
        <v>2.4534E-2</v>
      </c>
      <c r="F274" s="11">
        <v>2.4998437643253268E-5</v>
      </c>
      <c r="G274" s="11">
        <f t="shared" si="12"/>
        <v>1.0032220000000001</v>
      </c>
      <c r="H274" s="11">
        <f t="shared" si="12"/>
        <v>1.006629</v>
      </c>
      <c r="I274" s="11">
        <f t="shared" si="12"/>
        <v>1.0245340000000001</v>
      </c>
      <c r="J274" s="11">
        <f t="shared" si="13"/>
        <v>1.0000249984376433</v>
      </c>
    </row>
    <row r="275" spans="1:10">
      <c r="A275" s="76">
        <v>246</v>
      </c>
      <c r="B275" s="65">
        <v>42004</v>
      </c>
      <c r="C275" s="11">
        <v>2.7123000000000001E-2</v>
      </c>
      <c r="D275" s="11">
        <v>4.5289000000000003E-2</v>
      </c>
      <c r="E275" s="11">
        <v>-4.189E-3</v>
      </c>
      <c r="F275" s="11">
        <v>2.4998437643253268E-5</v>
      </c>
      <c r="G275" s="11">
        <f t="shared" si="12"/>
        <v>1.027123</v>
      </c>
      <c r="H275" s="11">
        <f t="shared" si="12"/>
        <v>1.0452889999999999</v>
      </c>
      <c r="I275" s="11">
        <f t="shared" si="12"/>
        <v>0.995811</v>
      </c>
      <c r="J275" s="11">
        <f t="shared" si="13"/>
        <v>1.0000249984376433</v>
      </c>
    </row>
    <row r="276" spans="1:10">
      <c r="A276" s="76">
        <v>247</v>
      </c>
      <c r="B276" s="65">
        <v>42034</v>
      </c>
      <c r="C276" s="11">
        <v>9.4143000000000004E-2</v>
      </c>
      <c r="D276" s="11">
        <v>4.9537999999999999E-2</v>
      </c>
      <c r="E276" s="11">
        <v>-3.1040999999999999E-2</v>
      </c>
      <c r="F276" s="11">
        <v>1.666597226468447E-5</v>
      </c>
      <c r="G276" s="11">
        <f t="shared" si="12"/>
        <v>1.0941430000000001</v>
      </c>
      <c r="H276" s="11">
        <f t="shared" si="12"/>
        <v>1.0495380000000001</v>
      </c>
      <c r="I276" s="11">
        <f t="shared" si="12"/>
        <v>0.96895900000000001</v>
      </c>
      <c r="J276" s="11">
        <f t="shared" si="13"/>
        <v>1.0000166659722647</v>
      </c>
    </row>
    <row r="277" spans="1:10">
      <c r="A277" s="76">
        <v>248</v>
      </c>
      <c r="B277" s="65">
        <v>42062</v>
      </c>
      <c r="C277" s="11">
        <v>-1.6014E-2</v>
      </c>
      <c r="D277" s="11">
        <v>-7.9243999999999995E-2</v>
      </c>
      <c r="E277" s="11">
        <v>5.4892999999999997E-2</v>
      </c>
      <c r="F277" s="11">
        <v>2.4998437643253268E-5</v>
      </c>
      <c r="G277" s="11">
        <f t="shared" si="12"/>
        <v>0.98398600000000003</v>
      </c>
      <c r="H277" s="11">
        <f t="shared" si="12"/>
        <v>0.92075600000000002</v>
      </c>
      <c r="I277" s="11">
        <f t="shared" si="12"/>
        <v>1.0548930000000001</v>
      </c>
      <c r="J277" s="11">
        <f t="shared" si="13"/>
        <v>1.0000249984376433</v>
      </c>
    </row>
    <row r="278" spans="1:10">
      <c r="A278" s="76">
        <v>249</v>
      </c>
      <c r="B278" s="65">
        <v>42094</v>
      </c>
      <c r="C278" s="11">
        <v>4.0058000000000003E-2</v>
      </c>
      <c r="D278" s="11">
        <v>-3.3893E-2</v>
      </c>
      <c r="E278" s="11">
        <v>-1.7395999999999998E-2</v>
      </c>
      <c r="F278" s="11">
        <v>1.666597226468447E-5</v>
      </c>
      <c r="G278" s="11">
        <f t="shared" si="12"/>
        <v>1.0400579999999999</v>
      </c>
      <c r="H278" s="11">
        <f t="shared" si="12"/>
        <v>0.96610700000000005</v>
      </c>
      <c r="I278" s="11">
        <f t="shared" si="12"/>
        <v>0.98260400000000003</v>
      </c>
      <c r="J278" s="11">
        <f t="shared" si="13"/>
        <v>1.0000166659722647</v>
      </c>
    </row>
    <row r="279" spans="1:10">
      <c r="A279" s="76">
        <v>250</v>
      </c>
      <c r="B279" s="65">
        <v>42124</v>
      </c>
      <c r="C279" s="11">
        <v>-3.458E-2</v>
      </c>
      <c r="D279" s="11">
        <v>9.0159999999999997E-3</v>
      </c>
      <c r="E279" s="11">
        <v>8.5210000000000008E-3</v>
      </c>
      <c r="F279" s="11">
        <v>1.666597226468447E-5</v>
      </c>
      <c r="G279" s="11">
        <f t="shared" si="12"/>
        <v>0.96541999999999994</v>
      </c>
      <c r="H279" s="11">
        <f t="shared" si="12"/>
        <v>1.0090159999999999</v>
      </c>
      <c r="I279" s="11">
        <f t="shared" si="12"/>
        <v>1.008521</v>
      </c>
      <c r="J279" s="11">
        <f t="shared" si="13"/>
        <v>1.0000166659722647</v>
      </c>
    </row>
    <row r="280" spans="1:10">
      <c r="A280" s="76">
        <v>251</v>
      </c>
      <c r="B280" s="65">
        <v>42153</v>
      </c>
      <c r="C280" s="11">
        <v>3.019E-3</v>
      </c>
      <c r="D280" s="11">
        <v>1.5272000000000001E-2</v>
      </c>
      <c r="E280" s="11">
        <v>1.0491E-2</v>
      </c>
      <c r="F280" s="11">
        <v>1.666597226468447E-5</v>
      </c>
      <c r="G280" s="11">
        <f t="shared" si="12"/>
        <v>1.0030190000000001</v>
      </c>
      <c r="H280" s="11">
        <f t="shared" si="12"/>
        <v>1.015272</v>
      </c>
      <c r="I280" s="11">
        <f t="shared" si="12"/>
        <v>1.010491</v>
      </c>
      <c r="J280" s="11">
        <f t="shared" si="13"/>
        <v>1.0000166659722647</v>
      </c>
    </row>
    <row r="281" spans="1:10">
      <c r="A281" s="76">
        <v>252</v>
      </c>
      <c r="B281" s="65">
        <v>42185</v>
      </c>
      <c r="C281" s="11">
        <v>-3.8989999999999997E-2</v>
      </c>
      <c r="D281" s="11">
        <v>-6.4035999999999996E-2</v>
      </c>
      <c r="E281" s="11">
        <v>-2.1011999999999999E-2</v>
      </c>
      <c r="F281" s="11">
        <v>2.4998437643253268E-5</v>
      </c>
      <c r="G281" s="11">
        <f t="shared" si="12"/>
        <v>0.96101000000000003</v>
      </c>
      <c r="H281" s="11">
        <f t="shared" si="12"/>
        <v>0.93596400000000002</v>
      </c>
      <c r="I281" s="11">
        <f t="shared" si="12"/>
        <v>0.97898799999999997</v>
      </c>
      <c r="J281" s="11">
        <f t="shared" si="13"/>
        <v>1.0000249984376433</v>
      </c>
    </row>
    <row r="282" spans="1:10">
      <c r="A282" s="76">
        <v>253</v>
      </c>
      <c r="B282" s="65">
        <v>42216</v>
      </c>
      <c r="C282" s="11">
        <v>5.8400000000000001E-2</v>
      </c>
      <c r="D282" s="11">
        <v>9.8652000000000004E-2</v>
      </c>
      <c r="E282" s="11">
        <v>1.9741999999999999E-2</v>
      </c>
      <c r="F282" s="11">
        <v>5.8324828208000667E-5</v>
      </c>
      <c r="G282" s="11">
        <f t="shared" si="12"/>
        <v>1.0584</v>
      </c>
      <c r="H282" s="11">
        <f t="shared" si="12"/>
        <v>1.098652</v>
      </c>
      <c r="I282" s="11">
        <f t="shared" si="12"/>
        <v>1.0197419999999999</v>
      </c>
      <c r="J282" s="11">
        <f t="shared" si="13"/>
        <v>1.000058324828208</v>
      </c>
    </row>
    <row r="283" spans="1:10">
      <c r="A283" s="76">
        <v>254</v>
      </c>
      <c r="B283" s="65">
        <v>42247</v>
      </c>
      <c r="C283" s="11">
        <v>-4.5752000000000001E-2</v>
      </c>
      <c r="D283" s="11">
        <v>-4.7199999999999998E-4</v>
      </c>
      <c r="E283" s="11">
        <v>-6.2580999999999998E-2</v>
      </c>
      <c r="F283" s="11">
        <v>1.666597226468447E-5</v>
      </c>
      <c r="G283" s="11">
        <f t="shared" si="12"/>
        <v>0.95424799999999999</v>
      </c>
      <c r="H283" s="11">
        <f t="shared" si="12"/>
        <v>0.99952799999999997</v>
      </c>
      <c r="I283" s="11">
        <f t="shared" si="12"/>
        <v>0.937419</v>
      </c>
      <c r="J283" s="11">
        <f t="shared" si="13"/>
        <v>1.0000166659722647</v>
      </c>
    </row>
    <row r="284" spans="1:10">
      <c r="A284" s="76">
        <v>255</v>
      </c>
      <c r="B284" s="65">
        <v>42277</v>
      </c>
      <c r="C284" s="11">
        <v>4.7711999999999997E-2</v>
      </c>
      <c r="D284" s="11">
        <v>6.2629000000000004E-2</v>
      </c>
      <c r="E284" s="11">
        <v>-2.6443000000000001E-2</v>
      </c>
      <c r="F284" s="11">
        <v>1.666597226468447E-5</v>
      </c>
      <c r="G284" s="11">
        <f t="shared" si="12"/>
        <v>1.047712</v>
      </c>
      <c r="H284" s="11">
        <f t="shared" si="12"/>
        <v>1.062629</v>
      </c>
      <c r="I284" s="11">
        <f t="shared" si="12"/>
        <v>0.97355700000000001</v>
      </c>
      <c r="J284" s="11">
        <f t="shared" si="13"/>
        <v>1.0000166659722647</v>
      </c>
    </row>
    <row r="285" spans="1:10">
      <c r="A285" s="76">
        <v>256</v>
      </c>
      <c r="B285" s="65">
        <v>42307</v>
      </c>
      <c r="C285" s="11">
        <v>-1.3337999999999999E-2</v>
      </c>
      <c r="D285" s="11">
        <v>-1.6455000000000001E-2</v>
      </c>
      <c r="E285" s="11">
        <v>8.2983000000000001E-2</v>
      </c>
      <c r="F285" s="11">
        <v>1.0830400470474011E-4</v>
      </c>
      <c r="G285" s="11">
        <f t="shared" si="12"/>
        <v>0.98666200000000004</v>
      </c>
      <c r="H285" s="11">
        <f t="shared" si="12"/>
        <v>0.983545</v>
      </c>
      <c r="I285" s="11">
        <f t="shared" si="12"/>
        <v>1.082983</v>
      </c>
      <c r="J285" s="11">
        <f t="shared" si="13"/>
        <v>1.0001083040047047</v>
      </c>
    </row>
    <row r="286" spans="1:10">
      <c r="A286" s="76">
        <v>257</v>
      </c>
      <c r="B286" s="65">
        <v>42338</v>
      </c>
      <c r="C286" s="11">
        <v>4.6952000000000001E-2</v>
      </c>
      <c r="D286" s="11">
        <v>-4.4866999999999997E-2</v>
      </c>
      <c r="E286" s="11">
        <v>5.0500000000000002E-4</v>
      </c>
      <c r="F286" s="11">
        <v>1.9157489087961999E-4</v>
      </c>
      <c r="G286" s="11">
        <f t="shared" si="12"/>
        <v>1.0469520000000001</v>
      </c>
      <c r="H286" s="11">
        <f t="shared" si="12"/>
        <v>0.95513300000000001</v>
      </c>
      <c r="I286" s="11">
        <f t="shared" si="12"/>
        <v>1.000505</v>
      </c>
      <c r="J286" s="11">
        <f t="shared" si="13"/>
        <v>1.0001915748908796</v>
      </c>
    </row>
    <row r="287" spans="1:10">
      <c r="A287" s="76">
        <v>258</v>
      </c>
      <c r="B287" s="65">
        <v>42369</v>
      </c>
      <c r="C287" s="11">
        <v>4.3589000000000003E-2</v>
      </c>
      <c r="D287" s="11">
        <v>3.4111000000000002E-2</v>
      </c>
      <c r="E287" s="11">
        <v>-1.753E-2</v>
      </c>
      <c r="F287" s="11">
        <v>2.1654939870674461E-4</v>
      </c>
      <c r="G287" s="11">
        <f t="shared" ref="G287:I350" si="14">1+C287</f>
        <v>1.0435890000000001</v>
      </c>
      <c r="H287" s="11">
        <f t="shared" si="14"/>
        <v>1.034111</v>
      </c>
      <c r="I287" s="11">
        <f t="shared" si="14"/>
        <v>0.98246999999999995</v>
      </c>
      <c r="J287" s="11">
        <f t="shared" ref="J287:J350" si="15">1+F287</f>
        <v>1.0002165493987067</v>
      </c>
    </row>
    <row r="288" spans="1:10">
      <c r="A288" s="76">
        <v>259</v>
      </c>
      <c r="B288" s="65">
        <v>42398</v>
      </c>
      <c r="C288" s="11">
        <v>-0.10985300000000001</v>
      </c>
      <c r="D288" s="11">
        <v>7.9663999999999999E-2</v>
      </c>
      <c r="E288" s="11">
        <v>-5.0735000000000002E-2</v>
      </c>
      <c r="F288" s="11">
        <v>2.5816665091715763E-4</v>
      </c>
      <c r="G288" s="11">
        <f t="shared" si="14"/>
        <v>0.89014700000000002</v>
      </c>
      <c r="H288" s="11">
        <f t="shared" si="14"/>
        <v>1.079664</v>
      </c>
      <c r="I288" s="11">
        <f t="shared" si="14"/>
        <v>0.94926500000000003</v>
      </c>
      <c r="J288" s="11">
        <f t="shared" si="15"/>
        <v>1.0002581666509172</v>
      </c>
    </row>
    <row r="289" spans="1:10">
      <c r="A289" s="76">
        <v>260</v>
      </c>
      <c r="B289" s="65">
        <v>42429</v>
      </c>
      <c r="C289" s="11">
        <v>-1.7971999999999998E-2</v>
      </c>
      <c r="D289" s="11">
        <v>1.8591E-2</v>
      </c>
      <c r="E289" s="11">
        <v>-4.1279999999999997E-3</v>
      </c>
      <c r="F289" s="11">
        <v>2.4984389307713961E-4</v>
      </c>
      <c r="G289" s="11">
        <f t="shared" si="14"/>
        <v>0.98202800000000001</v>
      </c>
      <c r="H289" s="11">
        <f t="shared" si="14"/>
        <v>1.018591</v>
      </c>
      <c r="I289" s="11">
        <f t="shared" si="14"/>
        <v>0.99587199999999998</v>
      </c>
      <c r="J289" s="11">
        <f t="shared" si="15"/>
        <v>1.0002498438930771</v>
      </c>
    </row>
    <row r="290" spans="1:10">
      <c r="A290" s="76">
        <v>261</v>
      </c>
      <c r="B290" s="65">
        <v>42460</v>
      </c>
      <c r="C290" s="11">
        <v>0.12509600000000001</v>
      </c>
      <c r="D290" s="11">
        <v>9.4414999999999999E-2</v>
      </c>
      <c r="E290" s="11">
        <v>6.5990999999999994E-2</v>
      </c>
      <c r="F290" s="11">
        <v>1.9157489087961999E-4</v>
      </c>
      <c r="G290" s="11">
        <f t="shared" si="14"/>
        <v>1.1250960000000001</v>
      </c>
      <c r="H290" s="11">
        <f t="shared" si="14"/>
        <v>1.0944149999999999</v>
      </c>
      <c r="I290" s="11">
        <f t="shared" si="14"/>
        <v>1.0659909999999999</v>
      </c>
      <c r="J290" s="11">
        <f t="shared" si="15"/>
        <v>1.0001915748908796</v>
      </c>
    </row>
    <row r="291" spans="1:10">
      <c r="A291" s="76">
        <v>262</v>
      </c>
      <c r="B291" s="65">
        <v>42489</v>
      </c>
      <c r="C291" s="11">
        <v>-5.7341999999999997E-2</v>
      </c>
      <c r="D291" s="11">
        <v>-2.6363999999999999E-2</v>
      </c>
      <c r="E291" s="11">
        <v>2.699E-3</v>
      </c>
      <c r="F291" s="11">
        <v>2.3319733855742264E-4</v>
      </c>
      <c r="G291" s="11">
        <f t="shared" si="14"/>
        <v>0.942658</v>
      </c>
      <c r="H291" s="11">
        <f t="shared" si="14"/>
        <v>0.97363599999999995</v>
      </c>
      <c r="I291" s="11">
        <f t="shared" si="14"/>
        <v>1.002699</v>
      </c>
      <c r="J291" s="11">
        <f t="shared" si="15"/>
        <v>1.0002331973385574</v>
      </c>
    </row>
    <row r="292" spans="1:10">
      <c r="A292" s="76">
        <v>263</v>
      </c>
      <c r="B292" s="65">
        <v>42521</v>
      </c>
      <c r="C292" s="11">
        <v>3.0755000000000001E-2</v>
      </c>
      <c r="D292" s="11">
        <v>-8.9809999999999994E-3</v>
      </c>
      <c r="E292" s="11">
        <v>1.5329000000000001E-2</v>
      </c>
      <c r="F292" s="11">
        <v>2.2487354181421892E-4</v>
      </c>
      <c r="G292" s="11">
        <f t="shared" si="14"/>
        <v>1.0307550000000001</v>
      </c>
      <c r="H292" s="11">
        <f t="shared" si="14"/>
        <v>0.99101899999999998</v>
      </c>
      <c r="I292" s="11">
        <f t="shared" si="14"/>
        <v>1.0153289999999999</v>
      </c>
      <c r="J292" s="11">
        <f t="shared" si="15"/>
        <v>1.0002248735418142</v>
      </c>
    </row>
    <row r="293" spans="1:10">
      <c r="A293" s="76">
        <v>264</v>
      </c>
      <c r="B293" s="65">
        <v>42551</v>
      </c>
      <c r="C293" s="11">
        <v>1.0826000000000001E-2</v>
      </c>
      <c r="D293" s="11">
        <v>9.8006999999999997E-2</v>
      </c>
      <c r="E293" s="11">
        <v>9.0600000000000001E-4</v>
      </c>
      <c r="F293" s="11">
        <v>2.4984389307713961E-4</v>
      </c>
      <c r="G293" s="11">
        <f t="shared" si="14"/>
        <v>1.010826</v>
      </c>
      <c r="H293" s="11">
        <f t="shared" si="14"/>
        <v>1.098007</v>
      </c>
      <c r="I293" s="11">
        <f t="shared" si="14"/>
        <v>1.0009060000000001</v>
      </c>
      <c r="J293" s="11">
        <f t="shared" si="15"/>
        <v>1.0002498438930771</v>
      </c>
    </row>
    <row r="294" spans="1:10">
      <c r="A294" s="76">
        <v>265</v>
      </c>
      <c r="B294" s="65">
        <v>42580</v>
      </c>
      <c r="C294" s="11">
        <v>2.5385000000000001E-2</v>
      </c>
      <c r="D294" s="11">
        <v>-4.4749999999999998E-3</v>
      </c>
      <c r="E294" s="11">
        <v>3.5610000000000003E-2</v>
      </c>
      <c r="F294" s="11">
        <v>2.4984389307713961E-4</v>
      </c>
      <c r="G294" s="11">
        <f t="shared" si="14"/>
        <v>1.025385</v>
      </c>
      <c r="H294" s="11">
        <f t="shared" si="14"/>
        <v>0.99552499999999999</v>
      </c>
      <c r="I294" s="11">
        <f t="shared" si="14"/>
        <v>1.0356099999999999</v>
      </c>
      <c r="J294" s="11">
        <f t="shared" si="15"/>
        <v>1.0002498438930771</v>
      </c>
    </row>
    <row r="295" spans="1:10">
      <c r="A295" s="76">
        <v>266</v>
      </c>
      <c r="B295" s="65">
        <v>42613</v>
      </c>
      <c r="C295" s="11">
        <v>-2.8989000000000001E-2</v>
      </c>
      <c r="D295" s="11">
        <v>-5.1948000000000001E-2</v>
      </c>
      <c r="E295" s="11">
        <v>-1.219E-3</v>
      </c>
      <c r="F295" s="11">
        <v>2.4152078896788609E-4</v>
      </c>
      <c r="G295" s="11">
        <f t="shared" si="14"/>
        <v>0.97101099999999996</v>
      </c>
      <c r="H295" s="11">
        <f t="shared" si="14"/>
        <v>0.94805200000000001</v>
      </c>
      <c r="I295" s="11">
        <f t="shared" si="14"/>
        <v>0.99878100000000003</v>
      </c>
      <c r="J295" s="11">
        <f t="shared" si="15"/>
        <v>1.0002415207889679</v>
      </c>
    </row>
    <row r="296" spans="1:10">
      <c r="A296" s="76">
        <v>267</v>
      </c>
      <c r="B296" s="65">
        <v>42643</v>
      </c>
      <c r="C296" s="11">
        <v>-1.2329E-2</v>
      </c>
      <c r="D296" s="11">
        <v>6.6399999999999999E-4</v>
      </c>
      <c r="E296" s="11">
        <v>-1.2340000000000001E-3</v>
      </c>
      <c r="F296" s="11">
        <v>2.7481112791538642E-4</v>
      </c>
      <c r="G296" s="11">
        <f t="shared" si="14"/>
        <v>0.98767099999999997</v>
      </c>
      <c r="H296" s="11">
        <f t="shared" si="14"/>
        <v>1.000664</v>
      </c>
      <c r="I296" s="11">
        <f t="shared" si="14"/>
        <v>0.99876600000000004</v>
      </c>
      <c r="J296" s="11">
        <f t="shared" si="15"/>
        <v>1.0002748111279154</v>
      </c>
    </row>
    <row r="297" spans="1:10">
      <c r="A297" s="76">
        <v>268</v>
      </c>
      <c r="B297" s="65">
        <v>42674</v>
      </c>
      <c r="C297" s="11">
        <v>-3.8662000000000002E-2</v>
      </c>
      <c r="D297" s="11">
        <v>3.32E-3</v>
      </c>
      <c r="E297" s="11">
        <v>-1.9425999999999999E-2</v>
      </c>
      <c r="F297" s="11">
        <v>3.7464892012928352E-4</v>
      </c>
      <c r="G297" s="11">
        <f t="shared" si="14"/>
        <v>0.96133800000000003</v>
      </c>
      <c r="H297" s="11">
        <f t="shared" si="14"/>
        <v>1.00332</v>
      </c>
      <c r="I297" s="11">
        <f t="shared" si="14"/>
        <v>0.98057400000000006</v>
      </c>
      <c r="J297" s="11">
        <f t="shared" si="15"/>
        <v>1.0003746489201293</v>
      </c>
    </row>
    <row r="298" spans="1:10">
      <c r="A298" s="76">
        <v>269</v>
      </c>
      <c r="B298" s="65">
        <v>42704</v>
      </c>
      <c r="C298" s="11">
        <v>8.548E-3</v>
      </c>
      <c r="D298" s="11">
        <v>-6.7637000000000003E-2</v>
      </c>
      <c r="E298" s="11">
        <v>3.4174000000000003E-2</v>
      </c>
      <c r="F298" s="11">
        <v>4.2454913991640808E-4</v>
      </c>
      <c r="G298" s="11">
        <f t="shared" si="14"/>
        <v>1.008548</v>
      </c>
      <c r="H298" s="11">
        <f t="shared" si="14"/>
        <v>0.93236300000000005</v>
      </c>
      <c r="I298" s="11">
        <f t="shared" si="14"/>
        <v>1.0341739999999999</v>
      </c>
      <c r="J298" s="11">
        <f t="shared" si="15"/>
        <v>1.0004245491399164</v>
      </c>
    </row>
    <row r="299" spans="1:10">
      <c r="A299" s="76">
        <v>270</v>
      </c>
      <c r="B299" s="65">
        <v>42734</v>
      </c>
      <c r="C299" s="11">
        <v>8.4197999999999995E-2</v>
      </c>
      <c r="D299" s="11">
        <v>5.6041000000000001E-2</v>
      </c>
      <c r="E299" s="11">
        <v>1.8200999999999998E-2</v>
      </c>
      <c r="F299" s="11">
        <v>4.3286463341307702E-4</v>
      </c>
      <c r="G299" s="11">
        <f t="shared" si="14"/>
        <v>1.084198</v>
      </c>
      <c r="H299" s="11">
        <f t="shared" si="14"/>
        <v>1.056041</v>
      </c>
      <c r="I299" s="11">
        <f t="shared" si="14"/>
        <v>1.0182009999999999</v>
      </c>
      <c r="J299" s="11">
        <f t="shared" si="15"/>
        <v>1.0004328646334131</v>
      </c>
    </row>
    <row r="300" spans="1:10">
      <c r="A300" s="76">
        <v>271</v>
      </c>
      <c r="B300" s="65">
        <v>42766</v>
      </c>
      <c r="C300" s="11">
        <v>-3.5269000000000002E-2</v>
      </c>
      <c r="D300" s="11">
        <v>9.0930000000000004E-3</v>
      </c>
      <c r="E300" s="11">
        <v>1.7884000000000001E-2</v>
      </c>
      <c r="F300" s="11">
        <v>4.4117978133639824E-4</v>
      </c>
      <c r="G300" s="11">
        <f t="shared" si="14"/>
        <v>0.96473100000000001</v>
      </c>
      <c r="H300" s="11">
        <f t="shared" si="14"/>
        <v>1.009093</v>
      </c>
      <c r="I300" s="11">
        <f t="shared" si="14"/>
        <v>1.017884</v>
      </c>
      <c r="J300" s="11">
        <f t="shared" si="15"/>
        <v>1.0004411797813364</v>
      </c>
    </row>
    <row r="301" spans="1:10">
      <c r="A301" s="76">
        <v>272</v>
      </c>
      <c r="B301" s="65">
        <v>42794</v>
      </c>
      <c r="C301" s="11">
        <v>4.6365999999999997E-2</v>
      </c>
      <c r="D301" s="11">
        <v>4.5461000000000001E-2</v>
      </c>
      <c r="E301" s="11">
        <v>3.7198000000000002E-2</v>
      </c>
      <c r="F301" s="11">
        <v>6.2402566952823868E-4</v>
      </c>
      <c r="G301" s="11">
        <f t="shared" si="14"/>
        <v>1.0463659999999999</v>
      </c>
      <c r="H301" s="11">
        <f t="shared" si="14"/>
        <v>1.045461</v>
      </c>
      <c r="I301" s="11">
        <f t="shared" si="14"/>
        <v>1.0371980000000001</v>
      </c>
      <c r="J301" s="11">
        <f t="shared" si="15"/>
        <v>1.0006240256695282</v>
      </c>
    </row>
    <row r="302" spans="1:10">
      <c r="A302" s="76">
        <v>273</v>
      </c>
      <c r="B302" s="65">
        <v>42825</v>
      </c>
      <c r="C302" s="11">
        <v>-6.0499999999999998E-3</v>
      </c>
      <c r="D302" s="11">
        <v>8.0479999999999996E-3</v>
      </c>
      <c r="E302" s="11">
        <v>-3.8900000000000002E-4</v>
      </c>
      <c r="F302" s="11">
        <v>6.7386374861722054E-4</v>
      </c>
      <c r="G302" s="11">
        <f t="shared" si="14"/>
        <v>0.99395</v>
      </c>
      <c r="H302" s="11">
        <f t="shared" si="14"/>
        <v>1.0080480000000001</v>
      </c>
      <c r="I302" s="11">
        <f t="shared" si="14"/>
        <v>0.99961100000000003</v>
      </c>
      <c r="J302" s="11">
        <f t="shared" si="15"/>
        <v>1.0006738637486172</v>
      </c>
    </row>
    <row r="303" spans="1:10">
      <c r="A303" s="76">
        <v>274</v>
      </c>
      <c r="B303" s="65">
        <v>42853</v>
      </c>
      <c r="C303" s="11">
        <v>5.5889000000000001E-2</v>
      </c>
      <c r="D303" s="11">
        <v>2.086E-2</v>
      </c>
      <c r="E303" s="11">
        <v>9.0910000000000001E-3</v>
      </c>
      <c r="F303" s="11">
        <v>7.4859760490331162E-4</v>
      </c>
      <c r="G303" s="11">
        <f t="shared" si="14"/>
        <v>1.0558890000000001</v>
      </c>
      <c r="H303" s="11">
        <f t="shared" si="14"/>
        <v>1.0208600000000001</v>
      </c>
      <c r="I303" s="11">
        <f t="shared" si="14"/>
        <v>1.009091</v>
      </c>
      <c r="J303" s="11">
        <f t="shared" si="15"/>
        <v>1.0007485976049033</v>
      </c>
    </row>
    <row r="304" spans="1:10">
      <c r="A304" s="76">
        <v>275</v>
      </c>
      <c r="B304" s="65">
        <v>42886</v>
      </c>
      <c r="C304" s="11">
        <v>5.0927E-2</v>
      </c>
      <c r="D304" s="11">
        <v>5.2977000000000003E-2</v>
      </c>
      <c r="E304" s="11">
        <v>1.1575999999999999E-2</v>
      </c>
      <c r="F304" s="11">
        <v>8.3160250829017457E-4</v>
      </c>
      <c r="G304" s="11">
        <f t="shared" si="14"/>
        <v>1.0509269999999999</v>
      </c>
      <c r="H304" s="11">
        <f t="shared" si="14"/>
        <v>1.0529770000000001</v>
      </c>
      <c r="I304" s="11">
        <f t="shared" si="14"/>
        <v>1.011576</v>
      </c>
      <c r="J304" s="11">
        <f t="shared" si="15"/>
        <v>1.0008316025082902</v>
      </c>
    </row>
    <row r="305" spans="1:10">
      <c r="A305" s="76">
        <v>276</v>
      </c>
      <c r="B305" s="65">
        <v>42916</v>
      </c>
      <c r="C305" s="11">
        <v>8.1740000000000007E-3</v>
      </c>
      <c r="D305" s="11">
        <v>-2.3795E-2</v>
      </c>
      <c r="E305" s="11">
        <v>4.8139999999999997E-3</v>
      </c>
      <c r="F305" s="11">
        <v>9.0627750316119027E-4</v>
      </c>
      <c r="G305" s="11">
        <f t="shared" si="14"/>
        <v>1.0081739999999999</v>
      </c>
      <c r="H305" s="11">
        <f t="shared" si="14"/>
        <v>0.97620499999999999</v>
      </c>
      <c r="I305" s="11">
        <f t="shared" si="14"/>
        <v>1.0048140000000001</v>
      </c>
      <c r="J305" s="11">
        <f t="shared" si="15"/>
        <v>1.0009062775031612</v>
      </c>
    </row>
    <row r="306" spans="1:10">
      <c r="A306" s="76">
        <v>277</v>
      </c>
      <c r="B306" s="65">
        <v>42947</v>
      </c>
      <c r="C306" s="11">
        <v>1.7219000000000002E-2</v>
      </c>
      <c r="D306" s="11">
        <v>2.5241E-2</v>
      </c>
      <c r="E306" s="11">
        <v>1.9349000000000002E-2</v>
      </c>
      <c r="F306" s="11">
        <v>8.5649726867353948E-4</v>
      </c>
      <c r="G306" s="11">
        <f t="shared" si="14"/>
        <v>1.0172190000000001</v>
      </c>
      <c r="H306" s="11">
        <f t="shared" si="14"/>
        <v>1.0252410000000001</v>
      </c>
      <c r="I306" s="11">
        <f t="shared" si="14"/>
        <v>1.0193490000000001</v>
      </c>
      <c r="J306" s="11">
        <f t="shared" si="15"/>
        <v>1.0008564972686735</v>
      </c>
    </row>
    <row r="307" spans="1:10">
      <c r="A307" s="76">
        <v>278</v>
      </c>
      <c r="B307" s="65">
        <v>42978</v>
      </c>
      <c r="C307" s="11">
        <v>1.6316000000000001E-2</v>
      </c>
      <c r="D307" s="11">
        <v>2.5343999999999998E-2</v>
      </c>
      <c r="E307" s="11">
        <v>5.4600000000000004E-4</v>
      </c>
      <c r="F307" s="11">
        <v>8.7309205570540449E-4</v>
      </c>
      <c r="G307" s="11">
        <f t="shared" si="14"/>
        <v>1.016316</v>
      </c>
      <c r="H307" s="11">
        <f t="shared" si="14"/>
        <v>1.025344</v>
      </c>
      <c r="I307" s="11">
        <f t="shared" si="14"/>
        <v>1.0005459999999999</v>
      </c>
      <c r="J307" s="11">
        <f t="shared" si="15"/>
        <v>1.0008730920557054</v>
      </c>
    </row>
    <row r="308" spans="1:10">
      <c r="A308" s="76">
        <v>279</v>
      </c>
      <c r="B308" s="65">
        <v>43007</v>
      </c>
      <c r="C308" s="11">
        <v>-3.8313E-2</v>
      </c>
      <c r="D308" s="11">
        <v>-4.2601E-2</v>
      </c>
      <c r="E308" s="11">
        <v>1.9303000000000001E-2</v>
      </c>
      <c r="F308" s="11">
        <v>9.0627750316119027E-4</v>
      </c>
      <c r="G308" s="11">
        <f t="shared" si="14"/>
        <v>0.96168699999999996</v>
      </c>
      <c r="H308" s="11">
        <f t="shared" si="14"/>
        <v>0.957399</v>
      </c>
      <c r="I308" s="11">
        <f t="shared" si="14"/>
        <v>1.0193030000000001</v>
      </c>
      <c r="J308" s="11">
        <f t="shared" si="15"/>
        <v>1.0009062775031612</v>
      </c>
    </row>
    <row r="309" spans="1:10">
      <c r="A309" s="76">
        <v>280</v>
      </c>
      <c r="B309" s="65">
        <v>43039</v>
      </c>
      <c r="C309" s="11">
        <v>3.3066999999999999E-2</v>
      </c>
      <c r="D309" s="11">
        <v>6.6558999999999993E-2</v>
      </c>
      <c r="E309" s="11">
        <v>2.2187999999999999E-2</v>
      </c>
      <c r="F309" s="11">
        <v>1.0389643083117406E-3</v>
      </c>
      <c r="G309" s="11">
        <f t="shared" si="14"/>
        <v>1.033067</v>
      </c>
      <c r="H309" s="11">
        <f t="shared" si="14"/>
        <v>1.066559</v>
      </c>
      <c r="I309" s="11">
        <f t="shared" si="14"/>
        <v>1.0221880000000001</v>
      </c>
      <c r="J309" s="11">
        <f t="shared" si="15"/>
        <v>1.0010389643083117</v>
      </c>
    </row>
    <row r="310" spans="1:10">
      <c r="A310" s="76">
        <v>281</v>
      </c>
      <c r="B310" s="65">
        <v>43069</v>
      </c>
      <c r="C310" s="11">
        <v>-5.8834999999999998E-2</v>
      </c>
      <c r="D310" s="11">
        <v>4.2765999999999998E-2</v>
      </c>
      <c r="E310" s="11">
        <v>2.8083E-2</v>
      </c>
      <c r="F310" s="11">
        <v>1.1135620091518028E-3</v>
      </c>
      <c r="G310" s="11">
        <f t="shared" si="14"/>
        <v>0.94116500000000003</v>
      </c>
      <c r="H310" s="11">
        <f t="shared" si="14"/>
        <v>1.0427660000000001</v>
      </c>
      <c r="I310" s="11">
        <f t="shared" si="14"/>
        <v>1.0280830000000001</v>
      </c>
      <c r="J310" s="11">
        <f t="shared" si="15"/>
        <v>1.0011135620091518</v>
      </c>
    </row>
    <row r="311" spans="1:10">
      <c r="A311" s="76">
        <v>282</v>
      </c>
      <c r="B311" s="65">
        <v>43098</v>
      </c>
      <c r="C311" s="11">
        <v>-1.5668999999999999E-2</v>
      </c>
      <c r="D311" s="11">
        <v>-4.5934000000000003E-2</v>
      </c>
      <c r="E311" s="11">
        <v>9.8320000000000005E-3</v>
      </c>
      <c r="F311" s="11">
        <v>1.1881319272069035E-3</v>
      </c>
      <c r="G311" s="11">
        <f t="shared" si="14"/>
        <v>0.98433099999999996</v>
      </c>
      <c r="H311" s="11">
        <f t="shared" si="14"/>
        <v>0.95406599999999997</v>
      </c>
      <c r="I311" s="11">
        <f t="shared" si="14"/>
        <v>1.0098320000000001</v>
      </c>
      <c r="J311" s="11">
        <f t="shared" si="15"/>
        <v>1.0011881319272069</v>
      </c>
    </row>
    <row r="312" spans="1:10">
      <c r="A312" s="76">
        <v>283</v>
      </c>
      <c r="B312" s="65">
        <v>43131</v>
      </c>
      <c r="C312" s="11">
        <v>-3.4759999999999999E-2</v>
      </c>
      <c r="D312" s="11">
        <v>-5.4031999999999997E-2</v>
      </c>
      <c r="E312" s="11">
        <v>5.6179E-2</v>
      </c>
      <c r="F312" s="11">
        <v>1.3206321416776579E-3</v>
      </c>
      <c r="G312" s="11">
        <f t="shared" si="14"/>
        <v>0.96523999999999999</v>
      </c>
      <c r="H312" s="11">
        <f t="shared" si="14"/>
        <v>0.94596800000000003</v>
      </c>
      <c r="I312" s="11">
        <f t="shared" si="14"/>
        <v>1.056179</v>
      </c>
      <c r="J312" s="11">
        <f t="shared" si="15"/>
        <v>1.0013206321416777</v>
      </c>
    </row>
    <row r="313" spans="1:10">
      <c r="A313" s="76">
        <v>284</v>
      </c>
      <c r="B313" s="65">
        <v>43159</v>
      </c>
      <c r="C313" s="11">
        <v>-3.9274000000000003E-2</v>
      </c>
      <c r="D313" s="11">
        <v>-5.9171000000000001E-2</v>
      </c>
      <c r="E313" s="11">
        <v>-3.8947000000000002E-2</v>
      </c>
      <c r="F313" s="11">
        <v>1.4364979592100813E-3</v>
      </c>
      <c r="G313" s="11">
        <f t="shared" si="14"/>
        <v>0.96072599999999997</v>
      </c>
      <c r="H313" s="11">
        <f t="shared" si="14"/>
        <v>0.94082900000000003</v>
      </c>
      <c r="I313" s="11">
        <f t="shared" si="14"/>
        <v>0.96105300000000005</v>
      </c>
      <c r="J313" s="11">
        <f t="shared" si="15"/>
        <v>1.0014364979592101</v>
      </c>
    </row>
    <row r="314" spans="1:10">
      <c r="A314" s="76">
        <v>285</v>
      </c>
      <c r="B314" s="65">
        <v>43188</v>
      </c>
      <c r="C314" s="11">
        <v>8.3589999999999998E-2</v>
      </c>
      <c r="D314" s="11">
        <v>4.0725999999999998E-2</v>
      </c>
      <c r="E314" s="11">
        <v>-2.6884999999999999E-2</v>
      </c>
      <c r="F314" s="11">
        <v>1.4861342262237898E-3</v>
      </c>
      <c r="G314" s="11">
        <f t="shared" si="14"/>
        <v>1.0835900000000001</v>
      </c>
      <c r="H314" s="11">
        <f t="shared" si="14"/>
        <v>1.040726</v>
      </c>
      <c r="I314" s="11">
        <f t="shared" si="14"/>
        <v>0.97311499999999995</v>
      </c>
      <c r="J314" s="11">
        <f t="shared" si="15"/>
        <v>1.0014861342262238</v>
      </c>
    </row>
    <row r="315" spans="1:10">
      <c r="A315" s="76">
        <v>286</v>
      </c>
      <c r="B315" s="65">
        <v>43220</v>
      </c>
      <c r="C315" s="11">
        <v>-4.1130000000000003E-3</v>
      </c>
      <c r="D315" s="11">
        <v>2.8098000000000001E-2</v>
      </c>
      <c r="E315" s="11">
        <v>2.7190000000000001E-3</v>
      </c>
      <c r="F315" s="11">
        <v>1.5771021146608888E-3</v>
      </c>
      <c r="G315" s="11">
        <f t="shared" si="14"/>
        <v>0.99588699999999997</v>
      </c>
      <c r="H315" s="11">
        <f t="shared" si="14"/>
        <v>1.028098</v>
      </c>
      <c r="I315" s="11">
        <f t="shared" si="14"/>
        <v>1.0027189999999999</v>
      </c>
      <c r="J315" s="11">
        <f t="shared" si="15"/>
        <v>1.0015771021146609</v>
      </c>
    </row>
    <row r="316" spans="1:10">
      <c r="A316" s="76">
        <v>287</v>
      </c>
      <c r="B316" s="65">
        <v>43251</v>
      </c>
      <c r="C316" s="11">
        <v>-2.7539999999999999E-3</v>
      </c>
      <c r="D316" s="11">
        <v>-3.3508000000000003E-2</v>
      </c>
      <c r="E316" s="11">
        <v>2.1607999999999999E-2</v>
      </c>
      <c r="F316" s="11">
        <v>1.6101711069942404E-3</v>
      </c>
      <c r="G316" s="11">
        <f t="shared" si="14"/>
        <v>0.99724599999999997</v>
      </c>
      <c r="H316" s="11">
        <f t="shared" si="14"/>
        <v>0.96649200000000002</v>
      </c>
      <c r="I316" s="11">
        <f t="shared" si="14"/>
        <v>1.0216080000000001</v>
      </c>
      <c r="J316" s="11">
        <f t="shared" si="15"/>
        <v>1.0016101711069942</v>
      </c>
    </row>
    <row r="317" spans="1:10">
      <c r="A317" s="76">
        <v>288</v>
      </c>
      <c r="B317" s="65">
        <v>43280</v>
      </c>
      <c r="C317" s="11">
        <v>7.9489999999999995E-3</v>
      </c>
      <c r="D317" s="11">
        <v>1.6291E-2</v>
      </c>
      <c r="E317" s="11">
        <v>4.8419999999999999E-3</v>
      </c>
      <c r="F317" s="11">
        <v>1.6514996721896935E-3</v>
      </c>
      <c r="G317" s="11">
        <f t="shared" si="14"/>
        <v>1.007949</v>
      </c>
      <c r="H317" s="11">
        <f t="shared" si="14"/>
        <v>1.0162910000000001</v>
      </c>
      <c r="I317" s="11">
        <f t="shared" si="14"/>
        <v>1.004842</v>
      </c>
      <c r="J317" s="11">
        <f t="shared" si="15"/>
        <v>1.0016514996721897</v>
      </c>
    </row>
    <row r="318" spans="1:10">
      <c r="A318" s="76">
        <v>289</v>
      </c>
      <c r="B318" s="65">
        <v>43312</v>
      </c>
      <c r="C318" s="11">
        <v>5.7720000000000002E-3</v>
      </c>
      <c r="D318" s="11">
        <v>1.2182999999999999E-2</v>
      </c>
      <c r="E318" s="11">
        <v>3.6021999999999998E-2</v>
      </c>
      <c r="F318" s="11">
        <v>1.7176076473344182E-3</v>
      </c>
      <c r="G318" s="11">
        <f t="shared" si="14"/>
        <v>1.0057720000000001</v>
      </c>
      <c r="H318" s="11">
        <f t="shared" si="14"/>
        <v>1.0121830000000001</v>
      </c>
      <c r="I318" s="11">
        <f t="shared" si="14"/>
        <v>1.036022</v>
      </c>
      <c r="J318" s="11">
        <f t="shared" si="15"/>
        <v>1.0017176076473344</v>
      </c>
    </row>
    <row r="319" spans="1:10">
      <c r="A319" s="76">
        <v>290</v>
      </c>
      <c r="B319" s="65">
        <v>43343</v>
      </c>
      <c r="C319" s="11">
        <v>2.4246E-2</v>
      </c>
      <c r="D319" s="11">
        <v>9.0589999999999993E-3</v>
      </c>
      <c r="E319" s="11">
        <v>3.0263000000000002E-2</v>
      </c>
      <c r="F319" s="11">
        <v>1.8002119525051263E-3</v>
      </c>
      <c r="G319" s="11">
        <f t="shared" si="14"/>
        <v>1.024246</v>
      </c>
      <c r="H319" s="11">
        <f t="shared" si="14"/>
        <v>1.0090589999999999</v>
      </c>
      <c r="I319" s="11">
        <f t="shared" si="14"/>
        <v>1.0302629999999999</v>
      </c>
      <c r="J319" s="11">
        <f t="shared" si="15"/>
        <v>1.0018002119525051</v>
      </c>
    </row>
    <row r="320" spans="1:10">
      <c r="A320" s="76">
        <v>291</v>
      </c>
      <c r="B320" s="65">
        <v>43371</v>
      </c>
      <c r="C320" s="11">
        <v>9.2980000000000007E-3</v>
      </c>
      <c r="D320" s="11">
        <v>-3.4714000000000002E-2</v>
      </c>
      <c r="E320" s="11">
        <v>4.2940000000000001E-3</v>
      </c>
      <c r="F320" s="11">
        <v>1.8992921859668499E-3</v>
      </c>
      <c r="G320" s="11">
        <f t="shared" si="14"/>
        <v>1.009298</v>
      </c>
      <c r="H320" s="11">
        <f t="shared" si="14"/>
        <v>0.96528599999999998</v>
      </c>
      <c r="I320" s="11">
        <f t="shared" si="14"/>
        <v>1.004294</v>
      </c>
      <c r="J320" s="11">
        <f t="shared" si="15"/>
        <v>1.0018992921859668</v>
      </c>
    </row>
    <row r="321" spans="1:10">
      <c r="A321" s="76">
        <v>292</v>
      </c>
      <c r="B321" s="65">
        <v>43404</v>
      </c>
      <c r="C321" s="11">
        <v>1.6497000000000001E-2</v>
      </c>
      <c r="D321" s="11">
        <v>-2.4940000000000001E-3</v>
      </c>
      <c r="E321" s="11">
        <v>-6.9403000000000006E-2</v>
      </c>
      <c r="F321" s="11">
        <v>1.9653184676531321E-3</v>
      </c>
      <c r="G321" s="11">
        <f t="shared" si="14"/>
        <v>1.016497</v>
      </c>
      <c r="H321" s="11">
        <f t="shared" si="14"/>
        <v>0.997506</v>
      </c>
      <c r="I321" s="11">
        <f t="shared" si="14"/>
        <v>0.93059700000000001</v>
      </c>
      <c r="J321" s="11">
        <f t="shared" si="15"/>
        <v>1.0019653184676531</v>
      </c>
    </row>
    <row r="322" spans="1:10">
      <c r="A322" s="76">
        <v>293</v>
      </c>
      <c r="B322" s="65">
        <v>43434</v>
      </c>
      <c r="C322" s="11">
        <v>4.6774000000000003E-2</v>
      </c>
      <c r="D322" s="11">
        <v>6.6644999999999996E-2</v>
      </c>
      <c r="E322" s="11">
        <v>1.7859E-2</v>
      </c>
      <c r="F322" s="11">
        <v>1.9983234522251703E-3</v>
      </c>
      <c r="G322" s="11">
        <f t="shared" si="14"/>
        <v>1.0467740000000001</v>
      </c>
      <c r="H322" s="11">
        <f t="shared" si="14"/>
        <v>1.0666450000000001</v>
      </c>
      <c r="I322" s="11">
        <f t="shared" si="14"/>
        <v>1.0178590000000001</v>
      </c>
      <c r="J322" s="11">
        <f t="shared" si="15"/>
        <v>1.0019983234522252</v>
      </c>
    </row>
    <row r="323" spans="1:10">
      <c r="A323" s="76">
        <v>294</v>
      </c>
      <c r="B323" s="65">
        <v>43465</v>
      </c>
      <c r="C323" s="11">
        <v>-5.8817000000000001E-2</v>
      </c>
      <c r="D323" s="11">
        <v>-4.8412999999999998E-2</v>
      </c>
      <c r="E323" s="11">
        <v>-9.1776999999999997E-2</v>
      </c>
      <c r="F323" s="11">
        <v>2.0065738490901985E-3</v>
      </c>
      <c r="G323" s="11">
        <f t="shared" si="14"/>
        <v>0.94118299999999999</v>
      </c>
      <c r="H323" s="11">
        <f t="shared" si="14"/>
        <v>0.95158699999999996</v>
      </c>
      <c r="I323" s="11">
        <f t="shared" si="14"/>
        <v>0.908223</v>
      </c>
      <c r="J323" s="11">
        <f t="shared" si="15"/>
        <v>1.0020065738490902</v>
      </c>
    </row>
    <row r="324" spans="1:10">
      <c r="A324" s="76">
        <v>295</v>
      </c>
      <c r="B324" s="65">
        <v>43496</v>
      </c>
      <c r="C324" s="11">
        <v>0.105991</v>
      </c>
      <c r="D324" s="11">
        <v>1.5564E-2</v>
      </c>
      <c r="E324" s="11">
        <v>7.8684000000000004E-2</v>
      </c>
      <c r="F324" s="11">
        <v>2.0230736239015279E-3</v>
      </c>
      <c r="G324" s="11">
        <f t="shared" si="14"/>
        <v>1.1059909999999999</v>
      </c>
      <c r="H324" s="11">
        <f t="shared" si="14"/>
        <v>1.0155639999999999</v>
      </c>
      <c r="I324" s="11">
        <f t="shared" si="14"/>
        <v>1.078684</v>
      </c>
      <c r="J324" s="11">
        <f t="shared" si="15"/>
        <v>1.0020230736239015</v>
      </c>
    </row>
    <row r="325" spans="1:10">
      <c r="A325" s="76">
        <v>296</v>
      </c>
      <c r="B325" s="65">
        <v>43524</v>
      </c>
      <c r="C325" s="11">
        <v>3.1857999999999997E-2</v>
      </c>
      <c r="D325" s="11">
        <v>7.1346000000000007E-2</v>
      </c>
      <c r="E325" s="11">
        <v>2.9728999999999998E-2</v>
      </c>
      <c r="F325" s="11">
        <v>2.0313230019097794E-3</v>
      </c>
      <c r="G325" s="11">
        <f t="shared" si="14"/>
        <v>1.0318579999999999</v>
      </c>
      <c r="H325" s="11">
        <f t="shared" si="14"/>
        <v>1.0713459999999999</v>
      </c>
      <c r="I325" s="11">
        <f t="shared" si="14"/>
        <v>1.0297289999999999</v>
      </c>
      <c r="J325" s="11">
        <f t="shared" si="15"/>
        <v>1.0020313230019098</v>
      </c>
    </row>
    <row r="326" spans="1:10">
      <c r="A326" s="76">
        <v>297</v>
      </c>
      <c r="B326" s="65">
        <v>43553</v>
      </c>
      <c r="C326" s="11">
        <v>4.0558999999999998E-2</v>
      </c>
      <c r="D326" s="11">
        <v>2.8622999999999999E-2</v>
      </c>
      <c r="E326" s="11">
        <v>1.7923999999999999E-2</v>
      </c>
      <c r="F326" s="11">
        <v>2.014823906305363E-3</v>
      </c>
      <c r="G326" s="11">
        <f t="shared" si="14"/>
        <v>1.040559</v>
      </c>
      <c r="H326" s="11">
        <f t="shared" si="14"/>
        <v>1.0286230000000001</v>
      </c>
      <c r="I326" s="11">
        <f t="shared" si="14"/>
        <v>1.0179240000000001</v>
      </c>
      <c r="J326" s="11">
        <f t="shared" si="15"/>
        <v>1.0020148239063054</v>
      </c>
    </row>
    <row r="327" spans="1:10">
      <c r="A327" s="76">
        <v>298</v>
      </c>
      <c r="B327" s="65">
        <v>43585</v>
      </c>
      <c r="C327" s="11">
        <v>-2.3302E-2</v>
      </c>
      <c r="D327" s="11">
        <v>1.5918000000000002E-2</v>
      </c>
      <c r="E327" s="11">
        <v>3.9313000000000001E-2</v>
      </c>
      <c r="F327" s="11">
        <v>1.9900727156798581E-3</v>
      </c>
      <c r="G327" s="11">
        <f t="shared" si="14"/>
        <v>0.97669799999999996</v>
      </c>
      <c r="H327" s="11">
        <f t="shared" si="14"/>
        <v>1.0159180000000001</v>
      </c>
      <c r="I327" s="11">
        <f t="shared" si="14"/>
        <v>1.0393129999999999</v>
      </c>
      <c r="J327" s="11">
        <f t="shared" si="15"/>
        <v>1.0019900727156799</v>
      </c>
    </row>
    <row r="328" spans="1:10">
      <c r="A328" s="76">
        <v>299</v>
      </c>
      <c r="B328" s="65">
        <v>43616</v>
      </c>
      <c r="C328" s="11">
        <v>3.2708000000000001E-2</v>
      </c>
      <c r="D328" s="11">
        <v>1.0214000000000001E-2</v>
      </c>
      <c r="E328" s="11">
        <v>-6.5778000000000003E-2</v>
      </c>
      <c r="F328" s="11">
        <v>1.8415013374062372E-3</v>
      </c>
      <c r="G328" s="11">
        <f t="shared" si="14"/>
        <v>1.032708</v>
      </c>
      <c r="H328" s="11">
        <f t="shared" si="14"/>
        <v>1.0102139999999999</v>
      </c>
      <c r="I328" s="11">
        <f t="shared" si="14"/>
        <v>0.934222</v>
      </c>
      <c r="J328" s="11">
        <f t="shared" si="15"/>
        <v>1.0018415013374062</v>
      </c>
    </row>
    <row r="329" spans="1:10">
      <c r="A329" s="76">
        <v>300</v>
      </c>
      <c r="B329" s="65">
        <v>43644</v>
      </c>
      <c r="C329" s="11">
        <v>7.3350000000000004E-3</v>
      </c>
      <c r="D329" s="11">
        <v>1.5990999999999998E-2</v>
      </c>
      <c r="E329" s="11">
        <v>6.8930000000000005E-2</v>
      </c>
      <c r="F329" s="11">
        <v>1.7836938158199978E-3</v>
      </c>
      <c r="G329" s="11">
        <f t="shared" si="14"/>
        <v>1.0073350000000001</v>
      </c>
      <c r="H329" s="11">
        <f t="shared" si="14"/>
        <v>1.0159910000000001</v>
      </c>
      <c r="I329" s="11">
        <f t="shared" si="14"/>
        <v>1.0689299999999999</v>
      </c>
      <c r="J329" s="11">
        <f t="shared" si="15"/>
        <v>1.00178369381582</v>
      </c>
    </row>
    <row r="330" spans="1:10">
      <c r="A330" s="76">
        <v>301</v>
      </c>
      <c r="B330" s="65">
        <v>43677</v>
      </c>
      <c r="C330" s="11">
        <v>3.5248000000000002E-2</v>
      </c>
      <c r="D330" s="11">
        <v>-3.1022000000000001E-2</v>
      </c>
      <c r="E330" s="11">
        <v>1.3128000000000001E-2</v>
      </c>
      <c r="F330" s="11">
        <v>1.6514996721896935E-3</v>
      </c>
      <c r="G330" s="11">
        <f t="shared" si="14"/>
        <v>1.0352479999999999</v>
      </c>
      <c r="H330" s="11">
        <f t="shared" si="14"/>
        <v>0.96897800000000001</v>
      </c>
      <c r="I330" s="11">
        <f t="shared" si="14"/>
        <v>1.013128</v>
      </c>
      <c r="J330" s="11">
        <f t="shared" si="15"/>
        <v>1.0016514996721897</v>
      </c>
    </row>
    <row r="331" spans="1:10">
      <c r="A331" s="76">
        <v>302</v>
      </c>
      <c r="B331" s="65">
        <v>43707</v>
      </c>
      <c r="C331" s="11">
        <v>6.3E-2</v>
      </c>
      <c r="D331" s="11">
        <v>5.5085000000000002E-2</v>
      </c>
      <c r="E331" s="11">
        <v>-1.8092E-2</v>
      </c>
      <c r="F331" s="11">
        <v>1.6019043706854141E-3</v>
      </c>
      <c r="G331" s="11">
        <f t="shared" si="14"/>
        <v>1.0629999999999999</v>
      </c>
      <c r="H331" s="11">
        <f t="shared" si="14"/>
        <v>1.0550850000000001</v>
      </c>
      <c r="I331" s="11">
        <f t="shared" si="14"/>
        <v>0.981908</v>
      </c>
      <c r="J331" s="11">
        <f t="shared" si="15"/>
        <v>1.0016019043706854</v>
      </c>
    </row>
    <row r="332" spans="1:10">
      <c r="A332" s="76">
        <v>303</v>
      </c>
      <c r="B332" s="65">
        <v>43738</v>
      </c>
      <c r="C332" s="11">
        <v>2.2846999999999999E-2</v>
      </c>
      <c r="D332" s="11">
        <v>6.2655000000000002E-2</v>
      </c>
      <c r="E332" s="11">
        <v>1.7180999999999998E-2</v>
      </c>
      <c r="F332" s="11">
        <v>1.3951250046282393E-3</v>
      </c>
      <c r="G332" s="11">
        <f t="shared" si="14"/>
        <v>1.0228470000000001</v>
      </c>
      <c r="H332" s="11">
        <f t="shared" si="14"/>
        <v>1.0626549999999999</v>
      </c>
      <c r="I332" s="11">
        <f t="shared" si="14"/>
        <v>1.0171809999999999</v>
      </c>
      <c r="J332" s="11">
        <f t="shared" si="15"/>
        <v>1.0013951250046282</v>
      </c>
    </row>
    <row r="333" spans="1:10">
      <c r="A333" s="76">
        <v>304</v>
      </c>
      <c r="B333" s="65">
        <v>43769</v>
      </c>
      <c r="C333" s="11">
        <v>1.469E-3</v>
      </c>
      <c r="D333" s="11">
        <v>-2.3817000000000001E-2</v>
      </c>
      <c r="E333" s="11">
        <v>2.0431999999999999E-2</v>
      </c>
      <c r="F333" s="11">
        <v>1.3040744085350831E-3</v>
      </c>
      <c r="G333" s="11">
        <f t="shared" si="14"/>
        <v>1.0014689999999999</v>
      </c>
      <c r="H333" s="11">
        <f t="shared" si="14"/>
        <v>0.97618300000000002</v>
      </c>
      <c r="I333" s="11">
        <f t="shared" si="14"/>
        <v>1.020432</v>
      </c>
      <c r="J333" s="11">
        <f t="shared" si="15"/>
        <v>1.0013040744085351</v>
      </c>
    </row>
    <row r="334" spans="1:10">
      <c r="A334" s="76">
        <v>305</v>
      </c>
      <c r="B334" s="65">
        <v>43798</v>
      </c>
      <c r="C334" s="11">
        <v>-4.5700999999999999E-2</v>
      </c>
      <c r="D334" s="11">
        <v>-4.9771999999999997E-2</v>
      </c>
      <c r="E334" s="11">
        <v>3.4047000000000001E-2</v>
      </c>
      <c r="F334" s="11">
        <v>1.3040744085350831E-3</v>
      </c>
      <c r="G334" s="11">
        <f t="shared" si="14"/>
        <v>0.95429900000000001</v>
      </c>
      <c r="H334" s="11">
        <f t="shared" si="14"/>
        <v>0.95022799999999996</v>
      </c>
      <c r="I334" s="11">
        <f t="shared" si="14"/>
        <v>1.0340469999999999</v>
      </c>
      <c r="J334" s="11">
        <f t="shared" si="15"/>
        <v>1.0013040744085351</v>
      </c>
    </row>
    <row r="335" spans="1:10">
      <c r="A335" s="76">
        <v>306</v>
      </c>
      <c r="B335" s="65">
        <v>43830</v>
      </c>
      <c r="C335" s="11">
        <v>-3.0015E-2</v>
      </c>
      <c r="D335" s="11">
        <v>4.1202000000000003E-2</v>
      </c>
      <c r="E335" s="11">
        <v>2.8590000000000001E-2</v>
      </c>
      <c r="F335" s="11">
        <v>1.2875153062716915E-3</v>
      </c>
      <c r="G335" s="11">
        <f t="shared" si="14"/>
        <v>0.96998499999999999</v>
      </c>
      <c r="H335" s="11">
        <f t="shared" si="14"/>
        <v>1.041202</v>
      </c>
      <c r="I335" s="11">
        <f t="shared" si="14"/>
        <v>1.0285899999999999</v>
      </c>
      <c r="J335" s="11">
        <f t="shared" si="15"/>
        <v>1.0012875153062717</v>
      </c>
    </row>
    <row r="336" spans="1:10">
      <c r="A336" s="76">
        <v>307</v>
      </c>
      <c r="B336" s="65">
        <v>43861</v>
      </c>
      <c r="C336" s="11">
        <v>2.9582000000000001E-2</v>
      </c>
      <c r="D336" s="11">
        <v>3.9017999999999997E-2</v>
      </c>
      <c r="E336" s="11">
        <v>-1.6280000000000001E-3</v>
      </c>
      <c r="F336" s="11">
        <v>1.2792352416419739E-3</v>
      </c>
      <c r="G336" s="11">
        <f t="shared" si="14"/>
        <v>1.029582</v>
      </c>
      <c r="H336" s="11">
        <f t="shared" si="14"/>
        <v>1.039018</v>
      </c>
      <c r="I336" s="11">
        <f t="shared" si="14"/>
        <v>0.99837200000000004</v>
      </c>
      <c r="J336" s="11">
        <f t="shared" si="15"/>
        <v>1.001279235241642</v>
      </c>
    </row>
    <row r="337" spans="1:10">
      <c r="A337" s="76">
        <v>308</v>
      </c>
      <c r="B337" s="65">
        <v>43889</v>
      </c>
      <c r="C337" s="11">
        <v>-8.5226999999999997E-2</v>
      </c>
      <c r="D337" s="11">
        <v>-0.15335099999999999</v>
      </c>
      <c r="E337" s="11">
        <v>-8.4110000000000004E-2</v>
      </c>
      <c r="F337" s="11">
        <v>2.4984389307713961E-4</v>
      </c>
      <c r="G337" s="11">
        <f t="shared" si="14"/>
        <v>0.91477300000000006</v>
      </c>
      <c r="H337" s="11">
        <f t="shared" si="14"/>
        <v>0.84664899999999998</v>
      </c>
      <c r="I337" s="11">
        <f t="shared" si="14"/>
        <v>0.91588999999999998</v>
      </c>
      <c r="J337" s="11">
        <f t="shared" si="15"/>
        <v>1.0002498438930771</v>
      </c>
    </row>
    <row r="338" spans="1:10">
      <c r="A338" s="76">
        <v>309</v>
      </c>
      <c r="B338" s="65">
        <v>43921</v>
      </c>
      <c r="C338" s="11">
        <v>-0.215424</v>
      </c>
      <c r="D338" s="11">
        <v>-1.0403000000000001E-2</v>
      </c>
      <c r="E338" s="11">
        <v>-0.12511900000000001</v>
      </c>
      <c r="F338" s="11">
        <v>1.1663265343808682E-4</v>
      </c>
      <c r="G338" s="11">
        <f t="shared" si="14"/>
        <v>0.78457599999999994</v>
      </c>
      <c r="H338" s="11">
        <f t="shared" si="14"/>
        <v>0.98959699999999995</v>
      </c>
      <c r="I338" s="11">
        <f t="shared" si="14"/>
        <v>0.87488100000000002</v>
      </c>
      <c r="J338" s="11">
        <f t="shared" si="15"/>
        <v>1.0001166326534381</v>
      </c>
    </row>
    <row r="339" spans="1:10">
      <c r="A339" s="76">
        <v>310</v>
      </c>
      <c r="B339" s="65">
        <v>43951</v>
      </c>
      <c r="C339" s="11">
        <v>0.108336</v>
      </c>
      <c r="D339" s="11">
        <v>1.0255999999999999E-2</v>
      </c>
      <c r="E339" s="11">
        <v>0.12684400000000001</v>
      </c>
      <c r="F339" s="11">
        <v>1.0830400470474011E-4</v>
      </c>
      <c r="G339" s="11">
        <f t="shared" si="14"/>
        <v>1.108336</v>
      </c>
      <c r="H339" s="11">
        <f t="shared" si="14"/>
        <v>1.010256</v>
      </c>
      <c r="I339" s="11">
        <f t="shared" si="14"/>
        <v>1.126844</v>
      </c>
      <c r="J339" s="11">
        <f t="shared" si="15"/>
        <v>1.0001083040047047</v>
      </c>
    </row>
    <row r="340" spans="1:10">
      <c r="A340" s="76">
        <v>311</v>
      </c>
      <c r="B340" s="65">
        <v>43980</v>
      </c>
      <c r="C340" s="11">
        <v>-5.4489999999999999E-3</v>
      </c>
      <c r="D340" s="11">
        <v>-3.7754000000000003E-2</v>
      </c>
      <c r="E340" s="11">
        <v>4.5282000000000003E-2</v>
      </c>
      <c r="F340" s="11">
        <v>1.3328891060493397E-4</v>
      </c>
      <c r="G340" s="11">
        <f t="shared" si="14"/>
        <v>0.99455099999999996</v>
      </c>
      <c r="H340" s="11">
        <f t="shared" si="14"/>
        <v>0.96224600000000005</v>
      </c>
      <c r="I340" s="11">
        <f t="shared" si="14"/>
        <v>1.045282</v>
      </c>
      <c r="J340" s="11">
        <f t="shared" si="15"/>
        <v>1.0001332889106049</v>
      </c>
    </row>
    <row r="341" spans="1:10">
      <c r="A341" s="76">
        <v>312</v>
      </c>
      <c r="B341" s="65">
        <v>44012</v>
      </c>
      <c r="C341" s="11">
        <v>-4.7462999999999998E-2</v>
      </c>
      <c r="D341" s="11">
        <v>-4.1700000000000001E-2</v>
      </c>
      <c r="E341" s="11">
        <v>1.8388000000000002E-2</v>
      </c>
      <c r="F341" s="11">
        <v>1.0830400470474011E-4</v>
      </c>
      <c r="G341" s="11">
        <f t="shared" si="14"/>
        <v>0.95253699999999997</v>
      </c>
      <c r="H341" s="11">
        <f t="shared" si="14"/>
        <v>0.95830000000000004</v>
      </c>
      <c r="I341" s="11">
        <f t="shared" si="14"/>
        <v>1.0183880000000001</v>
      </c>
      <c r="J341" s="11">
        <f t="shared" si="15"/>
        <v>1.0001083040047047</v>
      </c>
    </row>
    <row r="342" spans="1:10">
      <c r="A342" s="76">
        <v>313</v>
      </c>
      <c r="B342" s="65">
        <v>44043</v>
      </c>
      <c r="C342" s="11">
        <v>-3.6784999999999998E-2</v>
      </c>
      <c r="D342" s="11">
        <v>6.8122000000000002E-2</v>
      </c>
      <c r="E342" s="11">
        <v>5.5100999999999997E-2</v>
      </c>
      <c r="F342" s="11">
        <v>8.3315977525089124E-5</v>
      </c>
      <c r="G342" s="11">
        <f t="shared" si="14"/>
        <v>0.96321500000000004</v>
      </c>
      <c r="H342" s="11">
        <f t="shared" si="14"/>
        <v>1.068122</v>
      </c>
      <c r="I342" s="11">
        <f t="shared" si="14"/>
        <v>1.0551010000000001</v>
      </c>
      <c r="J342" s="11">
        <f t="shared" si="15"/>
        <v>1.0000833159775251</v>
      </c>
    </row>
    <row r="343" spans="1:10">
      <c r="A343" s="76">
        <v>314</v>
      </c>
      <c r="B343" s="65">
        <v>44074</v>
      </c>
      <c r="C343" s="11">
        <v>-1.9162999999999999E-2</v>
      </c>
      <c r="D343" s="11">
        <v>-6.1498999999999998E-2</v>
      </c>
      <c r="E343" s="11">
        <v>7.0065000000000002E-2</v>
      </c>
      <c r="F343" s="11">
        <v>9.1645666780104662E-5</v>
      </c>
      <c r="G343" s="11">
        <f t="shared" si="14"/>
        <v>0.98083699999999996</v>
      </c>
      <c r="H343" s="11">
        <f t="shared" si="14"/>
        <v>0.93850100000000003</v>
      </c>
      <c r="I343" s="11">
        <f t="shared" si="14"/>
        <v>1.070065</v>
      </c>
      <c r="J343" s="11">
        <f t="shared" si="15"/>
        <v>1.0000916456667801</v>
      </c>
    </row>
    <row r="344" spans="1:10">
      <c r="A344" s="76">
        <v>315</v>
      </c>
      <c r="B344" s="65">
        <v>44104</v>
      </c>
      <c r="C344" s="11">
        <v>-6.3010999999999998E-2</v>
      </c>
      <c r="D344" s="11">
        <v>9.0551999999999994E-2</v>
      </c>
      <c r="E344" s="11">
        <v>-3.9227999999999999E-2</v>
      </c>
      <c r="F344" s="11">
        <v>8.3315977525089124E-5</v>
      </c>
      <c r="G344" s="11">
        <f t="shared" si="14"/>
        <v>0.93698899999999996</v>
      </c>
      <c r="H344" s="11">
        <f t="shared" si="14"/>
        <v>1.090552</v>
      </c>
      <c r="I344" s="11">
        <f t="shared" si="14"/>
        <v>0.96077199999999996</v>
      </c>
      <c r="J344" s="11">
        <f t="shared" si="15"/>
        <v>1.0000833159775251</v>
      </c>
    </row>
    <row r="345" spans="1:10">
      <c r="A345" s="76">
        <v>316</v>
      </c>
      <c r="B345" s="65">
        <v>44134</v>
      </c>
      <c r="C345" s="11">
        <v>1.8925000000000001E-2</v>
      </c>
      <c r="D345" s="11">
        <v>8.8690000000000001E-3</v>
      </c>
      <c r="E345" s="11">
        <v>-2.7666E-2</v>
      </c>
      <c r="F345" s="11">
        <v>7.4985941366012554E-5</v>
      </c>
      <c r="G345" s="11">
        <f t="shared" si="14"/>
        <v>1.0189250000000001</v>
      </c>
      <c r="H345" s="11">
        <f t="shared" si="14"/>
        <v>1.008869</v>
      </c>
      <c r="I345" s="11">
        <f t="shared" si="14"/>
        <v>0.97233400000000003</v>
      </c>
      <c r="J345" s="11">
        <f t="shared" si="15"/>
        <v>1.000074985941366</v>
      </c>
    </row>
    <row r="346" spans="1:10">
      <c r="A346" s="76">
        <v>317</v>
      </c>
      <c r="B346" s="65">
        <v>44165</v>
      </c>
      <c r="C346" s="11">
        <v>0.201818</v>
      </c>
      <c r="D346" s="11">
        <v>-1.8792E-2</v>
      </c>
      <c r="E346" s="11">
        <v>0.107546</v>
      </c>
      <c r="F346" s="11">
        <v>7.4985941366012554E-5</v>
      </c>
      <c r="G346" s="11">
        <f t="shared" si="14"/>
        <v>1.2018180000000001</v>
      </c>
      <c r="H346" s="11">
        <f t="shared" si="14"/>
        <v>0.98120799999999997</v>
      </c>
      <c r="I346" s="11">
        <f t="shared" si="14"/>
        <v>1.1075459999999999</v>
      </c>
      <c r="J346" s="11">
        <f t="shared" si="15"/>
        <v>1.000074985941366</v>
      </c>
    </row>
    <row r="347" spans="1:10">
      <c r="A347" s="76">
        <v>318</v>
      </c>
      <c r="B347" s="65">
        <v>44196</v>
      </c>
      <c r="C347" s="11">
        <v>-2.5957999999999998E-2</v>
      </c>
      <c r="D347" s="11">
        <v>-5.2197E-2</v>
      </c>
      <c r="E347" s="11">
        <v>3.7121000000000001E-2</v>
      </c>
      <c r="F347" s="11">
        <v>6.6655558270900528E-5</v>
      </c>
      <c r="G347" s="11">
        <f t="shared" si="14"/>
        <v>0.97404199999999996</v>
      </c>
      <c r="H347" s="11">
        <f t="shared" si="14"/>
        <v>0.94780299999999995</v>
      </c>
      <c r="I347" s="11">
        <f t="shared" si="14"/>
        <v>1.037121</v>
      </c>
      <c r="J347" s="11">
        <f t="shared" si="15"/>
        <v>1.0000666555582709</v>
      </c>
    </row>
    <row r="348" spans="1:10">
      <c r="A348" s="76">
        <v>319</v>
      </c>
      <c r="B348" s="65">
        <v>44225</v>
      </c>
      <c r="C348" s="11">
        <v>9.2239999999999996E-3</v>
      </c>
      <c r="D348" s="11">
        <v>-2.0617E-2</v>
      </c>
      <c r="E348" s="11">
        <v>-1.1136999999999999E-2</v>
      </c>
      <c r="F348" s="11">
        <v>3.3330555895050296E-5</v>
      </c>
      <c r="G348" s="11">
        <f t="shared" si="14"/>
        <v>1.0092239999999999</v>
      </c>
      <c r="H348" s="11">
        <f t="shared" si="14"/>
        <v>0.979383</v>
      </c>
      <c r="I348" s="11">
        <f t="shared" si="14"/>
        <v>0.98886300000000005</v>
      </c>
      <c r="J348" s="11">
        <f t="shared" si="15"/>
        <v>1.0000333305558951</v>
      </c>
    </row>
    <row r="349" spans="1:10">
      <c r="A349" s="76">
        <v>320</v>
      </c>
      <c r="B349" s="65">
        <v>44253</v>
      </c>
      <c r="C349" s="11">
        <v>6.3353000000000007E-2</v>
      </c>
      <c r="D349" s="11">
        <v>-6.1529E-2</v>
      </c>
      <c r="E349" s="11">
        <v>2.6091E-2</v>
      </c>
      <c r="F349" s="11">
        <v>2.4998437643253268E-5</v>
      </c>
      <c r="G349" s="11">
        <f t="shared" si="14"/>
        <v>1.063353</v>
      </c>
      <c r="H349" s="11">
        <f t="shared" si="14"/>
        <v>0.93847100000000006</v>
      </c>
      <c r="I349" s="11">
        <f t="shared" si="14"/>
        <v>1.0260910000000001</v>
      </c>
      <c r="J349" s="11">
        <f t="shared" si="15"/>
        <v>1.0000249984376433</v>
      </c>
    </row>
    <row r="350" spans="1:10">
      <c r="A350" s="76">
        <v>321</v>
      </c>
      <c r="B350" s="65">
        <v>44286</v>
      </c>
      <c r="C350" s="11">
        <v>7.5120999999999993E-2</v>
      </c>
      <c r="D350" s="11">
        <v>0.139376</v>
      </c>
      <c r="E350" s="11">
        <v>4.2438999999999998E-2</v>
      </c>
      <c r="F350" s="11">
        <v>1.666597226468447E-5</v>
      </c>
      <c r="G350" s="11">
        <f t="shared" si="14"/>
        <v>1.075121</v>
      </c>
      <c r="H350" s="11">
        <f t="shared" si="14"/>
        <v>1.1393759999999999</v>
      </c>
      <c r="I350" s="11">
        <f t="shared" si="14"/>
        <v>1.0424389999999999</v>
      </c>
      <c r="J350" s="11">
        <f t="shared" si="15"/>
        <v>1.0000166659722647</v>
      </c>
    </row>
    <row r="351" spans="1:10">
      <c r="A351" s="76">
        <v>322</v>
      </c>
      <c r="B351" s="65">
        <v>44316</v>
      </c>
      <c r="C351" s="11">
        <v>6.8717E-2</v>
      </c>
      <c r="D351" s="11">
        <v>3.4893E-2</v>
      </c>
      <c r="E351" s="11">
        <v>5.2424999999999999E-2</v>
      </c>
      <c r="F351" s="11">
        <v>1.666597226468447E-5</v>
      </c>
      <c r="G351" s="11">
        <f t="shared" ref="G351:I392" si="16">1+C351</f>
        <v>1.0687169999999999</v>
      </c>
      <c r="H351" s="11">
        <f t="shared" si="16"/>
        <v>1.0348930000000001</v>
      </c>
      <c r="I351" s="11">
        <f t="shared" si="16"/>
        <v>1.0524249999999999</v>
      </c>
      <c r="J351" s="11">
        <f t="shared" ref="J351:J392" si="17">1+F351</f>
        <v>1.0000166659722647</v>
      </c>
    </row>
    <row r="352" spans="1:10">
      <c r="A352" s="76">
        <v>323</v>
      </c>
      <c r="B352" s="65">
        <v>44344</v>
      </c>
      <c r="C352" s="11">
        <v>1.6419E-2</v>
      </c>
      <c r="D352" s="11">
        <v>7.8150000000000008E-3</v>
      </c>
      <c r="E352" s="11">
        <v>5.4869999999999997E-3</v>
      </c>
      <c r="F352" s="11">
        <v>3.3330555895050296E-5</v>
      </c>
      <c r="G352" s="11">
        <f t="shared" si="16"/>
        <v>1.016419</v>
      </c>
      <c r="H352" s="11">
        <f t="shared" si="16"/>
        <v>1.0078149999999999</v>
      </c>
      <c r="I352" s="11">
        <f t="shared" si="16"/>
        <v>1.005487</v>
      </c>
      <c r="J352" s="11">
        <f t="shared" si="17"/>
        <v>1.0000333305558951</v>
      </c>
    </row>
    <row r="353" spans="1:10">
      <c r="A353" s="76">
        <v>324</v>
      </c>
      <c r="B353" s="65">
        <v>44377</v>
      </c>
      <c r="C353" s="11">
        <v>2.3061999999999999E-2</v>
      </c>
      <c r="D353" s="11">
        <v>-7.1466000000000002E-2</v>
      </c>
      <c r="E353" s="11">
        <v>2.2214000000000001E-2</v>
      </c>
      <c r="F353" s="11">
        <v>4.166232705182793E-5</v>
      </c>
      <c r="G353" s="11">
        <f t="shared" si="16"/>
        <v>1.0230619999999999</v>
      </c>
      <c r="H353" s="11">
        <f t="shared" si="16"/>
        <v>0.92853399999999997</v>
      </c>
      <c r="I353" s="11">
        <f t="shared" si="16"/>
        <v>1.022214</v>
      </c>
      <c r="J353" s="11">
        <f t="shared" si="17"/>
        <v>1.0000416623270518</v>
      </c>
    </row>
    <row r="354" spans="1:10">
      <c r="A354" s="76">
        <v>325</v>
      </c>
      <c r="B354" s="65">
        <v>44407</v>
      </c>
      <c r="C354" s="11">
        <v>9.3630000000000005E-2</v>
      </c>
      <c r="D354" s="11">
        <v>2.8583000000000001E-2</v>
      </c>
      <c r="E354" s="11">
        <v>2.2748000000000001E-2</v>
      </c>
      <c r="F354" s="11">
        <v>4.166232705182793E-5</v>
      </c>
      <c r="G354" s="11">
        <f t="shared" si="16"/>
        <v>1.0936300000000001</v>
      </c>
      <c r="H354" s="11">
        <f t="shared" si="16"/>
        <v>1.028583</v>
      </c>
      <c r="I354" s="11">
        <f t="shared" si="16"/>
        <v>1.022748</v>
      </c>
      <c r="J354" s="11">
        <f t="shared" si="17"/>
        <v>1.0000416623270518</v>
      </c>
    </row>
    <row r="355" spans="1:10">
      <c r="A355" s="76">
        <v>326</v>
      </c>
      <c r="B355" s="65">
        <v>44439</v>
      </c>
      <c r="C355" s="11">
        <v>8.0459999999999993E-3</v>
      </c>
      <c r="D355" s="11">
        <v>3.3279000000000003E-2</v>
      </c>
      <c r="E355" s="11">
        <v>2.8989999999999998E-2</v>
      </c>
      <c r="F355" s="11">
        <v>3.3330555895050296E-5</v>
      </c>
      <c r="G355" s="11">
        <f t="shared" si="16"/>
        <v>1.008046</v>
      </c>
      <c r="H355" s="11">
        <f t="shared" si="16"/>
        <v>1.0332790000000001</v>
      </c>
      <c r="I355" s="11">
        <f t="shared" si="16"/>
        <v>1.0289900000000001</v>
      </c>
      <c r="J355" s="11">
        <f t="shared" si="17"/>
        <v>1.0000333305558951</v>
      </c>
    </row>
    <row r="356" spans="1:10">
      <c r="A356" s="76">
        <v>327</v>
      </c>
      <c r="B356" s="65">
        <v>44469</v>
      </c>
      <c r="C356" s="11">
        <v>-2.6939999999999999E-2</v>
      </c>
      <c r="D356" s="11">
        <v>-3.7906000000000002E-2</v>
      </c>
      <c r="E356" s="11">
        <v>-4.7569E-2</v>
      </c>
      <c r="F356" s="11">
        <v>4.166232705182793E-5</v>
      </c>
      <c r="G356" s="11">
        <f t="shared" si="16"/>
        <v>0.97306000000000004</v>
      </c>
      <c r="H356" s="11">
        <f t="shared" si="16"/>
        <v>0.962094</v>
      </c>
      <c r="I356" s="11">
        <f t="shared" si="16"/>
        <v>0.95243100000000003</v>
      </c>
      <c r="J356" s="11">
        <f t="shared" si="17"/>
        <v>1.0000416623270518</v>
      </c>
    </row>
    <row r="357" spans="1:10">
      <c r="A357" s="76">
        <v>328</v>
      </c>
      <c r="B357" s="65">
        <v>44498</v>
      </c>
      <c r="C357" s="11">
        <v>6.3145000000000007E-2</v>
      </c>
      <c r="D357" s="11">
        <v>3.8711000000000002E-2</v>
      </c>
      <c r="E357" s="11">
        <v>6.9143999999999997E-2</v>
      </c>
      <c r="F357" s="11">
        <v>4.166232705182793E-5</v>
      </c>
      <c r="G357" s="11">
        <f t="shared" si="16"/>
        <v>1.063145</v>
      </c>
      <c r="H357" s="11">
        <f t="shared" si="16"/>
        <v>1.0387109999999999</v>
      </c>
      <c r="I357" s="11">
        <f t="shared" si="16"/>
        <v>1.0691440000000001</v>
      </c>
      <c r="J357" s="11">
        <f t="shared" si="17"/>
        <v>1.0000416623270518</v>
      </c>
    </row>
    <row r="358" spans="1:10">
      <c r="A358" s="76">
        <v>329</v>
      </c>
      <c r="B358" s="65">
        <v>44530</v>
      </c>
      <c r="C358" s="11">
        <v>-1.441E-3</v>
      </c>
      <c r="D358" s="11">
        <v>3.9987000000000002E-2</v>
      </c>
      <c r="E358" s="11">
        <v>-8.3339999999999994E-3</v>
      </c>
      <c r="F358" s="11">
        <v>4.9993751145560594E-5</v>
      </c>
      <c r="G358" s="11">
        <f t="shared" si="16"/>
        <v>0.99855899999999997</v>
      </c>
      <c r="H358" s="11">
        <f t="shared" si="16"/>
        <v>1.039987</v>
      </c>
      <c r="I358" s="11">
        <f t="shared" si="16"/>
        <v>0.99166600000000005</v>
      </c>
      <c r="J358" s="11">
        <f t="shared" si="17"/>
        <v>1.0000499937511456</v>
      </c>
    </row>
    <row r="359" spans="1:10">
      <c r="A359" s="76">
        <v>330</v>
      </c>
      <c r="B359" s="65">
        <v>44561</v>
      </c>
      <c r="C359" s="11">
        <v>4.3837000000000001E-2</v>
      </c>
      <c r="D359" s="11">
        <v>9.8918000000000006E-2</v>
      </c>
      <c r="E359" s="11">
        <v>4.3612999999999999E-2</v>
      </c>
      <c r="F359" s="11">
        <v>1.2496095539415997E-4</v>
      </c>
      <c r="G359" s="11">
        <f t="shared" si="16"/>
        <v>1.0438369999999999</v>
      </c>
      <c r="H359" s="11">
        <f t="shared" si="16"/>
        <v>1.0989180000000001</v>
      </c>
      <c r="I359" s="11">
        <f t="shared" si="16"/>
        <v>1.0436129999999999</v>
      </c>
      <c r="J359" s="11">
        <f t="shared" si="17"/>
        <v>1.0001249609553942</v>
      </c>
    </row>
    <row r="360" spans="1:10">
      <c r="A360" s="76">
        <v>331</v>
      </c>
      <c r="B360" s="65">
        <v>44592</v>
      </c>
      <c r="C360" s="11">
        <v>-5.6015000000000002E-2</v>
      </c>
      <c r="D360" s="11">
        <v>1.3244000000000001E-2</v>
      </c>
      <c r="E360" s="11">
        <v>-5.2585E-2</v>
      </c>
      <c r="F360" s="11">
        <v>2.5816665091715763E-4</v>
      </c>
      <c r="G360" s="11">
        <f t="shared" si="16"/>
        <v>0.94398499999999996</v>
      </c>
      <c r="H360" s="11">
        <f t="shared" si="16"/>
        <v>1.013244</v>
      </c>
      <c r="I360" s="11">
        <f t="shared" si="16"/>
        <v>0.94741500000000001</v>
      </c>
      <c r="J360" s="11">
        <f t="shared" si="17"/>
        <v>1.0002581666509172</v>
      </c>
    </row>
    <row r="361" spans="1:10">
      <c r="A361" s="76">
        <v>332</v>
      </c>
      <c r="B361" s="65">
        <v>44620</v>
      </c>
      <c r="C361" s="11">
        <v>-4.6105E-2</v>
      </c>
      <c r="D361" s="11">
        <v>1.2719999999999999E-3</v>
      </c>
      <c r="E361" s="11">
        <v>-3.1361E-2</v>
      </c>
      <c r="F361" s="11">
        <v>3.7464892012928352E-4</v>
      </c>
      <c r="G361" s="11">
        <f t="shared" si="16"/>
        <v>0.95389500000000005</v>
      </c>
      <c r="H361" s="11">
        <f t="shared" si="16"/>
        <v>1.0012719999999999</v>
      </c>
      <c r="I361" s="11">
        <f t="shared" si="16"/>
        <v>0.96863900000000003</v>
      </c>
      <c r="J361" s="11">
        <f t="shared" si="17"/>
        <v>1.0003746489201293</v>
      </c>
    </row>
    <row r="362" spans="1:10">
      <c r="A362" s="76">
        <v>333</v>
      </c>
      <c r="B362" s="65">
        <v>44651</v>
      </c>
      <c r="C362" s="11">
        <v>9.6194000000000002E-2</v>
      </c>
      <c r="D362" s="11">
        <v>0.103883</v>
      </c>
      <c r="E362" s="11">
        <v>3.5772999999999999E-2</v>
      </c>
      <c r="F362" s="11">
        <v>6.3233287797870297E-4</v>
      </c>
      <c r="G362" s="11">
        <f t="shared" si="16"/>
        <v>1.0961940000000001</v>
      </c>
      <c r="H362" s="11">
        <f t="shared" si="16"/>
        <v>1.1038829999999999</v>
      </c>
      <c r="I362" s="11">
        <f t="shared" si="16"/>
        <v>1.0357730000000001</v>
      </c>
      <c r="J362" s="11">
        <f t="shared" si="17"/>
        <v>1.0006323328779787</v>
      </c>
    </row>
    <row r="363" spans="1:10">
      <c r="A363" s="76">
        <v>334</v>
      </c>
      <c r="B363" s="65">
        <v>44680</v>
      </c>
      <c r="C363" s="11">
        <v>-4.6920000000000003E-2</v>
      </c>
      <c r="D363" s="11">
        <v>-2.0490000000000001E-2</v>
      </c>
      <c r="E363" s="11">
        <v>-8.7956999999999994E-2</v>
      </c>
      <c r="F363" s="11">
        <v>8.233035667473132E-4</v>
      </c>
      <c r="G363" s="11">
        <f t="shared" si="16"/>
        <v>0.95308000000000004</v>
      </c>
      <c r="H363" s="11">
        <f t="shared" si="16"/>
        <v>0.97950999999999999</v>
      </c>
      <c r="I363" s="11">
        <f t="shared" si="16"/>
        <v>0.91204300000000005</v>
      </c>
      <c r="J363" s="11">
        <f t="shared" si="17"/>
        <v>1.0008233035667473</v>
      </c>
    </row>
    <row r="364" spans="1:10">
      <c r="A364" s="76">
        <v>335</v>
      </c>
      <c r="B364" s="65">
        <v>44712</v>
      </c>
      <c r="C364" s="11">
        <v>-0.13794200000000001</v>
      </c>
      <c r="D364" s="11">
        <v>7.8823000000000004E-2</v>
      </c>
      <c r="E364" s="11">
        <v>5.3000000000000001E-5</v>
      </c>
      <c r="F364" s="11">
        <v>1.2792352416419739E-3</v>
      </c>
      <c r="G364" s="11">
        <f t="shared" si="16"/>
        <v>0.86205799999999999</v>
      </c>
      <c r="H364" s="11">
        <f t="shared" si="16"/>
        <v>1.0788230000000001</v>
      </c>
      <c r="I364" s="11">
        <f t="shared" si="16"/>
        <v>1.0000530000000001</v>
      </c>
      <c r="J364" s="11">
        <f t="shared" si="17"/>
        <v>1.001279235241642</v>
      </c>
    </row>
    <row r="365" spans="1:10">
      <c r="A365" s="76">
        <v>336</v>
      </c>
      <c r="B365" s="65">
        <v>44742</v>
      </c>
      <c r="C365" s="11">
        <v>-7.0953000000000002E-2</v>
      </c>
      <c r="D365" s="11">
        <v>-4.1910000000000003E-2</v>
      </c>
      <c r="E365" s="11">
        <v>-8.3919999999999995E-2</v>
      </c>
      <c r="F365" s="11">
        <v>1.9075466610292136E-3</v>
      </c>
      <c r="G365" s="11">
        <f t="shared" si="16"/>
        <v>0.92904699999999996</v>
      </c>
      <c r="H365" s="11">
        <f t="shared" si="16"/>
        <v>0.95809</v>
      </c>
      <c r="I365" s="11">
        <f t="shared" si="16"/>
        <v>0.91608000000000001</v>
      </c>
      <c r="J365" s="11">
        <f t="shared" si="17"/>
        <v>1.0019075466610292</v>
      </c>
    </row>
    <row r="366" spans="1:10">
      <c r="A366" s="76">
        <v>337</v>
      </c>
      <c r="B366" s="65">
        <v>44771</v>
      </c>
      <c r="C366" s="11">
        <v>9.5674999999999996E-2</v>
      </c>
      <c r="D366" s="11">
        <v>4.3848999999999999E-2</v>
      </c>
      <c r="E366" s="11">
        <v>9.1116000000000003E-2</v>
      </c>
      <c r="F366" s="11">
        <v>2.2539279560598313E-3</v>
      </c>
      <c r="G366" s="11">
        <f t="shared" si="16"/>
        <v>1.095675</v>
      </c>
      <c r="H366" s="11">
        <f t="shared" si="16"/>
        <v>1.043849</v>
      </c>
      <c r="I366" s="11">
        <f t="shared" si="16"/>
        <v>1.091116</v>
      </c>
      <c r="J366" s="11">
        <f t="shared" si="17"/>
        <v>1.0022539279560598</v>
      </c>
    </row>
    <row r="367" spans="1:10">
      <c r="A367" s="76">
        <v>338</v>
      </c>
      <c r="B367" s="65">
        <v>44804</v>
      </c>
      <c r="C367" s="11">
        <v>-7.4930999999999998E-2</v>
      </c>
      <c r="D367" s="11">
        <v>-7.4539999999999997E-3</v>
      </c>
      <c r="E367" s="11">
        <v>-4.2439999999999999E-2</v>
      </c>
      <c r="F367" s="11">
        <v>2.6655077505770564E-3</v>
      </c>
      <c r="G367" s="11">
        <f t="shared" si="16"/>
        <v>0.92506900000000003</v>
      </c>
      <c r="H367" s="11">
        <f t="shared" si="16"/>
        <v>0.99254600000000004</v>
      </c>
      <c r="I367" s="11">
        <f t="shared" si="16"/>
        <v>0.95755999999999997</v>
      </c>
      <c r="J367" s="11">
        <f t="shared" si="17"/>
        <v>1.0026655077505771</v>
      </c>
    </row>
    <row r="368" spans="1:10">
      <c r="A368" s="76">
        <v>339</v>
      </c>
      <c r="B368" s="65">
        <v>44834</v>
      </c>
      <c r="C368" s="11">
        <v>-7.7830999999999997E-2</v>
      </c>
      <c r="D368" s="11">
        <v>-0.12257</v>
      </c>
      <c r="E368" s="11">
        <v>-9.3396000000000007E-2</v>
      </c>
      <c r="F368" s="11">
        <v>3.1993017532958579E-3</v>
      </c>
      <c r="G368" s="11">
        <f t="shared" si="16"/>
        <v>0.92216900000000002</v>
      </c>
      <c r="H368" s="11">
        <f t="shared" si="16"/>
        <v>0.87743000000000004</v>
      </c>
      <c r="I368" s="11">
        <f t="shared" si="16"/>
        <v>0.90660399999999997</v>
      </c>
      <c r="J368" s="11">
        <f t="shared" si="17"/>
        <v>1.0031993017532959</v>
      </c>
    </row>
    <row r="369" spans="1:10">
      <c r="A369" s="76">
        <v>340</v>
      </c>
      <c r="B369" s="65">
        <v>44865</v>
      </c>
      <c r="C369" s="11">
        <v>-8.2525000000000001E-2</v>
      </c>
      <c r="D369" s="11">
        <v>2.5652999999999999E-2</v>
      </c>
      <c r="E369" s="11">
        <v>7.9863000000000003E-2</v>
      </c>
      <c r="F369" s="11">
        <v>3.5680212430042602E-3</v>
      </c>
      <c r="G369" s="11">
        <f t="shared" si="16"/>
        <v>0.91747500000000004</v>
      </c>
      <c r="H369" s="11">
        <f t="shared" si="16"/>
        <v>1.0256529999999999</v>
      </c>
      <c r="I369" s="11">
        <f t="shared" si="16"/>
        <v>1.079863</v>
      </c>
      <c r="J369" s="11">
        <f t="shared" si="17"/>
        <v>1.0035680212430043</v>
      </c>
    </row>
    <row r="370" spans="1:10">
      <c r="A370" s="76">
        <v>341</v>
      </c>
      <c r="B370" s="65">
        <v>44895</v>
      </c>
      <c r="C370" s="11">
        <v>-8.3689999999999997E-3</v>
      </c>
      <c r="D370" s="11">
        <v>0.12357899999999999</v>
      </c>
      <c r="E370" s="11">
        <v>5.3753000000000002E-2</v>
      </c>
      <c r="F370" s="11">
        <v>3.6007635481660749E-3</v>
      </c>
      <c r="G370" s="11">
        <f t="shared" si="16"/>
        <v>0.99163100000000004</v>
      </c>
      <c r="H370" s="11">
        <f t="shared" si="16"/>
        <v>1.1235789999999999</v>
      </c>
      <c r="I370" s="11">
        <f t="shared" si="16"/>
        <v>1.0537529999999999</v>
      </c>
      <c r="J370" s="11">
        <f t="shared" si="17"/>
        <v>1.0036007635481661</v>
      </c>
    </row>
    <row r="371" spans="1:10">
      <c r="A371" s="76">
        <v>342</v>
      </c>
      <c r="B371" s="65">
        <v>44925</v>
      </c>
      <c r="C371" s="11">
        <v>-2.8406000000000001E-2</v>
      </c>
      <c r="D371" s="11">
        <v>-2.7845999999999999E-2</v>
      </c>
      <c r="E371" s="11">
        <v>-5.8971000000000003E-2</v>
      </c>
      <c r="F371" s="11">
        <v>3.8706839806363913E-3</v>
      </c>
      <c r="G371" s="11">
        <f t="shared" si="16"/>
        <v>0.97159399999999996</v>
      </c>
      <c r="H371" s="11">
        <f t="shared" si="16"/>
        <v>0.97215399999999996</v>
      </c>
      <c r="I371" s="11">
        <f t="shared" si="16"/>
        <v>0.941029</v>
      </c>
      <c r="J371" s="11">
        <f t="shared" si="17"/>
        <v>1.0038706839806364</v>
      </c>
    </row>
    <row r="372" spans="1:10">
      <c r="A372" s="76">
        <v>343</v>
      </c>
      <c r="B372" s="65">
        <v>44957</v>
      </c>
      <c r="C372" s="11">
        <v>6.6770999999999997E-2</v>
      </c>
      <c r="D372" s="11">
        <v>0</v>
      </c>
      <c r="E372" s="11">
        <v>6.1753000000000002E-2</v>
      </c>
      <c r="F372" s="11">
        <v>3.952406455044688E-3</v>
      </c>
      <c r="G372" s="11">
        <f t="shared" si="16"/>
        <v>1.0667709999999999</v>
      </c>
      <c r="H372" s="11">
        <f t="shared" si="16"/>
        <v>1</v>
      </c>
      <c r="I372" s="11">
        <f t="shared" si="16"/>
        <v>1.0617529999999999</v>
      </c>
      <c r="J372" s="11">
        <f t="shared" si="17"/>
        <v>1.0039524064550447</v>
      </c>
    </row>
    <row r="373" spans="1:10">
      <c r="A373" s="76">
        <v>344</v>
      </c>
      <c r="B373" s="65">
        <v>44985</v>
      </c>
      <c r="C373" s="11">
        <v>8.8030000000000001E-3</v>
      </c>
      <c r="D373" s="11">
        <v>-5.4033999999999999E-2</v>
      </c>
      <c r="E373" s="11">
        <v>-2.6112E-2</v>
      </c>
      <c r="F373" s="11">
        <v>4.0095924029068808E-3</v>
      </c>
      <c r="G373" s="11">
        <f t="shared" si="16"/>
        <v>1.0088029999999999</v>
      </c>
      <c r="H373" s="11">
        <f t="shared" si="16"/>
        <v>0.94596599999999997</v>
      </c>
      <c r="I373" s="11">
        <f t="shared" si="16"/>
        <v>0.97388799999999998</v>
      </c>
      <c r="J373" s="11">
        <f t="shared" si="17"/>
        <v>1.0040095924029069</v>
      </c>
    </row>
    <row r="374" spans="1:10">
      <c r="A374" s="76">
        <v>345</v>
      </c>
      <c r="B374" s="65">
        <v>45016</v>
      </c>
      <c r="C374" s="11">
        <v>-7.2831999999999994E-2</v>
      </c>
      <c r="D374" s="11">
        <v>7.0733000000000004E-2</v>
      </c>
      <c r="E374" s="11">
        <v>3.5052E-2</v>
      </c>
      <c r="F374" s="11">
        <v>4.1810525998986492E-3</v>
      </c>
      <c r="G374" s="11">
        <f t="shared" si="16"/>
        <v>0.92716799999999999</v>
      </c>
      <c r="H374" s="11">
        <f t="shared" si="16"/>
        <v>1.0707329999999999</v>
      </c>
      <c r="I374" s="11">
        <f t="shared" si="16"/>
        <v>1.0350520000000001</v>
      </c>
      <c r="J374" s="11">
        <f t="shared" si="17"/>
        <v>1.0041810525998986</v>
      </c>
    </row>
    <row r="375" spans="1:10">
      <c r="A375" s="76">
        <v>346</v>
      </c>
      <c r="B375" s="65">
        <v>45044</v>
      </c>
      <c r="C375" s="11">
        <v>5.0636E-2</v>
      </c>
      <c r="D375" s="11">
        <v>2.9267000000000001E-2</v>
      </c>
      <c r="E375" s="11">
        <v>1.4642000000000001E-2</v>
      </c>
      <c r="F375" s="11">
        <v>4.3768280376161872E-3</v>
      </c>
      <c r="G375" s="11">
        <f t="shared" si="16"/>
        <v>1.0506359999999999</v>
      </c>
      <c r="H375" s="11">
        <f t="shared" si="16"/>
        <v>1.0292669999999999</v>
      </c>
      <c r="I375" s="11">
        <f t="shared" si="16"/>
        <v>1.014642</v>
      </c>
      <c r="J375" s="11">
        <f t="shared" si="17"/>
        <v>1.0043768280376162</v>
      </c>
    </row>
    <row r="376" spans="1:10">
      <c r="A376" s="76">
        <v>347</v>
      </c>
      <c r="B376" s="65">
        <v>45077</v>
      </c>
      <c r="C376" s="11">
        <v>-1.6702000000000002E-2</v>
      </c>
      <c r="D376" s="11">
        <v>-4.4276999999999997E-2</v>
      </c>
      <c r="E376" s="11">
        <v>2.4819999999999998E-3</v>
      </c>
      <c r="F376" s="11">
        <v>4.4664947167158964E-3</v>
      </c>
      <c r="G376" s="11">
        <f t="shared" si="16"/>
        <v>0.98329800000000001</v>
      </c>
      <c r="H376" s="11">
        <f t="shared" si="16"/>
        <v>0.95572299999999999</v>
      </c>
      <c r="I376" s="11">
        <f t="shared" si="16"/>
        <v>1.0024820000000001</v>
      </c>
      <c r="J376" s="11">
        <f t="shared" si="17"/>
        <v>1.0044664947167159</v>
      </c>
    </row>
    <row r="377" spans="1:10">
      <c r="A377" s="76">
        <v>348</v>
      </c>
      <c r="B377" s="65">
        <v>45107</v>
      </c>
      <c r="C377" s="11">
        <v>9.5113000000000003E-2</v>
      </c>
      <c r="D377" s="11">
        <v>-3.1083E-2</v>
      </c>
      <c r="E377" s="11">
        <v>6.4727999999999994E-2</v>
      </c>
      <c r="F377" s="11">
        <v>4.5235344997047733E-3</v>
      </c>
      <c r="G377" s="11">
        <f t="shared" si="16"/>
        <v>1.095113</v>
      </c>
      <c r="H377" s="11">
        <f t="shared" si="16"/>
        <v>0.96891700000000003</v>
      </c>
      <c r="I377" s="11">
        <f t="shared" si="16"/>
        <v>1.0647279999999999</v>
      </c>
      <c r="J377" s="11">
        <f t="shared" si="17"/>
        <v>1.0045235344997048</v>
      </c>
    </row>
    <row r="378" spans="1:10">
      <c r="A378" s="76">
        <v>349</v>
      </c>
      <c r="B378" s="65">
        <v>45138</v>
      </c>
      <c r="C378" s="11">
        <v>3.9479E-2</v>
      </c>
      <c r="D378" s="11">
        <v>4.9335999999999998E-2</v>
      </c>
      <c r="E378" s="11">
        <v>3.1139E-2</v>
      </c>
      <c r="F378" s="11">
        <v>4.5805580928617307E-3</v>
      </c>
      <c r="G378" s="11">
        <f t="shared" si="16"/>
        <v>1.039479</v>
      </c>
      <c r="H378" s="11">
        <f t="shared" si="16"/>
        <v>1.049336</v>
      </c>
      <c r="I378" s="11">
        <f t="shared" si="16"/>
        <v>1.031139</v>
      </c>
      <c r="J378" s="11">
        <f t="shared" si="17"/>
        <v>1.0045805580928617</v>
      </c>
    </row>
    <row r="379" spans="1:10">
      <c r="A379" s="76">
        <v>350</v>
      </c>
      <c r="B379" s="65">
        <v>45169</v>
      </c>
      <c r="C379" s="11">
        <v>-2.1187000000000001E-2</v>
      </c>
      <c r="D379" s="11">
        <v>-5.3657999999999997E-2</v>
      </c>
      <c r="E379" s="11">
        <v>-1.7715999999999999E-2</v>
      </c>
      <c r="F379" s="11">
        <v>4.5805580928617307E-3</v>
      </c>
      <c r="G379" s="11">
        <f t="shared" si="16"/>
        <v>0.97881300000000004</v>
      </c>
      <c r="H379" s="11">
        <f t="shared" si="16"/>
        <v>0.94634200000000002</v>
      </c>
      <c r="I379" s="11">
        <f t="shared" si="16"/>
        <v>0.98228400000000005</v>
      </c>
      <c r="J379" s="11">
        <f t="shared" si="17"/>
        <v>1.0045805580928617</v>
      </c>
    </row>
    <row r="380" spans="1:10">
      <c r="A380" s="76">
        <v>351</v>
      </c>
      <c r="B380" s="65">
        <v>45198</v>
      </c>
      <c r="C380" s="11">
        <v>-0.100633</v>
      </c>
      <c r="D380" s="11">
        <v>-3.8557000000000001E-2</v>
      </c>
      <c r="E380" s="11">
        <v>-4.8718999999999998E-2</v>
      </c>
      <c r="F380" s="11">
        <v>4.6131357382226401E-3</v>
      </c>
      <c r="G380" s="11">
        <f t="shared" si="16"/>
        <v>0.89936700000000003</v>
      </c>
      <c r="H380" s="11">
        <f t="shared" si="16"/>
        <v>0.96144300000000005</v>
      </c>
      <c r="I380" s="11">
        <f t="shared" si="16"/>
        <v>0.95128100000000004</v>
      </c>
      <c r="J380" s="11">
        <f t="shared" si="17"/>
        <v>1.0046131357382226</v>
      </c>
    </row>
    <row r="381" spans="1:10">
      <c r="A381" s="76">
        <v>352</v>
      </c>
      <c r="B381" s="65">
        <v>45230</v>
      </c>
      <c r="C381" s="11">
        <v>8.6280000000000003E-3</v>
      </c>
      <c r="D381" s="11">
        <v>2.6424E-2</v>
      </c>
      <c r="E381" s="11">
        <v>-2.198E-2</v>
      </c>
      <c r="F381" s="11">
        <v>4.5479751643251465E-3</v>
      </c>
      <c r="G381" s="11">
        <f t="shared" si="16"/>
        <v>1.0086280000000001</v>
      </c>
      <c r="H381" s="11">
        <f t="shared" si="16"/>
        <v>1.026424</v>
      </c>
      <c r="I381" s="11">
        <f t="shared" si="16"/>
        <v>0.97802</v>
      </c>
      <c r="J381" s="11">
        <f t="shared" si="17"/>
        <v>1.0045479751643251</v>
      </c>
    </row>
    <row r="382" spans="1:10">
      <c r="A382" s="76">
        <v>353</v>
      </c>
      <c r="B382" s="65">
        <v>45260</v>
      </c>
      <c r="C382" s="11">
        <v>-2.15E-3</v>
      </c>
      <c r="D382" s="11">
        <v>3.5652999999999997E-2</v>
      </c>
      <c r="E382" s="11">
        <v>8.9178999999999994E-2</v>
      </c>
      <c r="F382" s="11">
        <v>4.482793450183209E-3</v>
      </c>
      <c r="G382" s="11">
        <f t="shared" si="16"/>
        <v>0.99785000000000001</v>
      </c>
      <c r="H382" s="11">
        <f t="shared" si="16"/>
        <v>1.0356529999999999</v>
      </c>
      <c r="I382" s="11">
        <f t="shared" si="16"/>
        <v>1.0891789999999999</v>
      </c>
      <c r="J382" s="11">
        <f t="shared" si="17"/>
        <v>1.0044827934501832</v>
      </c>
    </row>
    <row r="383" spans="1:10">
      <c r="A383" s="76">
        <v>354</v>
      </c>
      <c r="B383" s="65">
        <v>45289</v>
      </c>
      <c r="C383" s="11">
        <v>0.172351</v>
      </c>
      <c r="D383" s="11">
        <v>9.5440000000000004E-3</v>
      </c>
      <c r="E383" s="11">
        <v>4.4228999999999997E-2</v>
      </c>
      <c r="F383" s="11">
        <v>4.4909423210737209E-3</v>
      </c>
      <c r="G383" s="11">
        <f t="shared" si="16"/>
        <v>1.1723509999999999</v>
      </c>
      <c r="H383" s="11">
        <f t="shared" si="16"/>
        <v>1.009544</v>
      </c>
      <c r="I383" s="11">
        <f t="shared" si="16"/>
        <v>1.0442290000000001</v>
      </c>
      <c r="J383" s="11">
        <f t="shared" si="17"/>
        <v>1.0044909423210737</v>
      </c>
    </row>
    <row r="384" spans="1:10">
      <c r="A384" s="76">
        <v>355</v>
      </c>
      <c r="B384" s="84">
        <v>45322</v>
      </c>
      <c r="C384" s="11">
        <v>-6.6434999999999994E-2</v>
      </c>
      <c r="D384" s="11">
        <v>-1.634E-2</v>
      </c>
      <c r="E384" s="11">
        <v>2.1679E-2</v>
      </c>
      <c r="F384" s="11">
        <v>4.482793450183209E-3</v>
      </c>
      <c r="G384" s="11">
        <f t="shared" si="16"/>
        <v>0.93356499999999998</v>
      </c>
      <c r="H384" s="11">
        <f t="shared" si="16"/>
        <v>0.98365999999999998</v>
      </c>
      <c r="I384" s="11">
        <f t="shared" si="16"/>
        <v>1.021679</v>
      </c>
      <c r="J384" s="11">
        <f t="shared" si="17"/>
        <v>1.0044827934501832</v>
      </c>
    </row>
    <row r="385" spans="1:10">
      <c r="A385" s="76">
        <v>356</v>
      </c>
      <c r="B385" s="84">
        <v>45351</v>
      </c>
      <c r="C385" s="11">
        <v>-2.6093999999999999E-2</v>
      </c>
      <c r="D385" s="11">
        <v>-6.0033999999999997E-2</v>
      </c>
      <c r="E385" s="11">
        <v>3.8743E-2</v>
      </c>
      <c r="F385" s="11">
        <v>4.50723907131656E-3</v>
      </c>
      <c r="G385" s="11">
        <f t="shared" si="16"/>
        <v>0.97390600000000005</v>
      </c>
      <c r="H385" s="11">
        <f t="shared" si="16"/>
        <v>0.93996599999999997</v>
      </c>
      <c r="I385" s="11">
        <f t="shared" si="16"/>
        <v>1.038743</v>
      </c>
      <c r="J385" s="11">
        <f t="shared" si="17"/>
        <v>1.0045072390713166</v>
      </c>
    </row>
    <row r="386" spans="1:10">
      <c r="A386" s="76">
        <v>357</v>
      </c>
      <c r="B386" s="84">
        <v>45379</v>
      </c>
      <c r="C386" s="11">
        <v>4.4545000000000001E-2</v>
      </c>
      <c r="D386" s="11">
        <v>4.3672999999999997E-2</v>
      </c>
      <c r="E386" s="11">
        <v>4.4545000000000001E-2</v>
      </c>
      <c r="F386" s="11">
        <v>4.482793450183209E-3</v>
      </c>
      <c r="G386" s="11">
        <f t="shared" si="16"/>
        <v>1.0445450000000001</v>
      </c>
      <c r="H386" s="11">
        <f t="shared" si="16"/>
        <v>1.0436730000000001</v>
      </c>
      <c r="I386" s="11">
        <f t="shared" si="16"/>
        <v>1.0445450000000001</v>
      </c>
      <c r="J386" s="11">
        <f t="shared" si="17"/>
        <v>1.0044827934501832</v>
      </c>
    </row>
    <row r="387" spans="1:10">
      <c r="A387" s="76">
        <v>358</v>
      </c>
      <c r="B387" s="84">
        <v>45412</v>
      </c>
      <c r="C387" s="11">
        <v>2.7453999999999999E-2</v>
      </c>
      <c r="D387" s="11">
        <v>4.5057E-2</v>
      </c>
      <c r="E387" s="11">
        <v>2.7453999999999999E-2</v>
      </c>
      <c r="F387" s="11">
        <v>4.4990908614417346E-3</v>
      </c>
      <c r="G387" s="11">
        <f t="shared" si="16"/>
        <v>1.0274540000000001</v>
      </c>
      <c r="H387" s="11">
        <f t="shared" si="16"/>
        <v>1.0450569999999999</v>
      </c>
      <c r="I387" s="11">
        <f t="shared" si="16"/>
        <v>1.0274540000000001</v>
      </c>
      <c r="J387" s="11">
        <f t="shared" si="17"/>
        <v>1.0044990908614417</v>
      </c>
    </row>
    <row r="388" spans="1:10">
      <c r="A388" s="76">
        <v>359</v>
      </c>
      <c r="B388" s="84">
        <v>45443</v>
      </c>
      <c r="C388" s="11">
        <v>5.8337E-2</v>
      </c>
      <c r="D388" s="11">
        <v>-2.637E-3</v>
      </c>
      <c r="E388" s="11">
        <v>5.8337E-2</v>
      </c>
      <c r="F388" s="11">
        <v>4.5398286064739501E-3</v>
      </c>
      <c r="G388" s="11">
        <f t="shared" si="16"/>
        <v>1.0583370000000001</v>
      </c>
      <c r="H388" s="11">
        <f t="shared" si="16"/>
        <v>0.997363</v>
      </c>
      <c r="I388" s="11">
        <f t="shared" si="16"/>
        <v>1.0583370000000001</v>
      </c>
      <c r="J388" s="11">
        <f t="shared" si="17"/>
        <v>1.004539828606474</v>
      </c>
    </row>
    <row r="389" spans="1:10">
      <c r="A389" s="76">
        <v>360</v>
      </c>
      <c r="B389" s="84">
        <v>45471</v>
      </c>
      <c r="C389" s="11">
        <v>4.4392000000000001E-2</v>
      </c>
      <c r="D389" s="11">
        <v>-4.5474000000000001E-2</v>
      </c>
      <c r="E389" s="11">
        <v>4.4392000000000001E-2</v>
      </c>
      <c r="F389" s="11">
        <v>4.4746442487402227E-3</v>
      </c>
      <c r="G389" s="11">
        <f t="shared" si="16"/>
        <v>1.044392</v>
      </c>
      <c r="H389" s="11">
        <f t="shared" si="16"/>
        <v>0.95452599999999999</v>
      </c>
      <c r="I389" s="11">
        <f t="shared" si="16"/>
        <v>1.044392</v>
      </c>
      <c r="J389" s="11">
        <f t="shared" si="17"/>
        <v>1.0044746442487402</v>
      </c>
    </row>
    <row r="390" spans="1:10">
      <c r="A390" s="76">
        <v>361</v>
      </c>
      <c r="B390" s="84">
        <v>45504</v>
      </c>
      <c r="C390" s="11">
        <v>2.0306000000000001E-2</v>
      </c>
      <c r="D390" s="11">
        <v>9.8074999999999996E-2</v>
      </c>
      <c r="E390" s="11">
        <v>2.0306000000000001E-2</v>
      </c>
      <c r="F390" s="11">
        <v>4.3686745363094026E-3</v>
      </c>
      <c r="G390" s="11">
        <f t="shared" si="16"/>
        <v>1.0203059999999999</v>
      </c>
      <c r="H390" s="11">
        <f t="shared" si="16"/>
        <v>1.0980749999999999</v>
      </c>
      <c r="I390" s="11">
        <f t="shared" si="16"/>
        <v>1.0203059999999999</v>
      </c>
      <c r="J390" s="11">
        <f t="shared" si="17"/>
        <v>1.0043686745363094</v>
      </c>
    </row>
    <row r="391" spans="1:10">
      <c r="A391" s="76">
        <v>362</v>
      </c>
      <c r="B391" s="122">
        <v>45534</v>
      </c>
      <c r="C391" s="106">
        <v>5.6355000000000002E-2</v>
      </c>
      <c r="D391" s="106">
        <v>1.3472E-2</v>
      </c>
      <c r="E391" s="11">
        <v>5.6355000000000002E-2</v>
      </c>
      <c r="F391" s="106">
        <v>4.0602292170599519E-3</v>
      </c>
      <c r="G391" s="11">
        <f t="shared" si="16"/>
        <v>1.0563549999999999</v>
      </c>
      <c r="H391" s="11">
        <f t="shared" si="16"/>
        <v>1.0134719999999999</v>
      </c>
      <c r="I391" s="11">
        <f t="shared" si="16"/>
        <v>1.0563549999999999</v>
      </c>
      <c r="J391" s="11">
        <f t="shared" si="17"/>
        <v>1.00406022921706</v>
      </c>
    </row>
    <row r="392" spans="1:10">
      <c r="A392" s="76">
        <v>363</v>
      </c>
      <c r="B392" s="84">
        <v>45565</v>
      </c>
      <c r="C392" s="11">
        <v>-2.4018000000000001E-2</v>
      </c>
      <c r="D392" s="11">
        <v>8.2299999999999995E-3</v>
      </c>
      <c r="E392" s="108">
        <v>-2.4018000000000001E-2</v>
      </c>
      <c r="F392" s="11">
        <v>3.8937182261378211E-3</v>
      </c>
      <c r="G392" s="11">
        <f t="shared" si="16"/>
        <v>0.97598200000000002</v>
      </c>
      <c r="H392" s="11">
        <f t="shared" si="16"/>
        <v>1.00823</v>
      </c>
      <c r="I392" s="11">
        <f t="shared" si="16"/>
        <v>0.97598200000000002</v>
      </c>
      <c r="J392" s="11">
        <f t="shared" si="17"/>
        <v>1.0038937182261378</v>
      </c>
    </row>
  </sheetData>
  <mergeCells count="4">
    <mergeCell ref="H3:I3"/>
    <mergeCell ref="G24:J24"/>
    <mergeCell ref="B17:F17"/>
    <mergeCell ref="B3:F3"/>
  </mergeCells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77E4F-FF63-4A92-9EA0-F8C65BEEDD40}">
  <sheetPr>
    <tabColor theme="9" tint="-0.249977111117893"/>
  </sheetPr>
  <dimension ref="A3:F56"/>
  <sheetViews>
    <sheetView showGridLines="0" topLeftCell="A5" zoomScale="80" zoomScaleNormal="115" workbookViewId="0">
      <selection activeCell="D8" sqref="D8:D11"/>
    </sheetView>
  </sheetViews>
  <sheetFormatPr defaultRowHeight="14.5"/>
  <cols>
    <col min="1" max="1" width="38" customWidth="1"/>
    <col min="2" max="2" width="25.36328125" customWidth="1"/>
    <col min="3" max="3" width="12.81640625" customWidth="1"/>
    <col min="4" max="4" width="11.7265625" customWidth="1"/>
    <col min="5" max="5" width="22.08984375" customWidth="1"/>
    <col min="6" max="6" width="9.453125" bestFit="1" customWidth="1"/>
  </cols>
  <sheetData>
    <row r="3" spans="1:4">
      <c r="A3" s="199" t="s">
        <v>127</v>
      </c>
      <c r="B3" s="199"/>
    </row>
    <row r="4" spans="1:4">
      <c r="A4" s="133" t="s">
        <v>18</v>
      </c>
      <c r="B4" s="133" t="s">
        <v>58</v>
      </c>
    </row>
    <row r="5" spans="1:4">
      <c r="A5" s="65">
        <f>'Summary-Stats'!H5</f>
        <v>45566</v>
      </c>
      <c r="B5" s="76">
        <f>'Summary-Stats'!I5</f>
        <v>3.8937182261378211E-3</v>
      </c>
    </row>
    <row r="7" spans="1:4">
      <c r="A7" s="118" t="s">
        <v>126</v>
      </c>
      <c r="B7" s="134" t="str">
        <f>'Summary-Stats'!C18</f>
        <v>ESS-RET</v>
      </c>
      <c r="C7" s="134" t="str">
        <f>'Summary-Stats'!D18</f>
        <v>ED-RET</v>
      </c>
      <c r="D7" s="134" t="str">
        <f>'Summary-Stats'!E18</f>
        <v>SP500-RET</v>
      </c>
    </row>
    <row r="8" spans="1:4">
      <c r="A8" s="113" t="s">
        <v>89</v>
      </c>
      <c r="B8" s="113">
        <f>'Summary-Stats'!C7</f>
        <v>1.3091421487603309E-2</v>
      </c>
      <c r="C8" s="113">
        <f>'Summary-Stats'!D7</f>
        <v>8.8689366391184465E-3</v>
      </c>
      <c r="D8" s="113">
        <f>'Summary-Stats'!E7</f>
        <v>8.3072176308539875E-3</v>
      </c>
    </row>
    <row r="9" spans="1:4">
      <c r="A9" s="113" t="s">
        <v>90</v>
      </c>
      <c r="B9" s="113">
        <f>'Summary-Stats'!C8</f>
        <v>1.1216185136310175E-2</v>
      </c>
      <c r="C9" s="113">
        <f>'Summary-Stats'!D8</f>
        <v>7.6266733909673423E-3</v>
      </c>
      <c r="D9" s="113">
        <f>'Summary-Stats'!E8</f>
        <v>7.3394950677334592E-3</v>
      </c>
    </row>
    <row r="10" spans="1:4">
      <c r="A10" s="113" t="s">
        <v>91</v>
      </c>
      <c r="B10" s="113">
        <f>'Summary-Stats'!C11</f>
        <v>3.7651607600898123E-3</v>
      </c>
      <c r="C10" s="113">
        <f>'Summary-Stats'!D11</f>
        <v>2.5081504372473536E-3</v>
      </c>
      <c r="D10" s="113">
        <f>'Summary-Stats'!E11</f>
        <v>1.915997087999466E-3</v>
      </c>
    </row>
    <row r="11" spans="1:4">
      <c r="A11" s="113" t="s">
        <v>92</v>
      </c>
      <c r="B11" s="113">
        <f>'Summary-Stats'!C12</f>
        <v>6.1360905795871466E-2</v>
      </c>
      <c r="C11" s="113">
        <f>'Summary-Stats'!D12</f>
        <v>5.0081438050912169E-2</v>
      </c>
      <c r="D11" s="113">
        <f>'Summary-Stats'!E12</f>
        <v>4.3772103993290817E-2</v>
      </c>
    </row>
    <row r="12" spans="1:4">
      <c r="A12" s="89"/>
      <c r="B12" s="89"/>
      <c r="C12" s="89"/>
      <c r="D12" s="89"/>
    </row>
    <row r="13" spans="1:4">
      <c r="A13" s="118" t="s">
        <v>71</v>
      </c>
      <c r="B13" s="134" t="str">
        <f>B7</f>
        <v>ESS-RET</v>
      </c>
      <c r="C13" s="134" t="str">
        <f>C7</f>
        <v>ED-RET</v>
      </c>
      <c r="D13" s="89"/>
    </row>
    <row r="14" spans="1:4">
      <c r="A14" s="113" t="str">
        <f>B13</f>
        <v>ESS-RET</v>
      </c>
      <c r="B14" s="113">
        <f>'Summary-Stats'!C19</f>
        <v>3.7651607600898127E-3</v>
      </c>
      <c r="C14" s="113">
        <f>'Summary-Stats'!D19</f>
        <v>7.6141857091351897E-4</v>
      </c>
      <c r="D14" s="89"/>
    </row>
    <row r="15" spans="1:4">
      <c r="A15" s="113" t="str">
        <f>C13</f>
        <v>ED-RET</v>
      </c>
      <c r="B15" s="113">
        <f>'Summary-Stats'!C20</f>
        <v>7.6141857091351897E-4</v>
      </c>
      <c r="C15" s="113">
        <f>'Summary-Stats'!D20</f>
        <v>2.5081504372473553E-3</v>
      </c>
      <c r="D15" s="89"/>
    </row>
    <row r="17" spans="1:4">
      <c r="A17" s="200" t="s">
        <v>93</v>
      </c>
      <c r="B17" s="200"/>
      <c r="C17" s="200"/>
    </row>
    <row r="18" spans="1:4">
      <c r="A18" s="135" t="s">
        <v>100</v>
      </c>
      <c r="B18" s="136" t="str">
        <f>B13</f>
        <v>ESS-RET</v>
      </c>
      <c r="C18" s="136" t="str">
        <f>C13</f>
        <v>ED-RET</v>
      </c>
    </row>
    <row r="19" spans="1:4">
      <c r="A19" s="131" t="s">
        <v>94</v>
      </c>
      <c r="B19" s="137">
        <f>B8</f>
        <v>1.3091421487603309E-2</v>
      </c>
      <c r="C19" s="137">
        <f>C8</f>
        <v>8.8689366391184465E-3</v>
      </c>
    </row>
    <row r="20" spans="1:4">
      <c r="A20" s="138" t="s">
        <v>95</v>
      </c>
      <c r="B20" s="137">
        <f>B11</f>
        <v>6.1360905795871466E-2</v>
      </c>
      <c r="C20" s="137">
        <f>C11</f>
        <v>5.0081438050912169E-2</v>
      </c>
    </row>
    <row r="21" spans="1:4">
      <c r="A21" s="138" t="s">
        <v>96</v>
      </c>
      <c r="B21" s="137">
        <f>B19-$B$5</f>
        <v>9.1977032614654879E-3</v>
      </c>
      <c r="C21" s="137">
        <f>C19-$B$5</f>
        <v>4.9752184129806254E-3</v>
      </c>
    </row>
    <row r="22" spans="1:4">
      <c r="A22" s="138" t="s">
        <v>97</v>
      </c>
      <c r="B22" s="113">
        <f>B21/B20</f>
        <v>0.14989516765061078</v>
      </c>
      <c r="C22" s="113">
        <f>C21/C20</f>
        <v>9.9342562965601747E-2</v>
      </c>
    </row>
    <row r="24" spans="1:4">
      <c r="A24" s="141" t="s">
        <v>103</v>
      </c>
      <c r="B24" s="141" t="s">
        <v>104</v>
      </c>
      <c r="C24" s="141" t="s">
        <v>101</v>
      </c>
      <c r="D24" s="141" t="s">
        <v>102</v>
      </c>
    </row>
    <row r="25" spans="1:4">
      <c r="A25" s="22">
        <v>-0.2</v>
      </c>
      <c r="B25" s="22">
        <f>1-A25</f>
        <v>1.2</v>
      </c>
      <c r="C25" s="102">
        <f>SQRT(($B$20^2)*(A25^2) + ($C$20^2)*(B25^2) + 2*A25*B25*$B$15)</f>
        <v>5.8282605861451425E-2</v>
      </c>
      <c r="D25" s="102">
        <f>A25*$B$19+B25*$C$19</f>
        <v>8.0244396694214744E-3</v>
      </c>
    </row>
    <row r="26" spans="1:4">
      <c r="A26" s="22">
        <f>A25+0.1</f>
        <v>-0.1</v>
      </c>
      <c r="B26" s="22">
        <f>1-A26</f>
        <v>1.1000000000000001</v>
      </c>
      <c r="C26" s="102">
        <f t="shared" ref="C26:C39" si="0">SQRT(($B$20^2)*(A26^2) + ($C$20^2)*(B26^2) + 2*A26*B26*$B$15)</f>
        <v>5.3898066301762831E-2</v>
      </c>
      <c r="D26" s="102">
        <f t="shared" ref="D26:D39" si="1">A26*$B$19+B26*$C$19</f>
        <v>8.4466881542699605E-3</v>
      </c>
    </row>
    <row r="27" spans="1:4">
      <c r="A27" s="140">
        <f t="shared" ref="A27:A39" si="2">A26+0.1</f>
        <v>0</v>
      </c>
      <c r="B27" s="140">
        <f t="shared" ref="B27:B39" si="3">1-A27</f>
        <v>1</v>
      </c>
      <c r="C27" s="102">
        <f t="shared" si="0"/>
        <v>5.0081438050912169E-2</v>
      </c>
      <c r="D27" s="102">
        <f t="shared" si="1"/>
        <v>8.8689366391184465E-3</v>
      </c>
    </row>
    <row r="28" spans="1:4">
      <c r="A28" s="22">
        <f t="shared" si="2"/>
        <v>0.1</v>
      </c>
      <c r="B28" s="22">
        <f t="shared" si="3"/>
        <v>0.9</v>
      </c>
      <c r="C28" s="102">
        <f t="shared" si="0"/>
        <v>4.6971361535894263E-2</v>
      </c>
      <c r="D28" s="102">
        <f t="shared" si="1"/>
        <v>9.2911851239669344E-3</v>
      </c>
    </row>
    <row r="29" spans="1:4">
      <c r="A29" s="22">
        <f t="shared" si="2"/>
        <v>0.2</v>
      </c>
      <c r="B29" s="22">
        <f t="shared" si="3"/>
        <v>0.8</v>
      </c>
      <c r="C29" s="102">
        <f t="shared" si="0"/>
        <v>4.4715507969095299E-2</v>
      </c>
      <c r="D29" s="102">
        <f t="shared" si="1"/>
        <v>9.7134336088154187E-3</v>
      </c>
    </row>
    <row r="30" spans="1:4">
      <c r="A30" s="22">
        <f t="shared" si="2"/>
        <v>0.30000000000000004</v>
      </c>
      <c r="B30" s="22">
        <f t="shared" si="3"/>
        <v>0.7</v>
      </c>
      <c r="C30" s="102">
        <f t="shared" si="0"/>
        <v>4.3447140095096759E-2</v>
      </c>
      <c r="D30" s="102">
        <f t="shared" si="1"/>
        <v>1.0135682093663907E-2</v>
      </c>
    </row>
    <row r="31" spans="1:4">
      <c r="A31" s="22">
        <f t="shared" si="2"/>
        <v>0.4</v>
      </c>
      <c r="B31" s="22">
        <f t="shared" si="3"/>
        <v>0.6</v>
      </c>
      <c r="C31" s="102">
        <f t="shared" si="0"/>
        <v>4.3253217141178135E-2</v>
      </c>
      <c r="D31" s="102">
        <f t="shared" si="1"/>
        <v>1.0557930578512391E-2</v>
      </c>
    </row>
    <row r="32" spans="1:4">
      <c r="A32" s="22">
        <f t="shared" si="2"/>
        <v>0.5</v>
      </c>
      <c r="B32" s="22">
        <f t="shared" si="3"/>
        <v>0.5</v>
      </c>
      <c r="C32" s="102">
        <f t="shared" si="0"/>
        <v>4.414790011757129E-2</v>
      </c>
      <c r="D32" s="102">
        <f t="shared" si="1"/>
        <v>1.0980179063360879E-2</v>
      </c>
    </row>
    <row r="33" spans="1:6">
      <c r="A33" s="22">
        <f t="shared" si="2"/>
        <v>0.6</v>
      </c>
      <c r="B33" s="22">
        <f t="shared" si="3"/>
        <v>0.4</v>
      </c>
      <c r="C33" s="102">
        <f t="shared" si="0"/>
        <v>4.6067807171932963E-2</v>
      </c>
      <c r="D33" s="102">
        <f t="shared" si="1"/>
        <v>1.1402427548209363E-2</v>
      </c>
    </row>
    <row r="34" spans="1:6">
      <c r="A34" s="22">
        <f t="shared" si="2"/>
        <v>0.7</v>
      </c>
      <c r="B34" s="22">
        <f t="shared" si="3"/>
        <v>0.30000000000000004</v>
      </c>
      <c r="C34" s="102">
        <f t="shared" si="0"/>
        <v>4.8892311374897669E-2</v>
      </c>
      <c r="D34" s="102">
        <f t="shared" si="1"/>
        <v>1.1824676033057851E-2</v>
      </c>
    </row>
    <row r="35" spans="1:6">
      <c r="A35" s="22">
        <f t="shared" si="2"/>
        <v>0.79999999999999993</v>
      </c>
      <c r="B35" s="22">
        <f t="shared" si="3"/>
        <v>0.20000000000000007</v>
      </c>
      <c r="C35" s="102">
        <f t="shared" si="0"/>
        <v>5.2475545224796853E-2</v>
      </c>
      <c r="D35" s="102">
        <f t="shared" si="1"/>
        <v>1.2246924517906335E-2</v>
      </c>
    </row>
    <row r="36" spans="1:6">
      <c r="A36" s="22">
        <f t="shared" si="2"/>
        <v>0.89999999999999991</v>
      </c>
      <c r="B36" s="22">
        <f t="shared" si="3"/>
        <v>0.10000000000000009</v>
      </c>
      <c r="C36" s="102">
        <f t="shared" si="0"/>
        <v>5.6673777559023315E-2</v>
      </c>
      <c r="D36" s="102">
        <f t="shared" si="1"/>
        <v>1.2669173002754823E-2</v>
      </c>
    </row>
    <row r="37" spans="1:6">
      <c r="A37" s="140">
        <f t="shared" si="2"/>
        <v>0.99999999999999989</v>
      </c>
      <c r="B37" s="140">
        <f t="shared" si="3"/>
        <v>0</v>
      </c>
      <c r="C37" s="102">
        <f t="shared" si="0"/>
        <v>6.1360905795871459E-2</v>
      </c>
      <c r="D37" s="102">
        <f t="shared" si="1"/>
        <v>1.3091421487603307E-2</v>
      </c>
    </row>
    <row r="38" spans="1:6">
      <c r="A38" s="22">
        <f t="shared" si="2"/>
        <v>1.0999999999999999</v>
      </c>
      <c r="B38" s="22">
        <f t="shared" si="3"/>
        <v>-9.9999999999999867E-2</v>
      </c>
      <c r="C38" s="102">
        <f t="shared" si="0"/>
        <v>6.6433530227439905E-2</v>
      </c>
      <c r="D38" s="102">
        <f t="shared" si="1"/>
        <v>1.3513669972451795E-2</v>
      </c>
    </row>
    <row r="39" spans="1:6">
      <c r="A39" s="22">
        <f t="shared" si="2"/>
        <v>1.2</v>
      </c>
      <c r="B39" s="22">
        <f t="shared" si="3"/>
        <v>-0.19999999999999996</v>
      </c>
      <c r="C39" s="102">
        <f t="shared" si="0"/>
        <v>7.181000346734942E-2</v>
      </c>
      <c r="D39" s="102">
        <f t="shared" si="1"/>
        <v>1.3935918457300281E-2</v>
      </c>
    </row>
    <row r="41" spans="1:6">
      <c r="A41" s="201" t="s">
        <v>105</v>
      </c>
      <c r="B41" s="201"/>
      <c r="C41" s="201"/>
      <c r="D41" s="201"/>
      <c r="E41" s="201"/>
      <c r="F41" s="201"/>
    </row>
    <row r="42" spans="1:6">
      <c r="A42" s="142" t="s">
        <v>106</v>
      </c>
      <c r="B42" s="143">
        <f>B19</f>
        <v>1.3091421487603309E-2</v>
      </c>
      <c r="C42" s="14"/>
      <c r="D42" s="202" t="s">
        <v>107</v>
      </c>
      <c r="E42" s="202"/>
      <c r="F42" s="144">
        <f>(B44*B47-B45*B48)/(B44*(B47-B48)+B45*(B46-B48))</f>
        <v>0.62176325778667707</v>
      </c>
    </row>
    <row r="43" spans="1:6">
      <c r="A43" s="145" t="s">
        <v>108</v>
      </c>
      <c r="B43" s="137">
        <f>C19</f>
        <v>8.8689366391184465E-3</v>
      </c>
      <c r="C43" s="14"/>
      <c r="D43" s="203" t="s">
        <v>109</v>
      </c>
      <c r="E43" s="203"/>
      <c r="F43" s="102">
        <f>1-F42</f>
        <v>0.37823674221332293</v>
      </c>
    </row>
    <row r="44" spans="1:6">
      <c r="A44" s="146" t="s">
        <v>110</v>
      </c>
      <c r="B44" s="137">
        <f>B42-$B$5</f>
        <v>9.1977032614654879E-3</v>
      </c>
      <c r="C44" s="14"/>
      <c r="D44" s="203" t="s">
        <v>111</v>
      </c>
      <c r="E44" s="203"/>
      <c r="F44" s="102">
        <f>F42*B42+F43*B43</f>
        <v>1.1494322574467277E-2</v>
      </c>
    </row>
    <row r="45" spans="1:6">
      <c r="A45" s="146" t="s">
        <v>112</v>
      </c>
      <c r="B45" s="137">
        <f>B43-$B$5</f>
        <v>4.9752184129806254E-3</v>
      </c>
      <c r="C45" s="14"/>
      <c r="D45" s="204" t="s">
        <v>113</v>
      </c>
      <c r="E45" s="205"/>
      <c r="F45" s="102">
        <f>F44-B5</f>
        <v>7.6006043483294559E-3</v>
      </c>
    </row>
    <row r="46" spans="1:6">
      <c r="A46" s="146" t="s">
        <v>114</v>
      </c>
      <c r="B46" s="137">
        <f>B20^2</f>
        <v>3.7651607600898123E-3</v>
      </c>
      <c r="C46" s="14"/>
      <c r="D46" s="203" t="s">
        <v>115</v>
      </c>
      <c r="E46" s="203"/>
      <c r="F46" s="102">
        <f>SQRT(((F42)^2*B46)+((F43)^2*B47)+(2*F42*F43*B48))</f>
        <v>4.6610370812236269E-2</v>
      </c>
    </row>
    <row r="47" spans="1:6">
      <c r="A47" s="146" t="s">
        <v>116</v>
      </c>
      <c r="B47" s="137">
        <f>C20^2</f>
        <v>2.5081504372473531E-3</v>
      </c>
      <c r="C47" s="14"/>
      <c r="D47" s="203" t="s">
        <v>117</v>
      </c>
      <c r="E47" s="203"/>
      <c r="F47" s="102">
        <f>F45/F46</f>
        <v>0.16306680714786603</v>
      </c>
    </row>
    <row r="48" spans="1:6">
      <c r="A48" s="146" t="s">
        <v>118</v>
      </c>
      <c r="B48" s="137">
        <f>B15</f>
        <v>7.6141857091351897E-4</v>
      </c>
      <c r="C48" s="14"/>
      <c r="D48" s="147"/>
      <c r="E48" s="147"/>
      <c r="F48" s="6"/>
    </row>
    <row r="50" spans="1:2">
      <c r="A50" s="201" t="s">
        <v>125</v>
      </c>
      <c r="B50" s="201"/>
    </row>
    <row r="51" spans="1:2">
      <c r="A51" s="145" t="s">
        <v>119</v>
      </c>
      <c r="B51" s="11">
        <f>B5</f>
        <v>3.8937182261378211E-3</v>
      </c>
    </row>
    <row r="52" spans="1:2">
      <c r="A52" s="145" t="s">
        <v>120</v>
      </c>
      <c r="B52" s="11">
        <f>F44</f>
        <v>1.1494322574467277E-2</v>
      </c>
    </row>
    <row r="53" spans="1:2">
      <c r="A53" s="145" t="s">
        <v>121</v>
      </c>
      <c r="B53" s="11">
        <f>F46^2</f>
        <v>2.1725266672541666E-3</v>
      </c>
    </row>
    <row r="54" spans="1:2">
      <c r="A54" s="145" t="s">
        <v>122</v>
      </c>
      <c r="B54" s="11">
        <f>(B52-B51)/(2*B53)</f>
        <v>1.7492545575828948</v>
      </c>
    </row>
    <row r="55" spans="1:2">
      <c r="A55" s="145" t="s">
        <v>123</v>
      </c>
      <c r="B55" s="108">
        <f>B54</f>
        <v>1.7492545575828948</v>
      </c>
    </row>
    <row r="56" spans="1:2">
      <c r="A56" s="145" t="s">
        <v>124</v>
      </c>
      <c r="B56" s="148">
        <f>(B52-B51)/(2*B55*B53)</f>
        <v>1</v>
      </c>
    </row>
  </sheetData>
  <mergeCells count="10">
    <mergeCell ref="D44:E44"/>
    <mergeCell ref="D45:E45"/>
    <mergeCell ref="D46:E46"/>
    <mergeCell ref="D47:E47"/>
    <mergeCell ref="A50:B50"/>
    <mergeCell ref="A3:B3"/>
    <mergeCell ref="A17:C17"/>
    <mergeCell ref="A41:F41"/>
    <mergeCell ref="D42:E42"/>
    <mergeCell ref="D43:E4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A2DF-92DE-445C-9522-4B182362B794}">
  <sheetPr>
    <tabColor rgb="FFC00000"/>
  </sheetPr>
  <dimension ref="A2:G63"/>
  <sheetViews>
    <sheetView showGridLines="0" topLeftCell="B1" zoomScale="59" workbookViewId="0">
      <selection activeCell="E11" sqref="E11"/>
    </sheetView>
  </sheetViews>
  <sheetFormatPr defaultRowHeight="14.5"/>
  <cols>
    <col min="1" max="1" width="11.90625" bestFit="1" customWidth="1"/>
    <col min="2" max="2" width="42" bestFit="1" customWidth="1"/>
    <col min="3" max="4" width="14.36328125" bestFit="1" customWidth="1"/>
    <col min="5" max="5" width="12.90625" bestFit="1" customWidth="1"/>
    <col min="7" max="7" width="10.1796875" bestFit="1" customWidth="1"/>
  </cols>
  <sheetData>
    <row r="2" spans="1:5">
      <c r="A2" s="206" t="s">
        <v>128</v>
      </c>
      <c r="B2" s="206"/>
      <c r="C2" s="206"/>
    </row>
    <row r="4" spans="1:5">
      <c r="A4" s="199" t="s">
        <v>127</v>
      </c>
      <c r="B4" s="199"/>
    </row>
    <row r="5" spans="1:5">
      <c r="A5" s="133" t="s">
        <v>18</v>
      </c>
      <c r="B5" s="133" t="s">
        <v>58</v>
      </c>
    </row>
    <row r="6" spans="1:5">
      <c r="A6" s="65">
        <f>'Summary-Stats'!H5</f>
        <v>45566</v>
      </c>
      <c r="B6" s="76">
        <f>'Summary-Stats'!I5</f>
        <v>3.8937182261378211E-3</v>
      </c>
    </row>
    <row r="9" spans="1:5">
      <c r="B9" s="149" t="s">
        <v>126</v>
      </c>
      <c r="C9" s="150" t="s">
        <v>30</v>
      </c>
      <c r="D9" s="150" t="s">
        <v>29</v>
      </c>
      <c r="E9" s="151" t="s">
        <v>22</v>
      </c>
    </row>
    <row r="10" spans="1:5">
      <c r="B10" s="113" t="s">
        <v>89</v>
      </c>
      <c r="C10" s="137">
        <v>1.3091421487603309E-2</v>
      </c>
      <c r="D10" s="137">
        <v>8.8689366391184465E-3</v>
      </c>
      <c r="E10" s="137">
        <v>8.3072176308539875E-3</v>
      </c>
    </row>
    <row r="11" spans="1:5">
      <c r="B11" s="113" t="s">
        <v>90</v>
      </c>
      <c r="C11" s="137">
        <v>1.1216185136310175E-2</v>
      </c>
      <c r="D11" s="137">
        <v>7.6266733909673423E-3</v>
      </c>
      <c r="E11" s="137">
        <v>7.3394950677334592E-3</v>
      </c>
    </row>
    <row r="12" spans="1:5">
      <c r="B12" s="113" t="s">
        <v>91</v>
      </c>
      <c r="C12" s="137">
        <v>3.7651607600898123E-3</v>
      </c>
      <c r="D12" s="137">
        <v>2.5081504372473536E-3</v>
      </c>
      <c r="E12" s="137">
        <v>1.915997087999466E-3</v>
      </c>
    </row>
    <row r="13" spans="1:5">
      <c r="B13" s="113" t="s">
        <v>92</v>
      </c>
      <c r="C13" s="137">
        <v>6.1360905795871466E-2</v>
      </c>
      <c r="D13" s="137">
        <v>5.0081438050912169E-2</v>
      </c>
      <c r="E13" s="137">
        <v>4.3772103993290817E-2</v>
      </c>
    </row>
    <row r="14" spans="1:5">
      <c r="C14" s="14"/>
      <c r="D14" s="14"/>
    </row>
    <row r="15" spans="1:5">
      <c r="B15" s="149" t="s">
        <v>71</v>
      </c>
      <c r="C15" s="152" t="s">
        <v>30</v>
      </c>
      <c r="D15" s="152" t="s">
        <v>29</v>
      </c>
    </row>
    <row r="16" spans="1:5">
      <c r="B16" s="102" t="s">
        <v>30</v>
      </c>
      <c r="C16" s="102">
        <v>3.7651607600898127E-3</v>
      </c>
      <c r="D16" s="102">
        <v>7.6141857091351897E-4</v>
      </c>
    </row>
    <row r="17" spans="2:5">
      <c r="B17" s="113" t="s">
        <v>29</v>
      </c>
      <c r="C17" s="102">
        <v>7.6141857091351897E-4</v>
      </c>
      <c r="D17" s="102">
        <v>2.5081504372473553E-3</v>
      </c>
    </row>
    <row r="19" spans="2:5">
      <c r="B19" s="206" t="s">
        <v>129</v>
      </c>
      <c r="C19" s="206"/>
      <c r="D19" s="206"/>
    </row>
    <row r="20" spans="2:5">
      <c r="B20" s="135" t="s">
        <v>130</v>
      </c>
      <c r="C20" s="136" t="str">
        <f>C15</f>
        <v>ESS-RET</v>
      </c>
      <c r="D20" s="136" t="str">
        <f>D15</f>
        <v>ED-RET</v>
      </c>
    </row>
    <row r="21" spans="2:5">
      <c r="B21" s="131" t="s">
        <v>131</v>
      </c>
      <c r="C21" s="137">
        <f>(C10+E10)/2</f>
        <v>1.0699319559228648E-2</v>
      </c>
      <c r="D21" s="137">
        <f>(D10+E10)/2</f>
        <v>8.5880771349862162E-3</v>
      </c>
    </row>
    <row r="22" spans="2:5">
      <c r="B22" s="138" t="s">
        <v>132</v>
      </c>
      <c r="C22" s="137">
        <f>1.3*(C13+E13)/2</f>
        <v>6.8336456362955489E-2</v>
      </c>
      <c r="D22" s="137">
        <f>1.3*(D13+E13)/2</f>
        <v>6.1004802328731941E-2</v>
      </c>
    </row>
    <row r="23" spans="2:5">
      <c r="B23" s="138" t="s">
        <v>96</v>
      </c>
      <c r="C23" s="137">
        <f>C21-$B$6</f>
        <v>6.8056013330908272E-3</v>
      </c>
      <c r="D23" s="137">
        <f>D21-$B$6</f>
        <v>4.694358908848395E-3</v>
      </c>
    </row>
    <row r="24" spans="2:5">
      <c r="B24" s="138" t="s">
        <v>97</v>
      </c>
      <c r="C24" s="113">
        <f>C23/C22</f>
        <v>9.9589614318662215E-2</v>
      </c>
      <c r="D24" s="113">
        <f>D23/D22</f>
        <v>7.6950645353332348E-2</v>
      </c>
    </row>
    <row r="27" spans="2:5">
      <c r="B27" s="141" t="s">
        <v>133</v>
      </c>
      <c r="C27" s="141" t="s">
        <v>104</v>
      </c>
      <c r="D27" s="141" t="s">
        <v>101</v>
      </c>
      <c r="E27" s="141" t="s">
        <v>102</v>
      </c>
    </row>
    <row r="28" spans="2:5">
      <c r="B28" s="22">
        <v>-0.2</v>
      </c>
      <c r="C28" s="22">
        <f>1-B28</f>
        <v>1.2</v>
      </c>
      <c r="D28" s="102">
        <f>SQRT(($C$22^2)*(B28^2) + ($D$22^2)*(C28^2) + 2*B28*C28*$C$17)</f>
        <v>7.1974979284559593E-2</v>
      </c>
      <c r="E28" s="102">
        <f>B28*$C$21+C28*$D$21</f>
        <v>8.1658286501377301E-3</v>
      </c>
    </row>
    <row r="29" spans="2:5">
      <c r="B29" s="22">
        <f>B28+0.1</f>
        <v>-0.1</v>
      </c>
      <c r="C29" s="22">
        <f>1-B29</f>
        <v>1.1000000000000001</v>
      </c>
      <c r="D29" s="102">
        <f t="shared" ref="D29:D42" si="0">SQRT(($C$22^2)*(B29^2) + ($D$22^2)*(C29^2) + 2*B29*C29*$C$17)</f>
        <v>6.6198984695796909E-2</v>
      </c>
      <c r="E29" s="102">
        <f t="shared" ref="E29:E42" si="1">B29*$C$21+C29*$D$21</f>
        <v>8.376952892561974E-3</v>
      </c>
    </row>
    <row r="30" spans="2:5">
      <c r="B30" s="140">
        <f t="shared" ref="B30:B42" si="2">B29+0.1</f>
        <v>0</v>
      </c>
      <c r="C30" s="140">
        <f t="shared" ref="C30:C42" si="3">1-B30</f>
        <v>1</v>
      </c>
      <c r="D30" s="102">
        <f t="shared" si="0"/>
        <v>6.1004802328731941E-2</v>
      </c>
      <c r="E30" s="102">
        <f t="shared" si="1"/>
        <v>8.5880771349862162E-3</v>
      </c>
    </row>
    <row r="31" spans="2:5">
      <c r="B31" s="22">
        <f t="shared" si="2"/>
        <v>0.1</v>
      </c>
      <c r="C31" s="22">
        <f t="shared" si="3"/>
        <v>0.9</v>
      </c>
      <c r="D31" s="102">
        <f t="shared" si="0"/>
        <v>5.6552971984261777E-2</v>
      </c>
      <c r="E31" s="102">
        <f t="shared" si="1"/>
        <v>8.7992013774104601E-3</v>
      </c>
    </row>
    <row r="32" spans="2:5">
      <c r="B32" s="22">
        <f t="shared" si="2"/>
        <v>0.2</v>
      </c>
      <c r="C32" s="22">
        <f t="shared" si="3"/>
        <v>0.8</v>
      </c>
      <c r="D32" s="102">
        <f t="shared" si="0"/>
        <v>5.3030781382226236E-2</v>
      </c>
      <c r="E32" s="102">
        <f t="shared" si="1"/>
        <v>9.010325619834704E-3</v>
      </c>
    </row>
    <row r="33" spans="2:7">
      <c r="B33" s="22">
        <f t="shared" si="2"/>
        <v>0.30000000000000004</v>
      </c>
      <c r="C33" s="22">
        <f t="shared" si="3"/>
        <v>0.7</v>
      </c>
      <c r="D33" s="102">
        <f t="shared" si="0"/>
        <v>5.0632611116137205E-2</v>
      </c>
      <c r="E33" s="102">
        <f t="shared" si="1"/>
        <v>9.2214498622589462E-3</v>
      </c>
    </row>
    <row r="34" spans="2:7">
      <c r="B34" s="22">
        <f t="shared" si="2"/>
        <v>0.4</v>
      </c>
      <c r="C34" s="22">
        <f t="shared" si="3"/>
        <v>0.6</v>
      </c>
      <c r="D34" s="102">
        <f t="shared" si="0"/>
        <v>4.9522027861732654E-2</v>
      </c>
      <c r="E34" s="102">
        <f t="shared" si="1"/>
        <v>9.4325741046831883E-3</v>
      </c>
    </row>
    <row r="35" spans="2:7">
      <c r="B35" s="22">
        <f t="shared" si="2"/>
        <v>0.5</v>
      </c>
      <c r="C35" s="22">
        <f t="shared" si="3"/>
        <v>0.5</v>
      </c>
      <c r="D35" s="102">
        <f t="shared" si="0"/>
        <v>4.9785274723659047E-2</v>
      </c>
      <c r="E35" s="102">
        <f t="shared" si="1"/>
        <v>9.6436983471074322E-3</v>
      </c>
    </row>
    <row r="36" spans="2:7">
      <c r="B36" s="22">
        <f t="shared" si="2"/>
        <v>0.6</v>
      </c>
      <c r="C36" s="22">
        <f t="shared" si="3"/>
        <v>0.4</v>
      </c>
      <c r="D36" s="102">
        <f t="shared" si="0"/>
        <v>5.1401248192567438E-2</v>
      </c>
      <c r="E36" s="102">
        <f t="shared" si="1"/>
        <v>9.8548225895316761E-3</v>
      </c>
    </row>
    <row r="37" spans="2:7">
      <c r="B37" s="22">
        <f t="shared" si="2"/>
        <v>0.7</v>
      </c>
      <c r="C37" s="22">
        <f t="shared" si="3"/>
        <v>0.30000000000000004</v>
      </c>
      <c r="D37" s="102">
        <f t="shared" si="0"/>
        <v>5.4249197716365959E-2</v>
      </c>
      <c r="E37" s="102">
        <f t="shared" si="1"/>
        <v>1.0065946831955918E-2</v>
      </c>
    </row>
    <row r="38" spans="2:7">
      <c r="B38" s="22">
        <f t="shared" si="2"/>
        <v>0.79999999999999993</v>
      </c>
      <c r="C38" s="22">
        <f t="shared" si="3"/>
        <v>0.20000000000000007</v>
      </c>
      <c r="D38" s="102">
        <f t="shared" si="0"/>
        <v>5.8148387687506423E-2</v>
      </c>
      <c r="E38" s="102">
        <f t="shared" si="1"/>
        <v>1.0277071074380162E-2</v>
      </c>
    </row>
    <row r="39" spans="2:7">
      <c r="B39" s="22">
        <f t="shared" si="2"/>
        <v>0.89999999999999991</v>
      </c>
      <c r="C39" s="22">
        <f t="shared" si="3"/>
        <v>0.10000000000000009</v>
      </c>
      <c r="D39" s="102">
        <f t="shared" si="0"/>
        <v>6.2903632082062372E-2</v>
      </c>
      <c r="E39" s="102">
        <f t="shared" si="1"/>
        <v>1.0488195316804404E-2</v>
      </c>
    </row>
    <row r="40" spans="2:7">
      <c r="B40" s="140">
        <f t="shared" si="2"/>
        <v>0.99999999999999989</v>
      </c>
      <c r="C40" s="140">
        <f t="shared" si="3"/>
        <v>0</v>
      </c>
      <c r="D40" s="102">
        <f t="shared" si="0"/>
        <v>6.8336456362955489E-2</v>
      </c>
      <c r="E40" s="102">
        <f t="shared" si="1"/>
        <v>1.0699319559228647E-2</v>
      </c>
    </row>
    <row r="41" spans="2:7">
      <c r="B41" s="22">
        <f t="shared" si="2"/>
        <v>1.0999999999999999</v>
      </c>
      <c r="C41" s="22">
        <f t="shared" si="3"/>
        <v>-9.9999999999999867E-2</v>
      </c>
      <c r="D41" s="102">
        <f t="shared" si="0"/>
        <v>7.4298371503341218E-2</v>
      </c>
      <c r="E41" s="102">
        <f t="shared" si="1"/>
        <v>1.091044380165289E-2</v>
      </c>
    </row>
    <row r="42" spans="2:7">
      <c r="B42" s="22">
        <f t="shared" si="2"/>
        <v>1.2</v>
      </c>
      <c r="C42" s="22">
        <f t="shared" si="3"/>
        <v>-0.19999999999999996</v>
      </c>
      <c r="D42" s="102">
        <f t="shared" si="0"/>
        <v>8.0672158447153433E-2</v>
      </c>
      <c r="E42" s="102">
        <f t="shared" si="1"/>
        <v>1.1121568044077134E-2</v>
      </c>
    </row>
    <row r="45" spans="2:7">
      <c r="B45" s="206" t="s">
        <v>134</v>
      </c>
      <c r="C45" s="206"/>
      <c r="D45" s="206"/>
      <c r="E45" s="206"/>
      <c r="F45" s="206"/>
      <c r="G45" s="206"/>
    </row>
    <row r="46" spans="2:7">
      <c r="B46" s="207" t="s">
        <v>139</v>
      </c>
      <c r="C46" s="208"/>
      <c r="D46" s="208"/>
      <c r="E46" s="208"/>
      <c r="F46" s="208"/>
      <c r="G46" s="209"/>
    </row>
    <row r="47" spans="2:7">
      <c r="B47" s="142" t="s">
        <v>135</v>
      </c>
      <c r="C47" s="143">
        <f>C21</f>
        <v>1.0699319559228648E-2</v>
      </c>
      <c r="D47" s="14"/>
      <c r="E47" s="202" t="s">
        <v>107</v>
      </c>
      <c r="F47" s="202"/>
      <c r="G47" s="144">
        <f>(C49*C52-C50*C53)/(C49*(C52-C53)+C50*(C51-C53))</f>
        <v>0.56511658626440786</v>
      </c>
    </row>
    <row r="48" spans="2:7">
      <c r="B48" s="142" t="s">
        <v>136</v>
      </c>
      <c r="C48" s="137">
        <f>D21</f>
        <v>8.5880771349862162E-3</v>
      </c>
      <c r="D48" s="14"/>
      <c r="E48" s="203" t="s">
        <v>109</v>
      </c>
      <c r="F48" s="203"/>
      <c r="G48" s="102">
        <f>1-G47</f>
        <v>0.43488341373559214</v>
      </c>
    </row>
    <row r="49" spans="2:7">
      <c r="B49" s="146" t="s">
        <v>110</v>
      </c>
      <c r="C49" s="137">
        <f>C47-B6</f>
        <v>6.8056013330908272E-3</v>
      </c>
      <c r="D49" s="14"/>
      <c r="E49" s="203" t="s">
        <v>111</v>
      </c>
      <c r="F49" s="203"/>
      <c r="G49" s="102">
        <f>G47*C47+G48*C48</f>
        <v>9.7811752465506926E-3</v>
      </c>
    </row>
    <row r="50" spans="2:7">
      <c r="B50" s="146" t="s">
        <v>112</v>
      </c>
      <c r="C50" s="137">
        <f>C48-B6</f>
        <v>4.694358908848395E-3</v>
      </c>
      <c r="D50" s="14"/>
      <c r="E50" s="204" t="s">
        <v>113</v>
      </c>
      <c r="F50" s="205"/>
      <c r="G50" s="102">
        <f>G49-B6</f>
        <v>5.8874570204128715E-3</v>
      </c>
    </row>
    <row r="51" spans="2:7">
      <c r="B51" s="146" t="s">
        <v>137</v>
      </c>
      <c r="C51" s="137">
        <f>C22^2</f>
        <v>4.6698712682461197E-3</v>
      </c>
      <c r="D51" s="14"/>
      <c r="E51" s="203" t="s">
        <v>115</v>
      </c>
      <c r="F51" s="203"/>
      <c r="G51" s="102">
        <f>SQRT((C51*G47^2)+(C52*G48^2)+(2*G47*G48*C53))</f>
        <v>5.0689710988606564E-2</v>
      </c>
    </row>
    <row r="52" spans="2:7">
      <c r="B52" s="146" t="s">
        <v>138</v>
      </c>
      <c r="C52" s="137">
        <f>D22^2</f>
        <v>3.7215859071676582E-3</v>
      </c>
      <c r="D52" s="14"/>
      <c r="E52" s="203" t="s">
        <v>117</v>
      </c>
      <c r="F52" s="203"/>
      <c r="G52" s="102">
        <f>G50/G51</f>
        <v>0.11614698339345798</v>
      </c>
    </row>
    <row r="53" spans="2:7">
      <c r="B53" s="146" t="s">
        <v>118</v>
      </c>
      <c r="C53" s="137">
        <f>C17</f>
        <v>7.6141857091351897E-4</v>
      </c>
      <c r="D53" s="14"/>
      <c r="E53" s="147"/>
      <c r="F53" s="147"/>
      <c r="G53" s="6"/>
    </row>
    <row r="57" spans="2:7">
      <c r="B57" s="206" t="str">
        <f>A2</f>
        <v>Portfolio by Shrinkage Approach</v>
      </c>
      <c r="C57" s="206"/>
    </row>
    <row r="58" spans="2:7">
      <c r="B58" s="145" t="s">
        <v>119</v>
      </c>
      <c r="C58" s="11">
        <f>B6</f>
        <v>3.8937182261378211E-3</v>
      </c>
    </row>
    <row r="59" spans="2:7">
      <c r="B59" s="145" t="s">
        <v>120</v>
      </c>
      <c r="C59" s="11">
        <f>G49</f>
        <v>9.7811752465506926E-3</v>
      </c>
    </row>
    <row r="60" spans="2:7">
      <c r="B60" s="145" t="s">
        <v>121</v>
      </c>
      <c r="C60" s="11">
        <f>G51^2</f>
        <v>2.5694468001084608E-3</v>
      </c>
    </row>
    <row r="61" spans="2:7">
      <c r="B61" s="145" t="s">
        <v>122</v>
      </c>
      <c r="C61" s="11">
        <f>(C59-C58)/(2*C60)</f>
        <v>1.1456662617346955</v>
      </c>
    </row>
    <row r="62" spans="2:7">
      <c r="B62" s="145" t="s">
        <v>123</v>
      </c>
      <c r="C62" s="108">
        <f>C61</f>
        <v>1.1456662617346955</v>
      </c>
    </row>
    <row r="63" spans="2:7">
      <c r="B63" s="145" t="s">
        <v>124</v>
      </c>
      <c r="C63" s="148">
        <f>(C59-C58)/(2*C62*C60)</f>
        <v>1</v>
      </c>
    </row>
  </sheetData>
  <mergeCells count="12">
    <mergeCell ref="A2:C2"/>
    <mergeCell ref="A4:B4"/>
    <mergeCell ref="B19:D19"/>
    <mergeCell ref="B45:G45"/>
    <mergeCell ref="E52:F52"/>
    <mergeCell ref="B57:C57"/>
    <mergeCell ref="B46:G46"/>
    <mergeCell ref="E47:F47"/>
    <mergeCell ref="E48:F48"/>
    <mergeCell ref="E49:F49"/>
    <mergeCell ref="E50:F50"/>
    <mergeCell ref="E51:F5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EAEBFA-B176-4B3A-8276-C83C044EDADD}">
  <sheetPr>
    <tabColor rgb="FF0070C0"/>
  </sheetPr>
  <dimension ref="A2:G72"/>
  <sheetViews>
    <sheetView showGridLines="0" topLeftCell="A19" zoomScale="63" workbookViewId="0">
      <selection activeCell="C59" sqref="C59"/>
    </sheetView>
  </sheetViews>
  <sheetFormatPr defaultRowHeight="14.5"/>
  <cols>
    <col min="1" max="1" width="18.26953125" customWidth="1"/>
    <col min="2" max="2" width="39.1796875" bestFit="1" customWidth="1"/>
    <col min="3" max="4" width="11.81640625" bestFit="1" customWidth="1"/>
    <col min="5" max="5" width="14.26953125" customWidth="1"/>
  </cols>
  <sheetData>
    <row r="2" spans="1:5">
      <c r="A2" s="153"/>
      <c r="B2" s="213" t="s">
        <v>140</v>
      </c>
      <c r="C2" s="213"/>
    </row>
    <row r="10" spans="1:5">
      <c r="B10" s="211" t="s">
        <v>127</v>
      </c>
      <c r="C10" s="212"/>
    </row>
    <row r="11" spans="1:5">
      <c r="B11" s="133" t="s">
        <v>18</v>
      </c>
      <c r="C11" s="133" t="s">
        <v>58</v>
      </c>
    </row>
    <row r="12" spans="1:5">
      <c r="B12" s="65">
        <f>'Summary-Stats'!H5</f>
        <v>45566</v>
      </c>
      <c r="C12" s="76">
        <f>'Summary-Stats'!I5</f>
        <v>3.8937182261378211E-3</v>
      </c>
    </row>
    <row r="14" spans="1:5">
      <c r="B14" s="149" t="s">
        <v>126</v>
      </c>
      <c r="C14" s="150" t="s">
        <v>30</v>
      </c>
      <c r="D14" s="150" t="s">
        <v>29</v>
      </c>
      <c r="E14" s="151" t="s">
        <v>22</v>
      </c>
    </row>
    <row r="15" spans="1:5">
      <c r="B15" s="113" t="s">
        <v>89</v>
      </c>
      <c r="C15" s="137">
        <v>1.3091421487603309E-2</v>
      </c>
      <c r="D15" s="137">
        <v>8.8689366391184465E-3</v>
      </c>
      <c r="E15" s="137">
        <v>8.3072176308539875E-3</v>
      </c>
    </row>
    <row r="16" spans="1:5">
      <c r="B16" s="113" t="s">
        <v>90</v>
      </c>
      <c r="C16" s="137">
        <v>1.1216185136310175E-2</v>
      </c>
      <c r="D16" s="137">
        <v>7.6266733909673423E-3</v>
      </c>
      <c r="E16" s="137">
        <v>7.3394950677334592E-3</v>
      </c>
    </row>
    <row r="17" spans="2:5">
      <c r="B17" s="113" t="s">
        <v>91</v>
      </c>
      <c r="C17" s="137">
        <v>3.7651607600898123E-3</v>
      </c>
      <c r="D17" s="137">
        <v>2.5081504372473536E-3</v>
      </c>
      <c r="E17" s="137">
        <v>1.915997087999466E-3</v>
      </c>
    </row>
    <row r="18" spans="2:5">
      <c r="B18" s="113" t="s">
        <v>92</v>
      </c>
      <c r="C18" s="137">
        <v>6.1360905795871466E-2</v>
      </c>
      <c r="D18" s="137">
        <v>5.0081438050912169E-2</v>
      </c>
      <c r="E18" s="137">
        <v>4.3772103993290817E-2</v>
      </c>
    </row>
    <row r="19" spans="2:5">
      <c r="C19" s="14"/>
      <c r="D19" s="14"/>
    </row>
    <row r="20" spans="2:5">
      <c r="B20" s="149" t="s">
        <v>71</v>
      </c>
      <c r="C20" s="152" t="s">
        <v>30</v>
      </c>
      <c r="D20" s="152" t="s">
        <v>29</v>
      </c>
    </row>
    <row r="21" spans="2:5">
      <c r="B21" s="102" t="s">
        <v>30</v>
      </c>
      <c r="C21" s="102">
        <v>3.7651607600898127E-3</v>
      </c>
      <c r="D21" s="102">
        <v>7.6141857091351897E-4</v>
      </c>
    </row>
    <row r="22" spans="2:5">
      <c r="B22" s="113" t="s">
        <v>29</v>
      </c>
      <c r="C22" s="102">
        <v>7.6141857091351897E-4</v>
      </c>
      <c r="D22" s="102">
        <v>2.5081504372473553E-3</v>
      </c>
    </row>
    <row r="24" spans="2:5">
      <c r="B24" s="210" t="s">
        <v>141</v>
      </c>
      <c r="C24" s="210"/>
      <c r="D24" s="210"/>
    </row>
    <row r="25" spans="2:5">
      <c r="B25" s="135" t="s">
        <v>100</v>
      </c>
      <c r="C25" s="136" t="str">
        <f>C20</f>
        <v>ESS-RET</v>
      </c>
      <c r="D25" s="136" t="str">
        <f>D20</f>
        <v>ED-RET</v>
      </c>
    </row>
    <row r="26" spans="2:5">
      <c r="B26" s="131" t="s">
        <v>142</v>
      </c>
      <c r="C26" s="137">
        <f>C16</f>
        <v>1.1216185136310175E-2</v>
      </c>
      <c r="D26" s="137">
        <f>D16</f>
        <v>7.6266733909673423E-3</v>
      </c>
    </row>
    <row r="27" spans="2:5">
      <c r="B27" s="138" t="s">
        <v>95</v>
      </c>
      <c r="C27" s="137">
        <f>C18</f>
        <v>6.1360905795871466E-2</v>
      </c>
      <c r="D27" s="137">
        <f>D18</f>
        <v>5.0081438050912169E-2</v>
      </c>
    </row>
    <row r="28" spans="2:5">
      <c r="B28" s="138" t="s">
        <v>96</v>
      </c>
      <c r="C28" s="137">
        <f>C26-$C$12</f>
        <v>7.3224669101723538E-3</v>
      </c>
      <c r="D28" s="137">
        <f>D26-$C$12</f>
        <v>3.7329551648295212E-3</v>
      </c>
    </row>
    <row r="29" spans="2:5">
      <c r="B29" s="138" t="s">
        <v>97</v>
      </c>
      <c r="C29" s="113">
        <f>C28/C27</f>
        <v>0.11933440054701784</v>
      </c>
      <c r="D29" s="113">
        <f>D28/D27</f>
        <v>7.4537699197747581E-2</v>
      </c>
    </row>
    <row r="38" spans="2:5">
      <c r="B38" s="141" t="s">
        <v>133</v>
      </c>
      <c r="C38" s="141" t="s">
        <v>104</v>
      </c>
      <c r="D38" s="141" t="s">
        <v>101</v>
      </c>
      <c r="E38" s="141" t="s">
        <v>102</v>
      </c>
    </row>
    <row r="39" spans="2:5">
      <c r="B39" s="22">
        <v>-0.2</v>
      </c>
      <c r="C39" s="22">
        <f>1-B39</f>
        <v>1.2</v>
      </c>
      <c r="D39" s="102">
        <f>SQRT(($C$27^2)*(B39^2) + ($D$27^2)*(C39^2) + 2*B39*C39*$C$22)</f>
        <v>5.8282605861451425E-2</v>
      </c>
      <c r="E39" s="102">
        <f>B39*$C$26+C39*$D$26</f>
        <v>6.9087710418987754E-3</v>
      </c>
    </row>
    <row r="40" spans="2:5">
      <c r="B40" s="22">
        <f>B39+0.1</f>
        <v>-0.1</v>
      </c>
      <c r="C40" s="22">
        <f>1-B40</f>
        <v>1.1000000000000001</v>
      </c>
      <c r="D40" s="102">
        <f t="shared" ref="D40:D53" si="0">SQRT(($C$27^2)*(B40^2) + ($D$27^2)*(C40^2) + 2*B40*C40*$C$22)</f>
        <v>5.3898066301762831E-2</v>
      </c>
      <c r="E40" s="102">
        <f t="shared" ref="E40:E53" si="1">B40*$C$26+C40*$D$26</f>
        <v>7.2677222164330597E-3</v>
      </c>
    </row>
    <row r="41" spans="2:5">
      <c r="B41" s="140">
        <f t="shared" ref="B41:B53" si="2">B40+0.1</f>
        <v>0</v>
      </c>
      <c r="C41" s="140">
        <f t="shared" ref="C41:C53" si="3">1-B41</f>
        <v>1</v>
      </c>
      <c r="D41" s="102">
        <f t="shared" si="0"/>
        <v>5.0081438050912169E-2</v>
      </c>
      <c r="E41" s="102">
        <f t="shared" si="1"/>
        <v>7.6266733909673423E-3</v>
      </c>
    </row>
    <row r="42" spans="2:5">
      <c r="B42" s="22">
        <f t="shared" si="2"/>
        <v>0.1</v>
      </c>
      <c r="C42" s="22">
        <f t="shared" si="3"/>
        <v>0.9</v>
      </c>
      <c r="D42" s="102">
        <f t="shared" si="0"/>
        <v>4.6971361535894263E-2</v>
      </c>
      <c r="E42" s="102">
        <f t="shared" si="1"/>
        <v>7.9856245655016249E-3</v>
      </c>
    </row>
    <row r="43" spans="2:5">
      <c r="B43" s="22">
        <f t="shared" si="2"/>
        <v>0.2</v>
      </c>
      <c r="C43" s="22">
        <f t="shared" si="3"/>
        <v>0.8</v>
      </c>
      <c r="D43" s="102">
        <f t="shared" si="0"/>
        <v>4.4715507969095299E-2</v>
      </c>
      <c r="E43" s="102">
        <f t="shared" si="1"/>
        <v>8.3445757400359092E-3</v>
      </c>
    </row>
    <row r="44" spans="2:5">
      <c r="B44" s="22">
        <f t="shared" si="2"/>
        <v>0.30000000000000004</v>
      </c>
      <c r="C44" s="22">
        <f t="shared" si="3"/>
        <v>0.7</v>
      </c>
      <c r="D44" s="102">
        <f t="shared" si="0"/>
        <v>4.3447140095096759E-2</v>
      </c>
      <c r="E44" s="102">
        <f t="shared" si="1"/>
        <v>8.7035269145701918E-3</v>
      </c>
    </row>
    <row r="45" spans="2:5">
      <c r="B45" s="22">
        <f t="shared" si="2"/>
        <v>0.4</v>
      </c>
      <c r="C45" s="22">
        <f t="shared" si="3"/>
        <v>0.6</v>
      </c>
      <c r="D45" s="102">
        <f t="shared" si="0"/>
        <v>4.3253217141178135E-2</v>
      </c>
      <c r="E45" s="102">
        <f t="shared" si="1"/>
        <v>9.0624780891044761E-3</v>
      </c>
    </row>
    <row r="46" spans="2:5">
      <c r="B46" s="22">
        <f t="shared" si="2"/>
        <v>0.5</v>
      </c>
      <c r="C46" s="22">
        <f t="shared" si="3"/>
        <v>0.5</v>
      </c>
      <c r="D46" s="102">
        <f t="shared" si="0"/>
        <v>4.414790011757129E-2</v>
      </c>
      <c r="E46" s="102">
        <f t="shared" si="1"/>
        <v>9.4214292636387587E-3</v>
      </c>
    </row>
    <row r="47" spans="2:5">
      <c r="B47" s="22">
        <f t="shared" si="2"/>
        <v>0.6</v>
      </c>
      <c r="C47" s="22">
        <f t="shared" si="3"/>
        <v>0.4</v>
      </c>
      <c r="D47" s="102">
        <f t="shared" si="0"/>
        <v>4.6067807171932963E-2</v>
      </c>
      <c r="E47" s="102">
        <f t="shared" si="1"/>
        <v>9.7803804381730412E-3</v>
      </c>
    </row>
    <row r="48" spans="2:5">
      <c r="B48" s="22">
        <f t="shared" si="2"/>
        <v>0.7</v>
      </c>
      <c r="C48" s="22">
        <f t="shared" si="3"/>
        <v>0.30000000000000004</v>
      </c>
      <c r="D48" s="102">
        <f t="shared" si="0"/>
        <v>4.8892311374897669E-2</v>
      </c>
      <c r="E48" s="102">
        <f t="shared" si="1"/>
        <v>1.0139331612707326E-2</v>
      </c>
    </row>
    <row r="49" spans="2:7">
      <c r="B49" s="22">
        <f t="shared" si="2"/>
        <v>0.79999999999999993</v>
      </c>
      <c r="C49" s="22">
        <f t="shared" si="3"/>
        <v>0.20000000000000007</v>
      </c>
      <c r="D49" s="102">
        <f t="shared" si="0"/>
        <v>5.2475545224796853E-2</v>
      </c>
      <c r="E49" s="102">
        <f t="shared" si="1"/>
        <v>1.049828278724161E-2</v>
      </c>
    </row>
    <row r="50" spans="2:7">
      <c r="B50" s="22">
        <f t="shared" si="2"/>
        <v>0.89999999999999991</v>
      </c>
      <c r="C50" s="22">
        <f t="shared" si="3"/>
        <v>0.10000000000000009</v>
      </c>
      <c r="D50" s="102">
        <f t="shared" si="0"/>
        <v>5.6673777559023315E-2</v>
      </c>
      <c r="E50" s="102">
        <f t="shared" si="1"/>
        <v>1.0857233961775891E-2</v>
      </c>
    </row>
    <row r="51" spans="2:7">
      <c r="B51" s="140">
        <f t="shared" si="2"/>
        <v>0.99999999999999989</v>
      </c>
      <c r="C51" s="140">
        <f t="shared" si="3"/>
        <v>0</v>
      </c>
      <c r="D51" s="102">
        <f t="shared" si="0"/>
        <v>6.1360905795871459E-2</v>
      </c>
      <c r="E51" s="102">
        <f t="shared" si="1"/>
        <v>1.1216185136310173E-2</v>
      </c>
    </row>
    <row r="52" spans="2:7">
      <c r="B52" s="22">
        <f t="shared" si="2"/>
        <v>1.0999999999999999</v>
      </c>
      <c r="C52" s="22">
        <f t="shared" si="3"/>
        <v>-9.9999999999999867E-2</v>
      </c>
      <c r="D52" s="102">
        <f t="shared" si="0"/>
        <v>6.6433530227439905E-2</v>
      </c>
      <c r="E52" s="102">
        <f t="shared" si="1"/>
        <v>1.1575136310844458E-2</v>
      </c>
    </row>
    <row r="53" spans="2:7">
      <c r="B53" s="22">
        <f t="shared" si="2"/>
        <v>1.2</v>
      </c>
      <c r="C53" s="22">
        <f t="shared" si="3"/>
        <v>-0.19999999999999996</v>
      </c>
      <c r="D53" s="102">
        <f t="shared" si="0"/>
        <v>7.181000346734942E-2</v>
      </c>
      <c r="E53" s="102">
        <f t="shared" si="1"/>
        <v>1.1934087485378742E-2</v>
      </c>
    </row>
    <row r="55" spans="2:7">
      <c r="B55" s="210" t="s">
        <v>143</v>
      </c>
      <c r="C55" s="210"/>
      <c r="D55" s="210"/>
      <c r="E55" s="210"/>
      <c r="F55" s="210"/>
      <c r="G55" s="210"/>
    </row>
    <row r="56" spans="2:7">
      <c r="B56" s="207" t="s">
        <v>139</v>
      </c>
      <c r="C56" s="208"/>
      <c r="D56" s="208"/>
      <c r="E56" s="208"/>
      <c r="F56" s="208"/>
      <c r="G56" s="209"/>
    </row>
    <row r="57" spans="2:7">
      <c r="B57" s="142" t="s">
        <v>144</v>
      </c>
      <c r="C57" s="143">
        <f>C26</f>
        <v>1.1216185136310175E-2</v>
      </c>
      <c r="D57" s="14"/>
      <c r="E57" s="202" t="s">
        <v>107</v>
      </c>
      <c r="F57" s="202"/>
      <c r="G57" s="144">
        <f>(C59*C62-C60*C63)/(C59*(C62-C63)+C60*(C61-C63))</f>
        <v>0.64672599811006992</v>
      </c>
    </row>
    <row r="58" spans="2:7">
      <c r="B58" s="142" t="s">
        <v>145</v>
      </c>
      <c r="C58" s="137">
        <f>D26</f>
        <v>7.6266733909673423E-3</v>
      </c>
      <c r="D58" s="14"/>
      <c r="E58" s="203" t="s">
        <v>109</v>
      </c>
      <c r="F58" s="203"/>
      <c r="G58" s="102">
        <f>1-G57</f>
        <v>0.35327400188993008</v>
      </c>
    </row>
    <row r="59" spans="2:7">
      <c r="B59" s="146" t="s">
        <v>110</v>
      </c>
      <c r="C59" s="137">
        <f>C57-$C$12</f>
        <v>7.3224669101723538E-3</v>
      </c>
      <c r="D59" s="14"/>
      <c r="E59" s="203" t="s">
        <v>111</v>
      </c>
      <c r="F59" s="203"/>
      <c r="G59" s="102">
        <f>G57*C57+G58*C58</f>
        <v>9.948103957202005E-3</v>
      </c>
    </row>
    <row r="60" spans="2:7">
      <c r="B60" s="146" t="s">
        <v>112</v>
      </c>
      <c r="C60" s="137">
        <f>C58-C12</f>
        <v>3.7329551648295212E-3</v>
      </c>
      <c r="D60" s="14"/>
      <c r="E60" s="204" t="s">
        <v>113</v>
      </c>
      <c r="F60" s="205"/>
      <c r="G60" s="102">
        <f>G59-C12</f>
        <v>6.0543857310641838E-3</v>
      </c>
    </row>
    <row r="61" spans="2:7">
      <c r="B61" s="146" t="s">
        <v>146</v>
      </c>
      <c r="C61" s="137">
        <f>C27^2</f>
        <v>3.7651607600898123E-3</v>
      </c>
      <c r="D61" s="14"/>
      <c r="E61" s="203" t="s">
        <v>115</v>
      </c>
      <c r="F61" s="203"/>
      <c r="G61" s="102">
        <f>SQRT((C61*G57^2)+(C62*G58^2)+(2*G57*G58*C63))</f>
        <v>4.7283653070952905E-2</v>
      </c>
    </row>
    <row r="62" spans="2:7">
      <c r="B62" s="146" t="s">
        <v>116</v>
      </c>
      <c r="C62" s="137">
        <f>D27^2</f>
        <v>2.5081504372473531E-3</v>
      </c>
      <c r="D62" s="14"/>
      <c r="E62" s="203" t="s">
        <v>117</v>
      </c>
      <c r="F62" s="203"/>
      <c r="G62" s="102">
        <f>G60/G61</f>
        <v>0.12804395045321676</v>
      </c>
    </row>
    <row r="63" spans="2:7">
      <c r="B63" s="146" t="s">
        <v>118</v>
      </c>
      <c r="C63" s="137">
        <f>C22</f>
        <v>7.6141857091351897E-4</v>
      </c>
      <c r="D63" s="14"/>
      <c r="E63" s="147"/>
      <c r="F63" s="147"/>
      <c r="G63" s="6"/>
    </row>
    <row r="66" spans="2:3">
      <c r="B66" s="210" t="str">
        <f>B2</f>
        <v>Portfolio by Wiener  Approach</v>
      </c>
      <c r="C66" s="210"/>
    </row>
    <row r="67" spans="2:3">
      <c r="B67" s="145" t="s">
        <v>119</v>
      </c>
      <c r="C67" s="11">
        <f>C12</f>
        <v>3.8937182261378211E-3</v>
      </c>
    </row>
    <row r="68" spans="2:3">
      <c r="B68" s="145" t="s">
        <v>120</v>
      </c>
      <c r="C68" s="11">
        <f>G59</f>
        <v>9.948103957202005E-3</v>
      </c>
    </row>
    <row r="69" spans="2:3">
      <c r="B69" s="145" t="s">
        <v>121</v>
      </c>
      <c r="C69" s="11">
        <f>G61^2</f>
        <v>2.235743847734234E-3</v>
      </c>
    </row>
    <row r="70" spans="2:3">
      <c r="B70" s="145" t="s">
        <v>122</v>
      </c>
      <c r="C70" s="11">
        <f>(C68-C67)/(2*C69)</f>
        <v>1.3539980747794229</v>
      </c>
    </row>
    <row r="71" spans="2:3">
      <c r="B71" s="145" t="s">
        <v>123</v>
      </c>
      <c r="C71" s="108">
        <f>C70</f>
        <v>1.3539980747794229</v>
      </c>
    </row>
    <row r="72" spans="2:3">
      <c r="B72" s="145" t="s">
        <v>124</v>
      </c>
      <c r="C72" s="148">
        <f>(C68-C67)/(2*C71*C69)</f>
        <v>0.99999999999999989</v>
      </c>
    </row>
  </sheetData>
  <mergeCells count="12">
    <mergeCell ref="B10:C10"/>
    <mergeCell ref="B2:C2"/>
    <mergeCell ref="B24:D24"/>
    <mergeCell ref="B55:G55"/>
    <mergeCell ref="B56:G56"/>
    <mergeCell ref="B66:C66"/>
    <mergeCell ref="E57:F57"/>
    <mergeCell ref="E58:F58"/>
    <mergeCell ref="E59:F59"/>
    <mergeCell ref="E60:F60"/>
    <mergeCell ref="E61:F61"/>
    <mergeCell ref="E62:F62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95022-43B5-490B-BA5B-CA7208781C7A}">
  <sheetPr>
    <tabColor rgb="FFFFFF00"/>
  </sheetPr>
  <dimension ref="A2:K71"/>
  <sheetViews>
    <sheetView topLeftCell="A8" zoomScale="50" zoomScaleNormal="100" workbookViewId="0">
      <selection activeCell="F32" sqref="F32"/>
    </sheetView>
  </sheetViews>
  <sheetFormatPr defaultRowHeight="14.5"/>
  <cols>
    <col min="2" max="2" width="45.54296875" customWidth="1"/>
    <col min="3" max="3" width="20.453125" customWidth="1"/>
    <col min="4" max="5" width="11.54296875" bestFit="1" customWidth="1"/>
    <col min="7" max="7" width="9.36328125" bestFit="1" customWidth="1"/>
  </cols>
  <sheetData>
    <row r="2" spans="1:5">
      <c r="A2" s="214" t="s">
        <v>153</v>
      </c>
      <c r="B2" s="214"/>
      <c r="C2" s="214"/>
    </row>
    <row r="10" spans="1:5">
      <c r="B10" s="211" t="s">
        <v>127</v>
      </c>
      <c r="C10" s="212"/>
    </row>
    <row r="11" spans="1:5">
      <c r="B11" s="133" t="s">
        <v>18</v>
      </c>
      <c r="C11" s="133" t="s">
        <v>58</v>
      </c>
    </row>
    <row r="12" spans="1:5">
      <c r="B12" s="65">
        <f>'Summary-Stats'!H5</f>
        <v>45566</v>
      </c>
      <c r="C12" s="76">
        <f>'Summary-Stats'!I5</f>
        <v>3.8937182261378211E-3</v>
      </c>
    </row>
    <row r="14" spans="1:5">
      <c r="B14" s="149" t="s">
        <v>126</v>
      </c>
      <c r="C14" s="150" t="s">
        <v>30</v>
      </c>
      <c r="D14" s="150" t="s">
        <v>29</v>
      </c>
      <c r="E14" s="151" t="s">
        <v>22</v>
      </c>
    </row>
    <row r="15" spans="1:5">
      <c r="B15" s="113" t="s">
        <v>89</v>
      </c>
      <c r="C15" s="137">
        <v>1.3091421487603309E-2</v>
      </c>
      <c r="D15" s="137">
        <v>8.8689366391184465E-3</v>
      </c>
      <c r="E15" s="137">
        <v>8.3072176308539875E-3</v>
      </c>
    </row>
    <row r="16" spans="1:5">
      <c r="B16" s="113" t="s">
        <v>90</v>
      </c>
      <c r="C16" s="137">
        <v>1.1216185136310175E-2</v>
      </c>
      <c r="D16" s="137">
        <v>7.6266733909673423E-3</v>
      </c>
      <c r="E16" s="137">
        <v>7.3394950677334592E-3</v>
      </c>
    </row>
    <row r="17" spans="2:5">
      <c r="B17" s="113" t="s">
        <v>91</v>
      </c>
      <c r="C17" s="137">
        <v>3.7651607600898123E-3</v>
      </c>
      <c r="D17" s="137">
        <v>2.5081504372473536E-3</v>
      </c>
      <c r="E17" s="137">
        <v>1.915997087999466E-3</v>
      </c>
    </row>
    <row r="18" spans="2:5">
      <c r="B18" s="113" t="s">
        <v>92</v>
      </c>
      <c r="C18" s="137">
        <v>6.1360905795871466E-2</v>
      </c>
      <c r="D18" s="137">
        <v>5.0081438050912169E-2</v>
      </c>
      <c r="E18" s="137">
        <v>4.3772103993290817E-2</v>
      </c>
    </row>
    <row r="19" spans="2:5">
      <c r="C19" s="14"/>
      <c r="D19" s="14"/>
    </row>
    <row r="20" spans="2:5">
      <c r="B20" s="149" t="s">
        <v>71</v>
      </c>
      <c r="C20" s="152" t="s">
        <v>30</v>
      </c>
      <c r="D20" s="152" t="s">
        <v>29</v>
      </c>
    </row>
    <row r="21" spans="2:5">
      <c r="B21" s="102" t="s">
        <v>30</v>
      </c>
      <c r="C21" s="102">
        <v>3.7651607600898127E-3</v>
      </c>
      <c r="D21" s="102">
        <v>7.6141857091351897E-4</v>
      </c>
    </row>
    <row r="22" spans="2:5">
      <c r="B22" s="113" t="s">
        <v>29</v>
      </c>
      <c r="C22" s="102">
        <v>7.6141857091351897E-4</v>
      </c>
      <c r="D22" s="102">
        <v>2.5081504372473553E-3</v>
      </c>
    </row>
    <row r="24" spans="2:5">
      <c r="B24" s="215" t="s">
        <v>147</v>
      </c>
      <c r="C24" s="215"/>
      <c r="D24" s="215"/>
    </row>
    <row r="25" spans="2:5">
      <c r="B25" s="135" t="s">
        <v>100</v>
      </c>
      <c r="C25" s="136" t="str">
        <f>C20</f>
        <v>ESS-RET</v>
      </c>
      <c r="D25" s="136" t="str">
        <f>D20</f>
        <v>ED-RET</v>
      </c>
    </row>
    <row r="26" spans="2:5">
      <c r="B26" s="131" t="s">
        <v>148</v>
      </c>
      <c r="C26" s="137">
        <f>C16-(C17/2)</f>
        <v>9.333604756265268E-3</v>
      </c>
      <c r="D26" s="137">
        <f>D16-(D17/2)</f>
        <v>6.3725981723436655E-3</v>
      </c>
    </row>
    <row r="27" spans="2:5">
      <c r="B27" s="138" t="s">
        <v>95</v>
      </c>
      <c r="C27" s="137">
        <f>C18</f>
        <v>6.1360905795871466E-2</v>
      </c>
      <c r="D27" s="137">
        <f>D18</f>
        <v>5.0081438050912169E-2</v>
      </c>
    </row>
    <row r="28" spans="2:5">
      <c r="B28" s="138" t="s">
        <v>96</v>
      </c>
      <c r="C28" s="137">
        <f>C26-$C$12</f>
        <v>5.4398865301274468E-3</v>
      </c>
      <c r="D28" s="137">
        <f>D26-$C$12</f>
        <v>2.4788799462058444E-3</v>
      </c>
    </row>
    <row r="29" spans="2:5">
      <c r="B29" s="138" t="s">
        <v>97</v>
      </c>
      <c r="C29" s="113">
        <f>C28/C27</f>
        <v>8.865394764908209E-2</v>
      </c>
      <c r="D29" s="113">
        <f>D28/D27</f>
        <v>4.9496980172291496E-2</v>
      </c>
    </row>
    <row r="37" spans="2:11">
      <c r="B37" s="216" t="s">
        <v>149</v>
      </c>
      <c r="C37" s="217"/>
      <c r="D37" s="217"/>
      <c r="E37" s="217"/>
      <c r="F37" s="217"/>
      <c r="G37" s="217"/>
      <c r="H37" s="217"/>
      <c r="I37" s="217"/>
      <c r="J37" s="217"/>
      <c r="K37" s="218"/>
    </row>
    <row r="38" spans="2:11">
      <c r="B38" s="154" t="s">
        <v>103</v>
      </c>
      <c r="C38" s="155" t="s">
        <v>104</v>
      </c>
      <c r="D38" s="155" t="s">
        <v>101</v>
      </c>
      <c r="E38" s="156" t="s">
        <v>102</v>
      </c>
    </row>
    <row r="39" spans="2:11">
      <c r="B39" s="22">
        <v>-0.2</v>
      </c>
      <c r="C39" s="22">
        <f>1-B39</f>
        <v>1.2</v>
      </c>
      <c r="D39" s="102">
        <f>SQRT(($C$27^2)*(B39^2) + ($D$27^2)*(C39^2) + 2*B39*C39*$C$22)</f>
        <v>5.8282605861451425E-2</v>
      </c>
      <c r="E39" s="102">
        <f>B39*$C$26+C39*$D$26</f>
        <v>5.7803968555593449E-3</v>
      </c>
    </row>
    <row r="40" spans="2:11">
      <c r="B40" s="22">
        <f>B39+0.1</f>
        <v>-0.1</v>
      </c>
      <c r="C40" s="22">
        <f>1-B40</f>
        <v>1.1000000000000001</v>
      </c>
      <c r="D40" s="102">
        <f t="shared" ref="D40:D53" si="0">SQRT(($C$27^2)*(B40^2) + ($D$27^2)*(C40^2) + 2*B40*C40*$C$22)</f>
        <v>5.3898066301762831E-2</v>
      </c>
      <c r="E40" s="102">
        <f t="shared" ref="E40:E53" si="1">B40*$C$26+C40*$D$26</f>
        <v>6.0764975139515056E-3</v>
      </c>
    </row>
    <row r="41" spans="2:11">
      <c r="B41" s="140">
        <f t="shared" ref="B41:B53" si="2">B40+0.1</f>
        <v>0</v>
      </c>
      <c r="C41" s="140">
        <f t="shared" ref="C41:C53" si="3">1-B41</f>
        <v>1</v>
      </c>
      <c r="D41" s="102">
        <f t="shared" si="0"/>
        <v>5.0081438050912169E-2</v>
      </c>
      <c r="E41" s="102">
        <f t="shared" si="1"/>
        <v>6.3725981723436655E-3</v>
      </c>
    </row>
    <row r="42" spans="2:11">
      <c r="B42" s="22">
        <f t="shared" si="2"/>
        <v>0.1</v>
      </c>
      <c r="C42" s="22">
        <f t="shared" si="3"/>
        <v>0.9</v>
      </c>
      <c r="D42" s="102">
        <f t="shared" si="0"/>
        <v>4.6971361535894263E-2</v>
      </c>
      <c r="E42" s="102">
        <f t="shared" si="1"/>
        <v>6.6686988307358263E-3</v>
      </c>
    </row>
    <row r="43" spans="2:11">
      <c r="B43" s="22">
        <f t="shared" si="2"/>
        <v>0.2</v>
      </c>
      <c r="C43" s="22">
        <f t="shared" si="3"/>
        <v>0.8</v>
      </c>
      <c r="D43" s="102">
        <f t="shared" si="0"/>
        <v>4.4715507969095299E-2</v>
      </c>
      <c r="E43" s="102">
        <f t="shared" si="1"/>
        <v>6.9647994891279862E-3</v>
      </c>
    </row>
    <row r="44" spans="2:11">
      <c r="B44" s="22">
        <f t="shared" si="2"/>
        <v>0.30000000000000004</v>
      </c>
      <c r="C44" s="22">
        <f t="shared" si="3"/>
        <v>0.7</v>
      </c>
      <c r="D44" s="102">
        <f t="shared" si="0"/>
        <v>4.3447140095096759E-2</v>
      </c>
      <c r="E44" s="102">
        <f t="shared" si="1"/>
        <v>7.2609001475201461E-3</v>
      </c>
    </row>
    <row r="45" spans="2:11">
      <c r="B45" s="22">
        <f t="shared" si="2"/>
        <v>0.4</v>
      </c>
      <c r="C45" s="22">
        <f t="shared" si="3"/>
        <v>0.6</v>
      </c>
      <c r="D45" s="102">
        <f t="shared" si="0"/>
        <v>4.3253217141178135E-2</v>
      </c>
      <c r="E45" s="102">
        <f t="shared" si="1"/>
        <v>7.5570008059123069E-3</v>
      </c>
    </row>
    <row r="46" spans="2:11">
      <c r="B46" s="22">
        <f t="shared" si="2"/>
        <v>0.5</v>
      </c>
      <c r="C46" s="22">
        <f t="shared" si="3"/>
        <v>0.5</v>
      </c>
      <c r="D46" s="102">
        <f t="shared" si="0"/>
        <v>4.414790011757129E-2</v>
      </c>
      <c r="E46" s="102">
        <f t="shared" si="1"/>
        <v>7.8531014643044676E-3</v>
      </c>
    </row>
    <row r="47" spans="2:11">
      <c r="B47" s="22">
        <f t="shared" si="2"/>
        <v>0.6</v>
      </c>
      <c r="C47" s="22">
        <f t="shared" si="3"/>
        <v>0.4</v>
      </c>
      <c r="D47" s="102">
        <f t="shared" si="0"/>
        <v>4.6067807171932963E-2</v>
      </c>
      <c r="E47" s="102">
        <f t="shared" si="1"/>
        <v>8.1492021226966267E-3</v>
      </c>
    </row>
    <row r="48" spans="2:11">
      <c r="B48" s="22">
        <f t="shared" si="2"/>
        <v>0.7</v>
      </c>
      <c r="C48" s="22">
        <f t="shared" si="3"/>
        <v>0.30000000000000004</v>
      </c>
      <c r="D48" s="102">
        <f t="shared" si="0"/>
        <v>4.8892311374897669E-2</v>
      </c>
      <c r="E48" s="102">
        <f t="shared" si="1"/>
        <v>8.4453027810887874E-3</v>
      </c>
    </row>
    <row r="49" spans="2:7">
      <c r="B49" s="22">
        <f t="shared" si="2"/>
        <v>0.79999999999999993</v>
      </c>
      <c r="C49" s="22">
        <f t="shared" si="3"/>
        <v>0.20000000000000007</v>
      </c>
      <c r="D49" s="102">
        <f t="shared" si="0"/>
        <v>5.2475545224796853E-2</v>
      </c>
      <c r="E49" s="102">
        <f t="shared" si="1"/>
        <v>8.7414034394809464E-3</v>
      </c>
    </row>
    <row r="50" spans="2:7">
      <c r="B50" s="22">
        <f t="shared" si="2"/>
        <v>0.89999999999999991</v>
      </c>
      <c r="C50" s="22">
        <f t="shared" si="3"/>
        <v>0.10000000000000009</v>
      </c>
      <c r="D50" s="102">
        <f t="shared" si="0"/>
        <v>5.6673777559023315E-2</v>
      </c>
      <c r="E50" s="102">
        <f t="shared" si="1"/>
        <v>9.0375040978731072E-3</v>
      </c>
    </row>
    <row r="51" spans="2:7">
      <c r="B51" s="140">
        <f t="shared" si="2"/>
        <v>0.99999999999999989</v>
      </c>
      <c r="C51" s="140">
        <f t="shared" si="3"/>
        <v>0</v>
      </c>
      <c r="D51" s="102">
        <f t="shared" si="0"/>
        <v>6.1360905795871459E-2</v>
      </c>
      <c r="E51" s="102">
        <f t="shared" si="1"/>
        <v>9.3336047562652662E-3</v>
      </c>
    </row>
    <row r="52" spans="2:7">
      <c r="B52" s="22">
        <f t="shared" si="2"/>
        <v>1.0999999999999999</v>
      </c>
      <c r="C52" s="22">
        <f t="shared" si="3"/>
        <v>-9.9999999999999867E-2</v>
      </c>
      <c r="D52" s="102">
        <f t="shared" si="0"/>
        <v>6.6433530227439905E-2</v>
      </c>
      <c r="E52" s="102">
        <f t="shared" si="1"/>
        <v>9.629705414657427E-3</v>
      </c>
    </row>
    <row r="53" spans="2:7">
      <c r="B53" s="22">
        <f t="shared" si="2"/>
        <v>1.2</v>
      </c>
      <c r="C53" s="22">
        <f t="shared" si="3"/>
        <v>-0.19999999999999996</v>
      </c>
      <c r="D53" s="102">
        <f t="shared" si="0"/>
        <v>7.181000346734942E-2</v>
      </c>
      <c r="E53" s="102">
        <f t="shared" si="1"/>
        <v>9.9258060730495878E-3</v>
      </c>
    </row>
    <row r="55" spans="2:7">
      <c r="B55" s="215" t="s">
        <v>150</v>
      </c>
      <c r="C55" s="215"/>
      <c r="D55" s="215"/>
      <c r="E55" s="215"/>
      <c r="F55" s="215"/>
      <c r="G55" s="215"/>
    </row>
    <row r="56" spans="2:7">
      <c r="B56" s="207" t="s">
        <v>139</v>
      </c>
      <c r="C56" s="208"/>
      <c r="D56" s="208"/>
      <c r="E56" s="208"/>
      <c r="F56" s="208"/>
      <c r="G56" s="209"/>
    </row>
    <row r="57" spans="2:7">
      <c r="B57" s="142" t="s">
        <v>151</v>
      </c>
      <c r="C57" s="143">
        <f>C26</f>
        <v>9.333604756265268E-3</v>
      </c>
      <c r="D57" s="14"/>
      <c r="E57" s="202" t="s">
        <v>107</v>
      </c>
      <c r="F57" s="202"/>
      <c r="G57" s="144">
        <f>(C59*C62-C60*C63)/(C59*(C62-C63)+C60*(C61-C63))</f>
        <v>0.69368837451526488</v>
      </c>
    </row>
    <row r="58" spans="2:7">
      <c r="B58" s="142" t="s">
        <v>152</v>
      </c>
      <c r="C58" s="137">
        <f>D26</f>
        <v>6.3725981723436655E-3</v>
      </c>
      <c r="D58" s="14"/>
      <c r="E58" s="203" t="s">
        <v>109</v>
      </c>
      <c r="F58" s="203"/>
      <c r="G58" s="102">
        <f>1-G57</f>
        <v>0.30631162548473512</v>
      </c>
    </row>
    <row r="59" spans="2:7">
      <c r="B59" s="146" t="s">
        <v>110</v>
      </c>
      <c r="C59" s="137">
        <f>C57-$C$12</f>
        <v>5.4398865301274468E-3</v>
      </c>
      <c r="D59" s="14"/>
      <c r="E59" s="203" t="s">
        <v>111</v>
      </c>
      <c r="F59" s="203"/>
      <c r="G59" s="102">
        <f>G57*C57+G58*C58</f>
        <v>8.4266140164732401E-3</v>
      </c>
    </row>
    <row r="60" spans="2:7">
      <c r="B60" s="146" t="s">
        <v>112</v>
      </c>
      <c r="C60" s="137">
        <f>C58-C12</f>
        <v>2.4788799462058444E-3</v>
      </c>
      <c r="D60" s="14"/>
      <c r="E60" s="204" t="s">
        <v>113</v>
      </c>
      <c r="F60" s="205"/>
      <c r="G60" s="102">
        <f>G59-C12</f>
        <v>4.532895790335419E-3</v>
      </c>
    </row>
    <row r="61" spans="2:7">
      <c r="B61" s="146" t="s">
        <v>146</v>
      </c>
      <c r="C61" s="137">
        <f>C27^2</f>
        <v>3.7651607600898123E-3</v>
      </c>
      <c r="D61" s="14"/>
      <c r="E61" s="203" t="s">
        <v>115</v>
      </c>
      <c r="F61" s="203"/>
      <c r="G61" s="102">
        <f>SQRT((C61*G57^2)+(C62*G58^2)+(2*G57*G58*C63))</f>
        <v>4.8690043035084583E-2</v>
      </c>
    </row>
    <row r="62" spans="2:7">
      <c r="B62" s="146" t="s">
        <v>116</v>
      </c>
      <c r="C62" s="137">
        <f>D27^2</f>
        <v>2.5081504372473531E-3</v>
      </c>
      <c r="D62" s="14"/>
      <c r="E62" s="203" t="s">
        <v>117</v>
      </c>
      <c r="F62" s="203"/>
      <c r="G62" s="102">
        <f>G60/G61</f>
        <v>9.309697646126848E-2</v>
      </c>
    </row>
    <row r="63" spans="2:7">
      <c r="B63" s="146" t="s">
        <v>118</v>
      </c>
      <c r="C63" s="137">
        <f>C22</f>
        <v>7.6141857091351897E-4</v>
      </c>
      <c r="D63" s="14"/>
      <c r="E63" s="147"/>
      <c r="F63" s="147"/>
      <c r="G63" s="6"/>
    </row>
    <row r="65" spans="2:3">
      <c r="B65" s="215" t="str">
        <f>A2</f>
        <v>Portfolio by Ito Approach</v>
      </c>
      <c r="C65" s="215"/>
    </row>
    <row r="66" spans="2:3">
      <c r="B66" s="145" t="s">
        <v>119</v>
      </c>
      <c r="C66" s="11">
        <f>C12</f>
        <v>3.8937182261378211E-3</v>
      </c>
    </row>
    <row r="67" spans="2:3">
      <c r="B67" s="145" t="s">
        <v>120</v>
      </c>
      <c r="C67" s="11">
        <f>G59</f>
        <v>8.4266140164732401E-3</v>
      </c>
    </row>
    <row r="68" spans="2:3">
      <c r="B68" s="145" t="s">
        <v>121</v>
      </c>
      <c r="C68" s="11">
        <f>G61^2</f>
        <v>2.3707202907583889E-3</v>
      </c>
    </row>
    <row r="69" spans="2:3">
      <c r="B69" s="145" t="s">
        <v>122</v>
      </c>
      <c r="C69" s="11">
        <f>(C67-C66)/(2*C68)</f>
        <v>0.95601657606038248</v>
      </c>
    </row>
    <row r="70" spans="2:3">
      <c r="B70" s="145" t="s">
        <v>123</v>
      </c>
      <c r="C70" s="108">
        <f>C69</f>
        <v>0.95601657606038248</v>
      </c>
    </row>
    <row r="71" spans="2:3">
      <c r="B71" s="145" t="s">
        <v>124</v>
      </c>
      <c r="C71" s="148">
        <f>(C67-C66)/(2*C70*C68)</f>
        <v>1</v>
      </c>
    </row>
  </sheetData>
  <mergeCells count="13">
    <mergeCell ref="E62:F62"/>
    <mergeCell ref="B65:C65"/>
    <mergeCell ref="B56:G56"/>
    <mergeCell ref="E57:F57"/>
    <mergeCell ref="E58:F58"/>
    <mergeCell ref="E59:F59"/>
    <mergeCell ref="E60:F60"/>
    <mergeCell ref="E61:F61"/>
    <mergeCell ref="A2:C2"/>
    <mergeCell ref="B10:C10"/>
    <mergeCell ref="B24:D24"/>
    <mergeCell ref="B37:K37"/>
    <mergeCell ref="B55:G55"/>
  </mergeCell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5D57E-9512-4000-B39B-B108AF0461E7}">
  <sheetPr>
    <tabColor theme="4" tint="-0.249977111117893"/>
  </sheetPr>
  <dimension ref="B3:G12"/>
  <sheetViews>
    <sheetView topLeftCell="A4" zoomScale="47" workbookViewId="0">
      <selection activeCell="T49" sqref="T49"/>
    </sheetView>
  </sheetViews>
  <sheetFormatPr defaultRowHeight="14.5"/>
  <cols>
    <col min="4" max="4" width="7.6328125" bestFit="1" customWidth="1"/>
    <col min="5" max="5" width="11.90625" bestFit="1" customWidth="1"/>
    <col min="6" max="6" width="8.1796875" bestFit="1" customWidth="1"/>
    <col min="7" max="7" width="7.6328125" bestFit="1" customWidth="1"/>
  </cols>
  <sheetData>
    <row r="3" spans="2:7">
      <c r="B3" s="220" t="s">
        <v>161</v>
      </c>
      <c r="C3" s="220"/>
      <c r="D3" s="220"/>
      <c r="E3" s="220"/>
      <c r="F3" s="220"/>
      <c r="G3" s="220"/>
    </row>
    <row r="5" spans="2:7">
      <c r="D5" s="157" t="s">
        <v>154</v>
      </c>
      <c r="E5" s="157" t="s">
        <v>155</v>
      </c>
      <c r="F5" s="157" t="s">
        <v>156</v>
      </c>
      <c r="G5" s="157" t="s">
        <v>157</v>
      </c>
    </row>
    <row r="6" spans="2:7">
      <c r="B6" s="203" t="s">
        <v>158</v>
      </c>
      <c r="C6" s="203"/>
      <c r="D6" s="158">
        <f>'STATS-PORTFOLIO'!F42</f>
        <v>0.62176325778667707</v>
      </c>
      <c r="E6" s="158">
        <f>'SHRINKAGE-PORTFOLIO'!G47</f>
        <v>0.56511658626440786</v>
      </c>
      <c r="F6" s="158">
        <f>'WIENER-PORTFOLIO'!G57</f>
        <v>0.64672599811006992</v>
      </c>
      <c r="G6" s="158">
        <f>'ITO-PORTFOLIO'!G57</f>
        <v>0.69368837451526488</v>
      </c>
    </row>
    <row r="7" spans="2:7">
      <c r="B7" s="203" t="s">
        <v>159</v>
      </c>
      <c r="C7" s="203"/>
      <c r="D7" s="158">
        <f>'STATS-PORTFOLIO'!F43</f>
        <v>0.37823674221332293</v>
      </c>
      <c r="E7" s="158">
        <f>'SHRINKAGE-PORTFOLIO'!G48</f>
        <v>0.43488341373559214</v>
      </c>
      <c r="F7" s="158">
        <f>'WIENER-PORTFOLIO'!G58</f>
        <v>0.35327400188993008</v>
      </c>
      <c r="G7" s="158">
        <f>'ITO-PORTFOLIO'!G58</f>
        <v>0.30631162548473512</v>
      </c>
    </row>
    <row r="8" spans="2:7">
      <c r="B8" s="203" t="s">
        <v>160</v>
      </c>
      <c r="C8" s="203"/>
      <c r="D8" s="158">
        <f>'STATS-PORTFOLIO'!F44</f>
        <v>1.1494322574467277E-2</v>
      </c>
      <c r="E8" s="158">
        <f>'SHRINKAGE-PORTFOLIO'!G49</f>
        <v>9.7811752465506926E-3</v>
      </c>
      <c r="F8" s="158">
        <f>'WIENER-PORTFOLIO'!G59</f>
        <v>9.948103957202005E-3</v>
      </c>
      <c r="G8" s="158">
        <f>'ITO-PORTFOLIO'!G59</f>
        <v>8.4266140164732401E-3</v>
      </c>
    </row>
    <row r="9" spans="2:7">
      <c r="B9" s="203" t="s">
        <v>113</v>
      </c>
      <c r="C9" s="203"/>
      <c r="D9" s="158">
        <f>'STATS-PORTFOLIO'!F45</f>
        <v>7.6006043483294559E-3</v>
      </c>
      <c r="E9" s="158">
        <f>'SHRINKAGE-PORTFOLIO'!G50</f>
        <v>5.8874570204128715E-3</v>
      </c>
      <c r="F9" s="158">
        <f>'WIENER-PORTFOLIO'!G60</f>
        <v>6.0543857310641838E-3</v>
      </c>
      <c r="G9" s="158">
        <f>'ITO-PORTFOLIO'!G60</f>
        <v>4.532895790335419E-3</v>
      </c>
    </row>
    <row r="10" spans="2:7">
      <c r="B10" s="203" t="s">
        <v>115</v>
      </c>
      <c r="C10" s="203"/>
      <c r="D10" s="158">
        <f>'[1]STATS-PORTFOLIO'!G61</f>
        <v>0.13963866896642033</v>
      </c>
      <c r="E10" s="158">
        <f>'SHRINKAGE-PORTFOLIO'!G51</f>
        <v>5.0689710988606564E-2</v>
      </c>
      <c r="F10" s="158">
        <f>'WIENER-PORTFOLIO'!G61</f>
        <v>4.7283653070952905E-2</v>
      </c>
      <c r="G10" s="158">
        <f>'ITO-PORTFOLIO'!G61</f>
        <v>4.8690043035084583E-2</v>
      </c>
    </row>
    <row r="11" spans="2:7">
      <c r="B11" s="203" t="s">
        <v>117</v>
      </c>
      <c r="C11" s="203"/>
      <c r="D11" s="158">
        <f>'STATS-PORTFOLIO'!F46</f>
        <v>4.6610370812236269E-2</v>
      </c>
      <c r="E11" s="158">
        <f>'SHRINKAGE-PORTFOLIO'!G52</f>
        <v>0.11614698339345798</v>
      </c>
      <c r="F11" s="158">
        <f>'WIENER-PORTFOLIO'!G62</f>
        <v>0.12804395045321676</v>
      </c>
      <c r="G11" s="158">
        <f>'ITO-PORTFOLIO'!G62</f>
        <v>9.309697646126848E-2</v>
      </c>
    </row>
    <row r="12" spans="2:7">
      <c r="B12" s="219" t="s">
        <v>122</v>
      </c>
      <c r="C12" s="219"/>
      <c r="D12" s="158">
        <f>'STATS-PORTFOLIO'!B55</f>
        <v>1.7492545575828948</v>
      </c>
      <c r="E12" s="158">
        <f>'SHRINKAGE-PORTFOLIO'!C62</f>
        <v>1.1456662617346955</v>
      </c>
      <c r="F12" s="158">
        <f>'WIENER-PORTFOLIO'!C71</f>
        <v>1.3539980747794229</v>
      </c>
      <c r="G12" s="158">
        <f>'ITO-PORTFOLIO'!C70</f>
        <v>0.95601657606038248</v>
      </c>
    </row>
  </sheetData>
  <mergeCells count="8">
    <mergeCell ref="B11:C11"/>
    <mergeCell ref="B12:C12"/>
    <mergeCell ref="B3:G3"/>
    <mergeCell ref="B6:C6"/>
    <mergeCell ref="B7:C7"/>
    <mergeCell ref="B8:C8"/>
    <mergeCell ref="B9:C9"/>
    <mergeCell ref="B10:C10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d2be349-ef2b-418e-bc19-3128798b3db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45BDF7D48E3B429508CE8D8912A3C1" ma:contentTypeVersion="14" ma:contentTypeDescription="Create a new document." ma:contentTypeScope="" ma:versionID="156da54669f213a42f515de2cdb6013e">
  <xsd:schema xmlns:xsd="http://www.w3.org/2001/XMLSchema" xmlns:xs="http://www.w3.org/2001/XMLSchema" xmlns:p="http://schemas.microsoft.com/office/2006/metadata/properties" xmlns:ns3="8d2be349-ef2b-418e-bc19-3128798b3dbb" xmlns:ns4="32a6fe4d-8e96-4b0e-ac86-0645f70dc13a" targetNamespace="http://schemas.microsoft.com/office/2006/metadata/properties" ma:root="true" ma:fieldsID="07fe485158d7d69aff4c7094f67c364d" ns3:_="" ns4:_="">
    <xsd:import namespace="8d2be349-ef2b-418e-bc19-3128798b3dbb"/>
    <xsd:import namespace="32a6fe4d-8e96-4b0e-ac86-0645f70dc13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ServiceDateTake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2be349-ef2b-418e-bc19-3128798b3dbb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6fe4d-8e96-4b0e-ac86-0645f70dc13a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1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2868480-97DB-449B-8CCA-3B429B760F5E}">
  <ds:schemaRefs>
    <ds:schemaRef ds:uri="32a6fe4d-8e96-4b0e-ac86-0645f70dc13a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schemas.microsoft.com/office/2006/documentManagement/types"/>
    <ds:schemaRef ds:uri="8d2be349-ef2b-418e-bc19-3128798b3dbb"/>
    <ds:schemaRef ds:uri="http://www.w3.org/XML/1998/namespace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D6155DA-0696-431B-894D-AC25C060F7B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98879F-C8C2-424B-B1B1-036C2C3E94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d2be349-ef2b-418e-bc19-3128798b3dbb"/>
    <ds:schemaRef ds:uri="32a6fe4d-8e96-4b0e-ac86-0645f70dc1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78aac226-2f03-4b4d-9037-b46d56c55210}" enabled="0" method="" siteId="{78aac226-2f03-4b4d-9037-b46d56c5521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FRED 90-Day T-Bill Data</vt:lpstr>
      <vt:lpstr>CRSP-DATA</vt:lpstr>
      <vt:lpstr>Google Finance -ESS </vt:lpstr>
      <vt:lpstr>Google Finance-ED</vt:lpstr>
      <vt:lpstr>Raw Google</vt:lpstr>
      <vt:lpstr>FILTERED-DATA</vt:lpstr>
      <vt:lpstr>MASTER-DATA</vt:lpstr>
      <vt:lpstr>Summary-Stats</vt:lpstr>
      <vt:lpstr>STATS-PORTFOLIO</vt:lpstr>
      <vt:lpstr>SHRINKAGE-PORTFOLIO</vt:lpstr>
      <vt:lpstr>WIENER-PORTFOLIO</vt:lpstr>
      <vt:lpstr>ITO-PORTFOLIO</vt:lpstr>
      <vt:lpstr>PORTFOLIO-SUMMARY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Hanum Sukma Zahrani</dc:creator>
  <cp:lastModifiedBy>Hanum Sukma Zahrani</cp:lastModifiedBy>
  <dcterms:created xsi:type="dcterms:W3CDTF">2024-10-31T19:22:49Z</dcterms:created>
  <dcterms:modified xsi:type="dcterms:W3CDTF">2024-11-08T20:44:33Z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0x0101003245BDF7D48E3B429508CE8D8912A3C1</vt:lpwstr>
  </property>
</Properties>
</file>