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5f559eff067289/Documents/COMMERCE GPA 4.0/second year/204 project/project 2/"/>
    </mc:Choice>
  </mc:AlternateContent>
  <xr:revisionPtr revIDLastSave="125" documentId="8_{25D6F1DB-C77B-4BA6-983D-01776485B9D0}" xr6:coauthVersionLast="47" xr6:coauthVersionMax="47" xr10:uidLastSave="{A41D0E62-BE8C-4E21-B597-ACAC9BF38C15}"/>
  <bookViews>
    <workbookView xWindow="0" yWindow="2460" windowWidth="19200" windowHeight="8820" activeTab="1" xr2:uid="{0428D709-E717-4360-B008-6D72F47278F8}"/>
  </bookViews>
  <sheets>
    <sheet name="Part A" sheetId="1" r:id="rId1"/>
    <sheet name="Part B" sheetId="4" r:id="rId2"/>
  </sheets>
  <definedNames>
    <definedName name="_xlchart.v1.0" hidden="1">'Part B'!$CN$5:$CN$2004</definedName>
    <definedName name="_xlchart.v1.1" hidden="1">'Part B'!$CR$5:$CR$3004</definedName>
    <definedName name="_xlchart.v1.2" hidden="1">'Part B'!$CI$5:$CI$1004</definedName>
    <definedName name="_xlchart.v1.3" hidden="1">'Part B'!$CV$5:$CV$4004</definedName>
    <definedName name="_xlchart.v1.4" hidden="1">'Part B'!$CZ$5:$CZ$5004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'Part B'!$DJ$4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98" i="4" l="1"/>
  <c r="DU94" i="4"/>
  <c r="DU93" i="4"/>
  <c r="DU95" i="4"/>
  <c r="DU92" i="4" s="1"/>
  <c r="DU72" i="4"/>
  <c r="DU71" i="4"/>
  <c r="DU73" i="4"/>
  <c r="DU70" i="4" s="1"/>
  <c r="DU50" i="4"/>
  <c r="DU49" i="4"/>
  <c r="DU51" i="4"/>
  <c r="DU48" i="4" s="1"/>
  <c r="DU28" i="4"/>
  <c r="DU27" i="4"/>
  <c r="DU29" i="4"/>
  <c r="DU9" i="4"/>
  <c r="DU8" i="4"/>
  <c r="DU107" i="4"/>
  <c r="DU106" i="4"/>
  <c r="DU105" i="4"/>
  <c r="DU104" i="4"/>
  <c r="DU103" i="4"/>
  <c r="DU102" i="4"/>
  <c r="DU101" i="4"/>
  <c r="DU100" i="4"/>
  <c r="DU99" i="4"/>
  <c r="DU97" i="4"/>
  <c r="DU96" i="4"/>
  <c r="DU85" i="4"/>
  <c r="DU84" i="4"/>
  <c r="DU83" i="4"/>
  <c r="DU82" i="4"/>
  <c r="DU81" i="4"/>
  <c r="DU80" i="4"/>
  <c r="DU79" i="4"/>
  <c r="DU78" i="4"/>
  <c r="DU77" i="4"/>
  <c r="DU76" i="4"/>
  <c r="DU75" i="4"/>
  <c r="DU74" i="4"/>
  <c r="DU63" i="4"/>
  <c r="DU62" i="4"/>
  <c r="DU61" i="4"/>
  <c r="DU60" i="4"/>
  <c r="DU59" i="4"/>
  <c r="DU58" i="4"/>
  <c r="DU57" i="4"/>
  <c r="DU56" i="4"/>
  <c r="DU55" i="4"/>
  <c r="DU54" i="4"/>
  <c r="DU53" i="4"/>
  <c r="DU52" i="4"/>
  <c r="DU41" i="4" l="1"/>
  <c r="DU40" i="4"/>
  <c r="DU39" i="4"/>
  <c r="DU38" i="4"/>
  <c r="DU37" i="4"/>
  <c r="DU36" i="4"/>
  <c r="DU35" i="4"/>
  <c r="DU34" i="4"/>
  <c r="DU33" i="4"/>
  <c r="DU32" i="4"/>
  <c r="DU31" i="4"/>
  <c r="DU30" i="4"/>
  <c r="DU26" i="4"/>
  <c r="DU22" i="4"/>
  <c r="DU21" i="4"/>
  <c r="DU20" i="4"/>
  <c r="DU19" i="4"/>
  <c r="DU18" i="4"/>
  <c r="DU17" i="4"/>
  <c r="DU16" i="4"/>
  <c r="DU15" i="4"/>
  <c r="DU14" i="4"/>
  <c r="DU13" i="4"/>
  <c r="DU12" i="4"/>
  <c r="DU11" i="4"/>
  <c r="DU10" i="4"/>
  <c r="DU7" i="4" s="1"/>
  <c r="BW9" i="4" l="1"/>
  <c r="CB6" i="4"/>
  <c r="CB5" i="4"/>
  <c r="CB12" i="4" l="1"/>
  <c r="BW15" i="4" s="1"/>
  <c r="BR23" i="4" l="1"/>
  <c r="CB22" i="4" l="1"/>
  <c r="CB13" i="4"/>
  <c r="CB7" i="4"/>
  <c r="CB8" i="4" s="1"/>
  <c r="BW14" i="4"/>
  <c r="BW6" i="4" l="1"/>
  <c r="BW5" i="4"/>
  <c r="BR24" i="4"/>
  <c r="BR29" i="4"/>
  <c r="BR28" i="4"/>
  <c r="BR27" i="4"/>
  <c r="BR26" i="4"/>
  <c r="BR25" i="4"/>
  <c r="BR22" i="4"/>
  <c r="BR21" i="4"/>
  <c r="BR17" i="4"/>
  <c r="BR16" i="4"/>
  <c r="BR15" i="4"/>
  <c r="BR14" i="4"/>
  <c r="BR13" i="4"/>
  <c r="BR9" i="4"/>
  <c r="BR8" i="4"/>
  <c r="BR7" i="4"/>
  <c r="BR6" i="4"/>
  <c r="BR5" i="4"/>
  <c r="BR30" i="4" l="1"/>
  <c r="BW13" i="4" s="1"/>
  <c r="BW10" i="4"/>
  <c r="BR32" i="4"/>
  <c r="BR18" i="4"/>
  <c r="BR19" i="4"/>
  <c r="BR10" i="4"/>
  <c r="BR11" i="4" s="1"/>
  <c r="BR12" i="4" l="1"/>
  <c r="BW11" i="4"/>
  <c r="BR20" i="4"/>
  <c r="BW12" i="4"/>
  <c r="BR31" i="4"/>
  <c r="AS12" i="1"/>
  <c r="AS11" i="1"/>
  <c r="AS9" i="1"/>
  <c r="AS8" i="1"/>
  <c r="AP16" i="1"/>
  <c r="AP15" i="1"/>
  <c r="AP11" i="1"/>
  <c r="AP10" i="1"/>
  <c r="AP9" i="1"/>
  <c r="AP8" i="1"/>
  <c r="AL25" i="1"/>
  <c r="AL32" i="1"/>
  <c r="AL31" i="1"/>
  <c r="AL30" i="1"/>
  <c r="AL29" i="1"/>
  <c r="AL28" i="1"/>
  <c r="AL27" i="1"/>
  <c r="AL26" i="1"/>
  <c r="AL24" i="1"/>
  <c r="AL17" i="1"/>
  <c r="AL20" i="1"/>
  <c r="AL19" i="1"/>
  <c r="AL18" i="1"/>
  <c r="AL21" i="1" s="1"/>
  <c r="AL16" i="1"/>
  <c r="AL12" i="1"/>
  <c r="AL11" i="1"/>
  <c r="AL10" i="1"/>
  <c r="AL9" i="1"/>
  <c r="AL8" i="1"/>
  <c r="BW16" i="4" l="1"/>
  <c r="BW18" i="4" s="1"/>
  <c r="AL22" i="1"/>
  <c r="AP13" i="1" s="1"/>
  <c r="AL23" i="1"/>
  <c r="AL33" i="1"/>
  <c r="AL35" i="1"/>
  <c r="AL34" i="1"/>
  <c r="AP14" i="1" s="1"/>
  <c r="AL13" i="1"/>
  <c r="AL15" i="1" s="1"/>
  <c r="CB9" i="4" l="1"/>
  <c r="CB14" i="4" s="1"/>
  <c r="CB15" i="4" s="1"/>
  <c r="CB20" i="4" s="1"/>
  <c r="BW17" i="4"/>
  <c r="AL14" i="1"/>
  <c r="AP12" i="1" s="1"/>
  <c r="AP17" i="1" s="1"/>
  <c r="AP19" i="1" s="1"/>
  <c r="AP18" i="1"/>
  <c r="AS10" i="1" s="1"/>
  <c r="AS13" i="1" s="1"/>
  <c r="CV4" i="4" l="1"/>
  <c r="CW4" i="4" s="1"/>
  <c r="CZ4" i="4"/>
  <c r="DA4" i="4" s="1"/>
  <c r="CB21" i="4"/>
  <c r="CO4" i="4" s="1"/>
  <c r="CR4" i="4"/>
  <c r="CS4" i="4" s="1"/>
  <c r="CB16" i="4"/>
  <c r="CN4" i="4"/>
  <c r="CI4" i="4"/>
  <c r="AS15" i="1"/>
  <c r="AS14" i="1"/>
  <c r="CJ4" i="4" l="1"/>
</calcChain>
</file>

<file path=xl/sharedStrings.xml><?xml version="1.0" encoding="utf-8"?>
<sst xmlns="http://schemas.openxmlformats.org/spreadsheetml/2006/main" count="304" uniqueCount="128">
  <si>
    <t>Hanum Sukma Zahrani</t>
  </si>
  <si>
    <t>Decision Tree for Decision Making Under Uncertainty - NO MC Simulations</t>
  </si>
  <si>
    <t>$S =</t>
  </si>
  <si>
    <t>Value (Optimal Decision) =</t>
  </si>
  <si>
    <t xml:space="preserve">Optimal Decision = </t>
  </si>
  <si>
    <t>$F =</t>
  </si>
  <si>
    <t>Information Given</t>
  </si>
  <si>
    <t>Phase</t>
  </si>
  <si>
    <t xml:space="preserve"> Detail</t>
  </si>
  <si>
    <t>Cost</t>
  </si>
  <si>
    <t>Chance of Success</t>
  </si>
  <si>
    <t>Chance of Failure</t>
  </si>
  <si>
    <t>Symbol</t>
  </si>
  <si>
    <t>Phase I</t>
  </si>
  <si>
    <t>P(S)</t>
  </si>
  <si>
    <t>P(F)</t>
  </si>
  <si>
    <t>Chance of efficacious for depression</t>
  </si>
  <si>
    <t>Chance of efficacious for weight loss</t>
  </si>
  <si>
    <t>Chance of efficacious for both depression and weight loss</t>
  </si>
  <si>
    <t>Change of Failure</t>
  </si>
  <si>
    <t>Cost given efficacious for depression only</t>
  </si>
  <si>
    <t>Cost given efficacious for weight loss only</t>
  </si>
  <si>
    <t>Cost of indication test given efficacious for both depression and weight loss</t>
  </si>
  <si>
    <t>Chance of successful outcome for depression only</t>
  </si>
  <si>
    <t>Chance of successful outcome weight loss only</t>
  </si>
  <si>
    <t>Chance of complete failure</t>
  </si>
  <si>
    <t>Chance of successful outcome both depression and weight loss</t>
  </si>
  <si>
    <t>Phase II</t>
  </si>
  <si>
    <t>Phase III</t>
  </si>
  <si>
    <t>Chance of Successful outcome for depression only</t>
  </si>
  <si>
    <t>Chance of Successful outcome for weight loss only</t>
  </si>
  <si>
    <t>P(D|D)</t>
  </si>
  <si>
    <t>P(F|D)</t>
  </si>
  <si>
    <t>P(WL|WL)</t>
  </si>
  <si>
    <t>P(F|WL)</t>
  </si>
  <si>
    <t>P(D|B)</t>
  </si>
  <si>
    <t>P(WL|B)</t>
  </si>
  <si>
    <t>P(B|B)</t>
  </si>
  <si>
    <t>P(F|B)</t>
  </si>
  <si>
    <t>Value (cost in millions)</t>
  </si>
  <si>
    <t xml:space="preserve">$Do Nothing </t>
  </si>
  <si>
    <t>EV Invest in phase III</t>
  </si>
  <si>
    <t>P (D|D)</t>
  </si>
  <si>
    <t>Revenue from Launch</t>
  </si>
  <si>
    <t>Cost to Launch</t>
  </si>
  <si>
    <t xml:space="preserve">Launch Both </t>
  </si>
  <si>
    <t>Profit from Lauch</t>
  </si>
  <si>
    <t>Launch Depression only</t>
  </si>
  <si>
    <t>Launch Weight-loss Only</t>
  </si>
  <si>
    <t>P(WL|WL) =</t>
  </si>
  <si>
    <t>P(D|B) =</t>
  </si>
  <si>
    <t>P(F|B</t>
  </si>
  <si>
    <t>$D</t>
  </si>
  <si>
    <t>$WL</t>
  </si>
  <si>
    <t>$B</t>
  </si>
  <si>
    <t xml:space="preserve">EV Invest in Phase III </t>
  </si>
  <si>
    <t>EV Invest in Phase III=</t>
  </si>
  <si>
    <t>STEP 2</t>
  </si>
  <si>
    <t>STEP  1 (Phase III)</t>
  </si>
  <si>
    <t>STEP 2 (Phase II)</t>
  </si>
  <si>
    <t>P(B|S)</t>
  </si>
  <si>
    <t>P(F|S)</t>
  </si>
  <si>
    <t>$S</t>
  </si>
  <si>
    <t>$F</t>
  </si>
  <si>
    <t>Optimal Decision</t>
  </si>
  <si>
    <t>P (D|S)=</t>
  </si>
  <si>
    <t>P(B|S)=</t>
  </si>
  <si>
    <t>P(F|S)=</t>
  </si>
  <si>
    <t>$D=</t>
  </si>
  <si>
    <t>$WL=</t>
  </si>
  <si>
    <t>$B=</t>
  </si>
  <si>
    <t>$F=</t>
  </si>
  <si>
    <t>$Do Nothing=</t>
  </si>
  <si>
    <t>EV Invest in Phase II=</t>
  </si>
  <si>
    <t>Value (Optimal Decision)=</t>
  </si>
  <si>
    <t>Optimal Decision=</t>
  </si>
  <si>
    <t>STEP 3 (Phase I)</t>
  </si>
  <si>
    <t>P (S)=</t>
  </si>
  <si>
    <t>P (F)=</t>
  </si>
  <si>
    <t>$S=</t>
  </si>
  <si>
    <t>Do Nothing=</t>
  </si>
  <si>
    <t>EV Invest in Phase I=</t>
  </si>
  <si>
    <t>P(WL|S)=</t>
  </si>
  <si>
    <t>P(D|S)</t>
  </si>
  <si>
    <t>P(WL|S)</t>
  </si>
  <si>
    <t>Decision Tree With Monte Carlo Simulation</t>
  </si>
  <si>
    <t>Min P(B|S)=</t>
  </si>
  <si>
    <t>Max P(B|S)=</t>
  </si>
  <si>
    <t>Max P(S)</t>
  </si>
  <si>
    <t>Min P(S)</t>
  </si>
  <si>
    <t>Max $F</t>
  </si>
  <si>
    <t>Min $F</t>
  </si>
  <si>
    <t>$ Do Nothing</t>
  </si>
  <si>
    <t>EV Invest</t>
  </si>
  <si>
    <t>Rand() =</t>
  </si>
  <si>
    <t>Optimal Decision =</t>
  </si>
  <si>
    <t>n=1000</t>
  </si>
  <si>
    <t>n=2000</t>
  </si>
  <si>
    <t>STEP 3 &amp; 4</t>
  </si>
  <si>
    <t>STEP 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</si>
  <si>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</si>
  <si>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</si>
  <si>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</si>
  <si>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</si>
  <si>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</si>
  <si>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</si>
  <si>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</si>
  <si>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</si>
  <si>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</si>
  <si>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</si>
  <si>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</si>
  <si>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</si>
  <si>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</si>
  <si>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Monte Carlo Simulations</t>
  </si>
  <si>
    <t>Simulated cost of phase one in a range $10-50 -&gt;</t>
  </si>
  <si>
    <t>&lt;- Simulated Probability of Both</t>
  </si>
  <si>
    <t>Summary Statistics n=2000</t>
  </si>
  <si>
    <t>Summary Statistics n=1000</t>
  </si>
  <si>
    <t>n=3000</t>
  </si>
  <si>
    <t>n=4000</t>
  </si>
  <si>
    <t>Summary Statistics n=3000</t>
  </si>
  <si>
    <t>Summary Statistics n=4000</t>
  </si>
  <si>
    <t>n=5000</t>
  </si>
  <si>
    <t>Summary Statistics n=5000</t>
  </si>
  <si>
    <t>Average Value of Optimal Decision</t>
  </si>
  <si>
    <t>Frequency of "Invest"</t>
  </si>
  <si>
    <t>Frequency of "Nothing"</t>
  </si>
  <si>
    <t>Hanum Sukma Zahrani (1010180340)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</si>
</sst>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1"/>
      <name val="Roboto-Regula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EEFD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5" borderId="0" xfId="0" applyFill="1"/>
    <xf numFmtId="0" fontId="2" fillId="5" borderId="1" xfId="0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5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5" borderId="2" xfId="0" applyFont="1" applyFill="1" applyBorder="1"/>
    <xf numFmtId="0" fontId="2" fillId="0" borderId="6" xfId="0" applyFont="1" applyBorder="1"/>
    <xf numFmtId="0" fontId="2" fillId="0" borderId="2" xfId="0" applyFont="1" applyBorder="1"/>
    <xf numFmtId="2" fontId="2" fillId="0" borderId="0" xfId="0" applyNumberFormat="1" applyFont="1"/>
    <xf numFmtId="0" fontId="3" fillId="6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/>
    </xf>
    <xf numFmtId="0" fontId="2" fillId="4" borderId="6" xfId="0" applyFont="1" applyFill="1" applyBorder="1"/>
    <xf numFmtId="0" fontId="2" fillId="8" borderId="0" xfId="0" applyFont="1" applyFill="1"/>
    <xf numFmtId="0" fontId="0" fillId="0" borderId="1" xfId="0" applyBorder="1"/>
    <xf numFmtId="0" fontId="2" fillId="8" borderId="1" xfId="0" applyFont="1" applyFill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3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0" fillId="8" borderId="0" xfId="0" applyFill="1"/>
    <xf numFmtId="0" fontId="4" fillId="8" borderId="0" xfId="0" applyFont="1" applyFill="1" applyAlignment="1">
      <alignment horizontal="center"/>
    </xf>
    <xf numFmtId="2" fontId="2" fillId="8" borderId="0" xfId="1" applyNumberFormat="1" applyFont="1" applyFill="1" applyBorder="1" applyAlignment="1">
      <alignment horizontal="center"/>
    </xf>
    <xf numFmtId="0" fontId="2" fillId="8" borderId="0" xfId="0" applyFont="1" applyFill="1" applyAlignment="1">
      <alignment horizontal="center" wrapText="1"/>
    </xf>
    <xf numFmtId="0" fontId="3" fillId="9" borderId="1" xfId="0" applyFont="1" applyFill="1" applyBorder="1" applyAlignment="1">
      <alignment horizontal="right"/>
    </xf>
    <xf numFmtId="0" fontId="3" fillId="10" borderId="1" xfId="0" applyFont="1" applyFill="1" applyBorder="1" applyAlignment="1">
      <alignment horizontal="right"/>
    </xf>
    <xf numFmtId="0" fontId="2" fillId="10" borderId="1" xfId="0" applyFont="1" applyFill="1" applyBorder="1" applyAlignment="1">
      <alignment horizontal="right"/>
    </xf>
    <xf numFmtId="0" fontId="3" fillId="16" borderId="1" xfId="0" applyFont="1" applyFill="1" applyBorder="1" applyAlignment="1">
      <alignment horizontal="right"/>
    </xf>
    <xf numFmtId="0" fontId="2" fillId="16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6" fillId="8" borderId="1" xfId="0" applyFont="1" applyFill="1" applyBorder="1" applyAlignment="1">
      <alignment horizontal="right"/>
    </xf>
    <xf numFmtId="0" fontId="7" fillId="8" borderId="1" xfId="0" applyFont="1" applyFill="1" applyBorder="1" applyAlignment="1">
      <alignment horizontal="right"/>
    </xf>
    <xf numFmtId="164" fontId="7" fillId="8" borderId="1" xfId="0" applyNumberFormat="1" applyFont="1" applyFill="1" applyBorder="1" applyAlignment="1">
      <alignment horizontal="right"/>
    </xf>
    <xf numFmtId="164" fontId="6" fillId="8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centerContinuous"/>
    </xf>
    <xf numFmtId="2" fontId="8" fillId="0" borderId="0" xfId="0" applyNumberFormat="1" applyFont="1" applyAlignment="1">
      <alignment horizontal="centerContinuous"/>
    </xf>
    <xf numFmtId="2" fontId="7" fillId="8" borderId="0" xfId="0" applyNumberFormat="1" applyFont="1" applyFill="1" applyAlignment="1">
      <alignment horizontal="right"/>
    </xf>
    <xf numFmtId="2" fontId="6" fillId="8" borderId="0" xfId="0" applyNumberFormat="1" applyFont="1" applyFill="1" applyAlignment="1">
      <alignment horizontal="right"/>
    </xf>
    <xf numFmtId="164" fontId="0" fillId="0" borderId="0" xfId="0" applyNumberFormat="1"/>
    <xf numFmtId="2" fontId="2" fillId="4" borderId="1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8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2" fillId="15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right"/>
    </xf>
    <xf numFmtId="0" fontId="2" fillId="15" borderId="10" xfId="0" applyFont="1" applyFill="1" applyBorder="1" applyAlignment="1">
      <alignment horizontal="left"/>
    </xf>
    <xf numFmtId="0" fontId="2" fillId="15" borderId="10" xfId="0" applyFont="1" applyFill="1" applyBorder="1" applyAlignment="1">
      <alignment horizontal="right"/>
    </xf>
    <xf numFmtId="0" fontId="2" fillId="18" borderId="2" xfId="0" applyFont="1" applyFill="1" applyBorder="1"/>
    <xf numFmtId="0" fontId="2" fillId="18" borderId="1" xfId="0" applyFont="1" applyFill="1" applyBorder="1"/>
    <xf numFmtId="164" fontId="2" fillId="18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0" fontId="2" fillId="17" borderId="4" xfId="0" applyFont="1" applyFill="1" applyBorder="1" applyAlignment="1">
      <alignment horizontal="center"/>
    </xf>
    <xf numFmtId="0" fontId="2" fillId="17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40% - Accent4" xfId="1" builtinId="43"/>
    <cellStyle name="Normal" xfId="0" builtinId="0"/>
  </cellStyles>
  <dxfs count="0"/>
  <tableStyles count="0" defaultTableStyle="TableStyleMedium2" defaultPivotStyle="PivotStyleLight16"/>
  <colors>
    <mruColors>
      <color rgb="FFFEEFD2"/>
      <color rgb="FFCCFF33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 Optimal Decision's Value by Monte Carlo Simulations</a:t>
            </a:r>
          </a:p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n=2000</a:t>
            </a:r>
          </a:p>
        </cx:rich>
      </cx:tx>
    </cx:title>
    <cx:plotArea>
      <cx:plotAreaRegion>
        <cx:series layoutId="clusteredColumn" uniqueId="{810D6FC9-9750-4A96-A8AC-FEBA1217D78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the Optimal Decision's Value by Monte Carlo Simulations</a:t>
            </a:r>
          </a:p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n=1000</a:t>
            </a:r>
          </a:p>
        </cx:rich>
      </cx:tx>
    </cx:title>
    <cx:plotArea>
      <cx:plotAreaRegion>
        <cx:series layoutId="clusteredColumn" uniqueId="{5F810A8F-1DC0-4EBB-8CF0-874BFFA3F20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Optimal Decision's Value by  Monte Carlo Simulations</a:t>
            </a:r>
          </a:p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n=3000</a:t>
            </a:r>
          </a:p>
        </cx:rich>
      </cx:tx>
    </cx:title>
    <cx:plotArea>
      <cx:plotAreaRegion>
        <cx:series layoutId="clusteredColumn" uniqueId="{C66FB205-042C-4A46-AEEE-EA65C7C7503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Optimal Decision's Value by Monte Carlo Simulations</a:t>
            </a:r>
          </a:p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n=4000</a:t>
            </a:r>
          </a:p>
        </cx:rich>
      </cx:tx>
    </cx:title>
    <cx:plotArea>
      <cx:plotAreaRegion>
        <cx:series layoutId="clusteredColumn" uniqueId="{2E07C66B-9F3D-4673-B75E-2F2966D2A28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Optimal Decision's Value by Monte Carlo Simulations</a:t>
            </a:r>
          </a:p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n=5000</a:t>
            </a:r>
          </a:p>
        </cx:rich>
      </cx:tx>
    </cx:title>
    <cx:plotArea>
      <cx:plotAreaRegion>
        <cx:series layoutId="clusteredColumn" uniqueId="{75A878A3-20AF-451C-8876-D2E66FB99C7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C043375-FB99-2C44-BDD2-6F13FB1F31BB}" type="doc">
      <dgm:prSet loTypeId="urn:microsoft.com/office/officeart/2005/8/layout/hierarchy2" loCatId="" qsTypeId="urn:microsoft.com/office/officeart/2005/8/quickstyle/simple2" qsCatId="simple" csTypeId="urn:microsoft.com/office/officeart/2005/8/colors/accent1_1" csCatId="accent1" phldr="1"/>
      <dgm:spPr/>
      <dgm:t>
        <a:bodyPr/>
        <a:lstStyle/>
        <a:p>
          <a:endParaRPr lang="en-US"/>
        </a:p>
      </dgm:t>
    </dgm:pt>
    <dgm:pt modelId="{C0A67E4A-FC10-414F-9D8A-A49D596744DA}">
      <dgm:prSet phldrT="[Text]" custT="1"/>
      <dgm:spPr/>
      <dgm:t>
        <a:bodyPr anchor="t"/>
        <a:lstStyle/>
        <a:p>
          <a:r>
            <a:rPr lang="en-US" sz="1600" b="1"/>
            <a:t>Decide</a:t>
          </a:r>
        </a:p>
      </dgm:t>
    </dgm:pt>
    <dgm:pt modelId="{E41033E7-1A47-C945-8B4B-774F0728D822}" type="parTrans" cxnId="{C5876924-86A2-E346-93CB-5C2388F234EE}">
      <dgm:prSet/>
      <dgm:spPr/>
      <dgm:t>
        <a:bodyPr/>
        <a:lstStyle/>
        <a:p>
          <a:endParaRPr lang="en-US" sz="1600"/>
        </a:p>
      </dgm:t>
    </dgm:pt>
    <dgm:pt modelId="{EEDC6760-18A2-3A41-9793-EA54C28ED97C}" type="sibTrans" cxnId="{C5876924-86A2-E346-93CB-5C2388F234EE}">
      <dgm:prSet/>
      <dgm:spPr/>
      <dgm:t>
        <a:bodyPr/>
        <a:lstStyle/>
        <a:p>
          <a:endParaRPr lang="en-US" sz="1600"/>
        </a:p>
      </dgm:t>
    </dgm:pt>
    <dgm:pt modelId="{B7B0CA4E-06DA-564A-B2C0-89C764AA632A}">
      <dgm:prSet phldrT="[Text]" custT="1"/>
      <dgm:spPr/>
      <dgm:t>
        <a:bodyPr anchor="t"/>
        <a:lstStyle/>
        <a:p>
          <a:pPr algn="ctr"/>
          <a:r>
            <a:rPr lang="en-US" sz="1600" b="1"/>
            <a:t>License:</a:t>
          </a:r>
        </a:p>
        <a:p>
          <a:pPr algn="ctr"/>
          <a:r>
            <a:rPr lang="en-US" sz="1600" b="1"/>
            <a:t>Invest in test phase I</a:t>
          </a:r>
        </a:p>
      </dgm:t>
    </dgm:pt>
    <dgm:pt modelId="{5F7716EB-A81B-2B4D-BA42-956409E98AD1}" type="parTrans" cxnId="{ECC7BF58-85F9-AE45-B95D-02E3C49A9787}">
      <dgm:prSet custT="1"/>
      <dgm:spPr/>
      <dgm:t>
        <a:bodyPr/>
        <a:lstStyle/>
        <a:p>
          <a:endParaRPr lang="en-US" sz="1600"/>
        </a:p>
      </dgm:t>
    </dgm:pt>
    <dgm:pt modelId="{142E1086-EFA3-7D45-A300-2C1BAF96B709}" type="sibTrans" cxnId="{ECC7BF58-85F9-AE45-B95D-02E3C49A9787}">
      <dgm:prSet/>
      <dgm:spPr/>
      <dgm:t>
        <a:bodyPr/>
        <a:lstStyle/>
        <a:p>
          <a:endParaRPr lang="en-US" sz="1600"/>
        </a:p>
      </dgm:t>
    </dgm:pt>
    <dgm:pt modelId="{A5A26910-1B43-C243-8450-247116FFD059}">
      <dgm:prSet phldrT="[Text]" custT="1"/>
      <dgm:spPr/>
      <dgm:t>
        <a:bodyPr anchor="t"/>
        <a:lstStyle/>
        <a:p>
          <a:r>
            <a:rPr lang="en-US" sz="1600" b="1"/>
            <a:t>Success</a:t>
          </a:r>
        </a:p>
        <a:p>
          <a:endParaRPr lang="en-US" sz="1600"/>
        </a:p>
      </dgm:t>
    </dgm:pt>
    <dgm:pt modelId="{CE956622-B72B-514C-A286-1E0AA22D1092}" type="parTrans" cxnId="{30F4FED3-1FD0-4A41-832B-461201DE531E}">
      <dgm:prSet custT="1"/>
      <dgm:spPr/>
      <dgm:t>
        <a:bodyPr/>
        <a:lstStyle/>
        <a:p>
          <a:endParaRPr lang="en-US" sz="1600"/>
        </a:p>
      </dgm:t>
    </dgm:pt>
    <dgm:pt modelId="{FBB0A08D-973A-0741-8B88-15286AF11565}" type="sibTrans" cxnId="{30F4FED3-1FD0-4A41-832B-461201DE531E}">
      <dgm:prSet/>
      <dgm:spPr/>
      <dgm:t>
        <a:bodyPr/>
        <a:lstStyle/>
        <a:p>
          <a:endParaRPr lang="en-US" sz="1600"/>
        </a:p>
      </dgm:t>
    </dgm:pt>
    <dgm:pt modelId="{C80A320E-EC91-3745-8931-C84DCB6B4951}">
      <dgm:prSet phldrT="[Text]" custT="1"/>
      <dgm:spPr/>
      <dgm:t>
        <a:bodyPr anchor="t"/>
        <a:lstStyle/>
        <a:p>
          <a:r>
            <a:rPr lang="en-US" sz="1600" b="1"/>
            <a:t>Do not lisence</a:t>
          </a:r>
        </a:p>
        <a:p>
          <a:endParaRPr lang="en-US" sz="1600"/>
        </a:p>
      </dgm:t>
    </dgm:pt>
    <dgm:pt modelId="{20DAB6C1-DE9A-5649-ADD8-D787CA238CB1}" type="parTrans" cxnId="{735CFC5C-11BF-2742-B99D-3046D2EEF59E}">
      <dgm:prSet custT="1"/>
      <dgm:spPr/>
      <dgm:t>
        <a:bodyPr/>
        <a:lstStyle/>
        <a:p>
          <a:endParaRPr lang="en-US" sz="1600"/>
        </a:p>
      </dgm:t>
    </dgm:pt>
    <dgm:pt modelId="{C6F7F121-129B-4B42-B338-2F18AB36C596}" type="sibTrans" cxnId="{735CFC5C-11BF-2742-B99D-3046D2EEF59E}">
      <dgm:prSet/>
      <dgm:spPr/>
      <dgm:t>
        <a:bodyPr/>
        <a:lstStyle/>
        <a:p>
          <a:endParaRPr lang="en-US" sz="1600"/>
        </a:p>
      </dgm:t>
    </dgm:pt>
    <dgm:pt modelId="{0E9FE25F-B1CE-4247-89E8-0FAB002A2C9C}">
      <dgm:prSet custT="1"/>
      <dgm:spPr/>
      <dgm:t>
        <a:bodyPr/>
        <a:lstStyle/>
        <a:p>
          <a:r>
            <a:rPr lang="en-US" sz="1600"/>
            <a:t>Uncertainty</a:t>
          </a:r>
        </a:p>
      </dgm:t>
    </dgm:pt>
    <dgm:pt modelId="{FA8F04A3-AB24-4C46-ACA4-E1FDAFC0A0EE}" type="parTrans" cxnId="{02707748-131D-7140-A33A-EBE3184342BA}">
      <dgm:prSet custT="1"/>
      <dgm:spPr/>
      <dgm:t>
        <a:bodyPr/>
        <a:lstStyle/>
        <a:p>
          <a:endParaRPr lang="en-US" sz="1600"/>
        </a:p>
      </dgm:t>
    </dgm:pt>
    <dgm:pt modelId="{1EBCB8C6-2806-3E45-BC31-C3EDAF665043}" type="sibTrans" cxnId="{02707748-131D-7140-A33A-EBE3184342BA}">
      <dgm:prSet/>
      <dgm:spPr/>
      <dgm:t>
        <a:bodyPr/>
        <a:lstStyle/>
        <a:p>
          <a:endParaRPr lang="en-US" sz="1600"/>
        </a:p>
      </dgm:t>
    </dgm:pt>
    <dgm:pt modelId="{2F09D863-A040-9A49-BCC7-F742C63AA6EB}">
      <dgm:prSet phldrT="[Text]" custT="1"/>
      <dgm:spPr/>
      <dgm:t>
        <a:bodyPr anchor="t"/>
        <a:lstStyle/>
        <a:p>
          <a:r>
            <a:rPr lang="en-US" sz="1600" b="1"/>
            <a:t>Failure</a:t>
          </a:r>
        </a:p>
        <a:p>
          <a:endParaRPr lang="en-US" sz="1600"/>
        </a:p>
      </dgm:t>
    </dgm:pt>
    <dgm:pt modelId="{E353A653-BBC6-B54D-8228-02461EECE632}" type="parTrans" cxnId="{879E459A-2C57-2849-925E-386AAA99E73D}">
      <dgm:prSet custT="1"/>
      <dgm:spPr/>
      <dgm:t>
        <a:bodyPr/>
        <a:lstStyle/>
        <a:p>
          <a:endParaRPr lang="en-US" sz="1600"/>
        </a:p>
      </dgm:t>
    </dgm:pt>
    <dgm:pt modelId="{A1F5C698-F1F2-C74E-BFCC-D9680F8EC18F}" type="sibTrans" cxnId="{879E459A-2C57-2849-925E-386AAA99E73D}">
      <dgm:prSet/>
      <dgm:spPr/>
      <dgm:t>
        <a:bodyPr/>
        <a:lstStyle/>
        <a:p>
          <a:endParaRPr lang="en-US" sz="1600"/>
        </a:p>
      </dgm:t>
    </dgm:pt>
    <dgm:pt modelId="{0C640BAD-3089-5B4B-B070-F43D61B861C1}" type="pres">
      <dgm:prSet presAssocID="{BC043375-FB99-2C44-BDD2-6F13FB1F31BB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F07BB00B-86C9-0242-92B8-F58A273DC647}" type="pres">
      <dgm:prSet presAssocID="{C0A67E4A-FC10-414F-9D8A-A49D596744DA}" presName="root1" presStyleCnt="0"/>
      <dgm:spPr/>
    </dgm:pt>
    <dgm:pt modelId="{3C4A5457-AAA8-B144-A528-35991F435DF3}" type="pres">
      <dgm:prSet presAssocID="{C0A67E4A-FC10-414F-9D8A-A49D596744DA}" presName="LevelOneTextNode" presStyleLbl="node0" presStyleIdx="0" presStyleCnt="1">
        <dgm:presLayoutVars>
          <dgm:chPref val="3"/>
        </dgm:presLayoutVars>
      </dgm:prSet>
      <dgm:spPr/>
    </dgm:pt>
    <dgm:pt modelId="{D6C357BF-7758-5C41-A4C0-10CDE78A62B4}" type="pres">
      <dgm:prSet presAssocID="{C0A67E4A-FC10-414F-9D8A-A49D596744DA}" presName="level2hierChild" presStyleCnt="0"/>
      <dgm:spPr/>
    </dgm:pt>
    <dgm:pt modelId="{EC31C2FB-0D45-754A-ABE2-A33D60B90AB0}" type="pres">
      <dgm:prSet presAssocID="{5F7716EB-A81B-2B4D-BA42-956409E98AD1}" presName="conn2-1" presStyleLbl="parChTrans1D2" presStyleIdx="0" presStyleCnt="2"/>
      <dgm:spPr/>
    </dgm:pt>
    <dgm:pt modelId="{F6703BD7-0014-2B46-8977-815524BBBAD3}" type="pres">
      <dgm:prSet presAssocID="{5F7716EB-A81B-2B4D-BA42-956409E98AD1}" presName="connTx" presStyleLbl="parChTrans1D2" presStyleIdx="0" presStyleCnt="2"/>
      <dgm:spPr/>
    </dgm:pt>
    <dgm:pt modelId="{18BCF420-E7A2-C946-A7B2-4B9A35488F6F}" type="pres">
      <dgm:prSet presAssocID="{B7B0CA4E-06DA-564A-B2C0-89C764AA632A}" presName="root2" presStyleCnt="0"/>
      <dgm:spPr/>
    </dgm:pt>
    <dgm:pt modelId="{85E297B7-8203-E248-B7A7-ADF4593CBF1A}" type="pres">
      <dgm:prSet presAssocID="{B7B0CA4E-06DA-564A-B2C0-89C764AA632A}" presName="LevelTwoTextNode" presStyleLbl="node2" presStyleIdx="0" presStyleCnt="2" custScaleX="129814" custScaleY="118626" custLinFactNeighborX="-9807" custLinFactNeighborY="-2633">
        <dgm:presLayoutVars>
          <dgm:chPref val="3"/>
        </dgm:presLayoutVars>
      </dgm:prSet>
      <dgm:spPr/>
    </dgm:pt>
    <dgm:pt modelId="{B16517F1-AE68-4042-92B6-CE00F6845C72}" type="pres">
      <dgm:prSet presAssocID="{B7B0CA4E-06DA-564A-B2C0-89C764AA632A}" presName="level3hierChild" presStyleCnt="0"/>
      <dgm:spPr/>
    </dgm:pt>
    <dgm:pt modelId="{65135BCA-5801-854C-A825-48F4FDB08852}" type="pres">
      <dgm:prSet presAssocID="{FA8F04A3-AB24-4C46-ACA4-E1FDAFC0A0EE}" presName="conn2-1" presStyleLbl="parChTrans1D3" presStyleIdx="0" presStyleCnt="1"/>
      <dgm:spPr/>
    </dgm:pt>
    <dgm:pt modelId="{92441A71-F502-6F46-93A3-C04312422963}" type="pres">
      <dgm:prSet presAssocID="{FA8F04A3-AB24-4C46-ACA4-E1FDAFC0A0EE}" presName="connTx" presStyleLbl="parChTrans1D3" presStyleIdx="0" presStyleCnt="1"/>
      <dgm:spPr/>
    </dgm:pt>
    <dgm:pt modelId="{3D531C2D-2E6D-E94B-8EA3-25DC89B990F3}" type="pres">
      <dgm:prSet presAssocID="{0E9FE25F-B1CE-4247-89E8-0FAB002A2C9C}" presName="root2" presStyleCnt="0"/>
      <dgm:spPr/>
    </dgm:pt>
    <dgm:pt modelId="{66B29422-043E-A54F-9C78-6B63DA15A09C}" type="pres">
      <dgm:prSet presAssocID="{0E9FE25F-B1CE-4247-89E8-0FAB002A2C9C}" presName="LevelTwoTextNode" presStyleLbl="node3" presStyleIdx="0" presStyleCnt="1" custScaleX="136100" custScaleY="106205" custLinFactNeighborX="-9487" custLinFactNeighborY="10215">
        <dgm:presLayoutVars>
          <dgm:chPref val="3"/>
        </dgm:presLayoutVars>
      </dgm:prSet>
      <dgm:spPr>
        <a:prstGeom prst="ellipse">
          <a:avLst/>
        </a:prstGeom>
      </dgm:spPr>
    </dgm:pt>
    <dgm:pt modelId="{A1D8A046-0172-3646-90F3-D80C6073B0F7}" type="pres">
      <dgm:prSet presAssocID="{0E9FE25F-B1CE-4247-89E8-0FAB002A2C9C}" presName="level3hierChild" presStyleCnt="0"/>
      <dgm:spPr/>
    </dgm:pt>
    <dgm:pt modelId="{0B2B8173-6D1B-1A47-A828-8BFF88FC26CD}" type="pres">
      <dgm:prSet presAssocID="{CE956622-B72B-514C-A286-1E0AA22D1092}" presName="conn2-1" presStyleLbl="parChTrans1D4" presStyleIdx="0" presStyleCnt="2"/>
      <dgm:spPr/>
    </dgm:pt>
    <dgm:pt modelId="{FA367C40-5C72-FF4A-A625-C88624769625}" type="pres">
      <dgm:prSet presAssocID="{CE956622-B72B-514C-A286-1E0AA22D1092}" presName="connTx" presStyleLbl="parChTrans1D4" presStyleIdx="0" presStyleCnt="2"/>
      <dgm:spPr/>
    </dgm:pt>
    <dgm:pt modelId="{EAFC7FC2-730C-6743-B427-67151193D2AE}" type="pres">
      <dgm:prSet presAssocID="{A5A26910-1B43-C243-8450-247116FFD059}" presName="root2" presStyleCnt="0"/>
      <dgm:spPr/>
    </dgm:pt>
    <dgm:pt modelId="{BB6F875B-CA7B-4C4B-8D32-9639CCA9FDFB}" type="pres">
      <dgm:prSet presAssocID="{A5A26910-1B43-C243-8450-247116FFD059}" presName="LevelTwoTextNode" presStyleLbl="node4" presStyleIdx="0" presStyleCnt="2" custLinFactNeighborX="40514" custLinFactNeighborY="-36537">
        <dgm:presLayoutVars>
          <dgm:chPref val="3"/>
        </dgm:presLayoutVars>
      </dgm:prSet>
      <dgm:spPr/>
    </dgm:pt>
    <dgm:pt modelId="{B5D30E95-5F06-4F4F-B80C-8A7873D4E910}" type="pres">
      <dgm:prSet presAssocID="{A5A26910-1B43-C243-8450-247116FFD059}" presName="level3hierChild" presStyleCnt="0"/>
      <dgm:spPr/>
    </dgm:pt>
    <dgm:pt modelId="{1F234C98-6369-0740-B7A4-4FA1DE2869AE}" type="pres">
      <dgm:prSet presAssocID="{E353A653-BBC6-B54D-8228-02461EECE632}" presName="conn2-1" presStyleLbl="parChTrans1D4" presStyleIdx="1" presStyleCnt="2"/>
      <dgm:spPr/>
    </dgm:pt>
    <dgm:pt modelId="{7B446528-E0B9-C245-A1E0-97A856C2EF92}" type="pres">
      <dgm:prSet presAssocID="{E353A653-BBC6-B54D-8228-02461EECE632}" presName="connTx" presStyleLbl="parChTrans1D4" presStyleIdx="1" presStyleCnt="2"/>
      <dgm:spPr/>
    </dgm:pt>
    <dgm:pt modelId="{D82B9893-1770-9547-98E1-581DA8338CAC}" type="pres">
      <dgm:prSet presAssocID="{2F09D863-A040-9A49-BCC7-F742C63AA6EB}" presName="root2" presStyleCnt="0"/>
      <dgm:spPr/>
    </dgm:pt>
    <dgm:pt modelId="{B7700DDE-1FE9-F24E-93A4-74E1CDED4FA2}" type="pres">
      <dgm:prSet presAssocID="{2F09D863-A040-9A49-BCC7-F742C63AA6EB}" presName="LevelTwoTextNode" presStyleLbl="node4" presStyleIdx="1" presStyleCnt="2" custLinFactNeighborX="59570" custLinFactNeighborY="32769">
        <dgm:presLayoutVars>
          <dgm:chPref val="3"/>
        </dgm:presLayoutVars>
      </dgm:prSet>
      <dgm:spPr/>
    </dgm:pt>
    <dgm:pt modelId="{C7AB8337-3820-0D41-B51C-D3C2B9E14EC8}" type="pres">
      <dgm:prSet presAssocID="{2F09D863-A040-9A49-BCC7-F742C63AA6EB}" presName="level3hierChild" presStyleCnt="0"/>
      <dgm:spPr/>
    </dgm:pt>
    <dgm:pt modelId="{CA112EED-07C6-8042-8D9E-601B16D74181}" type="pres">
      <dgm:prSet presAssocID="{20DAB6C1-DE9A-5649-ADD8-D787CA238CB1}" presName="conn2-1" presStyleLbl="parChTrans1D2" presStyleIdx="1" presStyleCnt="2"/>
      <dgm:spPr/>
    </dgm:pt>
    <dgm:pt modelId="{E9A745DE-E22F-6E47-98CC-7AF61C5326F3}" type="pres">
      <dgm:prSet presAssocID="{20DAB6C1-DE9A-5649-ADD8-D787CA238CB1}" presName="connTx" presStyleLbl="parChTrans1D2" presStyleIdx="1" presStyleCnt="2"/>
      <dgm:spPr/>
    </dgm:pt>
    <dgm:pt modelId="{DA899F5C-677A-2445-B74C-CB6200A423D6}" type="pres">
      <dgm:prSet presAssocID="{C80A320E-EC91-3745-8931-C84DCB6B4951}" presName="root2" presStyleCnt="0"/>
      <dgm:spPr/>
    </dgm:pt>
    <dgm:pt modelId="{6FBE70B8-696D-1A43-9061-58636D3E09B5}" type="pres">
      <dgm:prSet presAssocID="{C80A320E-EC91-3745-8931-C84DCB6B4951}" presName="LevelTwoTextNode" presStyleLbl="node2" presStyleIdx="1" presStyleCnt="2" custScaleX="113654" custScaleY="113115" custLinFactNeighborX="-1998" custLinFactNeighborY="72852">
        <dgm:presLayoutVars>
          <dgm:chPref val="3"/>
        </dgm:presLayoutVars>
      </dgm:prSet>
      <dgm:spPr/>
    </dgm:pt>
    <dgm:pt modelId="{4D653ECF-B28A-C649-97F7-36D5A2428EAF}" type="pres">
      <dgm:prSet presAssocID="{C80A320E-EC91-3745-8931-C84DCB6B4951}" presName="level3hierChild" presStyleCnt="0"/>
      <dgm:spPr/>
    </dgm:pt>
  </dgm:ptLst>
  <dgm:cxnLst>
    <dgm:cxn modelId="{2014E804-D387-064C-999E-957291B3D6C0}" type="presOf" srcId="{E353A653-BBC6-B54D-8228-02461EECE632}" destId="{1F234C98-6369-0740-B7A4-4FA1DE2869AE}" srcOrd="0" destOrd="0" presId="urn:microsoft.com/office/officeart/2005/8/layout/hierarchy2"/>
    <dgm:cxn modelId="{621DBB18-8CF7-144F-8CF8-717AFBC60099}" type="presOf" srcId="{C0A67E4A-FC10-414F-9D8A-A49D596744DA}" destId="{3C4A5457-AAA8-B144-A528-35991F435DF3}" srcOrd="0" destOrd="0" presId="urn:microsoft.com/office/officeart/2005/8/layout/hierarchy2"/>
    <dgm:cxn modelId="{C53D581F-0668-444E-B0C1-98409A4A0B08}" type="presOf" srcId="{20DAB6C1-DE9A-5649-ADD8-D787CA238CB1}" destId="{CA112EED-07C6-8042-8D9E-601B16D74181}" srcOrd="0" destOrd="0" presId="urn:microsoft.com/office/officeart/2005/8/layout/hierarchy2"/>
    <dgm:cxn modelId="{C5876924-86A2-E346-93CB-5C2388F234EE}" srcId="{BC043375-FB99-2C44-BDD2-6F13FB1F31BB}" destId="{C0A67E4A-FC10-414F-9D8A-A49D596744DA}" srcOrd="0" destOrd="0" parTransId="{E41033E7-1A47-C945-8B4B-774F0728D822}" sibTransId="{EEDC6760-18A2-3A41-9793-EA54C28ED97C}"/>
    <dgm:cxn modelId="{B9510D5C-2D42-0244-8774-DB763786BACB}" type="presOf" srcId="{FA8F04A3-AB24-4C46-ACA4-E1FDAFC0A0EE}" destId="{65135BCA-5801-854C-A825-48F4FDB08852}" srcOrd="0" destOrd="0" presId="urn:microsoft.com/office/officeart/2005/8/layout/hierarchy2"/>
    <dgm:cxn modelId="{735CFC5C-11BF-2742-B99D-3046D2EEF59E}" srcId="{C0A67E4A-FC10-414F-9D8A-A49D596744DA}" destId="{C80A320E-EC91-3745-8931-C84DCB6B4951}" srcOrd="1" destOrd="0" parTransId="{20DAB6C1-DE9A-5649-ADD8-D787CA238CB1}" sibTransId="{C6F7F121-129B-4B42-B338-2F18AB36C596}"/>
    <dgm:cxn modelId="{50A8B95E-C5EF-3B48-BCF6-886F7AB05F1C}" type="presOf" srcId="{5F7716EB-A81B-2B4D-BA42-956409E98AD1}" destId="{EC31C2FB-0D45-754A-ABE2-A33D60B90AB0}" srcOrd="0" destOrd="0" presId="urn:microsoft.com/office/officeart/2005/8/layout/hierarchy2"/>
    <dgm:cxn modelId="{2763DF5F-422E-C846-B5E4-9B02F2010F1D}" type="presOf" srcId="{E353A653-BBC6-B54D-8228-02461EECE632}" destId="{7B446528-E0B9-C245-A1E0-97A856C2EF92}" srcOrd="1" destOrd="0" presId="urn:microsoft.com/office/officeart/2005/8/layout/hierarchy2"/>
    <dgm:cxn modelId="{02707748-131D-7140-A33A-EBE3184342BA}" srcId="{B7B0CA4E-06DA-564A-B2C0-89C764AA632A}" destId="{0E9FE25F-B1CE-4247-89E8-0FAB002A2C9C}" srcOrd="0" destOrd="0" parTransId="{FA8F04A3-AB24-4C46-ACA4-E1FDAFC0A0EE}" sibTransId="{1EBCB8C6-2806-3E45-BC31-C3EDAF665043}"/>
    <dgm:cxn modelId="{0C8AF74B-40EE-D044-A54E-95F7FDE46B12}" type="presOf" srcId="{CE956622-B72B-514C-A286-1E0AA22D1092}" destId="{FA367C40-5C72-FF4A-A625-C88624769625}" srcOrd="1" destOrd="0" presId="urn:microsoft.com/office/officeart/2005/8/layout/hierarchy2"/>
    <dgm:cxn modelId="{6CBEA670-229D-6F4C-80FE-565541E59210}" type="presOf" srcId="{CE956622-B72B-514C-A286-1E0AA22D1092}" destId="{0B2B8173-6D1B-1A47-A828-8BFF88FC26CD}" srcOrd="0" destOrd="0" presId="urn:microsoft.com/office/officeart/2005/8/layout/hierarchy2"/>
    <dgm:cxn modelId="{372BFE70-FA60-F84C-9D6E-00CEF8498F4D}" type="presOf" srcId="{FA8F04A3-AB24-4C46-ACA4-E1FDAFC0A0EE}" destId="{92441A71-F502-6F46-93A3-C04312422963}" srcOrd="1" destOrd="0" presId="urn:microsoft.com/office/officeart/2005/8/layout/hierarchy2"/>
    <dgm:cxn modelId="{ECC7BF58-85F9-AE45-B95D-02E3C49A9787}" srcId="{C0A67E4A-FC10-414F-9D8A-A49D596744DA}" destId="{B7B0CA4E-06DA-564A-B2C0-89C764AA632A}" srcOrd="0" destOrd="0" parTransId="{5F7716EB-A81B-2B4D-BA42-956409E98AD1}" sibTransId="{142E1086-EFA3-7D45-A300-2C1BAF96B709}"/>
    <dgm:cxn modelId="{879E459A-2C57-2849-925E-386AAA99E73D}" srcId="{0E9FE25F-B1CE-4247-89E8-0FAB002A2C9C}" destId="{2F09D863-A040-9A49-BCC7-F742C63AA6EB}" srcOrd="1" destOrd="0" parTransId="{E353A653-BBC6-B54D-8228-02461EECE632}" sibTransId="{A1F5C698-F1F2-C74E-BFCC-D9680F8EC18F}"/>
    <dgm:cxn modelId="{C278559B-9FC8-154F-B260-FB2DDD40B18B}" type="presOf" srcId="{C80A320E-EC91-3745-8931-C84DCB6B4951}" destId="{6FBE70B8-696D-1A43-9061-58636D3E09B5}" srcOrd="0" destOrd="0" presId="urn:microsoft.com/office/officeart/2005/8/layout/hierarchy2"/>
    <dgm:cxn modelId="{B868A4A4-DED7-4346-A684-0619FA342EB8}" type="presOf" srcId="{B7B0CA4E-06DA-564A-B2C0-89C764AA632A}" destId="{85E297B7-8203-E248-B7A7-ADF4593CBF1A}" srcOrd="0" destOrd="0" presId="urn:microsoft.com/office/officeart/2005/8/layout/hierarchy2"/>
    <dgm:cxn modelId="{30F4FED3-1FD0-4A41-832B-461201DE531E}" srcId="{0E9FE25F-B1CE-4247-89E8-0FAB002A2C9C}" destId="{A5A26910-1B43-C243-8450-247116FFD059}" srcOrd="0" destOrd="0" parTransId="{CE956622-B72B-514C-A286-1E0AA22D1092}" sibTransId="{FBB0A08D-973A-0741-8B88-15286AF11565}"/>
    <dgm:cxn modelId="{AB7BD6D7-0D90-2447-9AF9-A0270D53F784}" type="presOf" srcId="{BC043375-FB99-2C44-BDD2-6F13FB1F31BB}" destId="{0C640BAD-3089-5B4B-B070-F43D61B861C1}" srcOrd="0" destOrd="0" presId="urn:microsoft.com/office/officeart/2005/8/layout/hierarchy2"/>
    <dgm:cxn modelId="{FAB32ADE-7BBF-8547-9212-0A6A1E9490FD}" type="presOf" srcId="{2F09D863-A040-9A49-BCC7-F742C63AA6EB}" destId="{B7700DDE-1FE9-F24E-93A4-74E1CDED4FA2}" srcOrd="0" destOrd="0" presId="urn:microsoft.com/office/officeart/2005/8/layout/hierarchy2"/>
    <dgm:cxn modelId="{346588E5-9D9A-8140-9814-1F29F9730F14}" type="presOf" srcId="{A5A26910-1B43-C243-8450-247116FFD059}" destId="{BB6F875B-CA7B-4C4B-8D32-9639CCA9FDFB}" srcOrd="0" destOrd="0" presId="urn:microsoft.com/office/officeart/2005/8/layout/hierarchy2"/>
    <dgm:cxn modelId="{84EC95EA-6869-C848-9231-B93DA8F539AC}" type="presOf" srcId="{20DAB6C1-DE9A-5649-ADD8-D787CA238CB1}" destId="{E9A745DE-E22F-6E47-98CC-7AF61C5326F3}" srcOrd="1" destOrd="0" presId="urn:microsoft.com/office/officeart/2005/8/layout/hierarchy2"/>
    <dgm:cxn modelId="{10C537EC-6E21-6549-873F-DA4AABB8C112}" type="presOf" srcId="{5F7716EB-A81B-2B4D-BA42-956409E98AD1}" destId="{F6703BD7-0014-2B46-8977-815524BBBAD3}" srcOrd="1" destOrd="0" presId="urn:microsoft.com/office/officeart/2005/8/layout/hierarchy2"/>
    <dgm:cxn modelId="{800F1BF7-3DD8-B34C-95C4-E7585511B41A}" type="presOf" srcId="{0E9FE25F-B1CE-4247-89E8-0FAB002A2C9C}" destId="{66B29422-043E-A54F-9C78-6B63DA15A09C}" srcOrd="0" destOrd="0" presId="urn:microsoft.com/office/officeart/2005/8/layout/hierarchy2"/>
    <dgm:cxn modelId="{94ACD4DF-DBBA-E842-8899-6CFD232398E4}" type="presParOf" srcId="{0C640BAD-3089-5B4B-B070-F43D61B861C1}" destId="{F07BB00B-86C9-0242-92B8-F58A273DC647}" srcOrd="0" destOrd="0" presId="urn:microsoft.com/office/officeart/2005/8/layout/hierarchy2"/>
    <dgm:cxn modelId="{2C616845-5CE1-4C4C-B291-07D399C70651}" type="presParOf" srcId="{F07BB00B-86C9-0242-92B8-F58A273DC647}" destId="{3C4A5457-AAA8-B144-A528-35991F435DF3}" srcOrd="0" destOrd="0" presId="urn:microsoft.com/office/officeart/2005/8/layout/hierarchy2"/>
    <dgm:cxn modelId="{3347A931-69EF-1543-9724-672F5227F3F8}" type="presParOf" srcId="{F07BB00B-86C9-0242-92B8-F58A273DC647}" destId="{D6C357BF-7758-5C41-A4C0-10CDE78A62B4}" srcOrd="1" destOrd="0" presId="urn:microsoft.com/office/officeart/2005/8/layout/hierarchy2"/>
    <dgm:cxn modelId="{D3578700-C3DE-1D42-872A-A967AC846CAB}" type="presParOf" srcId="{D6C357BF-7758-5C41-A4C0-10CDE78A62B4}" destId="{EC31C2FB-0D45-754A-ABE2-A33D60B90AB0}" srcOrd="0" destOrd="0" presId="urn:microsoft.com/office/officeart/2005/8/layout/hierarchy2"/>
    <dgm:cxn modelId="{D0BA907D-EED5-6E4D-9A88-C845E4658BC4}" type="presParOf" srcId="{EC31C2FB-0D45-754A-ABE2-A33D60B90AB0}" destId="{F6703BD7-0014-2B46-8977-815524BBBAD3}" srcOrd="0" destOrd="0" presId="urn:microsoft.com/office/officeart/2005/8/layout/hierarchy2"/>
    <dgm:cxn modelId="{586EB94C-CA4F-724F-BA3A-5FB2C69326F5}" type="presParOf" srcId="{D6C357BF-7758-5C41-A4C0-10CDE78A62B4}" destId="{18BCF420-E7A2-C946-A7B2-4B9A35488F6F}" srcOrd="1" destOrd="0" presId="urn:microsoft.com/office/officeart/2005/8/layout/hierarchy2"/>
    <dgm:cxn modelId="{6C992E98-0DA1-8843-B3F9-8AE53AAC822E}" type="presParOf" srcId="{18BCF420-E7A2-C946-A7B2-4B9A35488F6F}" destId="{85E297B7-8203-E248-B7A7-ADF4593CBF1A}" srcOrd="0" destOrd="0" presId="urn:microsoft.com/office/officeart/2005/8/layout/hierarchy2"/>
    <dgm:cxn modelId="{30CBEF8B-B0B9-9E4F-9FE6-55ACA169BDDD}" type="presParOf" srcId="{18BCF420-E7A2-C946-A7B2-4B9A35488F6F}" destId="{B16517F1-AE68-4042-92B6-CE00F6845C72}" srcOrd="1" destOrd="0" presId="urn:microsoft.com/office/officeart/2005/8/layout/hierarchy2"/>
    <dgm:cxn modelId="{C8ADCFDB-D06B-934D-BC30-F3FD7A75ABFB}" type="presParOf" srcId="{B16517F1-AE68-4042-92B6-CE00F6845C72}" destId="{65135BCA-5801-854C-A825-48F4FDB08852}" srcOrd="0" destOrd="0" presId="urn:microsoft.com/office/officeart/2005/8/layout/hierarchy2"/>
    <dgm:cxn modelId="{BF6C1DF0-C1AD-3447-8A83-77C85DF2B9AD}" type="presParOf" srcId="{65135BCA-5801-854C-A825-48F4FDB08852}" destId="{92441A71-F502-6F46-93A3-C04312422963}" srcOrd="0" destOrd="0" presId="urn:microsoft.com/office/officeart/2005/8/layout/hierarchy2"/>
    <dgm:cxn modelId="{9E8056B4-EA6E-E147-897B-5E81D91DB250}" type="presParOf" srcId="{B16517F1-AE68-4042-92B6-CE00F6845C72}" destId="{3D531C2D-2E6D-E94B-8EA3-25DC89B990F3}" srcOrd="1" destOrd="0" presId="urn:microsoft.com/office/officeart/2005/8/layout/hierarchy2"/>
    <dgm:cxn modelId="{4E1F271E-CAB6-F442-AA65-666C1B46BCDA}" type="presParOf" srcId="{3D531C2D-2E6D-E94B-8EA3-25DC89B990F3}" destId="{66B29422-043E-A54F-9C78-6B63DA15A09C}" srcOrd="0" destOrd="0" presId="urn:microsoft.com/office/officeart/2005/8/layout/hierarchy2"/>
    <dgm:cxn modelId="{135D3285-4545-1542-8651-8673029860BB}" type="presParOf" srcId="{3D531C2D-2E6D-E94B-8EA3-25DC89B990F3}" destId="{A1D8A046-0172-3646-90F3-D80C6073B0F7}" srcOrd="1" destOrd="0" presId="urn:microsoft.com/office/officeart/2005/8/layout/hierarchy2"/>
    <dgm:cxn modelId="{1EB612C2-C8F7-764B-A37E-203D1BD1A1EF}" type="presParOf" srcId="{A1D8A046-0172-3646-90F3-D80C6073B0F7}" destId="{0B2B8173-6D1B-1A47-A828-8BFF88FC26CD}" srcOrd="0" destOrd="0" presId="urn:microsoft.com/office/officeart/2005/8/layout/hierarchy2"/>
    <dgm:cxn modelId="{49798D2D-F1D0-AE46-96A0-0D5BCD79D3D3}" type="presParOf" srcId="{0B2B8173-6D1B-1A47-A828-8BFF88FC26CD}" destId="{FA367C40-5C72-FF4A-A625-C88624769625}" srcOrd="0" destOrd="0" presId="urn:microsoft.com/office/officeart/2005/8/layout/hierarchy2"/>
    <dgm:cxn modelId="{679EB598-51BC-FD48-853B-FD783633ABC2}" type="presParOf" srcId="{A1D8A046-0172-3646-90F3-D80C6073B0F7}" destId="{EAFC7FC2-730C-6743-B427-67151193D2AE}" srcOrd="1" destOrd="0" presId="urn:microsoft.com/office/officeart/2005/8/layout/hierarchy2"/>
    <dgm:cxn modelId="{B468AA12-A3E2-CD48-9EC1-0498385453B9}" type="presParOf" srcId="{EAFC7FC2-730C-6743-B427-67151193D2AE}" destId="{BB6F875B-CA7B-4C4B-8D32-9639CCA9FDFB}" srcOrd="0" destOrd="0" presId="urn:microsoft.com/office/officeart/2005/8/layout/hierarchy2"/>
    <dgm:cxn modelId="{8D2E105C-8B67-BF4C-A0F5-B547772ED5D5}" type="presParOf" srcId="{EAFC7FC2-730C-6743-B427-67151193D2AE}" destId="{B5D30E95-5F06-4F4F-B80C-8A7873D4E910}" srcOrd="1" destOrd="0" presId="urn:microsoft.com/office/officeart/2005/8/layout/hierarchy2"/>
    <dgm:cxn modelId="{F860F451-B6A5-854C-9BFB-BBFE47F6873B}" type="presParOf" srcId="{A1D8A046-0172-3646-90F3-D80C6073B0F7}" destId="{1F234C98-6369-0740-B7A4-4FA1DE2869AE}" srcOrd="2" destOrd="0" presId="urn:microsoft.com/office/officeart/2005/8/layout/hierarchy2"/>
    <dgm:cxn modelId="{71531DBC-1B2F-9145-A2E8-21BC8A80BE00}" type="presParOf" srcId="{1F234C98-6369-0740-B7A4-4FA1DE2869AE}" destId="{7B446528-E0B9-C245-A1E0-97A856C2EF92}" srcOrd="0" destOrd="0" presId="urn:microsoft.com/office/officeart/2005/8/layout/hierarchy2"/>
    <dgm:cxn modelId="{7C0A4DF5-7487-9142-83C7-ACABEF86710D}" type="presParOf" srcId="{A1D8A046-0172-3646-90F3-D80C6073B0F7}" destId="{D82B9893-1770-9547-98E1-581DA8338CAC}" srcOrd="3" destOrd="0" presId="urn:microsoft.com/office/officeart/2005/8/layout/hierarchy2"/>
    <dgm:cxn modelId="{DD9F0A99-BABE-5542-9902-B0EDC15BFC20}" type="presParOf" srcId="{D82B9893-1770-9547-98E1-581DA8338CAC}" destId="{B7700DDE-1FE9-F24E-93A4-74E1CDED4FA2}" srcOrd="0" destOrd="0" presId="urn:microsoft.com/office/officeart/2005/8/layout/hierarchy2"/>
    <dgm:cxn modelId="{4B1F5CA5-4052-6C40-8B19-84CD5E84697D}" type="presParOf" srcId="{D82B9893-1770-9547-98E1-581DA8338CAC}" destId="{C7AB8337-3820-0D41-B51C-D3C2B9E14EC8}" srcOrd="1" destOrd="0" presId="urn:microsoft.com/office/officeart/2005/8/layout/hierarchy2"/>
    <dgm:cxn modelId="{28C6A1F0-8852-844B-8803-C21FE4ACCB68}" type="presParOf" srcId="{D6C357BF-7758-5C41-A4C0-10CDE78A62B4}" destId="{CA112EED-07C6-8042-8D9E-601B16D74181}" srcOrd="2" destOrd="0" presId="urn:microsoft.com/office/officeart/2005/8/layout/hierarchy2"/>
    <dgm:cxn modelId="{9FF8D36D-2098-A44A-8E5E-F472F20DAD05}" type="presParOf" srcId="{CA112EED-07C6-8042-8D9E-601B16D74181}" destId="{E9A745DE-E22F-6E47-98CC-7AF61C5326F3}" srcOrd="0" destOrd="0" presId="urn:microsoft.com/office/officeart/2005/8/layout/hierarchy2"/>
    <dgm:cxn modelId="{D5BF034A-06F4-F84E-B6F8-BD0542EE22F5}" type="presParOf" srcId="{D6C357BF-7758-5C41-A4C0-10CDE78A62B4}" destId="{DA899F5C-677A-2445-B74C-CB6200A423D6}" srcOrd="3" destOrd="0" presId="urn:microsoft.com/office/officeart/2005/8/layout/hierarchy2"/>
    <dgm:cxn modelId="{1ACE13FA-F533-484D-94AE-74526F2E3648}" type="presParOf" srcId="{DA899F5C-677A-2445-B74C-CB6200A423D6}" destId="{6FBE70B8-696D-1A43-9061-58636D3E09B5}" srcOrd="0" destOrd="0" presId="urn:microsoft.com/office/officeart/2005/8/layout/hierarchy2"/>
    <dgm:cxn modelId="{DF3F1914-ED23-194A-A188-B5139CE9D13E}" type="presParOf" srcId="{DA899F5C-677A-2445-B74C-CB6200A423D6}" destId="{4D653ECF-B28A-C649-97F7-36D5A2428EAF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BC043375-FB99-2C44-BDD2-6F13FB1F31BB}" type="doc">
      <dgm:prSet loTypeId="urn:microsoft.com/office/officeart/2005/8/layout/hierarchy2" loCatId="" qsTypeId="urn:microsoft.com/office/officeart/2005/8/quickstyle/simple2" qsCatId="simple" csTypeId="urn:microsoft.com/office/officeart/2005/8/colors/accent1_1" csCatId="accent1" phldr="1"/>
      <dgm:spPr/>
      <dgm:t>
        <a:bodyPr/>
        <a:lstStyle/>
        <a:p>
          <a:endParaRPr lang="en-US"/>
        </a:p>
      </dgm:t>
    </dgm:pt>
    <dgm:pt modelId="{C0A67E4A-FC10-414F-9D8A-A49D596744DA}">
      <dgm:prSet phldrT="[Text]" custT="1"/>
      <dgm:spPr/>
      <dgm:t>
        <a:bodyPr anchor="t"/>
        <a:lstStyle/>
        <a:p>
          <a:r>
            <a:rPr lang="en-US" sz="1800" b="1"/>
            <a:t>Decide</a:t>
          </a:r>
        </a:p>
        <a:p>
          <a:r>
            <a:rPr lang="en-US" sz="1800" b="1"/>
            <a:t>Lisence &amp; Launch</a:t>
          </a:r>
        </a:p>
      </dgm:t>
    </dgm:pt>
    <dgm:pt modelId="{E41033E7-1A47-C945-8B4B-774F0728D822}" type="parTrans" cxnId="{C5876924-86A2-E346-93CB-5C2388F234EE}">
      <dgm:prSet/>
      <dgm:spPr/>
      <dgm:t>
        <a:bodyPr/>
        <a:lstStyle/>
        <a:p>
          <a:endParaRPr lang="en-US" sz="1600"/>
        </a:p>
      </dgm:t>
    </dgm:pt>
    <dgm:pt modelId="{EEDC6760-18A2-3A41-9793-EA54C28ED97C}" type="sibTrans" cxnId="{C5876924-86A2-E346-93CB-5C2388F234EE}">
      <dgm:prSet/>
      <dgm:spPr/>
      <dgm:t>
        <a:bodyPr/>
        <a:lstStyle/>
        <a:p>
          <a:endParaRPr lang="en-US" sz="1600"/>
        </a:p>
      </dgm:t>
    </dgm:pt>
    <dgm:pt modelId="{B7B0CA4E-06DA-564A-B2C0-89C764AA632A}">
      <dgm:prSet phldrT="[Text]" custT="1"/>
      <dgm:spPr/>
      <dgm:t>
        <a:bodyPr anchor="t"/>
        <a:lstStyle/>
        <a:p>
          <a:pPr algn="ctr"/>
          <a:r>
            <a:rPr lang="en-US" sz="1800" b="1"/>
            <a:t>License &amp; Launch:</a:t>
          </a:r>
        </a:p>
        <a:p>
          <a:pPr algn="ctr"/>
          <a:r>
            <a:rPr lang="en-US" sz="1800" b="1"/>
            <a:t>Invest in test phase I</a:t>
          </a:r>
        </a:p>
      </dgm:t>
    </dgm:pt>
    <dgm:pt modelId="{5F7716EB-A81B-2B4D-BA42-956409E98AD1}" type="parTrans" cxnId="{ECC7BF58-85F9-AE45-B95D-02E3C49A9787}">
      <dgm:prSet custT="1"/>
      <dgm:spPr/>
      <dgm:t>
        <a:bodyPr/>
        <a:lstStyle/>
        <a:p>
          <a:endParaRPr lang="en-US" sz="1600"/>
        </a:p>
      </dgm:t>
    </dgm:pt>
    <dgm:pt modelId="{142E1086-EFA3-7D45-A300-2C1BAF96B709}" type="sibTrans" cxnId="{ECC7BF58-85F9-AE45-B95D-02E3C49A9787}">
      <dgm:prSet/>
      <dgm:spPr/>
      <dgm:t>
        <a:bodyPr/>
        <a:lstStyle/>
        <a:p>
          <a:endParaRPr lang="en-US" sz="1600"/>
        </a:p>
      </dgm:t>
    </dgm:pt>
    <dgm:pt modelId="{A5A26910-1B43-C243-8450-247116FFD059}">
      <dgm:prSet phldrT="[Text]" custT="1"/>
      <dgm:spPr/>
      <dgm:t>
        <a:bodyPr anchor="t"/>
        <a:lstStyle/>
        <a:p>
          <a:r>
            <a:rPr lang="en-US" sz="2000" b="1"/>
            <a:t>Success</a:t>
          </a:r>
        </a:p>
        <a:p>
          <a:endParaRPr lang="en-US" sz="1600"/>
        </a:p>
      </dgm:t>
    </dgm:pt>
    <dgm:pt modelId="{CE956622-B72B-514C-A286-1E0AA22D1092}" type="parTrans" cxnId="{30F4FED3-1FD0-4A41-832B-461201DE531E}">
      <dgm:prSet custT="1"/>
      <dgm:spPr/>
      <dgm:t>
        <a:bodyPr/>
        <a:lstStyle/>
        <a:p>
          <a:endParaRPr lang="en-US" sz="1600"/>
        </a:p>
      </dgm:t>
    </dgm:pt>
    <dgm:pt modelId="{FBB0A08D-973A-0741-8B88-15286AF11565}" type="sibTrans" cxnId="{30F4FED3-1FD0-4A41-832B-461201DE531E}">
      <dgm:prSet/>
      <dgm:spPr/>
      <dgm:t>
        <a:bodyPr/>
        <a:lstStyle/>
        <a:p>
          <a:endParaRPr lang="en-US" sz="1600"/>
        </a:p>
      </dgm:t>
    </dgm:pt>
    <dgm:pt modelId="{C80A320E-EC91-3745-8931-C84DCB6B4951}">
      <dgm:prSet phldrT="[Text]" custT="1"/>
      <dgm:spPr/>
      <dgm:t>
        <a:bodyPr anchor="t"/>
        <a:lstStyle/>
        <a:p>
          <a:r>
            <a:rPr lang="en-US" sz="1800" b="1"/>
            <a:t>Do Nothing</a:t>
          </a:r>
        </a:p>
        <a:p>
          <a:endParaRPr lang="en-US" sz="1600"/>
        </a:p>
      </dgm:t>
    </dgm:pt>
    <dgm:pt modelId="{20DAB6C1-DE9A-5649-ADD8-D787CA238CB1}" type="parTrans" cxnId="{735CFC5C-11BF-2742-B99D-3046D2EEF59E}">
      <dgm:prSet custT="1"/>
      <dgm:spPr/>
      <dgm:t>
        <a:bodyPr/>
        <a:lstStyle/>
        <a:p>
          <a:endParaRPr lang="en-US" sz="1600"/>
        </a:p>
      </dgm:t>
    </dgm:pt>
    <dgm:pt modelId="{C6F7F121-129B-4B42-B338-2F18AB36C596}" type="sibTrans" cxnId="{735CFC5C-11BF-2742-B99D-3046D2EEF59E}">
      <dgm:prSet/>
      <dgm:spPr/>
      <dgm:t>
        <a:bodyPr/>
        <a:lstStyle/>
        <a:p>
          <a:endParaRPr lang="en-US" sz="1600"/>
        </a:p>
      </dgm:t>
    </dgm:pt>
    <dgm:pt modelId="{0E9FE25F-B1CE-4247-89E8-0FAB002A2C9C}">
      <dgm:prSet custT="1"/>
      <dgm:spPr/>
      <dgm:t>
        <a:bodyPr/>
        <a:lstStyle/>
        <a:p>
          <a:r>
            <a:rPr lang="en-US" sz="1800"/>
            <a:t>Uncertainty</a:t>
          </a:r>
        </a:p>
      </dgm:t>
    </dgm:pt>
    <dgm:pt modelId="{FA8F04A3-AB24-4C46-ACA4-E1FDAFC0A0EE}" type="parTrans" cxnId="{02707748-131D-7140-A33A-EBE3184342BA}">
      <dgm:prSet custT="1"/>
      <dgm:spPr/>
      <dgm:t>
        <a:bodyPr/>
        <a:lstStyle/>
        <a:p>
          <a:endParaRPr lang="en-US" sz="1600"/>
        </a:p>
      </dgm:t>
    </dgm:pt>
    <dgm:pt modelId="{1EBCB8C6-2806-3E45-BC31-C3EDAF665043}" type="sibTrans" cxnId="{02707748-131D-7140-A33A-EBE3184342BA}">
      <dgm:prSet/>
      <dgm:spPr/>
      <dgm:t>
        <a:bodyPr/>
        <a:lstStyle/>
        <a:p>
          <a:endParaRPr lang="en-US" sz="1600"/>
        </a:p>
      </dgm:t>
    </dgm:pt>
    <dgm:pt modelId="{2F09D863-A040-9A49-BCC7-F742C63AA6EB}">
      <dgm:prSet phldrT="[Text]" custT="1"/>
      <dgm:spPr/>
      <dgm:t>
        <a:bodyPr anchor="t"/>
        <a:lstStyle/>
        <a:p>
          <a:r>
            <a:rPr lang="en-US" sz="2000" b="1"/>
            <a:t>Failure</a:t>
          </a:r>
        </a:p>
        <a:p>
          <a:endParaRPr lang="en-US" sz="1600"/>
        </a:p>
      </dgm:t>
    </dgm:pt>
    <dgm:pt modelId="{E353A653-BBC6-B54D-8228-02461EECE632}" type="parTrans" cxnId="{879E459A-2C57-2849-925E-386AAA99E73D}">
      <dgm:prSet custT="1"/>
      <dgm:spPr/>
      <dgm:t>
        <a:bodyPr/>
        <a:lstStyle/>
        <a:p>
          <a:endParaRPr lang="en-US" sz="1600"/>
        </a:p>
      </dgm:t>
    </dgm:pt>
    <dgm:pt modelId="{A1F5C698-F1F2-C74E-BFCC-D9680F8EC18F}" type="sibTrans" cxnId="{879E459A-2C57-2849-925E-386AAA99E73D}">
      <dgm:prSet/>
      <dgm:spPr/>
      <dgm:t>
        <a:bodyPr/>
        <a:lstStyle/>
        <a:p>
          <a:endParaRPr lang="en-US" sz="1600"/>
        </a:p>
      </dgm:t>
    </dgm:pt>
    <dgm:pt modelId="{0C640BAD-3089-5B4B-B070-F43D61B861C1}" type="pres">
      <dgm:prSet presAssocID="{BC043375-FB99-2C44-BDD2-6F13FB1F31BB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F07BB00B-86C9-0242-92B8-F58A273DC647}" type="pres">
      <dgm:prSet presAssocID="{C0A67E4A-FC10-414F-9D8A-A49D596744DA}" presName="root1" presStyleCnt="0"/>
      <dgm:spPr/>
    </dgm:pt>
    <dgm:pt modelId="{3C4A5457-AAA8-B144-A528-35991F435DF3}" type="pres">
      <dgm:prSet presAssocID="{C0A67E4A-FC10-414F-9D8A-A49D596744DA}" presName="LevelOneTextNode" presStyleLbl="node0" presStyleIdx="0" presStyleCnt="1" custScaleX="53394" custScaleY="64171">
        <dgm:presLayoutVars>
          <dgm:chPref val="3"/>
        </dgm:presLayoutVars>
      </dgm:prSet>
      <dgm:spPr/>
    </dgm:pt>
    <dgm:pt modelId="{D6C357BF-7758-5C41-A4C0-10CDE78A62B4}" type="pres">
      <dgm:prSet presAssocID="{C0A67E4A-FC10-414F-9D8A-A49D596744DA}" presName="level2hierChild" presStyleCnt="0"/>
      <dgm:spPr/>
    </dgm:pt>
    <dgm:pt modelId="{EC31C2FB-0D45-754A-ABE2-A33D60B90AB0}" type="pres">
      <dgm:prSet presAssocID="{5F7716EB-A81B-2B4D-BA42-956409E98AD1}" presName="conn2-1" presStyleLbl="parChTrans1D2" presStyleIdx="0" presStyleCnt="2"/>
      <dgm:spPr/>
    </dgm:pt>
    <dgm:pt modelId="{F6703BD7-0014-2B46-8977-815524BBBAD3}" type="pres">
      <dgm:prSet presAssocID="{5F7716EB-A81B-2B4D-BA42-956409E98AD1}" presName="connTx" presStyleLbl="parChTrans1D2" presStyleIdx="0" presStyleCnt="2"/>
      <dgm:spPr/>
    </dgm:pt>
    <dgm:pt modelId="{18BCF420-E7A2-C946-A7B2-4B9A35488F6F}" type="pres">
      <dgm:prSet presAssocID="{B7B0CA4E-06DA-564A-B2C0-89C764AA632A}" presName="root2" presStyleCnt="0"/>
      <dgm:spPr/>
    </dgm:pt>
    <dgm:pt modelId="{85E297B7-8203-E248-B7A7-ADF4593CBF1A}" type="pres">
      <dgm:prSet presAssocID="{B7B0CA4E-06DA-564A-B2C0-89C764AA632A}" presName="LevelTwoTextNode" presStyleLbl="node2" presStyleIdx="0" presStyleCnt="2" custScaleX="87636" custScaleY="78395" custLinFactNeighborX="-9807" custLinFactNeighborY="-2633">
        <dgm:presLayoutVars>
          <dgm:chPref val="3"/>
        </dgm:presLayoutVars>
      </dgm:prSet>
      <dgm:spPr/>
    </dgm:pt>
    <dgm:pt modelId="{B16517F1-AE68-4042-92B6-CE00F6845C72}" type="pres">
      <dgm:prSet presAssocID="{B7B0CA4E-06DA-564A-B2C0-89C764AA632A}" presName="level3hierChild" presStyleCnt="0"/>
      <dgm:spPr/>
    </dgm:pt>
    <dgm:pt modelId="{65135BCA-5801-854C-A825-48F4FDB08852}" type="pres">
      <dgm:prSet presAssocID="{FA8F04A3-AB24-4C46-ACA4-E1FDAFC0A0EE}" presName="conn2-1" presStyleLbl="parChTrans1D3" presStyleIdx="0" presStyleCnt="1"/>
      <dgm:spPr/>
    </dgm:pt>
    <dgm:pt modelId="{92441A71-F502-6F46-93A3-C04312422963}" type="pres">
      <dgm:prSet presAssocID="{FA8F04A3-AB24-4C46-ACA4-E1FDAFC0A0EE}" presName="connTx" presStyleLbl="parChTrans1D3" presStyleIdx="0" presStyleCnt="1"/>
      <dgm:spPr/>
    </dgm:pt>
    <dgm:pt modelId="{3D531C2D-2E6D-E94B-8EA3-25DC89B990F3}" type="pres">
      <dgm:prSet presAssocID="{0E9FE25F-B1CE-4247-89E8-0FAB002A2C9C}" presName="root2" presStyleCnt="0"/>
      <dgm:spPr/>
    </dgm:pt>
    <dgm:pt modelId="{66B29422-043E-A54F-9C78-6B63DA15A09C}" type="pres">
      <dgm:prSet presAssocID="{0E9FE25F-B1CE-4247-89E8-0FAB002A2C9C}" presName="LevelTwoTextNode" presStyleLbl="node3" presStyleIdx="0" presStyleCnt="1" custScaleX="64162" custScaleY="57805" custLinFactNeighborX="-7600" custLinFactNeighborY="-3131">
        <dgm:presLayoutVars>
          <dgm:chPref val="3"/>
        </dgm:presLayoutVars>
      </dgm:prSet>
      <dgm:spPr>
        <a:prstGeom prst="ellipse">
          <a:avLst/>
        </a:prstGeom>
      </dgm:spPr>
    </dgm:pt>
    <dgm:pt modelId="{A1D8A046-0172-3646-90F3-D80C6073B0F7}" type="pres">
      <dgm:prSet presAssocID="{0E9FE25F-B1CE-4247-89E8-0FAB002A2C9C}" presName="level3hierChild" presStyleCnt="0"/>
      <dgm:spPr/>
    </dgm:pt>
    <dgm:pt modelId="{0B2B8173-6D1B-1A47-A828-8BFF88FC26CD}" type="pres">
      <dgm:prSet presAssocID="{CE956622-B72B-514C-A286-1E0AA22D1092}" presName="conn2-1" presStyleLbl="parChTrans1D4" presStyleIdx="0" presStyleCnt="2"/>
      <dgm:spPr/>
    </dgm:pt>
    <dgm:pt modelId="{FA367C40-5C72-FF4A-A625-C88624769625}" type="pres">
      <dgm:prSet presAssocID="{CE956622-B72B-514C-A286-1E0AA22D1092}" presName="connTx" presStyleLbl="parChTrans1D4" presStyleIdx="0" presStyleCnt="2"/>
      <dgm:spPr/>
    </dgm:pt>
    <dgm:pt modelId="{EAFC7FC2-730C-6743-B427-67151193D2AE}" type="pres">
      <dgm:prSet presAssocID="{A5A26910-1B43-C243-8450-247116FFD059}" presName="root2" presStyleCnt="0"/>
      <dgm:spPr/>
    </dgm:pt>
    <dgm:pt modelId="{BB6F875B-CA7B-4C4B-8D32-9639CCA9FDFB}" type="pres">
      <dgm:prSet presAssocID="{A5A26910-1B43-C243-8450-247116FFD059}" presName="LevelTwoTextNode" presStyleLbl="node4" presStyleIdx="0" presStyleCnt="2" custScaleX="72149" custScaleY="71783" custLinFactNeighborX="-2463" custLinFactNeighborY="-1613">
        <dgm:presLayoutVars>
          <dgm:chPref val="3"/>
        </dgm:presLayoutVars>
      </dgm:prSet>
      <dgm:spPr/>
    </dgm:pt>
    <dgm:pt modelId="{B5D30E95-5F06-4F4F-B80C-8A7873D4E910}" type="pres">
      <dgm:prSet presAssocID="{A5A26910-1B43-C243-8450-247116FFD059}" presName="level3hierChild" presStyleCnt="0"/>
      <dgm:spPr/>
    </dgm:pt>
    <dgm:pt modelId="{1F234C98-6369-0740-B7A4-4FA1DE2869AE}" type="pres">
      <dgm:prSet presAssocID="{E353A653-BBC6-B54D-8228-02461EECE632}" presName="conn2-1" presStyleLbl="parChTrans1D4" presStyleIdx="1" presStyleCnt="2"/>
      <dgm:spPr/>
    </dgm:pt>
    <dgm:pt modelId="{7B446528-E0B9-C245-A1E0-97A856C2EF92}" type="pres">
      <dgm:prSet presAssocID="{E353A653-BBC6-B54D-8228-02461EECE632}" presName="connTx" presStyleLbl="parChTrans1D4" presStyleIdx="1" presStyleCnt="2"/>
      <dgm:spPr/>
    </dgm:pt>
    <dgm:pt modelId="{D82B9893-1770-9547-98E1-581DA8338CAC}" type="pres">
      <dgm:prSet presAssocID="{2F09D863-A040-9A49-BCC7-F742C63AA6EB}" presName="root2" presStyleCnt="0"/>
      <dgm:spPr/>
    </dgm:pt>
    <dgm:pt modelId="{B7700DDE-1FE9-F24E-93A4-74E1CDED4FA2}" type="pres">
      <dgm:prSet presAssocID="{2F09D863-A040-9A49-BCC7-F742C63AA6EB}" presName="LevelTwoTextNode" presStyleLbl="node4" presStyleIdx="1" presStyleCnt="2" custScaleX="75448" custScaleY="73990" custLinFactNeighborX="-2373" custLinFactNeighborY="12438">
        <dgm:presLayoutVars>
          <dgm:chPref val="3"/>
        </dgm:presLayoutVars>
      </dgm:prSet>
      <dgm:spPr/>
    </dgm:pt>
    <dgm:pt modelId="{C7AB8337-3820-0D41-B51C-D3C2B9E14EC8}" type="pres">
      <dgm:prSet presAssocID="{2F09D863-A040-9A49-BCC7-F742C63AA6EB}" presName="level3hierChild" presStyleCnt="0"/>
      <dgm:spPr/>
    </dgm:pt>
    <dgm:pt modelId="{CA112EED-07C6-8042-8D9E-601B16D74181}" type="pres">
      <dgm:prSet presAssocID="{20DAB6C1-DE9A-5649-ADD8-D787CA238CB1}" presName="conn2-1" presStyleLbl="parChTrans1D2" presStyleIdx="1" presStyleCnt="2"/>
      <dgm:spPr/>
    </dgm:pt>
    <dgm:pt modelId="{E9A745DE-E22F-6E47-98CC-7AF61C5326F3}" type="pres">
      <dgm:prSet presAssocID="{20DAB6C1-DE9A-5649-ADD8-D787CA238CB1}" presName="connTx" presStyleLbl="parChTrans1D2" presStyleIdx="1" presStyleCnt="2"/>
      <dgm:spPr/>
    </dgm:pt>
    <dgm:pt modelId="{DA899F5C-677A-2445-B74C-CB6200A423D6}" type="pres">
      <dgm:prSet presAssocID="{C80A320E-EC91-3745-8931-C84DCB6B4951}" presName="root2" presStyleCnt="0"/>
      <dgm:spPr/>
    </dgm:pt>
    <dgm:pt modelId="{6FBE70B8-696D-1A43-9061-58636D3E09B5}" type="pres">
      <dgm:prSet presAssocID="{C80A320E-EC91-3745-8931-C84DCB6B4951}" presName="LevelTwoTextNode" presStyleLbl="node2" presStyleIdx="1" presStyleCnt="2" custScaleX="78096" custScaleY="65318" custLinFactNeighborX="-2656" custLinFactNeighborY="-2401">
        <dgm:presLayoutVars>
          <dgm:chPref val="3"/>
        </dgm:presLayoutVars>
      </dgm:prSet>
      <dgm:spPr/>
    </dgm:pt>
    <dgm:pt modelId="{4D653ECF-B28A-C649-97F7-36D5A2428EAF}" type="pres">
      <dgm:prSet presAssocID="{C80A320E-EC91-3745-8931-C84DCB6B4951}" presName="level3hierChild" presStyleCnt="0"/>
      <dgm:spPr/>
    </dgm:pt>
  </dgm:ptLst>
  <dgm:cxnLst>
    <dgm:cxn modelId="{2014E804-D387-064C-999E-957291B3D6C0}" type="presOf" srcId="{E353A653-BBC6-B54D-8228-02461EECE632}" destId="{1F234C98-6369-0740-B7A4-4FA1DE2869AE}" srcOrd="0" destOrd="0" presId="urn:microsoft.com/office/officeart/2005/8/layout/hierarchy2"/>
    <dgm:cxn modelId="{621DBB18-8CF7-144F-8CF8-717AFBC60099}" type="presOf" srcId="{C0A67E4A-FC10-414F-9D8A-A49D596744DA}" destId="{3C4A5457-AAA8-B144-A528-35991F435DF3}" srcOrd="0" destOrd="0" presId="urn:microsoft.com/office/officeart/2005/8/layout/hierarchy2"/>
    <dgm:cxn modelId="{C53D581F-0668-444E-B0C1-98409A4A0B08}" type="presOf" srcId="{20DAB6C1-DE9A-5649-ADD8-D787CA238CB1}" destId="{CA112EED-07C6-8042-8D9E-601B16D74181}" srcOrd="0" destOrd="0" presId="urn:microsoft.com/office/officeart/2005/8/layout/hierarchy2"/>
    <dgm:cxn modelId="{C5876924-86A2-E346-93CB-5C2388F234EE}" srcId="{BC043375-FB99-2C44-BDD2-6F13FB1F31BB}" destId="{C0A67E4A-FC10-414F-9D8A-A49D596744DA}" srcOrd="0" destOrd="0" parTransId="{E41033E7-1A47-C945-8B4B-774F0728D822}" sibTransId="{EEDC6760-18A2-3A41-9793-EA54C28ED97C}"/>
    <dgm:cxn modelId="{B9510D5C-2D42-0244-8774-DB763786BACB}" type="presOf" srcId="{FA8F04A3-AB24-4C46-ACA4-E1FDAFC0A0EE}" destId="{65135BCA-5801-854C-A825-48F4FDB08852}" srcOrd="0" destOrd="0" presId="urn:microsoft.com/office/officeart/2005/8/layout/hierarchy2"/>
    <dgm:cxn modelId="{735CFC5C-11BF-2742-B99D-3046D2EEF59E}" srcId="{C0A67E4A-FC10-414F-9D8A-A49D596744DA}" destId="{C80A320E-EC91-3745-8931-C84DCB6B4951}" srcOrd="1" destOrd="0" parTransId="{20DAB6C1-DE9A-5649-ADD8-D787CA238CB1}" sibTransId="{C6F7F121-129B-4B42-B338-2F18AB36C596}"/>
    <dgm:cxn modelId="{50A8B95E-C5EF-3B48-BCF6-886F7AB05F1C}" type="presOf" srcId="{5F7716EB-A81B-2B4D-BA42-956409E98AD1}" destId="{EC31C2FB-0D45-754A-ABE2-A33D60B90AB0}" srcOrd="0" destOrd="0" presId="urn:microsoft.com/office/officeart/2005/8/layout/hierarchy2"/>
    <dgm:cxn modelId="{2763DF5F-422E-C846-B5E4-9B02F2010F1D}" type="presOf" srcId="{E353A653-BBC6-B54D-8228-02461EECE632}" destId="{7B446528-E0B9-C245-A1E0-97A856C2EF92}" srcOrd="1" destOrd="0" presId="urn:microsoft.com/office/officeart/2005/8/layout/hierarchy2"/>
    <dgm:cxn modelId="{02707748-131D-7140-A33A-EBE3184342BA}" srcId="{B7B0CA4E-06DA-564A-B2C0-89C764AA632A}" destId="{0E9FE25F-B1CE-4247-89E8-0FAB002A2C9C}" srcOrd="0" destOrd="0" parTransId="{FA8F04A3-AB24-4C46-ACA4-E1FDAFC0A0EE}" sibTransId="{1EBCB8C6-2806-3E45-BC31-C3EDAF665043}"/>
    <dgm:cxn modelId="{0C8AF74B-40EE-D044-A54E-95F7FDE46B12}" type="presOf" srcId="{CE956622-B72B-514C-A286-1E0AA22D1092}" destId="{FA367C40-5C72-FF4A-A625-C88624769625}" srcOrd="1" destOrd="0" presId="urn:microsoft.com/office/officeart/2005/8/layout/hierarchy2"/>
    <dgm:cxn modelId="{6CBEA670-229D-6F4C-80FE-565541E59210}" type="presOf" srcId="{CE956622-B72B-514C-A286-1E0AA22D1092}" destId="{0B2B8173-6D1B-1A47-A828-8BFF88FC26CD}" srcOrd="0" destOrd="0" presId="urn:microsoft.com/office/officeart/2005/8/layout/hierarchy2"/>
    <dgm:cxn modelId="{372BFE70-FA60-F84C-9D6E-00CEF8498F4D}" type="presOf" srcId="{FA8F04A3-AB24-4C46-ACA4-E1FDAFC0A0EE}" destId="{92441A71-F502-6F46-93A3-C04312422963}" srcOrd="1" destOrd="0" presId="urn:microsoft.com/office/officeart/2005/8/layout/hierarchy2"/>
    <dgm:cxn modelId="{ECC7BF58-85F9-AE45-B95D-02E3C49A9787}" srcId="{C0A67E4A-FC10-414F-9D8A-A49D596744DA}" destId="{B7B0CA4E-06DA-564A-B2C0-89C764AA632A}" srcOrd="0" destOrd="0" parTransId="{5F7716EB-A81B-2B4D-BA42-956409E98AD1}" sibTransId="{142E1086-EFA3-7D45-A300-2C1BAF96B709}"/>
    <dgm:cxn modelId="{879E459A-2C57-2849-925E-386AAA99E73D}" srcId="{0E9FE25F-B1CE-4247-89E8-0FAB002A2C9C}" destId="{2F09D863-A040-9A49-BCC7-F742C63AA6EB}" srcOrd="1" destOrd="0" parTransId="{E353A653-BBC6-B54D-8228-02461EECE632}" sibTransId="{A1F5C698-F1F2-C74E-BFCC-D9680F8EC18F}"/>
    <dgm:cxn modelId="{C278559B-9FC8-154F-B260-FB2DDD40B18B}" type="presOf" srcId="{C80A320E-EC91-3745-8931-C84DCB6B4951}" destId="{6FBE70B8-696D-1A43-9061-58636D3E09B5}" srcOrd="0" destOrd="0" presId="urn:microsoft.com/office/officeart/2005/8/layout/hierarchy2"/>
    <dgm:cxn modelId="{B868A4A4-DED7-4346-A684-0619FA342EB8}" type="presOf" srcId="{B7B0CA4E-06DA-564A-B2C0-89C764AA632A}" destId="{85E297B7-8203-E248-B7A7-ADF4593CBF1A}" srcOrd="0" destOrd="0" presId="urn:microsoft.com/office/officeart/2005/8/layout/hierarchy2"/>
    <dgm:cxn modelId="{30F4FED3-1FD0-4A41-832B-461201DE531E}" srcId="{0E9FE25F-B1CE-4247-89E8-0FAB002A2C9C}" destId="{A5A26910-1B43-C243-8450-247116FFD059}" srcOrd="0" destOrd="0" parTransId="{CE956622-B72B-514C-A286-1E0AA22D1092}" sibTransId="{FBB0A08D-973A-0741-8B88-15286AF11565}"/>
    <dgm:cxn modelId="{AB7BD6D7-0D90-2447-9AF9-A0270D53F784}" type="presOf" srcId="{BC043375-FB99-2C44-BDD2-6F13FB1F31BB}" destId="{0C640BAD-3089-5B4B-B070-F43D61B861C1}" srcOrd="0" destOrd="0" presId="urn:microsoft.com/office/officeart/2005/8/layout/hierarchy2"/>
    <dgm:cxn modelId="{FAB32ADE-7BBF-8547-9212-0A6A1E9490FD}" type="presOf" srcId="{2F09D863-A040-9A49-BCC7-F742C63AA6EB}" destId="{B7700DDE-1FE9-F24E-93A4-74E1CDED4FA2}" srcOrd="0" destOrd="0" presId="urn:microsoft.com/office/officeart/2005/8/layout/hierarchy2"/>
    <dgm:cxn modelId="{346588E5-9D9A-8140-9814-1F29F9730F14}" type="presOf" srcId="{A5A26910-1B43-C243-8450-247116FFD059}" destId="{BB6F875B-CA7B-4C4B-8D32-9639CCA9FDFB}" srcOrd="0" destOrd="0" presId="urn:microsoft.com/office/officeart/2005/8/layout/hierarchy2"/>
    <dgm:cxn modelId="{84EC95EA-6869-C848-9231-B93DA8F539AC}" type="presOf" srcId="{20DAB6C1-DE9A-5649-ADD8-D787CA238CB1}" destId="{E9A745DE-E22F-6E47-98CC-7AF61C5326F3}" srcOrd="1" destOrd="0" presId="urn:microsoft.com/office/officeart/2005/8/layout/hierarchy2"/>
    <dgm:cxn modelId="{10C537EC-6E21-6549-873F-DA4AABB8C112}" type="presOf" srcId="{5F7716EB-A81B-2B4D-BA42-956409E98AD1}" destId="{F6703BD7-0014-2B46-8977-815524BBBAD3}" srcOrd="1" destOrd="0" presId="urn:microsoft.com/office/officeart/2005/8/layout/hierarchy2"/>
    <dgm:cxn modelId="{800F1BF7-3DD8-B34C-95C4-E7585511B41A}" type="presOf" srcId="{0E9FE25F-B1CE-4247-89E8-0FAB002A2C9C}" destId="{66B29422-043E-A54F-9C78-6B63DA15A09C}" srcOrd="0" destOrd="0" presId="urn:microsoft.com/office/officeart/2005/8/layout/hierarchy2"/>
    <dgm:cxn modelId="{94ACD4DF-DBBA-E842-8899-6CFD232398E4}" type="presParOf" srcId="{0C640BAD-3089-5B4B-B070-F43D61B861C1}" destId="{F07BB00B-86C9-0242-92B8-F58A273DC647}" srcOrd="0" destOrd="0" presId="urn:microsoft.com/office/officeart/2005/8/layout/hierarchy2"/>
    <dgm:cxn modelId="{2C616845-5CE1-4C4C-B291-07D399C70651}" type="presParOf" srcId="{F07BB00B-86C9-0242-92B8-F58A273DC647}" destId="{3C4A5457-AAA8-B144-A528-35991F435DF3}" srcOrd="0" destOrd="0" presId="urn:microsoft.com/office/officeart/2005/8/layout/hierarchy2"/>
    <dgm:cxn modelId="{3347A931-69EF-1543-9724-672F5227F3F8}" type="presParOf" srcId="{F07BB00B-86C9-0242-92B8-F58A273DC647}" destId="{D6C357BF-7758-5C41-A4C0-10CDE78A62B4}" srcOrd="1" destOrd="0" presId="urn:microsoft.com/office/officeart/2005/8/layout/hierarchy2"/>
    <dgm:cxn modelId="{D3578700-C3DE-1D42-872A-A967AC846CAB}" type="presParOf" srcId="{D6C357BF-7758-5C41-A4C0-10CDE78A62B4}" destId="{EC31C2FB-0D45-754A-ABE2-A33D60B90AB0}" srcOrd="0" destOrd="0" presId="urn:microsoft.com/office/officeart/2005/8/layout/hierarchy2"/>
    <dgm:cxn modelId="{D0BA907D-EED5-6E4D-9A88-C845E4658BC4}" type="presParOf" srcId="{EC31C2FB-0D45-754A-ABE2-A33D60B90AB0}" destId="{F6703BD7-0014-2B46-8977-815524BBBAD3}" srcOrd="0" destOrd="0" presId="urn:microsoft.com/office/officeart/2005/8/layout/hierarchy2"/>
    <dgm:cxn modelId="{586EB94C-CA4F-724F-BA3A-5FB2C69326F5}" type="presParOf" srcId="{D6C357BF-7758-5C41-A4C0-10CDE78A62B4}" destId="{18BCF420-E7A2-C946-A7B2-4B9A35488F6F}" srcOrd="1" destOrd="0" presId="urn:microsoft.com/office/officeart/2005/8/layout/hierarchy2"/>
    <dgm:cxn modelId="{6C992E98-0DA1-8843-B3F9-8AE53AAC822E}" type="presParOf" srcId="{18BCF420-E7A2-C946-A7B2-4B9A35488F6F}" destId="{85E297B7-8203-E248-B7A7-ADF4593CBF1A}" srcOrd="0" destOrd="0" presId="urn:microsoft.com/office/officeart/2005/8/layout/hierarchy2"/>
    <dgm:cxn modelId="{30CBEF8B-B0B9-9E4F-9FE6-55ACA169BDDD}" type="presParOf" srcId="{18BCF420-E7A2-C946-A7B2-4B9A35488F6F}" destId="{B16517F1-AE68-4042-92B6-CE00F6845C72}" srcOrd="1" destOrd="0" presId="urn:microsoft.com/office/officeart/2005/8/layout/hierarchy2"/>
    <dgm:cxn modelId="{C8ADCFDB-D06B-934D-BC30-F3FD7A75ABFB}" type="presParOf" srcId="{B16517F1-AE68-4042-92B6-CE00F6845C72}" destId="{65135BCA-5801-854C-A825-48F4FDB08852}" srcOrd="0" destOrd="0" presId="urn:microsoft.com/office/officeart/2005/8/layout/hierarchy2"/>
    <dgm:cxn modelId="{BF6C1DF0-C1AD-3447-8A83-77C85DF2B9AD}" type="presParOf" srcId="{65135BCA-5801-854C-A825-48F4FDB08852}" destId="{92441A71-F502-6F46-93A3-C04312422963}" srcOrd="0" destOrd="0" presId="urn:microsoft.com/office/officeart/2005/8/layout/hierarchy2"/>
    <dgm:cxn modelId="{9E8056B4-EA6E-E147-897B-5E81D91DB250}" type="presParOf" srcId="{B16517F1-AE68-4042-92B6-CE00F6845C72}" destId="{3D531C2D-2E6D-E94B-8EA3-25DC89B990F3}" srcOrd="1" destOrd="0" presId="urn:microsoft.com/office/officeart/2005/8/layout/hierarchy2"/>
    <dgm:cxn modelId="{4E1F271E-CAB6-F442-AA65-666C1B46BCDA}" type="presParOf" srcId="{3D531C2D-2E6D-E94B-8EA3-25DC89B990F3}" destId="{66B29422-043E-A54F-9C78-6B63DA15A09C}" srcOrd="0" destOrd="0" presId="urn:microsoft.com/office/officeart/2005/8/layout/hierarchy2"/>
    <dgm:cxn modelId="{135D3285-4545-1542-8651-8673029860BB}" type="presParOf" srcId="{3D531C2D-2E6D-E94B-8EA3-25DC89B990F3}" destId="{A1D8A046-0172-3646-90F3-D80C6073B0F7}" srcOrd="1" destOrd="0" presId="urn:microsoft.com/office/officeart/2005/8/layout/hierarchy2"/>
    <dgm:cxn modelId="{1EB612C2-C8F7-764B-A37E-203D1BD1A1EF}" type="presParOf" srcId="{A1D8A046-0172-3646-90F3-D80C6073B0F7}" destId="{0B2B8173-6D1B-1A47-A828-8BFF88FC26CD}" srcOrd="0" destOrd="0" presId="urn:microsoft.com/office/officeart/2005/8/layout/hierarchy2"/>
    <dgm:cxn modelId="{49798D2D-F1D0-AE46-96A0-0D5BCD79D3D3}" type="presParOf" srcId="{0B2B8173-6D1B-1A47-A828-8BFF88FC26CD}" destId="{FA367C40-5C72-FF4A-A625-C88624769625}" srcOrd="0" destOrd="0" presId="urn:microsoft.com/office/officeart/2005/8/layout/hierarchy2"/>
    <dgm:cxn modelId="{679EB598-51BC-FD48-853B-FD783633ABC2}" type="presParOf" srcId="{A1D8A046-0172-3646-90F3-D80C6073B0F7}" destId="{EAFC7FC2-730C-6743-B427-67151193D2AE}" srcOrd="1" destOrd="0" presId="urn:microsoft.com/office/officeart/2005/8/layout/hierarchy2"/>
    <dgm:cxn modelId="{B468AA12-A3E2-CD48-9EC1-0498385453B9}" type="presParOf" srcId="{EAFC7FC2-730C-6743-B427-67151193D2AE}" destId="{BB6F875B-CA7B-4C4B-8D32-9639CCA9FDFB}" srcOrd="0" destOrd="0" presId="urn:microsoft.com/office/officeart/2005/8/layout/hierarchy2"/>
    <dgm:cxn modelId="{8D2E105C-8B67-BF4C-A0F5-B547772ED5D5}" type="presParOf" srcId="{EAFC7FC2-730C-6743-B427-67151193D2AE}" destId="{B5D30E95-5F06-4F4F-B80C-8A7873D4E910}" srcOrd="1" destOrd="0" presId="urn:microsoft.com/office/officeart/2005/8/layout/hierarchy2"/>
    <dgm:cxn modelId="{F860F451-B6A5-854C-9BFB-BBFE47F6873B}" type="presParOf" srcId="{A1D8A046-0172-3646-90F3-D80C6073B0F7}" destId="{1F234C98-6369-0740-B7A4-4FA1DE2869AE}" srcOrd="2" destOrd="0" presId="urn:microsoft.com/office/officeart/2005/8/layout/hierarchy2"/>
    <dgm:cxn modelId="{71531DBC-1B2F-9145-A2E8-21BC8A80BE00}" type="presParOf" srcId="{1F234C98-6369-0740-B7A4-4FA1DE2869AE}" destId="{7B446528-E0B9-C245-A1E0-97A856C2EF92}" srcOrd="0" destOrd="0" presId="urn:microsoft.com/office/officeart/2005/8/layout/hierarchy2"/>
    <dgm:cxn modelId="{7C0A4DF5-7487-9142-83C7-ACABEF86710D}" type="presParOf" srcId="{A1D8A046-0172-3646-90F3-D80C6073B0F7}" destId="{D82B9893-1770-9547-98E1-581DA8338CAC}" srcOrd="3" destOrd="0" presId="urn:microsoft.com/office/officeart/2005/8/layout/hierarchy2"/>
    <dgm:cxn modelId="{DD9F0A99-BABE-5542-9902-B0EDC15BFC20}" type="presParOf" srcId="{D82B9893-1770-9547-98E1-581DA8338CAC}" destId="{B7700DDE-1FE9-F24E-93A4-74E1CDED4FA2}" srcOrd="0" destOrd="0" presId="urn:microsoft.com/office/officeart/2005/8/layout/hierarchy2"/>
    <dgm:cxn modelId="{4B1F5CA5-4052-6C40-8B19-84CD5E84697D}" type="presParOf" srcId="{D82B9893-1770-9547-98E1-581DA8338CAC}" destId="{C7AB8337-3820-0D41-B51C-D3C2B9E14EC8}" srcOrd="1" destOrd="0" presId="urn:microsoft.com/office/officeart/2005/8/layout/hierarchy2"/>
    <dgm:cxn modelId="{28C6A1F0-8852-844B-8803-C21FE4ACCB68}" type="presParOf" srcId="{D6C357BF-7758-5C41-A4C0-10CDE78A62B4}" destId="{CA112EED-07C6-8042-8D9E-601B16D74181}" srcOrd="2" destOrd="0" presId="urn:microsoft.com/office/officeart/2005/8/layout/hierarchy2"/>
    <dgm:cxn modelId="{9FF8D36D-2098-A44A-8E5E-F472F20DAD05}" type="presParOf" srcId="{CA112EED-07C6-8042-8D9E-601B16D74181}" destId="{E9A745DE-E22F-6E47-98CC-7AF61C5326F3}" srcOrd="0" destOrd="0" presId="urn:microsoft.com/office/officeart/2005/8/layout/hierarchy2"/>
    <dgm:cxn modelId="{D5BF034A-06F4-F84E-B6F8-BD0542EE22F5}" type="presParOf" srcId="{D6C357BF-7758-5C41-A4C0-10CDE78A62B4}" destId="{DA899F5C-677A-2445-B74C-CB6200A423D6}" srcOrd="3" destOrd="0" presId="urn:microsoft.com/office/officeart/2005/8/layout/hierarchy2"/>
    <dgm:cxn modelId="{1ACE13FA-F533-484D-94AE-74526F2E3648}" type="presParOf" srcId="{DA899F5C-677A-2445-B74C-CB6200A423D6}" destId="{6FBE70B8-696D-1A43-9061-58636D3E09B5}" srcOrd="0" destOrd="0" presId="urn:microsoft.com/office/officeart/2005/8/layout/hierarchy2"/>
    <dgm:cxn modelId="{DF3F1914-ED23-194A-A188-B5139CE9D13E}" type="presParOf" srcId="{DA899F5C-677A-2445-B74C-CB6200A423D6}" destId="{4D653ECF-B28A-C649-97F7-36D5A2428EAF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4A5457-AAA8-B144-A528-35991F435DF3}">
      <dsp:nvSpPr>
        <dsp:cNvPr id="0" name=""/>
        <dsp:cNvSpPr/>
      </dsp:nvSpPr>
      <dsp:spPr>
        <a:xfrm>
          <a:off x="940493" y="1286293"/>
          <a:ext cx="2114850" cy="105742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t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/>
            <a:t>Decide</a:t>
          </a:r>
        </a:p>
      </dsp:txBody>
      <dsp:txXfrm>
        <a:off x="971464" y="1317264"/>
        <a:ext cx="2052908" cy="995483"/>
      </dsp:txXfrm>
    </dsp:sp>
    <dsp:sp modelId="{EC31C2FB-0D45-754A-ABE2-A33D60B90AB0}">
      <dsp:nvSpPr>
        <dsp:cNvPr id="0" name=""/>
        <dsp:cNvSpPr/>
      </dsp:nvSpPr>
      <dsp:spPr>
        <a:xfrm rot="18729587">
          <a:off x="2898944" y="1431907"/>
          <a:ext cx="951335" cy="60996"/>
        </a:xfrm>
        <a:custGeom>
          <a:avLst/>
          <a:gdLst/>
          <a:ahLst/>
          <a:cxnLst/>
          <a:rect l="0" t="0" r="0" b="0"/>
          <a:pathLst>
            <a:path>
              <a:moveTo>
                <a:pt x="0" y="30498"/>
              </a:moveTo>
              <a:lnTo>
                <a:pt x="951335" y="3049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3350829" y="1438621"/>
        <a:ext cx="47566" cy="47566"/>
      </dsp:txXfrm>
    </dsp:sp>
    <dsp:sp modelId="{85E297B7-8203-E248-B7A7-ADF4593CBF1A}">
      <dsp:nvSpPr>
        <dsp:cNvPr id="0" name=""/>
        <dsp:cNvSpPr/>
      </dsp:nvSpPr>
      <dsp:spPr>
        <a:xfrm>
          <a:off x="3693880" y="482613"/>
          <a:ext cx="2745371" cy="125438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t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/>
            <a:t>License: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/>
            <a:t>Invest in test phase I</a:t>
          </a:r>
        </a:p>
      </dsp:txBody>
      <dsp:txXfrm>
        <a:off x="3730620" y="519353"/>
        <a:ext cx="2671891" cy="1180901"/>
      </dsp:txXfrm>
    </dsp:sp>
    <dsp:sp modelId="{65135BCA-5801-854C-A825-48F4FDB08852}">
      <dsp:nvSpPr>
        <dsp:cNvPr id="0" name=""/>
        <dsp:cNvSpPr/>
      </dsp:nvSpPr>
      <dsp:spPr>
        <a:xfrm rot="543155">
          <a:off x="6433875" y="1147235"/>
          <a:ext cx="863462" cy="60996"/>
        </a:xfrm>
        <a:custGeom>
          <a:avLst/>
          <a:gdLst/>
          <a:ahLst/>
          <a:cxnLst/>
          <a:rect l="0" t="0" r="0" b="0"/>
          <a:pathLst>
            <a:path>
              <a:moveTo>
                <a:pt x="0" y="30498"/>
              </a:moveTo>
              <a:lnTo>
                <a:pt x="863462" y="3049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6844020" y="1156146"/>
        <a:ext cx="43173" cy="43173"/>
      </dsp:txXfrm>
    </dsp:sp>
    <dsp:sp modelId="{66B29422-043E-A54F-9C78-6B63DA15A09C}">
      <dsp:nvSpPr>
        <dsp:cNvPr id="0" name=""/>
        <dsp:cNvSpPr/>
      </dsp:nvSpPr>
      <dsp:spPr>
        <a:xfrm>
          <a:off x="7291960" y="684142"/>
          <a:ext cx="2878311" cy="1123038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Uncertainty</a:t>
          </a:r>
        </a:p>
      </dsp:txBody>
      <dsp:txXfrm>
        <a:off x="7713479" y="848607"/>
        <a:ext cx="2035273" cy="794108"/>
      </dsp:txXfrm>
    </dsp:sp>
    <dsp:sp modelId="{0B2B8173-6D1B-1A47-A828-8BFF88FC26CD}">
      <dsp:nvSpPr>
        <dsp:cNvPr id="0" name=""/>
        <dsp:cNvSpPr/>
      </dsp:nvSpPr>
      <dsp:spPr>
        <a:xfrm rot="20361605">
          <a:off x="10104997" y="856689"/>
          <a:ext cx="2033936" cy="60996"/>
        </a:xfrm>
        <a:custGeom>
          <a:avLst/>
          <a:gdLst/>
          <a:ahLst/>
          <a:cxnLst/>
          <a:rect l="0" t="0" r="0" b="0"/>
          <a:pathLst>
            <a:path>
              <a:moveTo>
                <a:pt x="0" y="30498"/>
              </a:moveTo>
              <a:lnTo>
                <a:pt x="2033936" y="3049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1071116" y="836338"/>
        <a:ext cx="101696" cy="101696"/>
      </dsp:txXfrm>
    </dsp:sp>
    <dsp:sp modelId="{BB6F875B-CA7B-4C4B-8D32-9639CCA9FDFB}">
      <dsp:nvSpPr>
        <dsp:cNvPr id="0" name=""/>
        <dsp:cNvSpPr/>
      </dsp:nvSpPr>
      <dsp:spPr>
        <a:xfrm>
          <a:off x="12073658" y="0"/>
          <a:ext cx="2114850" cy="105742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t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/>
            <a:t>Success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2104629" y="30971"/>
        <a:ext cx="2052908" cy="995483"/>
      </dsp:txXfrm>
    </dsp:sp>
    <dsp:sp modelId="{1F234C98-6369-0740-B7A4-4FA1DE2869AE}">
      <dsp:nvSpPr>
        <dsp:cNvPr id="0" name=""/>
        <dsp:cNvSpPr/>
      </dsp:nvSpPr>
      <dsp:spPr>
        <a:xfrm rot="1384469">
          <a:off x="10083873" y="1638419"/>
          <a:ext cx="2159867" cy="60996"/>
        </a:xfrm>
        <a:custGeom>
          <a:avLst/>
          <a:gdLst/>
          <a:ahLst/>
          <a:cxnLst/>
          <a:rect l="0" t="0" r="0" b="0"/>
          <a:pathLst>
            <a:path>
              <a:moveTo>
                <a:pt x="0" y="30498"/>
              </a:moveTo>
              <a:lnTo>
                <a:pt x="2159867" y="3049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1109810" y="1614920"/>
        <a:ext cx="107993" cy="107993"/>
      </dsp:txXfrm>
    </dsp:sp>
    <dsp:sp modelId="{B7700DDE-1FE9-F24E-93A4-74E1CDED4FA2}">
      <dsp:nvSpPr>
        <dsp:cNvPr id="0" name=""/>
        <dsp:cNvSpPr/>
      </dsp:nvSpPr>
      <dsp:spPr>
        <a:xfrm>
          <a:off x="12157341" y="1563460"/>
          <a:ext cx="2114850" cy="105742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t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/>
            <a:t>Failure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2188312" y="1594431"/>
        <a:ext cx="2052908" cy="995483"/>
      </dsp:txXfrm>
    </dsp:sp>
    <dsp:sp modelId="{CA112EED-07C6-8042-8D9E-601B16D74181}">
      <dsp:nvSpPr>
        <dsp:cNvPr id="0" name=""/>
        <dsp:cNvSpPr/>
      </dsp:nvSpPr>
      <dsp:spPr>
        <a:xfrm rot="2481272">
          <a:off x="2921850" y="2138213"/>
          <a:ext cx="1070673" cy="60996"/>
        </a:xfrm>
        <a:custGeom>
          <a:avLst/>
          <a:gdLst/>
          <a:ahLst/>
          <a:cxnLst/>
          <a:rect l="0" t="0" r="0" b="0"/>
          <a:pathLst>
            <a:path>
              <a:moveTo>
                <a:pt x="0" y="30498"/>
              </a:moveTo>
              <a:lnTo>
                <a:pt x="1070673" y="3049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3430419" y="2141945"/>
        <a:ext cx="53533" cy="53533"/>
      </dsp:txXfrm>
    </dsp:sp>
    <dsp:sp modelId="{6FBE70B8-696D-1A43-9061-58636D3E09B5}">
      <dsp:nvSpPr>
        <dsp:cNvPr id="0" name=""/>
        <dsp:cNvSpPr/>
      </dsp:nvSpPr>
      <dsp:spPr>
        <a:xfrm>
          <a:off x="3859029" y="1924364"/>
          <a:ext cx="2403612" cy="119610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t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b="1" kern="1200"/>
            <a:t>Do not lisence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3894062" y="1959397"/>
        <a:ext cx="2333546" cy="112604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4A5457-AAA8-B144-A528-35991F435DF3}">
      <dsp:nvSpPr>
        <dsp:cNvPr id="0" name=""/>
        <dsp:cNvSpPr/>
      </dsp:nvSpPr>
      <dsp:spPr>
        <a:xfrm>
          <a:off x="5507" y="2553174"/>
          <a:ext cx="2904877" cy="174559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t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b="1" kern="1200"/>
            <a:t>Decide</a:t>
          </a:r>
        </a:p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b="1" kern="1200"/>
            <a:t>Lisence &amp; Launch</a:t>
          </a:r>
        </a:p>
      </dsp:txBody>
      <dsp:txXfrm>
        <a:off x="56634" y="2604301"/>
        <a:ext cx="2802623" cy="1643344"/>
      </dsp:txXfrm>
    </dsp:sp>
    <dsp:sp modelId="{EC31C2FB-0D45-754A-ABE2-A33D60B90AB0}">
      <dsp:nvSpPr>
        <dsp:cNvPr id="0" name=""/>
        <dsp:cNvSpPr/>
      </dsp:nvSpPr>
      <dsp:spPr>
        <a:xfrm rot="19480623">
          <a:off x="2725069" y="2801238"/>
          <a:ext cx="2013267" cy="85429"/>
        </a:xfrm>
        <a:custGeom>
          <a:avLst/>
          <a:gdLst/>
          <a:ahLst/>
          <a:cxnLst/>
          <a:rect l="0" t="0" r="0" b="0"/>
          <a:pathLst>
            <a:path>
              <a:moveTo>
                <a:pt x="0" y="42714"/>
              </a:moveTo>
              <a:lnTo>
                <a:pt x="2013267" y="4271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3681372" y="2793621"/>
        <a:ext cx="100663" cy="100663"/>
      </dsp:txXfrm>
    </dsp:sp>
    <dsp:sp modelId="{85E297B7-8203-E248-B7A7-ADF4593CBF1A}">
      <dsp:nvSpPr>
        <dsp:cNvPr id="0" name=""/>
        <dsp:cNvSpPr/>
      </dsp:nvSpPr>
      <dsp:spPr>
        <a:xfrm>
          <a:off x="4553022" y="1195670"/>
          <a:ext cx="4767799" cy="2132523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t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b="1" kern="1200"/>
            <a:t>License &amp; Launch:</a:t>
          </a:r>
        </a:p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b="1" kern="1200"/>
            <a:t>Invest in test phase I</a:t>
          </a:r>
        </a:p>
      </dsp:txBody>
      <dsp:txXfrm>
        <a:off x="4615481" y="1258129"/>
        <a:ext cx="4642881" cy="2007605"/>
      </dsp:txXfrm>
    </dsp:sp>
    <dsp:sp modelId="{65135BCA-5801-854C-A825-48F4FDB08852}">
      <dsp:nvSpPr>
        <dsp:cNvPr id="0" name=""/>
        <dsp:cNvSpPr/>
      </dsp:nvSpPr>
      <dsp:spPr>
        <a:xfrm rot="21579719">
          <a:off x="9320802" y="2212444"/>
          <a:ext cx="2296293" cy="85429"/>
        </a:xfrm>
        <a:custGeom>
          <a:avLst/>
          <a:gdLst/>
          <a:ahLst/>
          <a:cxnLst/>
          <a:rect l="0" t="0" r="0" b="0"/>
          <a:pathLst>
            <a:path>
              <a:moveTo>
                <a:pt x="0" y="42714"/>
              </a:moveTo>
              <a:lnTo>
                <a:pt x="2296293" y="4271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0411541" y="2197751"/>
        <a:ext cx="114814" cy="114814"/>
      </dsp:txXfrm>
    </dsp:sp>
    <dsp:sp modelId="{66B29422-043E-A54F-9C78-6B63DA15A09C}">
      <dsp:nvSpPr>
        <dsp:cNvPr id="0" name=""/>
        <dsp:cNvSpPr/>
      </dsp:nvSpPr>
      <dsp:spPr>
        <a:xfrm>
          <a:off x="11617076" y="1462171"/>
          <a:ext cx="3490706" cy="1572428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Uncertainty</a:t>
          </a:r>
        </a:p>
      </dsp:txBody>
      <dsp:txXfrm>
        <a:off x="12128278" y="1692448"/>
        <a:ext cx="2468302" cy="1111874"/>
      </dsp:txXfrm>
    </dsp:sp>
    <dsp:sp modelId="{0B2B8173-6D1B-1A47-A828-8BFF88FC26CD}">
      <dsp:nvSpPr>
        <dsp:cNvPr id="0" name=""/>
        <dsp:cNvSpPr/>
      </dsp:nvSpPr>
      <dsp:spPr>
        <a:xfrm rot="20072529">
          <a:off x="14975741" y="1621134"/>
          <a:ext cx="2719741" cy="85429"/>
        </a:xfrm>
        <a:custGeom>
          <a:avLst/>
          <a:gdLst/>
          <a:ahLst/>
          <a:cxnLst/>
          <a:rect l="0" t="0" r="0" b="0"/>
          <a:pathLst>
            <a:path>
              <a:moveTo>
                <a:pt x="0" y="42714"/>
              </a:moveTo>
              <a:lnTo>
                <a:pt x="2719741" y="4271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6267618" y="1595856"/>
        <a:ext cx="135987" cy="135987"/>
      </dsp:txXfrm>
    </dsp:sp>
    <dsp:sp modelId="{BB6F875B-CA7B-4C4B-8D32-9639CCA9FDFB}">
      <dsp:nvSpPr>
        <dsp:cNvPr id="0" name=""/>
        <dsp:cNvSpPr/>
      </dsp:nvSpPr>
      <dsp:spPr>
        <a:xfrm>
          <a:off x="17563441" y="102982"/>
          <a:ext cx="3925235" cy="195266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t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Success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7620632" y="160173"/>
        <a:ext cx="3810853" cy="1838279"/>
      </dsp:txXfrm>
    </dsp:sp>
    <dsp:sp modelId="{1F234C98-6369-0740-B7A4-4FA1DE2869AE}">
      <dsp:nvSpPr>
        <dsp:cNvPr id="0" name=""/>
        <dsp:cNvSpPr/>
      </dsp:nvSpPr>
      <dsp:spPr>
        <a:xfrm rot="1985847">
          <a:off x="14869497" y="3007601"/>
          <a:ext cx="2937125" cy="85429"/>
        </a:xfrm>
        <a:custGeom>
          <a:avLst/>
          <a:gdLst/>
          <a:ahLst/>
          <a:cxnLst/>
          <a:rect l="0" t="0" r="0" b="0"/>
          <a:pathLst>
            <a:path>
              <a:moveTo>
                <a:pt x="0" y="42714"/>
              </a:moveTo>
              <a:lnTo>
                <a:pt x="2937125" y="4271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6264632" y="2976888"/>
        <a:ext cx="146856" cy="146856"/>
      </dsp:txXfrm>
    </dsp:sp>
    <dsp:sp modelId="{B7700DDE-1FE9-F24E-93A4-74E1CDED4FA2}">
      <dsp:nvSpPr>
        <dsp:cNvPr id="0" name=""/>
        <dsp:cNvSpPr/>
      </dsp:nvSpPr>
      <dsp:spPr>
        <a:xfrm>
          <a:off x="17568338" y="2845897"/>
          <a:ext cx="4104716" cy="201269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t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Failure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17627288" y="2904847"/>
        <a:ext cx="3986816" cy="1894797"/>
      </dsp:txXfrm>
    </dsp:sp>
    <dsp:sp modelId="{CA112EED-07C6-8042-8D9E-601B16D74181}">
      <dsp:nvSpPr>
        <dsp:cNvPr id="0" name=""/>
        <dsp:cNvSpPr/>
      </dsp:nvSpPr>
      <dsp:spPr>
        <a:xfrm rot="1840298">
          <a:off x="2745159" y="3985741"/>
          <a:ext cx="2362135" cy="85429"/>
        </a:xfrm>
        <a:custGeom>
          <a:avLst/>
          <a:gdLst/>
          <a:ahLst/>
          <a:cxnLst/>
          <a:rect l="0" t="0" r="0" b="0"/>
          <a:pathLst>
            <a:path>
              <a:moveTo>
                <a:pt x="0" y="42714"/>
              </a:moveTo>
              <a:lnTo>
                <a:pt x="2362135" y="4271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3867173" y="3969402"/>
        <a:ext cx="118106" cy="118106"/>
      </dsp:txXfrm>
    </dsp:sp>
    <dsp:sp modelId="{6FBE70B8-696D-1A43-9061-58636D3E09B5}">
      <dsp:nvSpPr>
        <dsp:cNvPr id="0" name=""/>
        <dsp:cNvSpPr/>
      </dsp:nvSpPr>
      <dsp:spPr>
        <a:xfrm>
          <a:off x="4942069" y="3742539"/>
          <a:ext cx="4248779" cy="17767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t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b="1" kern="1200"/>
            <a:t>Do Nothing</a:t>
          </a:r>
        </a:p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>
        <a:off x="4994110" y="3794580"/>
        <a:ext cx="4144697" cy="167271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1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diagramQuickStyle" Target="../diagrams/quickStyle2.xml"/><Relationship Id="rId7" Type="http://schemas.microsoft.com/office/2014/relationships/chartEx" Target="../charts/chartEx1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image" Target="../media/image1.png"/><Relationship Id="rId11" Type="http://schemas.microsoft.com/office/2014/relationships/chartEx" Target="../charts/chartEx5.xml"/><Relationship Id="rId5" Type="http://schemas.microsoft.com/office/2007/relationships/diagramDrawing" Target="../diagrams/drawing2.xml"/><Relationship Id="rId10" Type="http://schemas.microsoft.com/office/2014/relationships/chartEx" Target="../charts/chartEx4.xml"/><Relationship Id="rId4" Type="http://schemas.openxmlformats.org/officeDocument/2006/relationships/diagramColors" Target="../diagrams/colors2.xml"/><Relationship Id="rId9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7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3773437-064D-991D-51DE-363B16FF5724}"/>
            </a:ext>
          </a:extLst>
        </xdr:cNvPr>
        <xdr:cNvSpPr txBox="1"/>
      </xdr:nvSpPr>
      <xdr:spPr>
        <a:xfrm>
          <a:off x="38814375" y="17008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0</xdr:col>
      <xdr:colOff>800108</xdr:colOff>
      <xdr:row>4</xdr:row>
      <xdr:rowOff>115337</xdr:rowOff>
    </xdr:from>
    <xdr:to>
      <xdr:col>33</xdr:col>
      <xdr:colOff>387984</xdr:colOff>
      <xdr:row>37</xdr:row>
      <xdr:rowOff>6794</xdr:rowOff>
    </xdr:to>
    <xdr:grpSp>
      <xdr:nvGrpSpPr>
        <xdr:cNvPr id="258" name="Group 257">
          <a:extLst>
            <a:ext uri="{FF2B5EF4-FFF2-40B4-BE49-F238E27FC236}">
              <a16:creationId xmlns:a16="http://schemas.microsoft.com/office/drawing/2014/main" id="{3E96DB22-D447-D811-43DD-DC31E64299B5}"/>
            </a:ext>
          </a:extLst>
        </xdr:cNvPr>
        <xdr:cNvGrpSpPr/>
      </xdr:nvGrpSpPr>
      <xdr:grpSpPr>
        <a:xfrm>
          <a:off x="800108" y="1122578"/>
          <a:ext cx="39921324" cy="10117147"/>
          <a:chOff x="800108" y="1161219"/>
          <a:chExt cx="39966405" cy="10387634"/>
        </a:xfrm>
      </xdr:grpSpPr>
      <xdr:grpSp>
        <xdr:nvGrpSpPr>
          <xdr:cNvPr id="255" name="Group 254">
            <a:extLst>
              <a:ext uri="{FF2B5EF4-FFF2-40B4-BE49-F238E27FC236}">
                <a16:creationId xmlns:a16="http://schemas.microsoft.com/office/drawing/2014/main" id="{2411F113-A647-CDB2-3259-EC2BC41231AD}"/>
              </a:ext>
            </a:extLst>
          </xdr:cNvPr>
          <xdr:cNvGrpSpPr/>
        </xdr:nvGrpSpPr>
        <xdr:grpSpPr>
          <a:xfrm>
            <a:off x="800108" y="6657346"/>
            <a:ext cx="14288309" cy="3203898"/>
            <a:chOff x="829416" y="6662517"/>
            <a:chExt cx="14280551" cy="3163671"/>
          </a:xfrm>
        </xdr:grpSpPr>
        <xdr:graphicFrame macro="">
          <xdr:nvGraphicFramePr>
            <xdr:cNvPr id="5" name="Diagram 4">
              <a:extLst>
                <a:ext uri="{FF2B5EF4-FFF2-40B4-BE49-F238E27FC236}">
                  <a16:creationId xmlns:a16="http://schemas.microsoft.com/office/drawing/2014/main" id="{CDF33E81-0796-4CE6-B3D3-94B29BBC678F}"/>
                </a:ext>
              </a:extLst>
            </xdr:cNvPr>
            <xdr:cNvGraphicFramePr/>
          </xdr:nvGraphicFramePr>
          <xdr:xfrm>
            <a:off x="829416" y="6662517"/>
            <a:ext cx="14280551" cy="3163671"/>
          </xdr:xfrm>
          <a:graphic>
            <a:graphicData uri="http://schemas.openxmlformats.org/drawingml/2006/diagram">
              <dgm:relIds xmlns:dgm="http://schemas.openxmlformats.org/drawingml/2006/diagram" xmlns:r="http://schemas.openxmlformats.org/officeDocument/2006/relationships" r:dm="rId1" r:lo="rId2" r:qs="rId3" r:cs="rId4"/>
            </a:graphicData>
          </a:graphic>
        </xdr:graphicFrame>
        <xdr:sp macro="" textlink="$AS$10">
          <xdr:nvSpPr>
            <xdr:cNvPr id="40" name="TextBox 39">
              <a:extLst>
                <a:ext uri="{FF2B5EF4-FFF2-40B4-BE49-F238E27FC236}">
                  <a16:creationId xmlns:a16="http://schemas.microsoft.com/office/drawing/2014/main" id="{F9A1689D-EC06-4BEE-8CD4-3FA0AD80009B}"/>
                </a:ext>
              </a:extLst>
            </xdr:cNvPr>
            <xdr:cNvSpPr txBox="1"/>
          </xdr:nvSpPr>
          <xdr:spPr>
            <a:xfrm>
              <a:off x="13526271" y="7032692"/>
              <a:ext cx="1258198" cy="464026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B5A778BC-6FAB-46AB-BB09-5FC89B91366E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43.3</a:t>
              </a:fld>
              <a:endParaRPr lang="en-CA" sz="1100"/>
            </a:p>
          </xdr:txBody>
        </xdr:sp>
        <xdr:sp macro="" textlink="$AS$11">
          <xdr:nvSpPr>
            <xdr:cNvPr id="41" name="TextBox 40">
              <a:extLst>
                <a:ext uri="{FF2B5EF4-FFF2-40B4-BE49-F238E27FC236}">
                  <a16:creationId xmlns:a16="http://schemas.microsoft.com/office/drawing/2014/main" id="{60E5C79A-C410-4448-9D0D-7AF9E63814B9}"/>
                </a:ext>
              </a:extLst>
            </xdr:cNvPr>
            <xdr:cNvSpPr txBox="1"/>
          </xdr:nvSpPr>
          <xdr:spPr>
            <a:xfrm>
              <a:off x="13494887" y="8614940"/>
              <a:ext cx="1258198" cy="493064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05AAF81E-0993-4288-B28F-5C02129B178A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-30</a:t>
              </a:fld>
              <a:endParaRPr lang="en-CA" sz="1100"/>
            </a:p>
          </xdr:txBody>
        </xdr:sp>
        <xdr:sp macro="" textlink="$AS$9">
          <xdr:nvSpPr>
            <xdr:cNvPr id="76" name="TextBox 75">
              <a:extLst>
                <a:ext uri="{FF2B5EF4-FFF2-40B4-BE49-F238E27FC236}">
                  <a16:creationId xmlns:a16="http://schemas.microsoft.com/office/drawing/2014/main" id="{5E8C66C8-66E8-6D13-2F33-07CEE03F871C}"/>
                </a:ext>
              </a:extLst>
            </xdr:cNvPr>
            <xdr:cNvSpPr txBox="1"/>
          </xdr:nvSpPr>
          <xdr:spPr>
            <a:xfrm>
              <a:off x="11576136" y="8393079"/>
              <a:ext cx="517123" cy="32170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251548F4-F3F1-4A5F-A6C7-537DC9D4D005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0.4</a:t>
              </a:fld>
              <a:endParaRPr lang="en-CA" sz="1100"/>
            </a:p>
          </xdr:txBody>
        </xdr:sp>
        <xdr:sp macro="" textlink="$AS$8">
          <xdr:nvSpPr>
            <xdr:cNvPr id="75" name="TextBox 74">
              <a:extLst>
                <a:ext uri="{FF2B5EF4-FFF2-40B4-BE49-F238E27FC236}">
                  <a16:creationId xmlns:a16="http://schemas.microsoft.com/office/drawing/2014/main" id="{0F3A5CB7-A514-F98B-A609-D974BE286B2C}"/>
                </a:ext>
              </a:extLst>
            </xdr:cNvPr>
            <xdr:cNvSpPr txBox="1"/>
          </xdr:nvSpPr>
          <xdr:spPr>
            <a:xfrm>
              <a:off x="11675160" y="7045315"/>
              <a:ext cx="627148" cy="3104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07A562AC-C572-4F2D-AE7A-7D1A337F5C13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0.6</a:t>
              </a:fld>
              <a:endParaRPr lang="en-CA" sz="1100"/>
            </a:p>
          </xdr:txBody>
        </xdr:sp>
        <xdr:sp macro="" textlink="$AS$13">
          <xdr:nvSpPr>
            <xdr:cNvPr id="42" name="TextBox 41">
              <a:extLst>
                <a:ext uri="{FF2B5EF4-FFF2-40B4-BE49-F238E27FC236}">
                  <a16:creationId xmlns:a16="http://schemas.microsoft.com/office/drawing/2014/main" id="{D29684B7-7394-41E8-AFB3-B9DB3C06643A}"/>
                </a:ext>
              </a:extLst>
            </xdr:cNvPr>
            <xdr:cNvSpPr txBox="1"/>
          </xdr:nvSpPr>
          <xdr:spPr>
            <a:xfrm>
              <a:off x="5259353" y="7797594"/>
              <a:ext cx="1270568" cy="482613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F3974F1-5F47-4792-891C-4098C7B2D332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13.98</a:t>
              </a:fld>
              <a:endParaRPr lang="en-CA" sz="1100"/>
            </a:p>
          </xdr:txBody>
        </xdr:sp>
        <xdr:sp macro="" textlink="$AS$12">
          <xdr:nvSpPr>
            <xdr:cNvPr id="43" name="TextBox 42">
              <a:extLst>
                <a:ext uri="{FF2B5EF4-FFF2-40B4-BE49-F238E27FC236}">
                  <a16:creationId xmlns:a16="http://schemas.microsoft.com/office/drawing/2014/main" id="{ADB67C75-8CA3-46FB-B158-968074AF5FAB}"/>
                </a:ext>
              </a:extLst>
            </xdr:cNvPr>
            <xdr:cNvSpPr txBox="1"/>
          </xdr:nvSpPr>
          <xdr:spPr>
            <a:xfrm>
              <a:off x="5329290" y="9020083"/>
              <a:ext cx="1270568" cy="527772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91B293E2-E837-45D8-ADD5-0069D26217B7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0</a:t>
              </a:fld>
              <a:endParaRPr lang="en-CA" sz="1100"/>
            </a:p>
          </xdr:txBody>
        </xdr:sp>
        <xdr:sp macro="" textlink="$AS$14">
          <xdr:nvSpPr>
            <xdr:cNvPr id="45" name="TextBox 44">
              <a:extLst>
                <a:ext uri="{FF2B5EF4-FFF2-40B4-BE49-F238E27FC236}">
                  <a16:creationId xmlns:a16="http://schemas.microsoft.com/office/drawing/2014/main" id="{971260FE-509A-4E9F-997D-A59DF93A97EC}"/>
                </a:ext>
              </a:extLst>
            </xdr:cNvPr>
            <xdr:cNvSpPr txBox="1"/>
          </xdr:nvSpPr>
          <xdr:spPr>
            <a:xfrm>
              <a:off x="2158096" y="8370024"/>
              <a:ext cx="1159293" cy="522627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13788DDE-AEE1-40D8-B9FA-E2113A9C7AC0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13.98</a:t>
              </a:fld>
              <a:endParaRPr lang="en-CA" sz="1100"/>
            </a:p>
          </xdr:txBody>
        </xdr:sp>
      </xdr:grpSp>
      <xdr:grpSp>
        <xdr:nvGrpSpPr>
          <xdr:cNvPr id="254" name="Group 253">
            <a:extLst>
              <a:ext uri="{FF2B5EF4-FFF2-40B4-BE49-F238E27FC236}">
                <a16:creationId xmlns:a16="http://schemas.microsoft.com/office/drawing/2014/main" id="{AF6E44EA-EC33-EC14-B05F-47FA3F160130}"/>
              </a:ext>
            </a:extLst>
          </xdr:cNvPr>
          <xdr:cNvGrpSpPr/>
        </xdr:nvGrpSpPr>
        <xdr:grpSpPr>
          <a:xfrm>
            <a:off x="15115097" y="1161219"/>
            <a:ext cx="25651416" cy="10387634"/>
            <a:chOff x="15107339" y="1150875"/>
            <a:chExt cx="25471260" cy="10266381"/>
          </a:xfrm>
        </xdr:grpSpPr>
        <xdr:cxnSp macro="">
          <xdr:nvCxnSpPr>
            <xdr:cNvPr id="88" name="Straight Connector 87">
              <a:extLst>
                <a:ext uri="{FF2B5EF4-FFF2-40B4-BE49-F238E27FC236}">
                  <a16:creationId xmlns:a16="http://schemas.microsoft.com/office/drawing/2014/main" id="{20C267C8-DDBE-42BC-B5E0-BEF93AEC13A4}"/>
                </a:ext>
              </a:extLst>
            </xdr:cNvPr>
            <xdr:cNvCxnSpPr>
              <a:cxnSpLocks/>
              <a:endCxn id="87" idx="1"/>
            </xdr:cNvCxnSpPr>
          </xdr:nvCxnSpPr>
          <xdr:spPr>
            <a:xfrm>
              <a:off x="15113000" y="7151077"/>
              <a:ext cx="1221659" cy="671975"/>
            </a:xfrm>
            <a:prstGeom prst="line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240B6350-83B8-414C-B2F2-810C5DBE91D4}"/>
                </a:ext>
              </a:extLst>
            </xdr:cNvPr>
            <xdr:cNvCxnSpPr>
              <a:cxnSpLocks/>
              <a:endCxn id="25" idx="1"/>
            </xdr:cNvCxnSpPr>
          </xdr:nvCxnSpPr>
          <xdr:spPr>
            <a:xfrm flipV="1">
              <a:off x="15107339" y="6486640"/>
              <a:ext cx="1139079" cy="668692"/>
            </a:xfrm>
            <a:prstGeom prst="line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252" name="Group 251">
              <a:extLst>
                <a:ext uri="{FF2B5EF4-FFF2-40B4-BE49-F238E27FC236}">
                  <a16:creationId xmlns:a16="http://schemas.microsoft.com/office/drawing/2014/main" id="{688BBCBB-6FB1-4369-36B6-64C5BDD89F51}"/>
                </a:ext>
              </a:extLst>
            </xdr:cNvPr>
            <xdr:cNvGrpSpPr/>
          </xdr:nvGrpSpPr>
          <xdr:grpSpPr>
            <a:xfrm>
              <a:off x="16246418" y="1150875"/>
              <a:ext cx="24332181" cy="10266381"/>
              <a:chOff x="16246418" y="1150875"/>
              <a:chExt cx="24332181" cy="10266381"/>
            </a:xfrm>
          </xdr:grpSpPr>
          <xdr:grpSp>
            <xdr:nvGrpSpPr>
              <xdr:cNvPr id="251" name="Group 250">
                <a:extLst>
                  <a:ext uri="{FF2B5EF4-FFF2-40B4-BE49-F238E27FC236}">
                    <a16:creationId xmlns:a16="http://schemas.microsoft.com/office/drawing/2014/main" id="{9408E1BD-1972-806A-FB97-A5B1B794276B}"/>
                  </a:ext>
                </a:extLst>
              </xdr:cNvPr>
              <xdr:cNvGrpSpPr/>
            </xdr:nvGrpSpPr>
            <xdr:grpSpPr>
              <a:xfrm>
                <a:off x="16334659" y="7359117"/>
                <a:ext cx="2333673" cy="927869"/>
                <a:chOff x="16334659" y="7359117"/>
                <a:chExt cx="2333673" cy="927869"/>
              </a:xfrm>
            </xdr:grpSpPr>
            <xdr:sp macro="" textlink="">
              <xdr:nvSpPr>
                <xdr:cNvPr id="87" name="Rectangle: Rounded Corners 86">
                  <a:extLst>
                    <a:ext uri="{FF2B5EF4-FFF2-40B4-BE49-F238E27FC236}">
                      <a16:creationId xmlns:a16="http://schemas.microsoft.com/office/drawing/2014/main" id="{572ECDE0-FD01-4176-BEE2-DBA4F5FDA324}"/>
                    </a:ext>
                  </a:extLst>
                </xdr:cNvPr>
                <xdr:cNvSpPr/>
              </xdr:nvSpPr>
              <xdr:spPr>
                <a:xfrm>
                  <a:off x="16334659" y="7359117"/>
                  <a:ext cx="2333673" cy="927869"/>
                </a:xfrm>
                <a:prstGeom prst="roundRect">
                  <a:avLst>
                    <a:gd name="adj" fmla="val 10000"/>
                  </a:avLst>
                </a:prstGeom>
              </xdr:spPr>
              <xdr:style>
                <a:lnRef idx="3">
                  <a:schemeClr val="accent1">
                    <a:shade val="80000"/>
                    <a:hueOff val="0"/>
                    <a:satOff val="0"/>
                    <a:lumOff val="0"/>
                    <a:alphaOff val="0"/>
                  </a:schemeClr>
                </a:lnRef>
                <a:fillRef idx="1">
                  <a:schemeClr val="lt1">
                    <a:hueOff val="0"/>
                    <a:satOff val="0"/>
                    <a:lumOff val="0"/>
                    <a:alphaOff val="0"/>
                  </a:schemeClr>
                </a:fillRef>
                <a:effectRef idx="1">
                  <a:schemeClr val="lt1">
                    <a:hueOff val="0"/>
                    <a:satOff val="0"/>
                    <a:lumOff val="0"/>
                    <a:alphaOff val="0"/>
                  </a:schemeClr>
                </a:effectRef>
                <a:fontRef idx="minor">
                  <a:schemeClr val="dk1">
                    <a:hueOff val="0"/>
                    <a:satOff val="0"/>
                    <a:lumOff val="0"/>
                    <a:alphaOff val="0"/>
                  </a:schemeClr>
                </a:fontRef>
              </xdr:style>
              <xdr:txBody>
                <a:bodyPr/>
                <a:lstStyle/>
                <a:p>
                  <a:pPr algn="ctr"/>
                  <a:r>
                    <a:rPr lang="en-CA" b="1"/>
                    <a:t>Do Nothing (not license)</a:t>
                  </a:r>
                </a:p>
              </xdr:txBody>
            </xdr:sp>
            <xdr:sp macro="" textlink="$AP$16">
              <xdr:nvSpPr>
                <xdr:cNvPr id="38" name="TextBox 37">
                  <a:extLst>
                    <a:ext uri="{FF2B5EF4-FFF2-40B4-BE49-F238E27FC236}">
                      <a16:creationId xmlns:a16="http://schemas.microsoft.com/office/drawing/2014/main" id="{4F6DE0D6-07B0-436B-BA18-D800BD27AC9F}"/>
                    </a:ext>
                  </a:extLst>
                </xdr:cNvPr>
                <xdr:cNvSpPr txBox="1"/>
              </xdr:nvSpPr>
              <xdr:spPr>
                <a:xfrm>
                  <a:off x="16832636" y="7650681"/>
                  <a:ext cx="1279465" cy="501242"/>
                </a:xfrm>
                <a:prstGeom prst="rect">
                  <a:avLst/>
                </a:prstGeom>
                <a:solidFill>
                  <a:schemeClr val="bg2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09C7B25A-6F14-4933-A7E8-91B4A25ED9C5}" type="TxLink">
                    <a:rPr lang="en-US" sz="2000" b="0" i="0" u="none" strike="noStrike">
                      <a:solidFill>
                        <a:srgbClr val="000000"/>
                      </a:solidFill>
                      <a:latin typeface="Aptos Narrow"/>
                    </a:rPr>
                    <a:pPr/>
                    <a:t>-30</a:t>
                  </a:fld>
                  <a:endParaRPr lang="en-CA" sz="1100"/>
                </a:p>
              </xdr:txBody>
            </xdr:sp>
          </xdr:grpSp>
          <xdr:grpSp>
            <xdr:nvGrpSpPr>
              <xdr:cNvPr id="250" name="Group 249">
                <a:extLst>
                  <a:ext uri="{FF2B5EF4-FFF2-40B4-BE49-F238E27FC236}">
                    <a16:creationId xmlns:a16="http://schemas.microsoft.com/office/drawing/2014/main" id="{23EE7613-49B2-1294-0FF0-E4EC3E474894}"/>
                  </a:ext>
                </a:extLst>
              </xdr:cNvPr>
              <xdr:cNvGrpSpPr/>
            </xdr:nvGrpSpPr>
            <xdr:grpSpPr>
              <a:xfrm>
                <a:off x="16246418" y="6023526"/>
                <a:ext cx="2351024" cy="926227"/>
                <a:chOff x="16246418" y="6023526"/>
                <a:chExt cx="2351024" cy="926227"/>
              </a:xfrm>
            </xdr:grpSpPr>
            <xdr:sp macro="" textlink="">
              <xdr:nvSpPr>
                <xdr:cNvPr id="25" name="Rectangle: Rounded Corners 24">
                  <a:extLst>
                    <a:ext uri="{FF2B5EF4-FFF2-40B4-BE49-F238E27FC236}">
                      <a16:creationId xmlns:a16="http://schemas.microsoft.com/office/drawing/2014/main" id="{2F30FEEB-9404-DE43-3C5B-EDD5588CF5D2}"/>
                    </a:ext>
                  </a:extLst>
                </xdr:cNvPr>
                <xdr:cNvSpPr/>
              </xdr:nvSpPr>
              <xdr:spPr>
                <a:xfrm>
                  <a:off x="16246418" y="6023526"/>
                  <a:ext cx="2351024" cy="926227"/>
                </a:xfrm>
                <a:prstGeom prst="roundRect">
                  <a:avLst>
                    <a:gd name="adj" fmla="val 10000"/>
                  </a:avLst>
                </a:prstGeom>
              </xdr:spPr>
              <xdr:style>
                <a:lnRef idx="3">
                  <a:schemeClr val="accent1">
                    <a:shade val="80000"/>
                    <a:hueOff val="0"/>
                    <a:satOff val="0"/>
                    <a:lumOff val="0"/>
                    <a:alphaOff val="0"/>
                  </a:schemeClr>
                </a:lnRef>
                <a:fillRef idx="1">
                  <a:schemeClr val="lt1">
                    <a:hueOff val="0"/>
                    <a:satOff val="0"/>
                    <a:lumOff val="0"/>
                    <a:alphaOff val="0"/>
                  </a:schemeClr>
                </a:fillRef>
                <a:effectRef idx="1">
                  <a:schemeClr val="lt1">
                    <a:hueOff val="0"/>
                    <a:satOff val="0"/>
                    <a:lumOff val="0"/>
                    <a:alphaOff val="0"/>
                  </a:schemeClr>
                </a:effectRef>
                <a:fontRef idx="minor">
                  <a:schemeClr val="dk1">
                    <a:hueOff val="0"/>
                    <a:satOff val="0"/>
                    <a:lumOff val="0"/>
                    <a:alphaOff val="0"/>
                  </a:schemeClr>
                </a:fontRef>
              </xdr:style>
              <xdr:txBody>
                <a:bodyPr/>
                <a:lstStyle/>
                <a:p>
                  <a:pPr algn="ctr"/>
                  <a:r>
                    <a:rPr lang="en-CA" b="1"/>
                    <a:t>Invest in</a:t>
                  </a:r>
                  <a:r>
                    <a:rPr lang="en-CA" b="1" baseline="0"/>
                    <a:t> test phase II</a:t>
                  </a:r>
                  <a:endParaRPr lang="en-CA" b="1"/>
                </a:p>
              </xdr:txBody>
            </xdr:sp>
            <xdr:sp macro="" textlink="$AP$17">
              <xdr:nvSpPr>
                <xdr:cNvPr id="106" name="TextBox 105">
                  <a:extLst>
                    <a:ext uri="{FF2B5EF4-FFF2-40B4-BE49-F238E27FC236}">
                      <a16:creationId xmlns:a16="http://schemas.microsoft.com/office/drawing/2014/main" id="{7EC248F7-D0AC-4C82-BD46-0FF8DF034837}"/>
                    </a:ext>
                  </a:extLst>
                </xdr:cNvPr>
                <xdr:cNvSpPr txBox="1"/>
              </xdr:nvSpPr>
              <xdr:spPr>
                <a:xfrm>
                  <a:off x="16810050" y="6376397"/>
                  <a:ext cx="1273995" cy="475707"/>
                </a:xfrm>
                <a:prstGeom prst="rect">
                  <a:avLst/>
                </a:prstGeom>
                <a:solidFill>
                  <a:schemeClr val="bg2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09710CC5-D4D5-40A5-818B-36C849E62A8E}" type="TxLink">
                    <a:rPr lang="en-US" sz="2000" b="0" i="0" u="none" strike="noStrike">
                      <a:solidFill>
                        <a:srgbClr val="000000"/>
                      </a:solidFill>
                      <a:latin typeface="Aptos Narrow"/>
                    </a:rPr>
                    <a:pPr/>
                    <a:t>73.3</a:t>
                  </a:fld>
                  <a:endParaRPr lang="en-CA" sz="1100"/>
                </a:p>
              </xdr:txBody>
            </xdr:sp>
          </xdr:grpSp>
          <xdr:grpSp>
            <xdr:nvGrpSpPr>
              <xdr:cNvPr id="249" name="Group 248">
                <a:extLst>
                  <a:ext uri="{FF2B5EF4-FFF2-40B4-BE49-F238E27FC236}">
                    <a16:creationId xmlns:a16="http://schemas.microsoft.com/office/drawing/2014/main" id="{BB889AD7-6C41-691E-7C89-C88AE26AAC08}"/>
                  </a:ext>
                </a:extLst>
              </xdr:cNvPr>
              <xdr:cNvGrpSpPr/>
            </xdr:nvGrpSpPr>
            <xdr:grpSpPr>
              <a:xfrm>
                <a:off x="18597442" y="1150875"/>
                <a:ext cx="21981157" cy="10266381"/>
                <a:chOff x="18597442" y="1150875"/>
                <a:chExt cx="21981157" cy="10266381"/>
              </a:xfrm>
            </xdr:grpSpPr>
            <xdr:cxnSp macro="">
              <xdr:nvCxnSpPr>
                <xdr:cNvPr id="62" name="Straight Connector 61">
                  <a:extLst>
                    <a:ext uri="{FF2B5EF4-FFF2-40B4-BE49-F238E27FC236}">
                      <a16:creationId xmlns:a16="http://schemas.microsoft.com/office/drawing/2014/main" id="{5C00FAE4-C0CE-80F0-D588-FA40E0D690FF}"/>
                    </a:ext>
                  </a:extLst>
                </xdr:cNvPr>
                <xdr:cNvCxnSpPr>
                  <a:cxnSpLocks/>
                  <a:stCxn id="25" idx="3"/>
                  <a:endCxn id="91" idx="2"/>
                </xdr:cNvCxnSpPr>
              </xdr:nvCxnSpPr>
              <xdr:spPr>
                <a:xfrm flipV="1">
                  <a:off x="18597442" y="6423454"/>
                  <a:ext cx="1971278" cy="63186"/>
                </a:xfrm>
                <a:prstGeom prst="line">
                  <a:avLst/>
                </a:prstGeom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47" name="Group 246">
                  <a:extLst>
                    <a:ext uri="{FF2B5EF4-FFF2-40B4-BE49-F238E27FC236}">
                      <a16:creationId xmlns:a16="http://schemas.microsoft.com/office/drawing/2014/main" id="{ADC09A17-3727-1D8F-E28F-A67CD9F62FF6}"/>
                    </a:ext>
                  </a:extLst>
                </xdr:cNvPr>
                <xdr:cNvGrpSpPr/>
              </xdr:nvGrpSpPr>
              <xdr:grpSpPr>
                <a:xfrm>
                  <a:off x="20568720" y="1150875"/>
                  <a:ext cx="20009879" cy="10266381"/>
                  <a:chOff x="20568720" y="1150875"/>
                  <a:chExt cx="20009879" cy="10266381"/>
                </a:xfrm>
              </xdr:grpSpPr>
              <xdr:grpSp>
                <xdr:nvGrpSpPr>
                  <xdr:cNvPr id="246" name="Group 245">
                    <a:extLst>
                      <a:ext uri="{FF2B5EF4-FFF2-40B4-BE49-F238E27FC236}">
                        <a16:creationId xmlns:a16="http://schemas.microsoft.com/office/drawing/2014/main" id="{AC1396CC-3CBD-DB10-D1C3-886D99351C5A}"/>
                      </a:ext>
                    </a:extLst>
                  </xdr:cNvPr>
                  <xdr:cNvGrpSpPr/>
                </xdr:nvGrpSpPr>
                <xdr:grpSpPr>
                  <a:xfrm>
                    <a:off x="20568720" y="5908501"/>
                    <a:ext cx="2875660" cy="1029906"/>
                    <a:chOff x="20568720" y="5908501"/>
                    <a:chExt cx="2875660" cy="1029906"/>
                  </a:xfrm>
                </xdr:grpSpPr>
                <xdr:sp macro="" textlink="">
                  <xdr:nvSpPr>
                    <xdr:cNvPr id="91" name="Oval 90">
                      <a:extLst>
                        <a:ext uri="{FF2B5EF4-FFF2-40B4-BE49-F238E27FC236}">
                          <a16:creationId xmlns:a16="http://schemas.microsoft.com/office/drawing/2014/main" id="{967F6CE3-FF31-7A89-53E5-A88761FA94E1}"/>
                        </a:ext>
                      </a:extLst>
                    </xdr:cNvPr>
                    <xdr:cNvSpPr/>
                  </xdr:nvSpPr>
                  <xdr:spPr>
                    <a:xfrm>
                      <a:off x="20568720" y="5908501"/>
                      <a:ext cx="2875660" cy="1029906"/>
                    </a:xfrm>
                    <a:prstGeom prst="ellipse">
                      <a:avLst/>
                    </a:prstGeom>
                  </xdr:spPr>
                  <xdr:style>
                    <a:lnRef idx="3">
                      <a:schemeClr val="accent1">
                        <a:shade val="80000"/>
                        <a:hueOff val="0"/>
                        <a:satOff val="0"/>
                        <a:lumOff val="0"/>
                        <a:alphaOff val="0"/>
                      </a:schemeClr>
                    </a:lnRef>
                    <a:fillRef idx="1">
                      <a:schemeClr val="lt1">
                        <a:hueOff val="0"/>
                        <a:satOff val="0"/>
                        <a:lumOff val="0"/>
                        <a:alphaOff val="0"/>
                      </a:schemeClr>
                    </a:fillRef>
                    <a:effectRef idx="1">
                      <a:schemeClr val="lt1">
                        <a:hueOff val="0"/>
                        <a:satOff val="0"/>
                        <a:lumOff val="0"/>
                        <a:alphaOff val="0"/>
                      </a:schemeClr>
                    </a:effectRef>
                    <a:fontRef idx="minor"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fontRef>
                  </xdr:style>
                </xdr:sp>
                <xdr:sp macro="" textlink="">
                  <xdr:nvSpPr>
                    <xdr:cNvPr id="92" name="Oval 4">
                      <a:extLst>
                        <a:ext uri="{FF2B5EF4-FFF2-40B4-BE49-F238E27FC236}">
                          <a16:creationId xmlns:a16="http://schemas.microsoft.com/office/drawing/2014/main" id="{B3D2CF50-5F99-E3CF-CE62-C0C0C3E9C73D}"/>
                        </a:ext>
                      </a:extLst>
                    </xdr:cNvPr>
                    <xdr:cNvSpPr txBox="1"/>
                  </xdr:nvSpPr>
                  <xdr:spPr>
                    <a:xfrm>
                      <a:off x="20950438" y="6055839"/>
                      <a:ext cx="2032444" cy="728880"/>
                    </a:xfrm>
                    <a:prstGeom prst="rect">
                      <a:avLst/>
                    </a:prstGeom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fontRef>
                  </xdr:style>
                  <xdr:txBody>
                    <a:bodyPr spcFirstLastPara="0" vert="horz" wrap="square" lIns="10160" tIns="10160" rIns="10160" bIns="10160" numCol="1" spcCol="1270" anchor="ctr" anchorCtr="0">
                      <a:noAutofit/>
                    </a:bodyPr>
                    <a:lstStyle/>
                    <a:p>
                      <a:pPr marL="0" lvl="0" indent="0" algn="ctr" defTabSz="71120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35000"/>
                        </a:spcAft>
                        <a:buNone/>
                      </a:pPr>
                      <a:r>
                        <a:rPr lang="en-US" sz="1600" b="1" kern="1200"/>
                        <a:t>Uncertainty</a:t>
                      </a:r>
                    </a:p>
                  </xdr:txBody>
                </xdr:sp>
              </xdr:grpSp>
              <xdr:grpSp>
                <xdr:nvGrpSpPr>
                  <xdr:cNvPr id="245" name="Group 244">
                    <a:extLst>
                      <a:ext uri="{FF2B5EF4-FFF2-40B4-BE49-F238E27FC236}">
                        <a16:creationId xmlns:a16="http://schemas.microsoft.com/office/drawing/2014/main" id="{051FC92C-6E48-EEEC-F6E3-B595CF2AEAB2}"/>
                      </a:ext>
                    </a:extLst>
                  </xdr:cNvPr>
                  <xdr:cNvGrpSpPr/>
                </xdr:nvGrpSpPr>
                <xdr:grpSpPr>
                  <a:xfrm>
                    <a:off x="23444380" y="1150875"/>
                    <a:ext cx="17134219" cy="10266381"/>
                    <a:chOff x="23444380" y="1150875"/>
                    <a:chExt cx="17134219" cy="10266381"/>
                  </a:xfrm>
                </xdr:grpSpPr>
                <xdr:cxnSp macro="">
                  <xdr:nvCxnSpPr>
                    <xdr:cNvPr id="103" name="Straight Connector 102">
                      <a:extLst>
                        <a:ext uri="{FF2B5EF4-FFF2-40B4-BE49-F238E27FC236}">
                          <a16:creationId xmlns:a16="http://schemas.microsoft.com/office/drawing/2014/main" id="{E3692167-7AFC-D830-F303-EED9E656E16A}"/>
                        </a:ext>
                      </a:extLst>
                    </xdr:cNvPr>
                    <xdr:cNvCxnSpPr>
                      <a:stCxn id="91" idx="6"/>
                      <a:endCxn id="127" idx="1"/>
                    </xdr:cNvCxnSpPr>
                  </xdr:nvCxnSpPr>
                  <xdr:spPr>
                    <a:xfrm>
                      <a:off x="23444380" y="6423454"/>
                      <a:ext cx="3829043" cy="1748209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60" name="Straight Connector 59">
                      <a:extLst>
                        <a:ext uri="{FF2B5EF4-FFF2-40B4-BE49-F238E27FC236}">
                          <a16:creationId xmlns:a16="http://schemas.microsoft.com/office/drawing/2014/main" id="{BB8251C4-680F-5B6E-E176-3BB8418C29DA}"/>
                        </a:ext>
                      </a:extLst>
                    </xdr:cNvPr>
                    <xdr:cNvCxnSpPr>
                      <a:cxnSpLocks/>
                      <a:stCxn id="91" idx="6"/>
                      <a:endCxn id="131" idx="1"/>
                    </xdr:cNvCxnSpPr>
                  </xdr:nvCxnSpPr>
                  <xdr:spPr>
                    <a:xfrm>
                      <a:off x="23444380" y="6421277"/>
                      <a:ext cx="3750679" cy="4072388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64" name="Straight Connector 63">
                      <a:extLst>
                        <a:ext uri="{FF2B5EF4-FFF2-40B4-BE49-F238E27FC236}">
                          <a16:creationId xmlns:a16="http://schemas.microsoft.com/office/drawing/2014/main" id="{87BED26D-7367-3145-4273-39CAA3CC3F3E}"/>
                        </a:ext>
                      </a:extLst>
                    </xdr:cNvPr>
                    <xdr:cNvCxnSpPr>
                      <a:cxnSpLocks/>
                      <a:stCxn id="91" idx="6"/>
                      <a:endCxn id="22" idx="1"/>
                    </xdr:cNvCxnSpPr>
                  </xdr:nvCxnSpPr>
                  <xdr:spPr>
                    <a:xfrm flipV="1">
                      <a:off x="23444380" y="2728217"/>
                      <a:ext cx="3304070" cy="3697090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05" name="Straight Connector 104">
                      <a:extLst>
                        <a:ext uri="{FF2B5EF4-FFF2-40B4-BE49-F238E27FC236}">
                          <a16:creationId xmlns:a16="http://schemas.microsoft.com/office/drawing/2014/main" id="{D7106348-1DED-8782-68EF-043579F7C447}"/>
                        </a:ext>
                      </a:extLst>
                    </xdr:cNvPr>
                    <xdr:cNvCxnSpPr>
                      <a:stCxn id="91" idx="6"/>
                      <a:endCxn id="122" idx="1"/>
                    </xdr:cNvCxnSpPr>
                  </xdr:nvCxnSpPr>
                  <xdr:spPr>
                    <a:xfrm flipV="1">
                      <a:off x="23444380" y="5633652"/>
                      <a:ext cx="3828639" cy="789802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AP8">
                  <xdr:nvSpPr>
                    <xdr:cNvPr id="96" name="TextBox 95">
                      <a:extLst>
                        <a:ext uri="{FF2B5EF4-FFF2-40B4-BE49-F238E27FC236}">
                          <a16:creationId xmlns:a16="http://schemas.microsoft.com/office/drawing/2014/main" id="{9C739A86-E3F6-EC36-8EA5-80A623AD544F}"/>
                        </a:ext>
                      </a:extLst>
                    </xdr:cNvPr>
                    <xdr:cNvSpPr txBox="1"/>
                  </xdr:nvSpPr>
                  <xdr:spPr>
                    <a:xfrm>
                      <a:off x="24726418" y="4224945"/>
                      <a:ext cx="385240" cy="26148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fld id="{B0618189-767B-4171-A468-25660A7C2FB8}" type="TxLink">
                        <a:rPr lang="en-US" sz="1100" b="0" i="0" u="none" strike="noStrike">
                          <a:solidFill>
                            <a:srgbClr val="000000"/>
                          </a:solidFill>
                          <a:latin typeface="Aptos Narrow"/>
                        </a:rPr>
                        <a:pPr/>
                        <a:t>0.1</a:t>
                      </a:fld>
                      <a:endParaRPr lang="en-CA" sz="1100"/>
                    </a:p>
                  </xdr:txBody>
                </xdr:sp>
                <xdr:sp macro="" textlink="AP9">
                  <xdr:nvSpPr>
                    <xdr:cNvPr id="97" name="TextBox 96">
                      <a:extLst>
                        <a:ext uri="{FF2B5EF4-FFF2-40B4-BE49-F238E27FC236}">
                          <a16:creationId xmlns:a16="http://schemas.microsoft.com/office/drawing/2014/main" id="{FFDC4DEC-8C65-DC8B-5F3E-FCE0DBC1CA06}"/>
                        </a:ext>
                      </a:extLst>
                    </xdr:cNvPr>
                    <xdr:cNvSpPr txBox="1"/>
                  </xdr:nvSpPr>
                  <xdr:spPr>
                    <a:xfrm>
                      <a:off x="25365171" y="5538869"/>
                      <a:ext cx="437089" cy="25254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fld id="{FF1339B8-799C-4124-9430-2649F22D2B58}" type="TxLink">
                        <a:rPr lang="en-US" sz="1100" b="0" i="0" u="none" strike="noStrike">
                          <a:solidFill>
                            <a:srgbClr val="000000"/>
                          </a:solidFill>
                          <a:latin typeface="Aptos Narrow"/>
                        </a:rPr>
                        <a:pPr/>
                        <a:t>0.15</a:t>
                      </a:fld>
                      <a:endParaRPr lang="en-CA" sz="1100"/>
                    </a:p>
                  </xdr:txBody>
                </xdr:sp>
                <xdr:sp macro="" textlink="AP10">
                  <xdr:nvSpPr>
                    <xdr:cNvPr id="98" name="TextBox 97">
                      <a:extLst>
                        <a:ext uri="{FF2B5EF4-FFF2-40B4-BE49-F238E27FC236}">
                          <a16:creationId xmlns:a16="http://schemas.microsoft.com/office/drawing/2014/main" id="{5ADD2AD5-00E8-C67A-AF19-EB5909EAD7C1}"/>
                        </a:ext>
                      </a:extLst>
                    </xdr:cNvPr>
                    <xdr:cNvSpPr txBox="1"/>
                  </xdr:nvSpPr>
                  <xdr:spPr>
                    <a:xfrm>
                      <a:off x="25277752" y="7545485"/>
                      <a:ext cx="507025" cy="28828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fld id="{76B9AC17-D3CF-42B2-B2BB-A3D12156BB51}" type="TxLink">
                        <a:rPr lang="en-US" sz="1100" b="0" i="0" u="none" strike="noStrike">
                          <a:solidFill>
                            <a:srgbClr val="000000"/>
                          </a:solidFill>
                          <a:latin typeface="Aptos Narrow"/>
                        </a:rPr>
                        <a:pPr/>
                        <a:t>0.05</a:t>
                      </a:fld>
                      <a:endParaRPr lang="en-CA" sz="1100"/>
                    </a:p>
                  </xdr:txBody>
                </xdr:sp>
                <xdr:sp macro="" textlink="AP11">
                  <xdr:nvSpPr>
                    <xdr:cNvPr id="99" name="TextBox 98">
                      <a:extLst>
                        <a:ext uri="{FF2B5EF4-FFF2-40B4-BE49-F238E27FC236}">
                          <a16:creationId xmlns:a16="http://schemas.microsoft.com/office/drawing/2014/main" id="{B3C403BE-4BB7-5B94-64A8-F3ABE8A59930}"/>
                        </a:ext>
                      </a:extLst>
                    </xdr:cNvPr>
                    <xdr:cNvSpPr txBox="1"/>
                  </xdr:nvSpPr>
                  <xdr:spPr>
                    <a:xfrm>
                      <a:off x="25190333" y="8877273"/>
                      <a:ext cx="393381" cy="24361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fld id="{D49AB6DD-45AF-4BCD-915D-7526D5957A76}" type="TxLink">
                        <a:rPr lang="en-US" sz="1100" b="0" i="0" u="none" strike="noStrike">
                          <a:solidFill>
                            <a:srgbClr val="000000"/>
                          </a:solidFill>
                          <a:latin typeface="Aptos Narrow"/>
                        </a:rPr>
                        <a:pPr/>
                        <a:t>0.7</a:t>
                      </a:fld>
                      <a:endParaRPr lang="en-CA" sz="1100"/>
                    </a:p>
                  </xdr:txBody>
                </xdr:sp>
                <xdr:grpSp>
                  <xdr:nvGrpSpPr>
                    <xdr:cNvPr id="241" name="Group 240">
                      <a:extLst>
                        <a:ext uri="{FF2B5EF4-FFF2-40B4-BE49-F238E27FC236}">
                          <a16:creationId xmlns:a16="http://schemas.microsoft.com/office/drawing/2014/main" id="{0C548B35-357D-DAE0-22CC-99CC8D798547}"/>
                        </a:ext>
                      </a:extLst>
                    </xdr:cNvPr>
                    <xdr:cNvGrpSpPr/>
                  </xdr:nvGrpSpPr>
                  <xdr:grpSpPr>
                    <a:xfrm>
                      <a:off x="26734789" y="1150875"/>
                      <a:ext cx="13843810" cy="10266381"/>
                      <a:chOff x="26734789" y="1150875"/>
                      <a:chExt cx="13843810" cy="10266381"/>
                    </a:xfrm>
                  </xdr:grpSpPr>
                  <xdr:grpSp>
                    <xdr:nvGrpSpPr>
                      <xdr:cNvPr id="240" name="Group 239">
                        <a:extLst>
                          <a:ext uri="{FF2B5EF4-FFF2-40B4-BE49-F238E27FC236}">
                            <a16:creationId xmlns:a16="http://schemas.microsoft.com/office/drawing/2014/main" id="{032FA8F8-04EF-990E-205F-522FE427D3DD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7195058" y="10035495"/>
                        <a:ext cx="2118559" cy="922855"/>
                        <a:chOff x="27195058" y="10035495"/>
                        <a:chExt cx="2118559" cy="922855"/>
                      </a:xfrm>
                    </xdr:grpSpPr>
                    <xdr:sp macro="" textlink="">
                      <xdr:nvSpPr>
                        <xdr:cNvPr id="131" name="Rectangle: Rounded Corners 130">
                          <a:extLst>
                            <a:ext uri="{FF2B5EF4-FFF2-40B4-BE49-F238E27FC236}">
                              <a16:creationId xmlns:a16="http://schemas.microsoft.com/office/drawing/2014/main" id="{78B38747-9111-4DB5-8851-AABC28484EC2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7195058" y="10035495"/>
                          <a:ext cx="2118559" cy="922855"/>
                        </a:xfrm>
                        <a:prstGeom prst="roundRect">
                          <a:avLst>
                            <a:gd name="adj" fmla="val 10000"/>
                          </a:avLst>
                        </a:prstGeom>
                      </xdr:spPr>
                      <xdr:style>
                        <a:lnRef idx="3">
                          <a:schemeClr val="accent1">
                            <a:shade val="80000"/>
                            <a:hueOff val="0"/>
                            <a:satOff val="0"/>
                            <a:lumOff val="0"/>
                            <a:alphaOff val="0"/>
                          </a:schemeClr>
                        </a:lnRef>
                        <a:fill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fillRef>
                        <a:effect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effectRef>
                        <a:fontRef idx="minor">
                          <a:schemeClr val="dk1">
                            <a:hueOff val="0"/>
                            <a:satOff val="0"/>
                            <a:lumOff val="0"/>
                            <a:alphaOff val="0"/>
                          </a:schemeClr>
                        </a:fontRef>
                      </xdr:style>
                      <xdr:txBody>
                        <a:bodyPr/>
                        <a:lstStyle/>
                        <a:p>
                          <a:pPr algn="ctr"/>
                          <a:r>
                            <a:rPr lang="en-CA" b="1"/>
                            <a:t>Failure</a:t>
                          </a:r>
                        </a:p>
                      </xdr:txBody>
                    </xdr:sp>
                    <xdr:sp macro="" textlink="$AP$15">
                      <xdr:nvSpPr>
                        <xdr:cNvPr id="34" name="TextBox 33">
                          <a:extLst>
                            <a:ext uri="{FF2B5EF4-FFF2-40B4-BE49-F238E27FC236}">
                              <a16:creationId xmlns:a16="http://schemas.microsoft.com/office/drawing/2014/main" id="{15DFBF7F-7784-42E1-96B9-73FCC2003D62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7641944" y="10290363"/>
                          <a:ext cx="1270739" cy="557209"/>
                        </a:xfrm>
                        <a:prstGeom prst="rect">
                          <a:avLst/>
                        </a:prstGeom>
                        <a:solidFill>
                          <a:schemeClr val="bg2"/>
                        </a:solidFill>
                        <a:ln w="9525" cmpd="sng">
                          <a:solidFill>
                            <a:schemeClr val="lt1">
                              <a:shade val="50000"/>
                            </a:schemeClr>
                          </a:solidFill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fld id="{FB32C683-04AF-4575-8C67-DF0AE3B8714A}" type="TxLink">
                            <a:rPr lang="en-US" sz="2000" b="0" i="0" u="none" strike="noStrike">
                              <a:solidFill>
                                <a:srgbClr val="000000"/>
                              </a:solidFill>
                              <a:latin typeface="Aptos Narrow"/>
                            </a:rPr>
                            <a:pPr/>
                            <a:t>-40</a:t>
                          </a:fld>
                          <a:endParaRPr lang="en-CA" sz="1100"/>
                        </a:p>
                      </xdr:txBody>
                    </xdr:sp>
                  </xdr:grpSp>
                  <xdr:grpSp>
                    <xdr:nvGrpSpPr>
                      <xdr:cNvPr id="239" name="Group 238">
                        <a:extLst>
                          <a:ext uri="{FF2B5EF4-FFF2-40B4-BE49-F238E27FC236}">
                            <a16:creationId xmlns:a16="http://schemas.microsoft.com/office/drawing/2014/main" id="{98A1B013-9E85-1DE4-ABE7-4A0EFCB40046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7273019" y="5131163"/>
                        <a:ext cx="2119210" cy="3658728"/>
                        <a:chOff x="27273019" y="5131163"/>
                        <a:chExt cx="2119210" cy="3658728"/>
                      </a:xfrm>
                    </xdr:grpSpPr>
                    <xdr:sp macro="" textlink="">
                      <xdr:nvSpPr>
                        <xdr:cNvPr id="127" name="Rectangle: Rounded Corners 126">
                          <a:extLst>
                            <a:ext uri="{FF2B5EF4-FFF2-40B4-BE49-F238E27FC236}">
                              <a16:creationId xmlns:a16="http://schemas.microsoft.com/office/drawing/2014/main" id="{8E5012BE-A516-4368-81E1-6F94EE037CAD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7273423" y="7553435"/>
                          <a:ext cx="2111969" cy="1236456"/>
                        </a:xfrm>
                        <a:prstGeom prst="roundRect">
                          <a:avLst>
                            <a:gd name="adj" fmla="val 10000"/>
                          </a:avLst>
                        </a:prstGeom>
                      </xdr:spPr>
                      <xdr:style>
                        <a:lnRef idx="3">
                          <a:schemeClr val="accent1">
                            <a:shade val="80000"/>
                            <a:hueOff val="0"/>
                            <a:satOff val="0"/>
                            <a:lumOff val="0"/>
                            <a:alphaOff val="0"/>
                          </a:schemeClr>
                        </a:lnRef>
                        <a:fill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fillRef>
                        <a:effect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effectRef>
                        <a:fontRef idx="minor">
                          <a:schemeClr val="dk1">
                            <a:hueOff val="0"/>
                            <a:satOff val="0"/>
                            <a:lumOff val="0"/>
                            <a:alphaOff val="0"/>
                          </a:schemeClr>
                        </a:fontRef>
                      </xdr:style>
                      <xdr:txBody>
                        <a:bodyPr/>
                        <a:lstStyle/>
                        <a:p>
                          <a:pPr algn="ctr"/>
                          <a:r>
                            <a:rPr lang="en-CA" b="1"/>
                            <a:t>Success for both</a:t>
                          </a:r>
                        </a:p>
                      </xdr:txBody>
                    </xdr:sp>
                    <xdr:sp macro="" textlink="$AP$14">
                      <xdr:nvSpPr>
                        <xdr:cNvPr id="35" name="TextBox 34">
                          <a:extLst>
                            <a:ext uri="{FF2B5EF4-FFF2-40B4-BE49-F238E27FC236}">
                              <a16:creationId xmlns:a16="http://schemas.microsoft.com/office/drawing/2014/main" id="{A5FFAAC1-CB26-4247-A886-B3D9C5364916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7681466" y="7929049"/>
                          <a:ext cx="1270739" cy="634738"/>
                        </a:xfrm>
                        <a:prstGeom prst="rect">
                          <a:avLst/>
                        </a:prstGeom>
                        <a:solidFill>
                          <a:schemeClr val="bg2"/>
                        </a:solidFill>
                        <a:ln w="9525" cmpd="sng">
                          <a:solidFill>
                            <a:schemeClr val="lt1">
                              <a:shade val="50000"/>
                            </a:schemeClr>
                          </a:solidFill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fld id="{65A58E83-02A7-4CC4-83B1-79DC0A9404B3}" type="TxLink">
                            <a:rPr lang="en-US" sz="2000" b="0" i="0" u="none" strike="noStrike">
                              <a:solidFill>
                                <a:srgbClr val="000000"/>
                              </a:solidFill>
                              <a:latin typeface="Aptos Narrow"/>
                            </a:rPr>
                            <a:pPr/>
                            <a:t>909.75</a:t>
                          </a:fld>
                          <a:endParaRPr lang="en-CA" sz="1100"/>
                        </a:p>
                      </xdr:txBody>
                    </xdr:sp>
                    <xdr:grpSp>
                      <xdr:nvGrpSpPr>
                        <xdr:cNvPr id="238" name="Group 237">
                          <a:extLst>
                            <a:ext uri="{FF2B5EF4-FFF2-40B4-BE49-F238E27FC236}">
                              <a16:creationId xmlns:a16="http://schemas.microsoft.com/office/drawing/2014/main" id="{2DB26065-4CF9-6919-F991-4B320A0905EE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7273019" y="5131163"/>
                          <a:ext cx="2119210" cy="1004978"/>
                          <a:chOff x="27273019" y="5131163"/>
                          <a:chExt cx="2119210" cy="1004978"/>
                        </a:xfrm>
                      </xdr:grpSpPr>
                      <xdr:sp macro="" textlink="">
                        <xdr:nvSpPr>
                          <xdr:cNvPr id="122" name="Rectangle: Rounded Corners 121">
                            <a:extLst>
                              <a:ext uri="{FF2B5EF4-FFF2-40B4-BE49-F238E27FC236}">
                                <a16:creationId xmlns:a16="http://schemas.microsoft.com/office/drawing/2014/main" id="{75C84F69-87E7-4219-B89B-18DE86837433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7273019" y="5131163"/>
                            <a:ext cx="2119210" cy="1004978"/>
                          </a:xfrm>
                          <a:prstGeom prst="roundRect">
                            <a:avLst>
                              <a:gd name="adj" fmla="val 10000"/>
                            </a:avLst>
                          </a:prstGeom>
                        </xdr:spPr>
                        <xdr:style>
                          <a:lnRef idx="3">
                            <a:schemeClr val="accent1">
                              <a:shade val="80000"/>
                              <a:hueOff val="0"/>
                              <a:satOff val="0"/>
                              <a:lumOff val="0"/>
                              <a:alphaOff val="0"/>
                            </a:schemeClr>
                          </a:lnRef>
                          <a:fillRef idx="1">
                            <a:schemeClr val="lt1">
                              <a:hueOff val="0"/>
                              <a:satOff val="0"/>
                              <a:lumOff val="0"/>
                              <a:alphaOff val="0"/>
                            </a:schemeClr>
                          </a:fillRef>
                          <a:effectRef idx="1">
                            <a:schemeClr val="lt1">
                              <a:hueOff val="0"/>
                              <a:satOff val="0"/>
                              <a:lumOff val="0"/>
                              <a:alphaOff val="0"/>
                            </a:schemeClr>
                          </a:effectRef>
                          <a:fontRef idx="minor">
                            <a:schemeClr val="dk1">
                              <a:hueOff val="0"/>
                              <a:satOff val="0"/>
                              <a:lumOff val="0"/>
                              <a:alphaOff val="0"/>
                            </a:schemeClr>
                          </a:fontRef>
                        </xdr:style>
                        <xdr:txBody>
                          <a:bodyPr/>
                          <a:lstStyle/>
                          <a:p>
                            <a:pPr algn="ctr"/>
                            <a:r>
                              <a:rPr lang="en-CA" b="1"/>
                              <a:t>Success for weight</a:t>
                            </a:r>
                            <a:r>
                              <a:rPr lang="en-CA" b="1" baseline="0"/>
                              <a:t> loss only</a:t>
                            </a:r>
                            <a:endParaRPr lang="en-CA" b="1"/>
                          </a:p>
                        </xdr:txBody>
                      </xdr:sp>
                      <xdr:sp macro="" textlink="$AP$13">
                        <xdr:nvSpPr>
                          <xdr:cNvPr id="36" name="TextBox 35">
                            <a:extLst>
                              <a:ext uri="{FF2B5EF4-FFF2-40B4-BE49-F238E27FC236}">
                                <a16:creationId xmlns:a16="http://schemas.microsoft.com/office/drawing/2014/main" id="{09C38D7C-1F05-441B-8510-EBD046AA9DBF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27632589" y="5472587"/>
                            <a:ext cx="1270739" cy="475706"/>
                          </a:xfrm>
                          <a:prstGeom prst="rect">
                            <a:avLst/>
                          </a:prstGeom>
                          <a:solidFill>
                            <a:schemeClr val="bg2"/>
                          </a:solidFill>
                          <a:ln w="9525" cmpd="sng">
                            <a:solidFill>
                              <a:schemeClr val="lt1">
                                <a:shade val="50000"/>
                              </a:schemeClr>
                            </a:solidFill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fld id="{231D3C42-FFC6-4E96-9A61-F631DF10FA2D}" type="TxLink">
                              <a:rPr lang="en-US" sz="2000" b="0" i="0" u="none" strike="noStrike">
                                <a:solidFill>
                                  <a:srgbClr val="000000"/>
                                </a:solidFill>
                                <a:latin typeface="Aptos Narrow"/>
                              </a:rPr>
                              <a:pPr/>
                              <a:t>-6.25</a:t>
                            </a:fld>
                            <a:endParaRPr lang="en-CA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37" name="Group 236">
                        <a:extLst>
                          <a:ext uri="{FF2B5EF4-FFF2-40B4-BE49-F238E27FC236}">
                            <a16:creationId xmlns:a16="http://schemas.microsoft.com/office/drawing/2014/main" id="{1FB8A3AA-A40C-CA64-D271-F1A4E8D1F482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6734789" y="2222012"/>
                        <a:ext cx="2301989" cy="1016388"/>
                        <a:chOff x="26734789" y="2222012"/>
                        <a:chExt cx="2301989" cy="1016388"/>
                      </a:xfrm>
                    </xdr:grpSpPr>
                    <xdr:sp macro="" textlink="">
                      <xdr:nvSpPr>
                        <xdr:cNvPr id="22" name="Rectangle: Rounded Corners 21">
                          <a:extLst>
                            <a:ext uri="{FF2B5EF4-FFF2-40B4-BE49-F238E27FC236}">
                              <a16:creationId xmlns:a16="http://schemas.microsoft.com/office/drawing/2014/main" id="{E5A068C3-E9BA-3B6E-AC96-ED35595C2884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6734789" y="2222012"/>
                          <a:ext cx="2301989" cy="1016388"/>
                        </a:xfrm>
                        <a:prstGeom prst="roundRect">
                          <a:avLst>
                            <a:gd name="adj" fmla="val 10000"/>
                          </a:avLst>
                        </a:prstGeom>
                      </xdr:spPr>
                      <xdr:style>
                        <a:lnRef idx="3">
                          <a:schemeClr val="accent1">
                            <a:shade val="80000"/>
                            <a:hueOff val="0"/>
                            <a:satOff val="0"/>
                            <a:lumOff val="0"/>
                            <a:alphaOff val="0"/>
                          </a:schemeClr>
                        </a:lnRef>
                        <a:fill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fillRef>
                        <a:effect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effectRef>
                        <a:fontRef idx="minor">
                          <a:schemeClr val="dk1">
                            <a:hueOff val="0"/>
                            <a:satOff val="0"/>
                            <a:lumOff val="0"/>
                            <a:alphaOff val="0"/>
                          </a:schemeClr>
                        </a:fontRef>
                      </xdr:style>
                      <xdr:txBody>
                        <a:bodyPr/>
                        <a:lstStyle/>
                        <a:p>
                          <a:pPr algn="ctr"/>
                          <a:r>
                            <a:rPr lang="en-CA" b="1"/>
                            <a:t>Success for depression only</a:t>
                          </a:r>
                        </a:p>
                      </xdr:txBody>
                    </xdr:sp>
                    <xdr:sp macro="" textlink="$AP$12">
                      <xdr:nvSpPr>
                        <xdr:cNvPr id="104" name="TextBox 103">
                          <a:extLst>
                            <a:ext uri="{FF2B5EF4-FFF2-40B4-BE49-F238E27FC236}">
                              <a16:creationId xmlns:a16="http://schemas.microsoft.com/office/drawing/2014/main" id="{4D58C69D-E813-4181-A56E-367A828F0BFB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7272215" y="2596347"/>
                          <a:ext cx="1270739" cy="475705"/>
                        </a:xfrm>
                        <a:prstGeom prst="rect">
                          <a:avLst/>
                        </a:prstGeom>
                        <a:solidFill>
                          <a:schemeClr val="bg2"/>
                        </a:solidFill>
                        <a:ln w="9525" cmpd="sng">
                          <a:solidFill>
                            <a:schemeClr val="lt1">
                              <a:shade val="50000"/>
                            </a:schemeClr>
                          </a:solidFill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fld id="{99028E0D-F399-4F7F-BF12-82DFA232D1AC}" type="TxLink">
                            <a:rPr lang="en-US" sz="2000" b="0" i="0" u="none" strike="noStrike">
                              <a:solidFill>
                                <a:srgbClr val="000000"/>
                              </a:solidFill>
                              <a:latin typeface="Aptos Narrow"/>
                            </a:rPr>
                            <a:pPr/>
                            <a:t>567.5</a:t>
                          </a:fld>
                          <a:endParaRPr lang="en-CA" sz="1100"/>
                        </a:p>
                      </xdr:txBody>
                    </xdr:sp>
                  </xdr:grpSp>
                  <xdr:grpSp>
                    <xdr:nvGrpSpPr>
                      <xdr:cNvPr id="233" name="Group 232">
                        <a:extLst>
                          <a:ext uri="{FF2B5EF4-FFF2-40B4-BE49-F238E27FC236}">
                            <a16:creationId xmlns:a16="http://schemas.microsoft.com/office/drawing/2014/main" id="{B5900D7D-DEB7-E703-A799-C22AF4DFFB4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9036778" y="1150875"/>
                        <a:ext cx="11541821" cy="10266381"/>
                        <a:chOff x="29036778" y="1150875"/>
                        <a:chExt cx="11541821" cy="10266381"/>
                      </a:xfrm>
                    </xdr:grpSpPr>
                    <xdr:cxnSp macro="">
                      <xdr:nvCxnSpPr>
                        <xdr:cNvPr id="128" name="Straight Connector 127">
                          <a:extLst>
                            <a:ext uri="{FF2B5EF4-FFF2-40B4-BE49-F238E27FC236}">
                              <a16:creationId xmlns:a16="http://schemas.microsoft.com/office/drawing/2014/main" id="{1836560C-A34F-4A02-A6BA-C5A5FC7FD10A}"/>
                            </a:ext>
                          </a:extLst>
                        </xdr:cNvPr>
                        <xdr:cNvCxnSpPr>
                          <a:stCxn id="127" idx="3"/>
                        </xdr:cNvCxnSpPr>
                      </xdr:nvCxnSpPr>
                      <xdr:spPr>
                        <a:xfrm flipV="1">
                          <a:off x="29385392" y="7516917"/>
                          <a:ext cx="1330641" cy="654747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9" name="Straight Connector 128">
                          <a:extLst>
                            <a:ext uri="{FF2B5EF4-FFF2-40B4-BE49-F238E27FC236}">
                              <a16:creationId xmlns:a16="http://schemas.microsoft.com/office/drawing/2014/main" id="{00BEAEDB-3B53-43AA-974C-30A0AA666AFE}"/>
                            </a:ext>
                          </a:extLst>
                        </xdr:cNvPr>
                        <xdr:cNvCxnSpPr>
                          <a:endCxn id="176" idx="1"/>
                        </xdr:cNvCxnSpPr>
                      </xdr:nvCxnSpPr>
                      <xdr:spPr>
                        <a:xfrm>
                          <a:off x="29399990" y="8178961"/>
                          <a:ext cx="1318699" cy="641406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34" name="Straight Connector 133">
                          <a:extLst>
                            <a:ext uri="{FF2B5EF4-FFF2-40B4-BE49-F238E27FC236}">
                              <a16:creationId xmlns:a16="http://schemas.microsoft.com/office/drawing/2014/main" id="{1B4E9D8F-9614-4A94-9F6F-AD87F16DE7AE}"/>
                            </a:ext>
                          </a:extLst>
                        </xdr:cNvPr>
                        <xdr:cNvCxnSpPr>
                          <a:stCxn id="122" idx="3"/>
                        </xdr:cNvCxnSpPr>
                      </xdr:nvCxnSpPr>
                      <xdr:spPr>
                        <a:xfrm flipV="1">
                          <a:off x="29392229" y="5069174"/>
                          <a:ext cx="1455375" cy="564478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35" name="Straight Connector 134">
                          <a:extLst>
                            <a:ext uri="{FF2B5EF4-FFF2-40B4-BE49-F238E27FC236}">
                              <a16:creationId xmlns:a16="http://schemas.microsoft.com/office/drawing/2014/main" id="{91B26A39-7062-4EC8-8B66-01A7047B5327}"/>
                            </a:ext>
                          </a:extLst>
                        </xdr:cNvPr>
                        <xdr:cNvCxnSpPr>
                          <a:stCxn id="122" idx="3"/>
                          <a:endCxn id="175" idx="1"/>
                        </xdr:cNvCxnSpPr>
                      </xdr:nvCxnSpPr>
                      <xdr:spPr>
                        <a:xfrm>
                          <a:off x="29392229" y="5633652"/>
                          <a:ext cx="1412539" cy="512621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66" name="Straight Connector 65">
                          <a:extLst>
                            <a:ext uri="{FF2B5EF4-FFF2-40B4-BE49-F238E27FC236}">
                              <a16:creationId xmlns:a16="http://schemas.microsoft.com/office/drawing/2014/main" id="{BCFAF515-A8A3-7924-3C84-3DFA4594A254}"/>
                            </a:ext>
                          </a:extLst>
                        </xdr:cNvPr>
                        <xdr:cNvCxnSpPr>
                          <a:stCxn id="22" idx="3"/>
                          <a:endCxn id="144" idx="1"/>
                        </xdr:cNvCxnSpPr>
                      </xdr:nvCxnSpPr>
                      <xdr:spPr>
                        <a:xfrm flipV="1">
                          <a:off x="29036778" y="2240167"/>
                          <a:ext cx="1558519" cy="490040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68" name="Straight Connector 67">
                          <a:extLst>
                            <a:ext uri="{FF2B5EF4-FFF2-40B4-BE49-F238E27FC236}">
                              <a16:creationId xmlns:a16="http://schemas.microsoft.com/office/drawing/2014/main" id="{226A1733-E92A-832F-E0AB-CF799FCC324F}"/>
                            </a:ext>
                          </a:extLst>
                        </xdr:cNvPr>
                        <xdr:cNvCxnSpPr>
                          <a:stCxn id="22" idx="3"/>
                          <a:endCxn id="82" idx="1"/>
                        </xdr:cNvCxnSpPr>
                      </xdr:nvCxnSpPr>
                      <xdr:spPr>
                        <a:xfrm>
                          <a:off x="29046986" y="2730655"/>
                          <a:ext cx="1562862" cy="706259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grpSp>
                      <xdr:nvGrpSpPr>
                        <xdr:cNvPr id="232" name="Group 231">
                          <a:extLst>
                            <a:ext uri="{FF2B5EF4-FFF2-40B4-BE49-F238E27FC236}">
                              <a16:creationId xmlns:a16="http://schemas.microsoft.com/office/drawing/2014/main" id="{4614F069-B2F7-DC79-F416-2985409E482C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30588714" y="1150875"/>
                          <a:ext cx="9989885" cy="10266381"/>
                          <a:chOff x="30622738" y="1137176"/>
                          <a:chExt cx="10098694" cy="10146342"/>
                        </a:xfrm>
                      </xdr:grpSpPr>
                      <xdr:grpSp>
                        <xdr:nvGrpSpPr>
                          <xdr:cNvPr id="217" name="Group 216">
                            <a:extLst>
                              <a:ext uri="{FF2B5EF4-FFF2-40B4-BE49-F238E27FC236}">
                                <a16:creationId xmlns:a16="http://schemas.microsoft.com/office/drawing/2014/main" id="{CDAD3E5A-F73B-CA41-E837-209BF6740941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622738" y="1757582"/>
                            <a:ext cx="2103901" cy="914406"/>
                            <a:chOff x="30622738" y="1757582"/>
                            <a:chExt cx="2103901" cy="914406"/>
                          </a:xfrm>
                        </xdr:grpSpPr>
                        <xdr:sp macro="" textlink="">
                          <xdr:nvSpPr>
                            <xdr:cNvPr id="144" name="Rectangle: Rounded Corners 143">
                              <a:extLst>
                                <a:ext uri="{FF2B5EF4-FFF2-40B4-BE49-F238E27FC236}">
                                  <a16:creationId xmlns:a16="http://schemas.microsoft.com/office/drawing/2014/main" id="{76B83963-B515-8983-2164-3E8387A47821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622738" y="1757582"/>
                              <a:ext cx="2103901" cy="914406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/>
                            <a:lstStyle/>
                            <a:p>
                              <a:pPr algn="ctr"/>
                              <a:r>
                                <a:rPr lang="en-CA" b="1"/>
                                <a:t>Invest in Test Phase III</a:t>
                              </a:r>
                            </a:p>
                          </xdr:txBody>
                        </xdr:sp>
                        <xdr:sp macro="" textlink="$AL$13">
                          <xdr:nvSpPr>
                            <xdr:cNvPr id="27" name="TextBox 26">
                              <a:extLst>
                                <a:ext uri="{FF2B5EF4-FFF2-40B4-BE49-F238E27FC236}">
                                  <a16:creationId xmlns:a16="http://schemas.microsoft.com/office/drawing/2014/main" id="{BA0F827F-FA3A-47A4-8ABC-02250361D4F8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026198" y="2132886"/>
                              <a:ext cx="1267537" cy="345147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BBD7AC5F-492C-4FA2-BF7A-BF415D353510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607.5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218" name="Group 217">
                            <a:extLst>
                              <a:ext uri="{FF2B5EF4-FFF2-40B4-BE49-F238E27FC236}">
                                <a16:creationId xmlns:a16="http://schemas.microsoft.com/office/drawing/2014/main" id="{D743B1C7-5B38-A1A8-F0F3-00730E82C13A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643872" y="2934452"/>
                            <a:ext cx="2111033" cy="923428"/>
                            <a:chOff x="30643872" y="2934452"/>
                            <a:chExt cx="2111033" cy="923428"/>
                          </a:xfrm>
                        </xdr:grpSpPr>
                        <xdr:sp macro="" textlink="">
                          <xdr:nvSpPr>
                            <xdr:cNvPr id="82" name="Rectangle: Rounded Corners 81">
                              <a:extLst>
                                <a:ext uri="{FF2B5EF4-FFF2-40B4-BE49-F238E27FC236}">
                                  <a16:creationId xmlns:a16="http://schemas.microsoft.com/office/drawing/2014/main" id="{8BA88A84-EB89-4254-B2CA-17E00E3285BD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643872" y="2934452"/>
                              <a:ext cx="2111033" cy="923428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/>
                            <a:lstStyle/>
                            <a:p>
                              <a:pPr algn="ctr"/>
                              <a:r>
                                <a:rPr lang="en-CA" b="1"/>
                                <a:t>Do Nothing (not license)</a:t>
                              </a:r>
                            </a:p>
                          </xdr:txBody>
                        </xdr:sp>
                        <xdr:sp macro="" textlink="$AL$12">
                          <xdr:nvSpPr>
                            <xdr:cNvPr id="28" name="TextBox 27">
                              <a:extLst>
                                <a:ext uri="{FF2B5EF4-FFF2-40B4-BE49-F238E27FC236}">
                                  <a16:creationId xmlns:a16="http://schemas.microsoft.com/office/drawing/2014/main" id="{0F324650-D99F-4D51-AE73-BFE16A7947D9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017682" y="3306381"/>
                              <a:ext cx="1267537" cy="345146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46873443-0A77-4321-B276-4FCA96E868BD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-70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225" name="Group 224">
                            <a:extLst>
                              <a:ext uri="{FF2B5EF4-FFF2-40B4-BE49-F238E27FC236}">
                                <a16:creationId xmlns:a16="http://schemas.microsoft.com/office/drawing/2014/main" id="{AD5DEBA0-F5DA-E4D6-9971-F44270830CDE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838546" y="5617737"/>
                            <a:ext cx="2111033" cy="913348"/>
                            <a:chOff x="30838546" y="5617737"/>
                            <a:chExt cx="2111033" cy="913348"/>
                          </a:xfrm>
                        </xdr:grpSpPr>
                        <xdr:sp macro="" textlink="">
                          <xdr:nvSpPr>
                            <xdr:cNvPr id="175" name="Rectangle: Rounded Corners 174">
                              <a:extLst>
                                <a:ext uri="{FF2B5EF4-FFF2-40B4-BE49-F238E27FC236}">
                                  <a16:creationId xmlns:a16="http://schemas.microsoft.com/office/drawing/2014/main" id="{1BFC4C49-45C3-4BCC-BE3C-4D90357F1649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838546" y="5617737"/>
                              <a:ext cx="2111033" cy="913348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 anchor="t"/>
                            <a:lstStyle/>
                            <a:p>
                              <a:pPr algn="ctr"/>
                              <a:r>
                                <a:rPr lang="en-CA" b="1"/>
                                <a:t>Do</a:t>
                              </a:r>
                              <a:r>
                                <a:rPr lang="en-CA" b="1" baseline="0"/>
                                <a:t> Nothing (not license)</a:t>
                              </a:r>
                              <a:endParaRPr lang="en-CA" b="1"/>
                            </a:p>
                          </xdr:txBody>
                        </xdr:sp>
                        <xdr:sp macro="" textlink="$AL$20">
                          <xdr:nvSpPr>
                            <xdr:cNvPr id="30" name="TextBox 29">
                              <a:extLst>
                                <a:ext uri="{FF2B5EF4-FFF2-40B4-BE49-F238E27FC236}">
                                  <a16:creationId xmlns:a16="http://schemas.microsoft.com/office/drawing/2014/main" id="{D03F8451-AEBE-4300-8E97-0D16F233816E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303554" y="5929504"/>
                              <a:ext cx="1267539" cy="478887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04DB4E90-66C8-4E0A-9396-2D0BBCAFF18B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-70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221" name="Group 220">
                            <a:extLst>
                              <a:ext uri="{FF2B5EF4-FFF2-40B4-BE49-F238E27FC236}">
                                <a16:creationId xmlns:a16="http://schemas.microsoft.com/office/drawing/2014/main" id="{D6C8442E-2674-F2FD-3427-7C9C27210B7F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754148" y="7018247"/>
                            <a:ext cx="2103901" cy="1108038"/>
                            <a:chOff x="30754148" y="7018247"/>
                            <a:chExt cx="2103901" cy="1108038"/>
                          </a:xfrm>
                        </xdr:grpSpPr>
                        <xdr:sp macro="" textlink="">
                          <xdr:nvSpPr>
                            <xdr:cNvPr id="180" name="Rectangle: Rounded Corners 179">
                              <a:extLst>
                                <a:ext uri="{FF2B5EF4-FFF2-40B4-BE49-F238E27FC236}">
                                  <a16:creationId xmlns:a16="http://schemas.microsoft.com/office/drawing/2014/main" id="{4BA0F62D-82D9-AE20-941A-66763D6D07C1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754148" y="7018247"/>
                              <a:ext cx="2103901" cy="1108038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/>
                            <a:lstStyle/>
                            <a:p>
                              <a:pPr algn="ctr"/>
                              <a:r>
                                <a:rPr lang="en-CA" b="1"/>
                                <a:t>Invest</a:t>
                              </a:r>
                              <a:r>
                                <a:rPr lang="en-CA" b="1" baseline="0"/>
                                <a:t> in Test P</a:t>
                              </a:r>
                              <a:r>
                                <a:rPr lang="en-CA" b="1"/>
                                <a:t>hase III (Indication</a:t>
                              </a:r>
                              <a:r>
                                <a:rPr lang="en-CA" b="1" baseline="0"/>
                                <a:t> Test)</a:t>
                              </a:r>
                            </a:p>
                          </xdr:txBody>
                        </xdr:sp>
                        <xdr:sp macro="" textlink="$AL$33">
                          <xdr:nvSpPr>
                            <xdr:cNvPr id="31" name="TextBox 30">
                              <a:extLst>
                                <a:ext uri="{FF2B5EF4-FFF2-40B4-BE49-F238E27FC236}">
                                  <a16:creationId xmlns:a16="http://schemas.microsoft.com/office/drawing/2014/main" id="{F596683C-D2C7-4898-92EF-37AA390DC816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190421" y="7493893"/>
                              <a:ext cx="1267537" cy="538493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940A4F58-0F24-44B8-85D8-D532149B2D18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949.75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222" name="Group 221">
                            <a:extLst>
                              <a:ext uri="{FF2B5EF4-FFF2-40B4-BE49-F238E27FC236}">
                                <a16:creationId xmlns:a16="http://schemas.microsoft.com/office/drawing/2014/main" id="{AF9649CC-1C06-AF14-69A9-E9AACA6E146A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752713" y="8262184"/>
                            <a:ext cx="2111033" cy="913346"/>
                            <a:chOff x="30752713" y="8262184"/>
                            <a:chExt cx="2111033" cy="913346"/>
                          </a:xfrm>
                        </xdr:grpSpPr>
                        <xdr:sp macro="" textlink="">
                          <xdr:nvSpPr>
                            <xdr:cNvPr id="176" name="Rectangle: Rounded Corners 175">
                              <a:extLst>
                                <a:ext uri="{FF2B5EF4-FFF2-40B4-BE49-F238E27FC236}">
                                  <a16:creationId xmlns:a16="http://schemas.microsoft.com/office/drawing/2014/main" id="{54F48AA5-7FDF-4ED1-9D9E-AA78EBD5BA15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752713" y="8262184"/>
                              <a:ext cx="2111033" cy="913346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 anchor="t"/>
                            <a:lstStyle/>
                            <a:p>
                              <a:pPr algn="ctr"/>
                              <a:r>
                                <a:rPr lang="en-CA" b="1"/>
                                <a:t>Do</a:t>
                              </a:r>
                              <a:r>
                                <a:rPr lang="en-CA" b="1" baseline="0"/>
                                <a:t> Nothing (not lisence)</a:t>
                              </a:r>
                              <a:endParaRPr lang="en-CA" b="1"/>
                            </a:p>
                          </xdr:txBody>
                        </xdr:sp>
                        <xdr:sp macro="" textlink="$AL$32">
                          <xdr:nvSpPr>
                            <xdr:cNvPr id="32" name="TextBox 31">
                              <a:extLst>
                                <a:ext uri="{FF2B5EF4-FFF2-40B4-BE49-F238E27FC236}">
                                  <a16:creationId xmlns:a16="http://schemas.microsoft.com/office/drawing/2014/main" id="{A1F7A1D4-421E-449D-81F2-02974FA8DE7C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156767" y="8561146"/>
                              <a:ext cx="1267537" cy="511325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D02B416B-BB67-48F9-9203-A5E221CE7403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-70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219" name="Group 218">
                            <a:extLst>
                              <a:ext uri="{FF2B5EF4-FFF2-40B4-BE49-F238E27FC236}">
                                <a16:creationId xmlns:a16="http://schemas.microsoft.com/office/drawing/2014/main" id="{D61491B0-9C95-58CF-30EF-84AD797AFA89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810528" y="4380566"/>
                            <a:ext cx="2080527" cy="912794"/>
                            <a:chOff x="30868919" y="4511946"/>
                            <a:chExt cx="2080527" cy="912794"/>
                          </a:xfrm>
                        </xdr:grpSpPr>
                        <xdr:sp macro="" textlink="">
                          <xdr:nvSpPr>
                            <xdr:cNvPr id="155" name="Rectangle: Rounded Corners 154">
                              <a:extLst>
                                <a:ext uri="{FF2B5EF4-FFF2-40B4-BE49-F238E27FC236}">
                                  <a16:creationId xmlns:a16="http://schemas.microsoft.com/office/drawing/2014/main" id="{250F2582-85AC-0DFD-BDF9-ECBF73014ACE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868919" y="4511946"/>
                              <a:ext cx="2080527" cy="912794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/>
                            <a:lstStyle/>
                            <a:p>
                              <a:pPr algn="ctr"/>
                              <a:r>
                                <a:rPr lang="en-CA" b="1"/>
                                <a:t>Invest in Test Phase III</a:t>
                              </a:r>
                            </a:p>
                          </xdr:txBody>
                        </xdr:sp>
                        <xdr:sp macro="" textlink="$AL$21">
                          <xdr:nvSpPr>
                            <xdr:cNvPr id="29" name="TextBox 28">
                              <a:extLst>
                                <a:ext uri="{FF2B5EF4-FFF2-40B4-BE49-F238E27FC236}">
                                  <a16:creationId xmlns:a16="http://schemas.microsoft.com/office/drawing/2014/main" id="{E97B406B-0152-4A09-853C-7D89CC2CECB8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262185" y="4817229"/>
                              <a:ext cx="1240569" cy="512488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D91A3D97-9100-41D1-8527-B3F8652171AE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33.75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216" name="Group 215">
                            <a:extLst>
                              <a:ext uri="{FF2B5EF4-FFF2-40B4-BE49-F238E27FC236}">
                                <a16:creationId xmlns:a16="http://schemas.microsoft.com/office/drawing/2014/main" id="{B7C8308C-C1A3-4E51-14FD-991467E93DC7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2726639" y="1137176"/>
                            <a:ext cx="7994793" cy="10146342"/>
                            <a:chOff x="32726639" y="1137176"/>
                            <a:chExt cx="7994793" cy="10146342"/>
                          </a:xfrm>
                        </xdr:grpSpPr>
                        <xdr:cxnSp macro="">
                          <xdr:nvCxnSpPr>
                            <xdr:cNvPr id="159" name="Straight Connector 158">
                              <a:extLst>
                                <a:ext uri="{FF2B5EF4-FFF2-40B4-BE49-F238E27FC236}">
                                  <a16:creationId xmlns:a16="http://schemas.microsoft.com/office/drawing/2014/main" id="{7A664DB4-04B4-4DF8-98DD-49AB4FF2D4FD}"/>
                                </a:ext>
                              </a:extLst>
                            </xdr:cNvPr>
                            <xdr:cNvCxnSpPr>
                              <a:cxnSpLocks/>
                              <a:stCxn id="144" idx="3"/>
                              <a:endCxn id="161" idx="2"/>
                            </xdr:cNvCxnSpPr>
                          </xdr:nvCxnSpPr>
                          <xdr:spPr>
                            <a:xfrm flipV="1">
                              <a:off x="32726639" y="2203902"/>
                              <a:ext cx="1486026" cy="10883"/>
                            </a:xfrm>
                            <a:prstGeom prst="line">
                              <a:avLst/>
                            </a:prstGeom>
                          </xdr:spPr>
                          <xdr:style>
                            <a:lnRef idx="2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1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grpSp>
                          <xdr:nvGrpSpPr>
                            <xdr:cNvPr id="215" name="Group 214">
                              <a:extLst>
                                <a:ext uri="{FF2B5EF4-FFF2-40B4-BE49-F238E27FC236}">
                                  <a16:creationId xmlns:a16="http://schemas.microsoft.com/office/drawing/2014/main" id="{620D8C5D-8D8C-7EBF-73AF-8222973E8348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32856033" y="1137176"/>
                              <a:ext cx="7865399" cy="10146342"/>
                              <a:chOff x="32856033" y="1137176"/>
                              <a:chExt cx="7865399" cy="10146342"/>
                            </a:xfrm>
                          </xdr:grpSpPr>
                          <xdr:cxnSp macro="">
                            <xdr:nvCxnSpPr>
                              <xdr:cNvPr id="167" name="Straight Connector 166">
                                <a:extLst>
                                  <a:ext uri="{FF2B5EF4-FFF2-40B4-BE49-F238E27FC236}">
                                    <a16:creationId xmlns:a16="http://schemas.microsoft.com/office/drawing/2014/main" id="{053A6202-D11B-AB56-901E-5DD118D61873}"/>
                                  </a:ext>
                                </a:extLst>
                              </xdr:cNvPr>
                              <xdr:cNvCxnSpPr>
                                <a:cxnSpLocks/>
                                <a:endCxn id="169" idx="2"/>
                              </xdr:cNvCxnSpPr>
                            </xdr:nvCxnSpPr>
                            <xdr:spPr>
                              <a:xfrm flipV="1">
                                <a:off x="32914727" y="4979572"/>
                                <a:ext cx="1395196" cy="16620"/>
                              </a:xfrm>
                              <a:prstGeom prst="line">
                                <a:avLst/>
                              </a:prstGeom>
                            </xdr:spPr>
                            <xdr:style>
                              <a:lnRef idx="2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1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grpSp>
                            <xdr:nvGrpSpPr>
                              <xdr:cNvPr id="208" name="Group 207">
                                <a:extLst>
                                  <a:ext uri="{FF2B5EF4-FFF2-40B4-BE49-F238E27FC236}">
                                    <a16:creationId xmlns:a16="http://schemas.microsoft.com/office/drawing/2014/main" id="{7599DEDC-F48A-64D4-BFEB-E21442908F5E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34309923" y="4471075"/>
                                <a:ext cx="2832818" cy="1006774"/>
                                <a:chOff x="34309923" y="4471075"/>
                                <a:chExt cx="2832818" cy="1006774"/>
                              </a:xfrm>
                            </xdr:grpSpPr>
                            <xdr:sp macro="" textlink="">
                              <xdr:nvSpPr>
                                <xdr:cNvPr id="169" name="Oval 168">
                                  <a:extLst>
                                    <a:ext uri="{FF2B5EF4-FFF2-40B4-BE49-F238E27FC236}">
                                      <a16:creationId xmlns:a16="http://schemas.microsoft.com/office/drawing/2014/main" id="{235D1B5A-45C9-B4C9-61DF-FCC1DFBCEE58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4309923" y="4471075"/>
                                  <a:ext cx="2832818" cy="1006774"/>
                                </a:xfrm>
                                <a:prstGeom prst="ellipse">
                                  <a:avLst/>
                                </a:prstGeom>
                              </xdr:spPr>
                              <xdr:style>
                                <a:lnRef idx="3">
                                  <a:schemeClr val="accent1">
                                    <a:shade val="80000"/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lnRef>
                                <a:fillRef idx="1">
                                  <a:schemeClr val="lt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illRef>
                                <a:effectRef idx="1">
                                  <a:schemeClr val="lt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effectRef>
                                <a:fontRef idx="minor">
                                  <a:schemeClr val="dk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ontRef>
                              </xdr:style>
                            </xdr:sp>
                            <xdr:sp macro="" textlink="">
                              <xdr:nvSpPr>
                                <xdr:cNvPr id="170" name="Oval 4">
                                  <a:extLst>
                                    <a:ext uri="{FF2B5EF4-FFF2-40B4-BE49-F238E27FC236}">
                                      <a16:creationId xmlns:a16="http://schemas.microsoft.com/office/drawing/2014/main" id="{7B83973B-534A-9FDB-0123-06180CBDFBE1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34724780" y="4618514"/>
                                  <a:ext cx="2003104" cy="711896"/>
                                </a:xfrm>
                                <a:prstGeom prst="rect">
                                  <a:avLst/>
                                </a:prstGeom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ontRef>
                              </xdr:style>
                              <xdr:txBody>
                                <a:bodyPr spcFirstLastPara="0" vert="horz" wrap="square" lIns="10160" tIns="10160" rIns="10160" bIns="10160" numCol="1" spcCol="1270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ctr" defTabSz="711200">
                                    <a:lnSpc>
                                      <a:spcPct val="90000"/>
                                    </a:lnSpc>
                                    <a:spcBef>
                                      <a:spcPct val="0"/>
                                    </a:spcBef>
                                    <a:spcAft>
                                      <a:spcPct val="35000"/>
                                    </a:spcAft>
                                    <a:buNone/>
                                  </a:pPr>
                                  <a:r>
                                    <a:rPr lang="en-US" sz="1600" b="0" kern="1200"/>
                                    <a:t>Uncertainty</a:t>
                                  </a:r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214" name="Group 213">
                                <a:extLst>
                                  <a:ext uri="{FF2B5EF4-FFF2-40B4-BE49-F238E27FC236}">
                                    <a16:creationId xmlns:a16="http://schemas.microsoft.com/office/drawing/2014/main" id="{54D61717-FC02-25DE-9EED-73C0324A2815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32856033" y="1137176"/>
                                <a:ext cx="7865399" cy="10146342"/>
                                <a:chOff x="32856033" y="1137176"/>
                                <a:chExt cx="7865399" cy="10146342"/>
                              </a:xfrm>
                            </xdr:grpSpPr>
                            <xdr:cxnSp macro="">
                              <xdr:nvCxnSpPr>
                                <xdr:cNvPr id="183" name="Straight Connector 182">
                                  <a:extLst>
                                    <a:ext uri="{FF2B5EF4-FFF2-40B4-BE49-F238E27FC236}">
                                      <a16:creationId xmlns:a16="http://schemas.microsoft.com/office/drawing/2014/main" id="{638FD3FC-9519-648F-72D7-9CA19FADADF0}"/>
                                    </a:ext>
                                  </a:extLst>
                                </xdr:cNvPr>
                                <xdr:cNvCxnSpPr>
                                  <a:cxnSpLocks/>
                                  <a:endCxn id="185" idx="2"/>
                                </xdr:cNvCxnSpPr>
                              </xdr:nvCxnSpPr>
                              <xdr:spPr>
                                <a:xfrm flipV="1">
                                  <a:off x="32856033" y="7479059"/>
                                  <a:ext cx="1413306" cy="15347"/>
                                </a:xfrm>
                                <a:prstGeom prst="line">
                                  <a:avLst/>
                                </a:prstGeom>
                              </xdr:spPr>
                              <xdr:style>
                                <a:lnRef idx="2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1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sp macro="" textlink="">
                              <xdr:nvSpPr>
                                <xdr:cNvPr id="185" name="Oval 184">
                                  <a:extLst>
                                    <a:ext uri="{FF2B5EF4-FFF2-40B4-BE49-F238E27FC236}">
                                      <a16:creationId xmlns:a16="http://schemas.microsoft.com/office/drawing/2014/main" id="{5B537FB1-A327-402C-90C2-FEE128C09151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4269340" y="6985664"/>
                                  <a:ext cx="2863200" cy="1001188"/>
                                </a:xfrm>
                                <a:prstGeom prst="ellipse">
                                  <a:avLst/>
                                </a:prstGeom>
                              </xdr:spPr>
                              <xdr:style>
                                <a:lnRef idx="3">
                                  <a:schemeClr val="accent1">
                                    <a:shade val="80000"/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lnRef>
                                <a:fillRef idx="1">
                                  <a:schemeClr val="lt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illRef>
                                <a:effectRef idx="1">
                                  <a:schemeClr val="lt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effectRef>
                                <a:fontRef idx="minor">
                                  <a:schemeClr val="dk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ontRef>
                              </xdr:style>
                            </xdr:sp>
                            <xdr:sp macro="" textlink="">
                              <xdr:nvSpPr>
                                <xdr:cNvPr id="186" name="Oval 4">
                                  <a:extLst>
                                    <a:ext uri="{FF2B5EF4-FFF2-40B4-BE49-F238E27FC236}">
                                      <a16:creationId xmlns:a16="http://schemas.microsoft.com/office/drawing/2014/main" id="{CA281340-9DA8-52FE-9F7B-085EBF412284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34688646" y="7132285"/>
                                  <a:ext cx="2024587" cy="707946"/>
                                </a:xfrm>
                                <a:prstGeom prst="rect">
                                  <a:avLst/>
                                </a:prstGeom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ontRef>
                              </xdr:style>
                              <xdr:txBody>
                                <a:bodyPr spcFirstLastPara="0" vert="horz" wrap="square" lIns="10160" tIns="10160" rIns="10160" bIns="10160" numCol="1" spcCol="1270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ctr" defTabSz="711200">
                                    <a:lnSpc>
                                      <a:spcPct val="90000"/>
                                    </a:lnSpc>
                                    <a:spcBef>
                                      <a:spcPct val="0"/>
                                    </a:spcBef>
                                    <a:spcAft>
                                      <a:spcPct val="35000"/>
                                    </a:spcAft>
                                    <a:buNone/>
                                  </a:pPr>
                                  <a:r>
                                    <a:rPr lang="en-US" sz="1600" kern="1200"/>
                                    <a:t>Uncertainty</a:t>
                                  </a:r>
                                </a:p>
                              </xdr:txBody>
                            </xdr:sp>
                            <xdr:grpSp>
                              <xdr:nvGrpSpPr>
                                <xdr:cNvPr id="202" name="Group 201">
                                  <a:extLst>
                                    <a:ext uri="{FF2B5EF4-FFF2-40B4-BE49-F238E27FC236}">
                                      <a16:creationId xmlns:a16="http://schemas.microsoft.com/office/drawing/2014/main" id="{7F732FD6-8E49-44D7-663F-E4B116DE6572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37061257" y="1137176"/>
                                  <a:ext cx="3660175" cy="10146342"/>
                                  <a:chOff x="37061257" y="1137176"/>
                                  <a:chExt cx="3660175" cy="10146342"/>
                                </a:xfrm>
                              </xdr:grpSpPr>
                              <xdr:sp macro="" textlink="AL9">
                                <xdr:nvSpPr>
                                  <xdr:cNvPr id="78" name="TextBox 77">
                                    <a:extLst>
                                      <a:ext uri="{FF2B5EF4-FFF2-40B4-BE49-F238E27FC236}">
                                        <a16:creationId xmlns:a16="http://schemas.microsoft.com/office/drawing/2014/main" id="{D8430A23-E7D7-6F0C-9037-6EA9F822A8AD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363615" y="2615688"/>
                                    <a:ext cx="443630" cy="241463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8BD470FE-945F-4991-BCEA-8827C8714D95}" type="TxLink">
                                      <a:rPr lang="en-US" sz="11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0.15</a:t>
                                    </a:fld>
                                    <a:endParaRPr lang="en-CA" sz="1100"/>
                                  </a:p>
                                </xdr:txBody>
                              </xdr:sp>
                              <xdr:sp macro="" textlink="AL26">
                                <xdr:nvSpPr>
                                  <xdr:cNvPr id="85" name="TextBox 84">
                                    <a:extLst>
                                      <a:ext uri="{FF2B5EF4-FFF2-40B4-BE49-F238E27FC236}">
                                        <a16:creationId xmlns:a16="http://schemas.microsoft.com/office/drawing/2014/main" id="{F5349983-8B7F-4648-80C2-158257CAEC19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8011514" y="8395576"/>
                                    <a:ext cx="382740" cy="215368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F2E977F8-8A15-496E-95A3-07CA1FE01F5E}" type="TxLink">
                                      <a:rPr lang="en-US" sz="11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0.7</a:t>
                                    </a:fld>
                                    <a:endParaRPr lang="en-CA" sz="1100"/>
                                  </a:p>
                                </xdr:txBody>
                              </xdr:sp>
                              <xdr:sp macro="" textlink="AL27">
                                <xdr:nvSpPr>
                                  <xdr:cNvPr id="95" name="TextBox 94">
                                    <a:extLst>
                                      <a:ext uri="{FF2B5EF4-FFF2-40B4-BE49-F238E27FC236}">
                                        <a16:creationId xmlns:a16="http://schemas.microsoft.com/office/drawing/2014/main" id="{3CA5E0F9-3829-F901-0A1F-E537942110E5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459301" y="9346128"/>
                                    <a:ext cx="400137" cy="26756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B079459E-77C4-401C-ACB4-92D0ED5F7421}" type="TxLink">
                                      <a:rPr lang="en-US" sz="11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0.1</a:t>
                                    </a:fld>
                                    <a:endParaRPr lang="en-CA" sz="1100"/>
                                  </a:p>
                                </xdr:txBody>
                              </xdr:sp>
                              <xdr:sp macro="" textlink="AL8">
                                <xdr:nvSpPr>
                                  <xdr:cNvPr id="77" name="TextBox 76">
                                    <a:extLst>
                                      <a:ext uri="{FF2B5EF4-FFF2-40B4-BE49-F238E27FC236}">
                                        <a16:creationId xmlns:a16="http://schemas.microsoft.com/office/drawing/2014/main" id="{53A3375B-3996-234C-B9DB-DD95BEAA6433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455048" y="1484769"/>
                                    <a:ext cx="432270" cy="275412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FE7E9EB7-A5FF-4603-BFF6-6D48B3E20246}" type="TxLink">
                                      <a:rPr lang="en-US" sz="11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0.85</a:t>
                                    </a:fld>
                                    <a:endParaRPr lang="en-CA" sz="1100"/>
                                  </a:p>
                                </xdr:txBody>
                              </xdr:sp>
                              <xdr:sp macro="" textlink="AL16">
                                <xdr:nvSpPr>
                                  <xdr:cNvPr id="80" name="TextBox 79">
                                    <a:extLst>
                                      <a:ext uri="{FF2B5EF4-FFF2-40B4-BE49-F238E27FC236}">
                                        <a16:creationId xmlns:a16="http://schemas.microsoft.com/office/drawing/2014/main" id="{8CFE90E3-F3C7-4081-B392-13ED112F1B86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550308" y="4330732"/>
                                    <a:ext cx="458249" cy="221856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97B8B557-5172-4B28-8360-31BC5F739529}" type="TxLink">
                                      <a:rPr lang="en-US" sz="11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0.75</a:t>
                                    </a:fld>
                                    <a:endParaRPr lang="en-CA" sz="1100"/>
                                  </a:p>
                                </xdr:txBody>
                              </xdr:sp>
                              <xdr:sp macro="" textlink="AL17">
                                <xdr:nvSpPr>
                                  <xdr:cNvPr id="81" name="TextBox 80">
                                    <a:extLst>
                                      <a:ext uri="{FF2B5EF4-FFF2-40B4-BE49-F238E27FC236}">
                                        <a16:creationId xmlns:a16="http://schemas.microsoft.com/office/drawing/2014/main" id="{396DC619-0BE8-FB8E-76D2-AAB40E7026F1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489685" y="5396675"/>
                                    <a:ext cx="492890" cy="232074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23408D1D-A8E4-4D4E-82D7-F025355732DB}" type="TxLink">
                                      <a:rPr lang="en-US" sz="11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0.25</a:t>
                                    </a:fld>
                                    <a:endParaRPr lang="en-CA" sz="1100"/>
                                  </a:p>
                                </xdr:txBody>
                              </xdr:sp>
                              <xdr:sp macro="" textlink="AL24">
                                <xdr:nvSpPr>
                                  <xdr:cNvPr id="83" name="TextBox 82">
                                    <a:extLst>
                                      <a:ext uri="{FF2B5EF4-FFF2-40B4-BE49-F238E27FC236}">
                                        <a16:creationId xmlns:a16="http://schemas.microsoft.com/office/drawing/2014/main" id="{FD766D19-A059-CAE6-B36F-4A1936AFA605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532987" y="6792878"/>
                                    <a:ext cx="458249" cy="239708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73F09452-BD8C-4870-BEC9-069E31DCABCA}" type="TxLink">
                                      <a:rPr lang="en-US" sz="11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0.15</a:t>
                                    </a:fld>
                                    <a:endParaRPr lang="en-CA" sz="1100"/>
                                  </a:p>
                                </xdr:txBody>
                              </xdr:sp>
                              <xdr:sp macro="" textlink="AL25">
                                <xdr:nvSpPr>
                                  <xdr:cNvPr id="84" name="TextBox 83">
                                    <a:extLst>
                                      <a:ext uri="{FF2B5EF4-FFF2-40B4-BE49-F238E27FC236}">
                                        <a16:creationId xmlns:a16="http://schemas.microsoft.com/office/drawing/2014/main" id="{7AB49166-61DA-42E5-8E1E-82F7B084205A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921957" y="7628039"/>
                                    <a:ext cx="484958" cy="258853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EB660C67-FC1F-46D1-8690-6C54A25E322F}" type="TxLink">
                                      <a:rPr lang="en-US" sz="11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0.05</a:t>
                                    </a:fld>
                                    <a:endParaRPr lang="en-CA" sz="1100"/>
                                  </a:p>
                                </xdr:txBody>
                              </xdr:sp>
                              <xdr:grpSp>
                                <xdr:nvGrpSpPr>
                                  <xdr:cNvPr id="201" name="Group 200">
                                    <a:extLst>
                                      <a:ext uri="{FF2B5EF4-FFF2-40B4-BE49-F238E27FC236}">
                                        <a16:creationId xmlns:a16="http://schemas.microsoft.com/office/drawing/2014/main" id="{FC864EF9-3BB7-B045-0A33-BD6D558B4F1A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37061257" y="1137176"/>
                                    <a:ext cx="3660175" cy="10146342"/>
                                    <a:chOff x="37061257" y="1137176"/>
                                    <a:chExt cx="3660175" cy="10146342"/>
                                  </a:xfrm>
                                </xdr:grpSpPr>
                                <xdr:cxnSp macro="">
                                  <xdr:nvCxnSpPr>
                                    <xdr:cNvPr id="195" name="Straight Connector 194">
                                      <a:extLst>
                                        <a:ext uri="{FF2B5EF4-FFF2-40B4-BE49-F238E27FC236}">
                                          <a16:creationId xmlns:a16="http://schemas.microsoft.com/office/drawing/2014/main" id="{D067EA61-1445-4CAD-94CA-16284E74819B}"/>
                                        </a:ext>
                                      </a:extLst>
                                    </xdr:cNvPr>
                                    <xdr:cNvCxnSpPr>
                                      <a:stCxn id="185" idx="6"/>
                                      <a:endCxn id="192" idx="1"/>
                                    </xdr:cNvCxnSpPr>
                                  </xdr:nvCxnSpPr>
                                  <xdr:spPr>
                                    <a:xfrm>
                                      <a:off x="37132540" y="7486258"/>
                                      <a:ext cx="1455792" cy="757330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198" name="Straight Connector 197">
                                      <a:extLst>
                                        <a:ext uri="{FF2B5EF4-FFF2-40B4-BE49-F238E27FC236}">
                                          <a16:creationId xmlns:a16="http://schemas.microsoft.com/office/drawing/2014/main" id="{3555054A-97FF-4E56-B29F-73A39248F25E}"/>
                                        </a:ext>
                                      </a:extLst>
                                    </xdr:cNvPr>
                                    <xdr:cNvCxnSpPr>
                                      <a:stCxn id="185" idx="6"/>
                                      <a:endCxn id="193" idx="1"/>
                                    </xdr:cNvCxnSpPr>
                                  </xdr:nvCxnSpPr>
                                  <xdr:spPr>
                                    <a:xfrm>
                                      <a:off x="37132540" y="7486258"/>
                                      <a:ext cx="1551073" cy="2070243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145" name="Straight Connector 144">
                                      <a:extLst>
                                        <a:ext uri="{FF2B5EF4-FFF2-40B4-BE49-F238E27FC236}">
                                          <a16:creationId xmlns:a16="http://schemas.microsoft.com/office/drawing/2014/main" id="{14C9E526-D71A-0E4C-9B3F-3305E9B4E429}"/>
                                        </a:ext>
                                      </a:extLst>
                                    </xdr:cNvPr>
                                    <xdr:cNvCxnSpPr>
                                      <a:endCxn id="147" idx="1"/>
                                    </xdr:cNvCxnSpPr>
                                  </xdr:nvCxnSpPr>
                                  <xdr:spPr>
                                    <a:xfrm flipV="1">
                                      <a:off x="37061257" y="1676817"/>
                                      <a:ext cx="1428153" cy="499602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146" name="Straight Connector 145">
                                      <a:extLst>
                                        <a:ext uri="{FF2B5EF4-FFF2-40B4-BE49-F238E27FC236}">
                                          <a16:creationId xmlns:a16="http://schemas.microsoft.com/office/drawing/2014/main" id="{BF042BD5-5647-77AF-CD84-3F28DC467977}"/>
                                        </a:ext>
                                      </a:extLst>
                                    </xdr:cNvPr>
                                    <xdr:cNvCxnSpPr>
                                      <a:endCxn id="148" idx="1"/>
                                    </xdr:cNvCxnSpPr>
                                  </xdr:nvCxnSpPr>
                                  <xdr:spPr>
                                    <a:xfrm>
                                      <a:off x="37061257" y="2176418"/>
                                      <a:ext cx="1428153" cy="683053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171" name="Straight Connector 170">
                                      <a:extLst>
                                        <a:ext uri="{FF2B5EF4-FFF2-40B4-BE49-F238E27FC236}">
                                          <a16:creationId xmlns:a16="http://schemas.microsoft.com/office/drawing/2014/main" id="{17781519-6A05-DA2D-FAD3-BA4DC261D367}"/>
                                        </a:ext>
                                      </a:extLst>
                                    </xdr:cNvPr>
                                    <xdr:cNvCxnSpPr>
                                      <a:endCxn id="173" idx="1"/>
                                    </xdr:cNvCxnSpPr>
                                  </xdr:nvCxnSpPr>
                                  <xdr:spPr>
                                    <a:xfrm flipV="1">
                                      <a:off x="37158248" y="4363293"/>
                                      <a:ext cx="1427700" cy="590225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172" name="Straight Connector 171">
                                      <a:extLst>
                                        <a:ext uri="{FF2B5EF4-FFF2-40B4-BE49-F238E27FC236}">
                                          <a16:creationId xmlns:a16="http://schemas.microsoft.com/office/drawing/2014/main" id="{79E5C35D-83D3-83C2-1965-24010425A544}"/>
                                        </a:ext>
                                      </a:extLst>
                                    </xdr:cNvPr>
                                    <xdr:cNvCxnSpPr>
                                      <a:endCxn id="174" idx="1"/>
                                    </xdr:cNvCxnSpPr>
                                  </xdr:nvCxnSpPr>
                                  <xdr:spPr>
                                    <a:xfrm>
                                      <a:off x="37158248" y="4953518"/>
                                      <a:ext cx="1427700" cy="684673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187" name="Straight Connector 186">
                                      <a:extLst>
                                        <a:ext uri="{FF2B5EF4-FFF2-40B4-BE49-F238E27FC236}">
                                          <a16:creationId xmlns:a16="http://schemas.microsoft.com/office/drawing/2014/main" id="{6B0D7101-64A6-FEBB-82C7-0AADBD9E45CA}"/>
                                        </a:ext>
                                      </a:extLst>
                                    </xdr:cNvPr>
                                    <xdr:cNvCxnSpPr>
                                      <a:stCxn id="185" idx="6"/>
                                      <a:endCxn id="189" idx="1"/>
                                    </xdr:cNvCxnSpPr>
                                  </xdr:nvCxnSpPr>
                                  <xdr:spPr>
                                    <a:xfrm flipV="1">
                                      <a:off x="37132540" y="6863655"/>
                                      <a:ext cx="1499154" cy="622603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188" name="Straight Connector 187">
                                      <a:extLst>
                                        <a:ext uri="{FF2B5EF4-FFF2-40B4-BE49-F238E27FC236}">
                                          <a16:creationId xmlns:a16="http://schemas.microsoft.com/office/drawing/2014/main" id="{0496E536-945D-1785-9CB8-EDCE45C8E38F}"/>
                                        </a:ext>
                                      </a:extLst>
                                    </xdr:cNvPr>
                                    <xdr:cNvCxnSpPr>
                                      <a:stCxn id="185" idx="6"/>
                                      <a:endCxn id="190" idx="1"/>
                                    </xdr:cNvCxnSpPr>
                                  </xdr:nvCxnSpPr>
                                  <xdr:spPr>
                                    <a:xfrm>
                                      <a:off x="37132540" y="7486258"/>
                                      <a:ext cx="1448375" cy="3343916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grpSp>
                                  <xdr:nvGrpSpPr>
                                    <xdr:cNvPr id="191" name="Group 190">
                                      <a:extLst>
                                        <a:ext uri="{FF2B5EF4-FFF2-40B4-BE49-F238E27FC236}">
                                          <a16:creationId xmlns:a16="http://schemas.microsoft.com/office/drawing/2014/main" id="{E74BF908-BC9B-1C03-989B-4935C23EB1D9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38489410" y="1137176"/>
                                      <a:ext cx="2232022" cy="10146342"/>
                                      <a:chOff x="38489410" y="1137176"/>
                                      <a:chExt cx="2232022" cy="10146342"/>
                                    </a:xfrm>
                                  </xdr:grpSpPr>
                                  <xdr:grpSp>
                                    <xdr:nvGrpSpPr>
                                      <xdr:cNvPr id="181" name="Group 1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9ABBC8B-C13C-FF7B-3319-F82ACBFA19FF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8489410" y="1137176"/>
                                        <a:ext cx="2182547" cy="3682855"/>
                                        <a:chOff x="38489410" y="1137176"/>
                                        <a:chExt cx="2182547" cy="3682855"/>
                                      </a:xfrm>
                                    </xdr:grpSpPr>
                                    <xdr:sp macro="" textlink="">
                                      <xdr:nvSpPr>
                                        <xdr:cNvPr id="147" name="Rectangle: Rounded Corners 1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AEB35FD1-38C4-4173-BAA3-4A525F7EF90A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38489410" y="1137176"/>
                                          <a:ext cx="2085885" cy="1074900"/>
                                        </a:xfrm>
                                        <a:prstGeom prst="roundRect">
                                          <a:avLst>
                                            <a:gd name="adj" fmla="val 10000"/>
                                          </a:avLst>
                                        </a:prstGeom>
                                      </xdr:spPr>
                                      <xdr:style>
                                        <a:lnRef idx="3">
                                          <a:schemeClr val="accent1">
                                            <a:shade val="80000"/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lnRef>
                                        <a:fill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illRef>
                                        <a:effect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effectRef>
                                        <a:fontRef idx="minor">
                                          <a:schemeClr val="dk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ontRef>
                                      </xdr:style>
                                      <xdr:txBody>
                                        <a:bodyPr anchor="t"/>
                                        <a:lstStyle/>
                                        <a:p>
                                          <a:pPr algn="ctr"/>
                                          <a:r>
                                            <a:rPr lang="en-CA" b="1"/>
                                            <a:t>Success</a:t>
                                          </a:r>
                                        </a:p>
                                      </xdr:txBody>
                                    </xdr:sp>
                                    <xdr:sp macro="" textlink="$AL$10">
                                      <xdr:nvSpPr>
                                        <xdr:cNvPr id="3" name="TextBox 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425A9C94-F9CF-ED82-5746-5D1FAA484C82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38911539" y="1446838"/>
                                          <a:ext cx="1252086" cy="490901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chemeClr val="bg2"/>
                                        </a:solidFill>
                                        <a:ln w="9525" cmpd="sng">
                                          <a:solidFill>
                                            <a:schemeClr val="lt1">
                                              <a:shade val="50000"/>
                                            </a:schemeClr>
                                          </a:solidFill>
                                        </a:ln>
                                      </xdr:spPr>
                                      <xdr:style>
                                        <a:lnRef idx="0">
                                          <a:scrgbClr r="0" g="0" b="0"/>
                                        </a:lnRef>
                                        <a:fillRef idx="0">
                                          <a:scrgbClr r="0" g="0" b="0"/>
                                        </a:fillRef>
                                        <a:effectRef idx="0">
                                          <a:scrgbClr r="0" g="0" b="0"/>
                                        </a:effectRef>
                                        <a:fontRef idx="minor">
                                          <a:schemeClr val="dk1"/>
                                        </a:fontRef>
                                      </xdr:style>
                                      <xdr:txBody>
                                        <a:bodyPr vertOverflow="clip" horzOverflow="clip" wrap="square" rtlCol="0" anchor="t"/>
                                        <a:lstStyle/>
                                        <a:p>
                                          <a:fld id="{BC9A50A8-8541-4A71-9989-E7DD7A19B803}" type="TxLink">
                                            <a:rPr lang="en-US" sz="2000" b="0" i="0" u="none" strike="noStrike">
                                              <a:solidFill>
                                                <a:srgbClr val="000000"/>
                                              </a:solidFill>
                                              <a:latin typeface="Aptos Narrow"/>
                                            </a:rPr>
                                            <a:pPr/>
                                            <a:t>750</a:t>
                                          </a:fld>
                                          <a:endParaRPr lang="en-CA" sz="1100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179" name="Group 1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F2CD6A5-701B-7992-F513-8355443F8729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38489410" y="2400399"/>
                                          <a:ext cx="2182547" cy="2419632"/>
                                          <a:chOff x="38489410" y="2400399"/>
                                          <a:chExt cx="2182547" cy="2419632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48" name="Rectangle: Rounded Corners 14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361AF533-67B3-45FF-A3A7-5B8F5534CA3E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38489410" y="2400399"/>
                                            <a:ext cx="2085885" cy="918144"/>
                                          </a:xfrm>
                                          <a:prstGeom prst="roundRect">
                                            <a:avLst>
                                              <a:gd name="adj" fmla="val 10000"/>
                                            </a:avLst>
                                          </a:prstGeom>
                                        </xdr:spPr>
                                        <xdr:style>
                                          <a:lnRef idx="3">
                                            <a:schemeClr val="accent1">
                                              <a:shade val="80000"/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lnRef>
                                          <a:fill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illRef>
                                          <a:effect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effectRef>
                                          <a:fontRef idx="minor">
                                            <a:schemeClr val="dk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ontRef>
                                        </xdr:style>
                                        <xdr:txBody>
                                          <a:bodyPr/>
                                          <a:lstStyle/>
                                          <a:p>
                                            <a:pPr algn="ctr"/>
                                            <a:r>
                                              <a:rPr lang="en-CA" b="1"/>
                                              <a:t>Failure</a:t>
                                            </a:r>
                                          </a:p>
                                        </xdr:txBody>
                                      </xdr:sp>
                                      <xdr:sp macro="" textlink="$AL$11">
                                        <xdr:nvSpPr>
                                          <xdr:cNvPr id="46" name="TextBox 4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2482C15C-F602-4A2D-922E-B1FA1AED71D9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38940218" y="2696746"/>
                                            <a:ext cx="1252086" cy="474907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chemeClr val="bg2"/>
                                          </a:solidFill>
                                          <a:ln w="9525" cmpd="sng">
                                            <a:solidFill>
                                              <a:schemeClr val="lt1">
                                                <a:shade val="50000"/>
                                              </a:schemeClr>
                                            </a:solidFill>
                                          </a:ln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dk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/>
                                          <a:lstStyle/>
                                          <a:p>
                                            <a:fld id="{9383C4EB-A78C-4737-928B-E29E2ADEE674}" type="TxLink">
                                              <a:rPr lang="en-US" sz="2000" b="0" i="0" u="none" strike="noStrike">
                                                <a:solidFill>
                                                  <a:srgbClr val="000000"/>
                                                </a:solidFill>
                                                <a:latin typeface="Aptos Narrow"/>
                                              </a:rPr>
                                              <a:pPr/>
                                              <a:t>-200</a:t>
                                            </a:fld>
                                            <a:endParaRPr lang="en-CA" sz="11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178" name="Group 17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5BD3875B-63EE-A3A0-87CD-15714F9A7995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38585948" y="3906554"/>
                                            <a:ext cx="2086009" cy="913477"/>
                                            <a:chOff x="38585948" y="3906554"/>
                                            <a:chExt cx="2086009" cy="913477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73" name="Rectangle: Rounded Corners 17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BD530D3A-53B5-18AE-6641-3824A479382D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38585948" y="3906554"/>
                                              <a:ext cx="2086009" cy="913477"/>
                                            </a:xfrm>
                                            <a:prstGeom prst="roundRect">
                                              <a:avLst>
                                                <a:gd name="adj" fmla="val 10000"/>
                                              </a:avLst>
                                            </a:prstGeom>
                                          </xdr:spPr>
                                          <xdr:style>
                                            <a:lnRef idx="3">
                                              <a:schemeClr val="accent1">
                                                <a:shade val="80000"/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lnRef>
                                            <a:fillRef idx="1">
                                              <a:schemeClr val="lt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fillRef>
                                            <a:effectRef idx="1">
                                              <a:schemeClr val="lt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effectRef>
                                            <a:fontRef idx="minor">
                                              <a:schemeClr val="dk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fontRef>
                                          </xdr:style>
                                          <xdr:txBody>
                                            <a:bodyPr/>
                                            <a:lstStyle/>
                                            <a:p>
                                              <a:pPr algn="ctr"/>
                                              <a:r>
                                                <a:rPr lang="en-CA" b="1"/>
                                                <a:t>Success</a:t>
                                              </a:r>
                                            </a:p>
                                          </xdr:txBody>
                                        </xdr:sp>
                                        <xdr:sp macro="" textlink="$AL$18">
                                          <xdr:nvSpPr>
                                            <xdr:cNvPr id="47" name="TextBox 4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D3D41C1-9EA1-45C5-BFBD-1AA02F2278D3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>
                                            <a:xfrm>
                                              <a:off x="38940218" y="4188265"/>
                                              <a:ext cx="1252086" cy="484552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chemeClr val="bg2"/>
                                            </a:solidFill>
                                            <a:ln w="9525" cmpd="sng">
                                              <a:solidFill>
                                                <a:schemeClr val="lt1">
                                                  <a:shade val="50000"/>
                                                </a:schemeClr>
                                              </a:solidFill>
                                            </a:ln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dk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/>
                                            <a:lstStyle/>
                                            <a:p>
                                              <a:fld id="{47E0F049-A538-4AB1-A39F-B147FBD0B2A6}" type="TxLink">
                                                <a:rPr lang="en-US" sz="2000" b="0" i="0" u="none" strike="noStrike">
                                                  <a:solidFill>
                                                    <a:srgbClr val="000000"/>
                                                  </a:solidFill>
                                                  <a:latin typeface="Aptos Narrow"/>
                                                </a:rPr>
                                                <a:pPr/>
                                                <a:t>95</a:t>
                                              </a:fld>
                                              <a:endParaRPr lang="en-CA" sz="1100"/>
                                            </a:p>
                                          </xdr:txBody>
                                        </xdr:sp>
                                      </xdr:grpSp>
                                    </xdr:grpSp>
                                  </xdr:grpSp>
                                  <xdr:grpSp>
                                    <xdr:nvGrpSpPr>
                                      <xdr:cNvPr id="163" name="Group 1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33DA353F-B6E2-83B8-24C8-80DA0B04380E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8585948" y="5181451"/>
                                        <a:ext cx="2086009" cy="913477"/>
                                        <a:chOff x="38585948" y="5181451"/>
                                        <a:chExt cx="2086009" cy="913477"/>
                                      </a:xfrm>
                                    </xdr:grpSpPr>
                                    <xdr:sp macro="" textlink="">
                                      <xdr:nvSpPr>
                                        <xdr:cNvPr id="174" name="Rectangle: Rounded Corners 17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C99E2BF9-D7F8-2604-6EAC-C4F9ED68C818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38585948" y="5181451"/>
                                          <a:ext cx="2086009" cy="913477"/>
                                        </a:xfrm>
                                        <a:prstGeom prst="roundRect">
                                          <a:avLst>
                                            <a:gd name="adj" fmla="val 10000"/>
                                          </a:avLst>
                                        </a:prstGeom>
                                      </xdr:spPr>
                                      <xdr:style>
                                        <a:lnRef idx="3">
                                          <a:schemeClr val="accent1">
                                            <a:shade val="80000"/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lnRef>
                                        <a:fill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illRef>
                                        <a:effect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effectRef>
                                        <a:fontRef idx="minor">
                                          <a:schemeClr val="dk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ontRef>
                                      </xdr:style>
                                      <xdr:txBody>
                                        <a:bodyPr/>
                                        <a:lstStyle/>
                                        <a:p>
                                          <a:pPr algn="ctr"/>
                                          <a:r>
                                            <a:rPr lang="en-CA" b="1"/>
                                            <a:t>Failure</a:t>
                                          </a:r>
                                        </a:p>
                                      </xdr:txBody>
                                    </xdr:sp>
                                    <xdr:sp macro="" textlink="$AL$19">
                                      <xdr:nvSpPr>
                                        <xdr:cNvPr id="48" name="TextBox 4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69B75194-5FBC-41F7-8DBF-D05C7010DC48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38989801" y="5478584"/>
                                          <a:ext cx="1252086" cy="490900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chemeClr val="bg2"/>
                                        </a:solidFill>
                                        <a:ln w="9525" cmpd="sng">
                                          <a:solidFill>
                                            <a:schemeClr val="lt1">
                                              <a:shade val="50000"/>
                                            </a:schemeClr>
                                          </a:solidFill>
                                        </a:ln>
                                      </xdr:spPr>
                                      <xdr:style>
                                        <a:lnRef idx="0">
                                          <a:scrgbClr r="0" g="0" b="0"/>
                                        </a:lnRef>
                                        <a:fillRef idx="0">
                                          <a:scrgbClr r="0" g="0" b="0"/>
                                        </a:fillRef>
                                        <a:effectRef idx="0">
                                          <a:scrgbClr r="0" g="0" b="0"/>
                                        </a:effectRef>
                                        <a:fontRef idx="minor">
                                          <a:schemeClr val="dk1"/>
                                        </a:fontRef>
                                      </xdr:style>
                                      <xdr:txBody>
                                        <a:bodyPr vertOverflow="clip" horzOverflow="clip" wrap="square" rtlCol="0" anchor="t"/>
                                        <a:lstStyle/>
                                        <a:p>
                                          <a:fld id="{EFFD3303-BD74-4CEF-BFFC-E9E6EA80639A}" type="TxLink">
                                            <a:rPr lang="en-US" sz="2000" b="0" i="0" u="none" strike="noStrike">
                                              <a:solidFill>
                                                <a:srgbClr val="000000"/>
                                              </a:solidFill>
                                              <a:latin typeface="Aptos Narrow"/>
                                            </a:rPr>
                                            <a:pPr/>
                                            <a:t>-150</a:t>
                                          </a:fld>
                                          <a:endParaRPr lang="en-CA" sz="1100"/>
                                        </a:p>
                                      </xdr:txBody>
                                    </xdr:sp>
                                  </xdr:grpSp>
                                  <xdr:grpSp>
                                    <xdr:nvGrpSpPr>
                                      <xdr:cNvPr id="152" name="Group 1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C2DC9C73-10A6-8E8F-2827-3F8079126193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8580915" y="10376829"/>
                                        <a:ext cx="2089738" cy="906689"/>
                                        <a:chOff x="38580915" y="10376829"/>
                                        <a:chExt cx="2089738" cy="906689"/>
                                      </a:xfrm>
                                    </xdr:grpSpPr>
                                    <xdr:sp macro="" textlink="">
                                      <xdr:nvSpPr>
                                        <xdr:cNvPr id="190" name="Rectangle: Rounded Corners 18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A25B5D81-942C-F0B5-25DA-2318C5E0D01C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38580915" y="10376829"/>
                                          <a:ext cx="2089738" cy="906689"/>
                                        </a:xfrm>
                                        <a:prstGeom prst="roundRect">
                                          <a:avLst>
                                            <a:gd name="adj" fmla="val 10000"/>
                                          </a:avLst>
                                        </a:prstGeom>
                                      </xdr:spPr>
                                      <xdr:style>
                                        <a:lnRef idx="3">
                                          <a:schemeClr val="accent1">
                                            <a:shade val="80000"/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lnRef>
                                        <a:fill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illRef>
                                        <a:effect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effectRef>
                                        <a:fontRef idx="minor">
                                          <a:schemeClr val="dk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ontRef>
                                      </xdr:style>
                                      <xdr:txBody>
                                        <a:bodyPr/>
                                        <a:lstStyle/>
                                        <a:p>
                                          <a:pPr algn="ctr"/>
                                          <a:r>
                                            <a:rPr lang="en-CA" b="1"/>
                                            <a:t>Failure</a:t>
                                          </a:r>
                                        </a:p>
                                      </xdr:txBody>
                                    </xdr:sp>
                                    <xdr:sp macro="" textlink="$AL$31">
                                      <xdr:nvSpPr>
                                        <xdr:cNvPr id="21" name="TextBox 2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D999BCD-C8AB-4811-95E2-540EF5530ACC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39024217" y="10629182"/>
                                          <a:ext cx="1268215" cy="464259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chemeClr val="bg2"/>
                                        </a:solidFill>
                                        <a:ln w="9525" cmpd="sng">
                                          <a:solidFill>
                                            <a:schemeClr val="lt1">
                                              <a:shade val="50000"/>
                                            </a:schemeClr>
                                          </a:solidFill>
                                        </a:ln>
                                      </xdr:spPr>
                                      <xdr:style>
                                        <a:lnRef idx="0">
                                          <a:scrgbClr r="0" g="0" b="0"/>
                                        </a:lnRef>
                                        <a:fillRef idx="0">
                                          <a:scrgbClr r="0" g="0" b="0"/>
                                        </a:fillRef>
                                        <a:effectRef idx="0">
                                          <a:scrgbClr r="0" g="0" b="0"/>
                                        </a:effectRef>
                                        <a:fontRef idx="minor">
                                          <a:schemeClr val="dk1"/>
                                        </a:fontRef>
                                      </xdr:style>
                                      <xdr:txBody>
                                        <a:bodyPr vertOverflow="clip" horzOverflow="clip" wrap="square" rtlCol="0" anchor="t"/>
                                        <a:lstStyle/>
                                        <a:p>
                                          <a:fld id="{EAE1F050-E3FC-4ACE-9202-DC8AAF8073E2}" type="TxLink">
                                            <a:rPr lang="en-US" sz="2000" b="0" i="0" u="none" strike="noStrike">
                                              <a:solidFill>
                                                <a:srgbClr val="000000"/>
                                              </a:solidFill>
                                              <a:latin typeface="Aptos Narrow"/>
                                            </a:rPr>
                                            <a:pPr/>
                                            <a:t>-500</a:t>
                                          </a:fld>
                                          <a:endParaRPr lang="en-CA" sz="1100"/>
                                        </a:p>
                                      </xdr:txBody>
                                    </xdr:sp>
                                  </xdr:grpSp>
                                  <xdr:grpSp>
                                    <xdr:nvGrpSpPr>
                                      <xdr:cNvPr id="157" name="Group 15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607D48FD-3499-8FF2-345B-CC42C0B24CD7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8588332" y="6407390"/>
                                        <a:ext cx="2133100" cy="3614413"/>
                                        <a:chOff x="38588332" y="6407390"/>
                                        <a:chExt cx="2133100" cy="3614413"/>
                                      </a:xfrm>
                                    </xdr:grpSpPr>
                                    <xdr:grpSp>
                                      <xdr:nvGrpSpPr>
                                        <xdr:cNvPr id="154" name="Group 1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678F1F9-8BBA-C37C-F32C-B0DCB12DE768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38588332" y="7703649"/>
                                          <a:ext cx="2117002" cy="2318154"/>
                                          <a:chOff x="38588332" y="7703649"/>
                                          <a:chExt cx="2117002" cy="2318154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92" name="Rectangle: Rounded Corners 19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D7939FC0-1A68-47E2-B21E-599F89FFDA0C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38588332" y="7703649"/>
                                            <a:ext cx="2109881" cy="1079878"/>
                                          </a:xfrm>
                                          <a:prstGeom prst="roundRect">
                                            <a:avLst>
                                              <a:gd name="adj" fmla="val 10000"/>
                                            </a:avLst>
                                          </a:prstGeom>
                                        </xdr:spPr>
                                        <xdr:style>
                                          <a:lnRef idx="3">
                                            <a:schemeClr val="accent1">
                                              <a:shade val="80000"/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lnRef>
                                          <a:fill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illRef>
                                          <a:effect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effectRef>
                                          <a:fontRef idx="minor">
                                            <a:schemeClr val="dk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ontRef>
                                        </xdr:style>
                                        <xdr:txBody>
                                          <a:bodyPr/>
                                          <a:lstStyle/>
                                          <a:p>
                                            <a:pPr algn="ctr"/>
                                            <a:r>
                                              <a:rPr lang="en-CA" b="1"/>
                                              <a:t>Success for weight loss only</a:t>
                                            </a:r>
                                            <a:endParaRPr lang="en-CA" b="1">
                                              <a:effectLst/>
                                            </a:endParaRPr>
                                          </a:p>
                                          <a:p>
                                            <a:endParaRPr lang="en-CA"/>
                                          </a:p>
                                        </xdr:txBody>
                                      </xdr:sp>
                                      <xdr:sp macro="" textlink="$AL$29">
                                        <xdr:nvSpPr>
                                          <xdr:cNvPr id="11" name="TextBox 1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CD063B0D-F1EA-4953-8601-E2F2FB459E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39034681" y="8220464"/>
                                            <a:ext cx="1252086" cy="420031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chemeClr val="bg2"/>
                                          </a:solidFill>
                                          <a:ln w="9525" cmpd="sng">
                                            <a:solidFill>
                                              <a:schemeClr val="lt1">
                                                <a:shade val="50000"/>
                                              </a:schemeClr>
                                            </a:solidFill>
                                          </a:ln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dk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/>
                                          <a:lstStyle/>
                                          <a:p>
                                            <a:fld id="{28FCFB30-9D88-46D9-ADA1-AA383848A083}" type="TxLink">
                                              <a:rPr lang="en-US" sz="2000" b="0" i="0" u="none" strike="noStrike">
                                                <a:solidFill>
                                                  <a:srgbClr val="000000"/>
                                                </a:solidFill>
                                                <a:latin typeface="Aptos Narrow"/>
                                              </a:rPr>
                                              <a:pPr/>
                                              <a:t>-255</a:t>
                                            </a:fld>
                                            <a:endParaRPr lang="en-CA" sz="11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153" name="Group 15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8747DB3B-E6B9-5BAF-7AEF-B9AC27768A82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38683613" y="9091198"/>
                                            <a:ext cx="2021721" cy="930605"/>
                                            <a:chOff x="38683613" y="9091198"/>
                                            <a:chExt cx="2021721" cy="930605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93" name="Rectangle: Rounded Corners 19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AC10CA25-F66A-42ED-82A4-FA50278D6B7D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38683613" y="9091198"/>
                                              <a:ext cx="2021721" cy="930605"/>
                                            </a:xfrm>
                                            <a:prstGeom prst="roundRect">
                                              <a:avLst>
                                                <a:gd name="adj" fmla="val 10000"/>
                                              </a:avLst>
                                            </a:prstGeom>
                                          </xdr:spPr>
                                          <xdr:style>
                                            <a:lnRef idx="3">
                                              <a:schemeClr val="accent1">
                                                <a:shade val="80000"/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lnRef>
                                            <a:fillRef idx="1">
                                              <a:schemeClr val="lt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fillRef>
                                            <a:effectRef idx="1">
                                              <a:schemeClr val="lt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effectRef>
                                            <a:fontRef idx="minor">
                                              <a:schemeClr val="dk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fontRef>
                                          </xdr:style>
                                          <xdr:txBody>
                                            <a:bodyPr/>
                                            <a:lstStyle/>
                                            <a:p>
                                              <a:pPr algn="ctr"/>
                                              <a:r>
                                                <a:rPr lang="en-CA" b="1" baseline="0"/>
                                                <a:t>Success for both </a:t>
                                              </a:r>
                                              <a:endParaRPr lang="en-CA" b="1"/>
                                            </a:p>
                                          </xdr:txBody>
                                        </xdr:sp>
                                        <xdr:sp macro="" textlink="$AL$30">
                                          <xdr:nvSpPr>
                                            <xdr:cNvPr id="13" name="TextBox 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8DCA7E36-083D-45E0-9A56-62F132FECABE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>
                                            <a:xfrm>
                                              <a:off x="39071955" y="9444475"/>
                                              <a:ext cx="1252086" cy="481614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chemeClr val="bg2"/>
                                            </a:solidFill>
                                            <a:ln w="9525" cmpd="sng">
                                              <a:solidFill>
                                                <a:schemeClr val="lt1">
                                                  <a:shade val="50000"/>
                                                </a:schemeClr>
                                              </a:solidFill>
                                            </a:ln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dk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/>
                                            <a:lstStyle/>
                                            <a:p>
                                              <a:fld id="{EBA6AE15-611D-4DEF-90F7-78DC43FCDC83}" type="TxLink">
                                                <a:rPr lang="en-US" sz="2000" b="0" i="0" u="none" strike="noStrike">
                                                  <a:solidFill>
                                                    <a:srgbClr val="000000"/>
                                                  </a:solidFill>
                                                  <a:latin typeface="Aptos Narrow"/>
                                                </a:rPr>
                                                <a:pPr/>
                                                <a:t>1350</a:t>
                                              </a:fld>
                                              <a:endParaRPr lang="en-CA" sz="1100"/>
                                            </a:p>
                                          </xdr:txBody>
                                        </xdr:sp>
                                      </xdr:grpSp>
                                    </xdr:grpSp>
                                    <xdr:grpSp>
                                      <xdr:nvGrpSpPr>
                                        <xdr:cNvPr id="156" name="Group 15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E562420-C508-AA9C-2E23-D3635C49B74D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38631694" y="6407390"/>
                                          <a:ext cx="2089738" cy="912529"/>
                                          <a:chOff x="38631694" y="6407390"/>
                                          <a:chExt cx="2089738" cy="91252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89" name="Rectangle: Rounded Corners 18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2FF114B5-A993-17E1-4AD0-BA039309F2D7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38631694" y="6407390"/>
                                            <a:ext cx="2089738" cy="912529"/>
                                          </a:xfrm>
                                          <a:prstGeom prst="roundRect">
                                            <a:avLst>
                                              <a:gd name="adj" fmla="val 10000"/>
                                            </a:avLst>
                                          </a:prstGeom>
                                        </xdr:spPr>
                                        <xdr:style>
                                          <a:lnRef idx="3">
                                            <a:schemeClr val="accent1">
                                              <a:shade val="80000"/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lnRef>
                                          <a:fill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illRef>
                                          <a:effect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effectRef>
                                          <a:fontRef idx="minor">
                                            <a:schemeClr val="dk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ontRef>
                                        </xdr:style>
                                        <xdr:txBody>
                                          <a:bodyPr/>
                                          <a:lstStyle/>
                                          <a:p>
                                            <a:pPr algn="ctr"/>
                                            <a:r>
                                              <a:rPr lang="en-CA" b="1"/>
                                              <a:t>Success</a:t>
                                            </a:r>
                                            <a:r>
                                              <a:rPr lang="en-CA" b="1" baseline="0"/>
                                              <a:t> for depression only</a:t>
                                            </a:r>
                                            <a:endParaRPr lang="en-CA" b="1"/>
                                          </a:p>
                                          <a:p>
                                            <a:endParaRPr lang="en-CA"/>
                                          </a:p>
                                        </xdr:txBody>
                                      </xdr:sp>
                                      <xdr:sp macro="" textlink="$AL$28">
                                        <xdr:nvSpPr>
                                          <xdr:cNvPr id="52" name="TextBox 5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38288091-06D8-4489-8DE2-EC07312B2AB2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38977405" y="6666690"/>
                                            <a:ext cx="1252086" cy="490900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chemeClr val="bg2"/>
                                          </a:solidFill>
                                          <a:ln w="9525" cmpd="sng">
                                            <a:solidFill>
                                              <a:schemeClr val="lt1">
                                                <a:shade val="50000"/>
                                              </a:schemeClr>
                                            </a:solidFill>
                                          </a:ln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dk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/>
                                          <a:lstStyle/>
                                          <a:p>
                                            <a:fld id="{CF4ADFD6-E6CA-4B5C-AE9C-ABCE1C4D39F0}" type="TxLink">
                                              <a:rPr lang="en-US" sz="2000" b="0" i="0" u="none" strike="noStrike">
                                                <a:solidFill>
                                                  <a:srgbClr val="000000"/>
                                                </a:solidFill>
                                                <a:latin typeface="Aptos Narrow"/>
                                              </a:rPr>
                                              <a:pPr/>
                                              <a:t>450</a:t>
                                            </a:fld>
                                            <a:endParaRPr lang="en-CA" sz="1100"/>
                                          </a:p>
                                        </xdr:txBody>
                                      </xdr: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  <xdr:grpSp>
                          <xdr:nvGrpSpPr>
                            <xdr:cNvPr id="207" name="Group 206">
                              <a:extLst>
                                <a:ext uri="{FF2B5EF4-FFF2-40B4-BE49-F238E27FC236}">
                                  <a16:creationId xmlns:a16="http://schemas.microsoft.com/office/drawing/2014/main" id="{9D306A24-28D1-F47A-1599-6B49ADDB71FC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34212665" y="1703129"/>
                              <a:ext cx="2833084" cy="1001545"/>
                              <a:chOff x="34212665" y="1703129"/>
                              <a:chExt cx="2833084" cy="1001545"/>
                            </a:xfrm>
                          </xdr:grpSpPr>
                          <xdr:sp macro="" textlink="">
                            <xdr:nvSpPr>
                              <xdr:cNvPr id="161" name="Oval 160">
                                <a:extLst>
                                  <a:ext uri="{FF2B5EF4-FFF2-40B4-BE49-F238E27FC236}">
                                    <a16:creationId xmlns:a16="http://schemas.microsoft.com/office/drawing/2014/main" id="{5E3959DF-37D5-0623-E1FF-B9F362D37362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4212665" y="1703129"/>
                                <a:ext cx="2833084" cy="1001545"/>
                              </a:xfrm>
                              <a:prstGeom prst="ellipse">
                                <a:avLst/>
                              </a:prstGeom>
                            </xdr:spPr>
                            <xdr:style>
                              <a:lnRef idx="3">
                                <a:schemeClr val="accent1">
                                  <a:shade val="80000"/>
                                  <a:hueOff val="0"/>
                                  <a:satOff val="0"/>
                                  <a:lumOff val="0"/>
                                  <a:alphaOff val="0"/>
                                </a:schemeClr>
                              </a:lnRef>
                              <a:fillRef idx="1">
                                <a:schemeClr val="lt1">
                                  <a:hueOff val="0"/>
                                  <a:satOff val="0"/>
                                  <a:lumOff val="0"/>
                                  <a:alphaOff val="0"/>
                                </a:schemeClr>
                              </a:fillRef>
                              <a:effectRef idx="1">
                                <a:schemeClr val="lt1">
                                  <a:hueOff val="0"/>
                                  <a:satOff val="0"/>
                                  <a:lumOff val="0"/>
                                  <a:alphaOff val="0"/>
                                </a:schemeClr>
                              </a:effectRef>
                              <a:fontRef idx="minor">
                                <a:schemeClr val="dk1">
                                  <a:hueOff val="0"/>
                                  <a:satOff val="0"/>
                                  <a:lumOff val="0"/>
                                  <a:alphaOff val="0"/>
                                </a:schemeClr>
                              </a:fontRef>
                            </xdr:style>
                          </xdr:sp>
                          <xdr:pic>
                            <xdr:nvPicPr>
                              <xdr:cNvPr id="206" name="Picture 205">
                                <a:extLst>
                                  <a:ext uri="{FF2B5EF4-FFF2-40B4-BE49-F238E27FC236}">
                                    <a16:creationId xmlns:a16="http://schemas.microsoft.com/office/drawing/2014/main" id="{71BF1F20-7449-A5BD-F7B5-1EB64AE149A2}"/>
                                  </a:ext>
                                </a:extLst>
                              </xdr:cNvPr>
                              <xdr:cNvPicPr>
                                <a:picLocks noChangeAspect="1"/>
                              </xdr:cNvPicPr>
                            </xdr:nvPicPr>
                            <xdr:blipFill>
                              <a:blip xmlns:r="http://schemas.openxmlformats.org/officeDocument/2006/relationships" r:embed="rId6"/>
                              <a:stretch>
                                <a:fillRect/>
                              </a:stretch>
                            </xdr:blipFill>
                            <xdr:spPr>
                              <a:xfrm>
                                <a:off x="35022837" y="1965888"/>
                                <a:ext cx="1176630" cy="426757"/>
                              </a:xfrm>
                              <a:prstGeom prst="rect">
                                <a:avLst/>
                              </a:prstGeom>
                            </xdr:spPr>
                          </xdr:pic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208600</xdr:colOff>
      <xdr:row>3</xdr:row>
      <xdr:rowOff>143387</xdr:rowOff>
    </xdr:from>
    <xdr:to>
      <xdr:col>65</xdr:col>
      <xdr:colOff>476608</xdr:colOff>
      <xdr:row>58</xdr:row>
      <xdr:rowOff>61227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714072F-7BFE-409C-8B20-4C8B403F663E}"/>
            </a:ext>
          </a:extLst>
        </xdr:cNvPr>
        <xdr:cNvGrpSpPr/>
      </xdr:nvGrpSpPr>
      <xdr:grpSpPr>
        <a:xfrm>
          <a:off x="208600" y="990054"/>
          <a:ext cx="60683722" cy="18060697"/>
          <a:chOff x="1094380" y="1310085"/>
          <a:chExt cx="39759773" cy="10095878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F2D90FF-A4FB-A004-517C-B851C9785061}"/>
              </a:ext>
            </a:extLst>
          </xdr:cNvPr>
          <xdr:cNvGrpSpPr/>
        </xdr:nvGrpSpPr>
        <xdr:grpSpPr>
          <a:xfrm>
            <a:off x="1094380" y="6770594"/>
            <a:ext cx="14288309" cy="3203898"/>
            <a:chOff x="1123528" y="6774343"/>
            <a:chExt cx="14280551" cy="3163671"/>
          </a:xfrm>
        </xdr:grpSpPr>
        <xdr:graphicFrame macro="">
          <xdr:nvGraphicFramePr>
            <xdr:cNvPr id="126" name="Diagram 125">
              <a:extLst>
                <a:ext uri="{FF2B5EF4-FFF2-40B4-BE49-F238E27FC236}">
                  <a16:creationId xmlns:a16="http://schemas.microsoft.com/office/drawing/2014/main" id="{C8330603-3147-B4CE-D0A3-38456054C401}"/>
                </a:ext>
              </a:extLst>
            </xdr:cNvPr>
            <xdr:cNvGraphicFramePr/>
          </xdr:nvGraphicFramePr>
          <xdr:xfrm>
            <a:off x="1123528" y="6774343"/>
            <a:ext cx="14280551" cy="3163671"/>
          </xdr:xfrm>
          <a:graphic>
            <a:graphicData uri="http://schemas.openxmlformats.org/drawingml/2006/diagram">
              <dgm:relIds xmlns:dgm="http://schemas.openxmlformats.org/drawingml/2006/diagram" xmlns:r="http://schemas.openxmlformats.org/officeDocument/2006/relationships" r:dm="rId1" r:lo="rId2" r:qs="rId3" r:cs="rId4"/>
            </a:graphicData>
          </a:graphic>
        </xdr:graphicFrame>
        <xdr:sp macro="" textlink="$BW$16">
          <xdr:nvSpPr>
            <xdr:cNvPr id="127" name="TextBox 126">
              <a:extLst>
                <a:ext uri="{FF2B5EF4-FFF2-40B4-BE49-F238E27FC236}">
                  <a16:creationId xmlns:a16="http://schemas.microsoft.com/office/drawing/2014/main" id="{359C395D-9B60-3F44-3740-5A0F0CB49E16}"/>
                </a:ext>
              </a:extLst>
            </xdr:cNvPr>
            <xdr:cNvSpPr txBox="1"/>
          </xdr:nvSpPr>
          <xdr:spPr>
            <a:xfrm>
              <a:off x="13380519" y="7139061"/>
              <a:ext cx="1258198" cy="464026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101E0A64-385E-44D9-9E70-F6CD2C69E5F4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56.92</a:t>
              </a:fld>
              <a:endParaRPr lang="en-CA" sz="1100"/>
            </a:p>
          </xdr:txBody>
        </xdr:sp>
        <xdr:sp macro="" textlink="$CB$12">
          <xdr:nvSpPr>
            <xdr:cNvPr id="128" name="TextBox 127">
              <a:extLst>
                <a:ext uri="{FF2B5EF4-FFF2-40B4-BE49-F238E27FC236}">
                  <a16:creationId xmlns:a16="http://schemas.microsoft.com/office/drawing/2014/main" id="{0E070DC0-DFC8-3E93-450D-21AAFFB78DD6}"/>
                </a:ext>
              </a:extLst>
            </xdr:cNvPr>
            <xdr:cNvSpPr txBox="1"/>
          </xdr:nvSpPr>
          <xdr:spPr>
            <a:xfrm>
              <a:off x="13463507" y="8764131"/>
              <a:ext cx="984973" cy="393052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70006D1A-F9BA-4FAE-9652-670173367533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-20.24</a:t>
              </a:fld>
              <a:endParaRPr lang="en-CA" sz="1100"/>
            </a:p>
          </xdr:txBody>
        </xdr:sp>
        <xdr:sp macro="" textlink="$CB$8">
          <xdr:nvSpPr>
            <xdr:cNvPr id="129" name="TextBox 128">
              <a:extLst>
                <a:ext uri="{FF2B5EF4-FFF2-40B4-BE49-F238E27FC236}">
                  <a16:creationId xmlns:a16="http://schemas.microsoft.com/office/drawing/2014/main" id="{39A15712-D6B3-FBF4-9BA8-7F498A03B6CE}"/>
                </a:ext>
              </a:extLst>
            </xdr:cNvPr>
            <xdr:cNvSpPr txBox="1"/>
          </xdr:nvSpPr>
          <xdr:spPr>
            <a:xfrm>
              <a:off x="11402554" y="8595907"/>
              <a:ext cx="517123" cy="32170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B0B28AB-5658-4791-A5AE-2D6AABC4561C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0.50</a:t>
              </a:fld>
              <a:endParaRPr lang="en-CA" sz="1100"/>
            </a:p>
          </xdr:txBody>
        </xdr:sp>
        <xdr:sp macro="" textlink="$CB$7">
          <xdr:nvSpPr>
            <xdr:cNvPr id="130" name="TextBox 129">
              <a:extLst>
                <a:ext uri="{FF2B5EF4-FFF2-40B4-BE49-F238E27FC236}">
                  <a16:creationId xmlns:a16="http://schemas.microsoft.com/office/drawing/2014/main" id="{FDD1877B-2A52-C3BB-E315-68863930B1AC}"/>
                </a:ext>
              </a:extLst>
            </xdr:cNvPr>
            <xdr:cNvSpPr txBox="1"/>
          </xdr:nvSpPr>
          <xdr:spPr>
            <a:xfrm>
              <a:off x="11156096" y="7262563"/>
              <a:ext cx="627148" cy="3104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9886714-96E7-4DB5-9AF0-1E6992D74641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0.50</a:t>
              </a:fld>
              <a:endParaRPr lang="en-CA" sz="1100"/>
            </a:p>
          </xdr:txBody>
        </xdr:sp>
        <xdr:sp macro="" textlink="$CB$14">
          <xdr:nvSpPr>
            <xdr:cNvPr id="131" name="TextBox 130">
              <a:extLst>
                <a:ext uri="{FF2B5EF4-FFF2-40B4-BE49-F238E27FC236}">
                  <a16:creationId xmlns:a16="http://schemas.microsoft.com/office/drawing/2014/main" id="{566BC043-2FC3-1FFB-C5EE-38393FFF246D}"/>
                </a:ext>
              </a:extLst>
            </xdr:cNvPr>
            <xdr:cNvSpPr txBox="1"/>
          </xdr:nvSpPr>
          <xdr:spPr>
            <a:xfrm>
              <a:off x="5145513" y="7885094"/>
              <a:ext cx="1060258" cy="430982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915DBB2F-935E-4771-8847-6A712D4FE77E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3.46</a:t>
              </a:fld>
              <a:endParaRPr lang="en-CA" sz="1100"/>
            </a:p>
          </xdr:txBody>
        </xdr:sp>
        <xdr:sp macro="" textlink="$CB$13">
          <xdr:nvSpPr>
            <xdr:cNvPr id="132" name="TextBox 131">
              <a:extLst>
                <a:ext uri="{FF2B5EF4-FFF2-40B4-BE49-F238E27FC236}">
                  <a16:creationId xmlns:a16="http://schemas.microsoft.com/office/drawing/2014/main" id="{DC4A7073-AFB5-DD9F-AE0E-D7A20B1C811D}"/>
                </a:ext>
              </a:extLst>
            </xdr:cNvPr>
            <xdr:cNvSpPr txBox="1"/>
          </xdr:nvSpPr>
          <xdr:spPr>
            <a:xfrm>
              <a:off x="5449470" y="9257866"/>
              <a:ext cx="720108" cy="306777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BDA237E2-3491-4E44-93A1-616961808FA0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0</a:t>
              </a:fld>
              <a:endParaRPr lang="en-CA" sz="1100"/>
            </a:p>
          </xdr:txBody>
        </xdr:sp>
        <xdr:sp macro="" textlink="$CB$15">
          <xdr:nvSpPr>
            <xdr:cNvPr id="133" name="TextBox 132">
              <a:extLst>
                <a:ext uri="{FF2B5EF4-FFF2-40B4-BE49-F238E27FC236}">
                  <a16:creationId xmlns:a16="http://schemas.microsoft.com/office/drawing/2014/main" id="{26015192-19F4-2223-C9F9-7AE8C0A06CEF}"/>
                </a:ext>
              </a:extLst>
            </xdr:cNvPr>
            <xdr:cNvSpPr txBox="1"/>
          </xdr:nvSpPr>
          <xdr:spPr>
            <a:xfrm>
              <a:off x="1794906" y="8595204"/>
              <a:ext cx="604566" cy="270660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9451345-DC63-4D9F-9B3A-6EA8D1B7C9A2}" type="TxLink">
                <a:rPr lang="en-US" sz="2000" b="0" i="0" u="none" strike="noStrike">
                  <a:solidFill>
                    <a:srgbClr val="000000"/>
                  </a:solidFill>
                  <a:latin typeface="Aptos Narrow"/>
                </a:rPr>
                <a:pPr/>
                <a:t>3.46</a:t>
              </a:fld>
              <a:endParaRPr lang="en-CA" sz="1100"/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405A83AC-F70B-823B-57B0-3989CF5E114D}"/>
              </a:ext>
            </a:extLst>
          </xdr:cNvPr>
          <xdr:cNvGrpSpPr/>
        </xdr:nvGrpSpPr>
        <xdr:grpSpPr>
          <a:xfrm>
            <a:off x="15115097" y="1310085"/>
            <a:ext cx="25739056" cy="10095878"/>
            <a:chOff x="15107339" y="1298003"/>
            <a:chExt cx="25558284" cy="9978031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9154AB78-86C5-ED7A-9B46-DC13B5C1EA3F}"/>
                </a:ext>
              </a:extLst>
            </xdr:cNvPr>
            <xdr:cNvCxnSpPr>
              <a:cxnSpLocks/>
              <a:endCxn id="124" idx="1"/>
            </xdr:cNvCxnSpPr>
          </xdr:nvCxnSpPr>
          <xdr:spPr>
            <a:xfrm>
              <a:off x="15113000" y="7151077"/>
              <a:ext cx="1221659" cy="671975"/>
            </a:xfrm>
            <a:prstGeom prst="line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D657BF50-0053-B33E-4569-204967A560BF}"/>
                </a:ext>
              </a:extLst>
            </xdr:cNvPr>
            <xdr:cNvCxnSpPr>
              <a:cxnSpLocks/>
              <a:endCxn id="122" idx="1"/>
            </xdr:cNvCxnSpPr>
          </xdr:nvCxnSpPr>
          <xdr:spPr>
            <a:xfrm flipV="1">
              <a:off x="15107339" y="6486640"/>
              <a:ext cx="1139079" cy="668692"/>
            </a:xfrm>
            <a:prstGeom prst="line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BDB62215-4B65-AA22-CD6E-4C8CAC459568}"/>
                </a:ext>
              </a:extLst>
            </xdr:cNvPr>
            <xdr:cNvGrpSpPr/>
          </xdr:nvGrpSpPr>
          <xdr:grpSpPr>
            <a:xfrm>
              <a:off x="16246418" y="1298003"/>
              <a:ext cx="24419205" cy="9978031"/>
              <a:chOff x="16246418" y="1298003"/>
              <a:chExt cx="24419205" cy="9978031"/>
            </a:xfrm>
          </xdr:grpSpPr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A6365569-D345-0ED9-F995-687A643E87A4}"/>
                  </a:ext>
                </a:extLst>
              </xdr:cNvPr>
              <xdr:cNvGrpSpPr/>
            </xdr:nvGrpSpPr>
            <xdr:grpSpPr>
              <a:xfrm>
                <a:off x="16334659" y="7359117"/>
                <a:ext cx="2333673" cy="927869"/>
                <a:chOff x="16334659" y="7359117"/>
                <a:chExt cx="2333673" cy="927869"/>
              </a:xfrm>
            </xdr:grpSpPr>
            <xdr:sp macro="" textlink="">
              <xdr:nvSpPr>
                <xdr:cNvPr id="124" name="Rectangle: Rounded Corners 123">
                  <a:extLst>
                    <a:ext uri="{FF2B5EF4-FFF2-40B4-BE49-F238E27FC236}">
                      <a16:creationId xmlns:a16="http://schemas.microsoft.com/office/drawing/2014/main" id="{CCF650D9-9886-E5C1-A709-14796123DA10}"/>
                    </a:ext>
                  </a:extLst>
                </xdr:cNvPr>
                <xdr:cNvSpPr/>
              </xdr:nvSpPr>
              <xdr:spPr>
                <a:xfrm>
                  <a:off x="16334659" y="7359117"/>
                  <a:ext cx="2333673" cy="927869"/>
                </a:xfrm>
                <a:prstGeom prst="roundRect">
                  <a:avLst>
                    <a:gd name="adj" fmla="val 10000"/>
                  </a:avLst>
                </a:prstGeom>
              </xdr:spPr>
              <xdr:style>
                <a:lnRef idx="3">
                  <a:schemeClr val="accent1">
                    <a:shade val="80000"/>
                    <a:hueOff val="0"/>
                    <a:satOff val="0"/>
                    <a:lumOff val="0"/>
                    <a:alphaOff val="0"/>
                  </a:schemeClr>
                </a:lnRef>
                <a:fillRef idx="1">
                  <a:schemeClr val="lt1">
                    <a:hueOff val="0"/>
                    <a:satOff val="0"/>
                    <a:lumOff val="0"/>
                    <a:alphaOff val="0"/>
                  </a:schemeClr>
                </a:fillRef>
                <a:effectRef idx="1">
                  <a:schemeClr val="lt1">
                    <a:hueOff val="0"/>
                    <a:satOff val="0"/>
                    <a:lumOff val="0"/>
                    <a:alphaOff val="0"/>
                  </a:schemeClr>
                </a:effectRef>
                <a:fontRef idx="minor">
                  <a:schemeClr val="dk1">
                    <a:hueOff val="0"/>
                    <a:satOff val="0"/>
                    <a:lumOff val="0"/>
                    <a:alphaOff val="0"/>
                  </a:schemeClr>
                </a:fontRef>
              </xdr:style>
              <xdr:txBody>
                <a:bodyPr/>
                <a:lstStyle/>
                <a:p>
                  <a:pPr algn="ctr"/>
                  <a:r>
                    <a:rPr lang="en-CA" sz="2000" b="1"/>
                    <a:t>Do Nothing (not license)</a:t>
                  </a:r>
                </a:p>
              </xdr:txBody>
            </xdr:sp>
            <xdr:sp macro="" textlink="$BW$15">
              <xdr:nvSpPr>
                <xdr:cNvPr id="125" name="TextBox 124">
                  <a:extLst>
                    <a:ext uri="{FF2B5EF4-FFF2-40B4-BE49-F238E27FC236}">
                      <a16:creationId xmlns:a16="http://schemas.microsoft.com/office/drawing/2014/main" id="{23B1DA0D-BB7D-84E6-81B3-75952D1E5A68}"/>
                    </a:ext>
                  </a:extLst>
                </xdr:cNvPr>
                <xdr:cNvSpPr txBox="1"/>
              </xdr:nvSpPr>
              <xdr:spPr>
                <a:xfrm>
                  <a:off x="16832636" y="7650681"/>
                  <a:ext cx="1279465" cy="501242"/>
                </a:xfrm>
                <a:prstGeom prst="rect">
                  <a:avLst/>
                </a:prstGeom>
                <a:solidFill>
                  <a:schemeClr val="bg2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384E0F03-112B-443A-B652-791E2957CE84}" type="TxLink">
                    <a:rPr lang="en-US" sz="2000" b="0" i="0" u="none" strike="noStrike">
                      <a:solidFill>
                        <a:srgbClr val="000000"/>
                      </a:solidFill>
                      <a:latin typeface="Aptos Narrow"/>
                    </a:rPr>
                    <a:pPr/>
                    <a:t>-20.24</a:t>
                  </a:fld>
                  <a:endParaRPr lang="en-CA" sz="1100"/>
                </a:p>
              </xdr:txBody>
            </xdr:sp>
          </xdr:grp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0B099937-552E-0F5F-13B5-B4C961E4E55E}"/>
                  </a:ext>
                </a:extLst>
              </xdr:cNvPr>
              <xdr:cNvGrpSpPr/>
            </xdr:nvGrpSpPr>
            <xdr:grpSpPr>
              <a:xfrm>
                <a:off x="16246418" y="6023526"/>
                <a:ext cx="2351024" cy="926227"/>
                <a:chOff x="16246418" y="6023526"/>
                <a:chExt cx="2351024" cy="926227"/>
              </a:xfrm>
            </xdr:grpSpPr>
            <xdr:sp macro="" textlink="">
              <xdr:nvSpPr>
                <xdr:cNvPr id="122" name="Rectangle: Rounded Corners 121">
                  <a:extLst>
                    <a:ext uri="{FF2B5EF4-FFF2-40B4-BE49-F238E27FC236}">
                      <a16:creationId xmlns:a16="http://schemas.microsoft.com/office/drawing/2014/main" id="{ECA4D3B2-DF90-943B-3590-5C7A3DB32552}"/>
                    </a:ext>
                  </a:extLst>
                </xdr:cNvPr>
                <xdr:cNvSpPr/>
              </xdr:nvSpPr>
              <xdr:spPr>
                <a:xfrm>
                  <a:off x="16246418" y="6023526"/>
                  <a:ext cx="2351024" cy="926227"/>
                </a:xfrm>
                <a:prstGeom prst="roundRect">
                  <a:avLst>
                    <a:gd name="adj" fmla="val 10000"/>
                  </a:avLst>
                </a:prstGeom>
              </xdr:spPr>
              <xdr:style>
                <a:lnRef idx="3">
                  <a:schemeClr val="accent1">
                    <a:shade val="80000"/>
                    <a:hueOff val="0"/>
                    <a:satOff val="0"/>
                    <a:lumOff val="0"/>
                    <a:alphaOff val="0"/>
                  </a:schemeClr>
                </a:lnRef>
                <a:fillRef idx="1">
                  <a:schemeClr val="lt1">
                    <a:hueOff val="0"/>
                    <a:satOff val="0"/>
                    <a:lumOff val="0"/>
                    <a:alphaOff val="0"/>
                  </a:schemeClr>
                </a:fillRef>
                <a:effectRef idx="1">
                  <a:schemeClr val="lt1">
                    <a:hueOff val="0"/>
                    <a:satOff val="0"/>
                    <a:lumOff val="0"/>
                    <a:alphaOff val="0"/>
                  </a:schemeClr>
                </a:effectRef>
                <a:fontRef idx="minor">
                  <a:schemeClr val="dk1">
                    <a:hueOff val="0"/>
                    <a:satOff val="0"/>
                    <a:lumOff val="0"/>
                    <a:alphaOff val="0"/>
                  </a:schemeClr>
                </a:fontRef>
              </xdr:style>
              <xdr:txBody>
                <a:bodyPr/>
                <a:lstStyle/>
                <a:p>
                  <a:pPr algn="ctr"/>
                  <a:r>
                    <a:rPr lang="en-CA" sz="2000" b="1"/>
                    <a:t>Invest in</a:t>
                  </a:r>
                  <a:r>
                    <a:rPr lang="en-CA" sz="2000" b="1" baseline="0"/>
                    <a:t> test phase II</a:t>
                  </a:r>
                  <a:endParaRPr lang="en-CA" sz="2000" b="1"/>
                </a:p>
              </xdr:txBody>
            </xdr:sp>
            <xdr:sp macro="" textlink="$BW$16">
              <xdr:nvSpPr>
                <xdr:cNvPr id="123" name="TextBox 122">
                  <a:extLst>
                    <a:ext uri="{FF2B5EF4-FFF2-40B4-BE49-F238E27FC236}">
                      <a16:creationId xmlns:a16="http://schemas.microsoft.com/office/drawing/2014/main" id="{9F517635-FA77-61D9-9FAD-EB3FB2770B00}"/>
                    </a:ext>
                  </a:extLst>
                </xdr:cNvPr>
                <xdr:cNvSpPr txBox="1"/>
              </xdr:nvSpPr>
              <xdr:spPr>
                <a:xfrm>
                  <a:off x="16795920" y="6329820"/>
                  <a:ext cx="1273995" cy="475707"/>
                </a:xfrm>
                <a:prstGeom prst="rect">
                  <a:avLst/>
                </a:prstGeom>
                <a:solidFill>
                  <a:schemeClr val="bg2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475A1087-587E-46E7-BED5-34F3251CF063}" type="TxLink">
                    <a:rPr lang="en-US" sz="2000" b="0" i="0" u="none" strike="noStrike">
                      <a:solidFill>
                        <a:srgbClr val="000000"/>
                      </a:solidFill>
                      <a:latin typeface="Aptos Narrow"/>
                    </a:rPr>
                    <a:pPr/>
                    <a:t>56.92</a:t>
                  </a:fld>
                  <a:endParaRPr lang="en-CA" sz="1100"/>
                </a:p>
              </xdr:txBody>
            </xdr:sp>
          </xdr:grpSp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8721BFA6-54BF-982F-F8E9-08F90836260A}"/>
                  </a:ext>
                </a:extLst>
              </xdr:cNvPr>
              <xdr:cNvGrpSpPr/>
            </xdr:nvGrpSpPr>
            <xdr:grpSpPr>
              <a:xfrm>
                <a:off x="18597442" y="1298003"/>
                <a:ext cx="22068181" cy="9978031"/>
                <a:chOff x="18597442" y="1298003"/>
                <a:chExt cx="22068181" cy="9978031"/>
              </a:xfrm>
            </xdr:grpSpPr>
            <xdr:cxnSp macro="">
              <xdr:nvCxnSpPr>
                <xdr:cNvPr id="11" name="Straight Connector 10">
                  <a:extLst>
                    <a:ext uri="{FF2B5EF4-FFF2-40B4-BE49-F238E27FC236}">
                      <a16:creationId xmlns:a16="http://schemas.microsoft.com/office/drawing/2014/main" id="{0CB15205-127F-6596-2A65-3C4F5B5AAF8F}"/>
                    </a:ext>
                  </a:extLst>
                </xdr:cNvPr>
                <xdr:cNvCxnSpPr>
                  <a:cxnSpLocks/>
                  <a:stCxn id="122" idx="3"/>
                  <a:endCxn id="120" idx="2"/>
                </xdr:cNvCxnSpPr>
              </xdr:nvCxnSpPr>
              <xdr:spPr>
                <a:xfrm flipV="1">
                  <a:off x="18597442" y="6461167"/>
                  <a:ext cx="1535886" cy="25472"/>
                </a:xfrm>
                <a:prstGeom prst="line">
                  <a:avLst/>
                </a:prstGeom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2" name="Group 11">
                  <a:extLst>
                    <a:ext uri="{FF2B5EF4-FFF2-40B4-BE49-F238E27FC236}">
                      <a16:creationId xmlns:a16="http://schemas.microsoft.com/office/drawing/2014/main" id="{E0D8483D-24C2-AA52-F4CB-1F712B8558BA}"/>
                    </a:ext>
                  </a:extLst>
                </xdr:cNvPr>
                <xdr:cNvGrpSpPr/>
              </xdr:nvGrpSpPr>
              <xdr:grpSpPr>
                <a:xfrm>
                  <a:off x="20133328" y="1298003"/>
                  <a:ext cx="20532295" cy="9978031"/>
                  <a:chOff x="20133328" y="1298003"/>
                  <a:chExt cx="20532295" cy="9978031"/>
                </a:xfrm>
              </xdr:grpSpPr>
              <xdr:grpSp>
                <xdr:nvGrpSpPr>
                  <xdr:cNvPr id="13" name="Group 12">
                    <a:extLst>
                      <a:ext uri="{FF2B5EF4-FFF2-40B4-BE49-F238E27FC236}">
                        <a16:creationId xmlns:a16="http://schemas.microsoft.com/office/drawing/2014/main" id="{015B53BB-01A3-D5E8-0136-41BFB951CFBD}"/>
                      </a:ext>
                    </a:extLst>
                  </xdr:cNvPr>
                  <xdr:cNvGrpSpPr/>
                </xdr:nvGrpSpPr>
                <xdr:grpSpPr>
                  <a:xfrm>
                    <a:off x="20133328" y="5990705"/>
                    <a:ext cx="2037666" cy="940923"/>
                    <a:chOff x="20133328" y="5990705"/>
                    <a:chExt cx="2037666" cy="940923"/>
                  </a:xfrm>
                </xdr:grpSpPr>
                <xdr:sp macro="" textlink="">
                  <xdr:nvSpPr>
                    <xdr:cNvPr id="120" name="Oval 119">
                      <a:extLst>
                        <a:ext uri="{FF2B5EF4-FFF2-40B4-BE49-F238E27FC236}">
                          <a16:creationId xmlns:a16="http://schemas.microsoft.com/office/drawing/2014/main" id="{C261E02B-6E9F-F518-66B1-55EA757276EA}"/>
                        </a:ext>
                      </a:extLst>
                    </xdr:cNvPr>
                    <xdr:cNvSpPr/>
                  </xdr:nvSpPr>
                  <xdr:spPr>
                    <a:xfrm>
                      <a:off x="20133328" y="5990705"/>
                      <a:ext cx="1993417" cy="940923"/>
                    </a:xfrm>
                    <a:prstGeom prst="ellipse">
                      <a:avLst/>
                    </a:prstGeom>
                  </xdr:spPr>
                  <xdr:style>
                    <a:lnRef idx="3">
                      <a:schemeClr val="accent1">
                        <a:shade val="80000"/>
                        <a:hueOff val="0"/>
                        <a:satOff val="0"/>
                        <a:lumOff val="0"/>
                        <a:alphaOff val="0"/>
                      </a:schemeClr>
                    </a:lnRef>
                    <a:fillRef idx="1">
                      <a:schemeClr val="lt1">
                        <a:hueOff val="0"/>
                        <a:satOff val="0"/>
                        <a:lumOff val="0"/>
                        <a:alphaOff val="0"/>
                      </a:schemeClr>
                    </a:fillRef>
                    <a:effectRef idx="1">
                      <a:schemeClr val="lt1">
                        <a:hueOff val="0"/>
                        <a:satOff val="0"/>
                        <a:lumOff val="0"/>
                        <a:alphaOff val="0"/>
                      </a:schemeClr>
                    </a:effectRef>
                    <a:fontRef idx="minor"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fontRef>
                  </xdr:style>
                </xdr:sp>
                <xdr:sp macro="" textlink="">
                  <xdr:nvSpPr>
                    <xdr:cNvPr id="121" name="Oval 4">
                      <a:extLst>
                        <a:ext uri="{FF2B5EF4-FFF2-40B4-BE49-F238E27FC236}">
                          <a16:creationId xmlns:a16="http://schemas.microsoft.com/office/drawing/2014/main" id="{08B4A694-1BA5-6EFD-28CB-E04AE84C603E}"/>
                        </a:ext>
                      </a:extLst>
                    </xdr:cNvPr>
                    <xdr:cNvSpPr txBox="1"/>
                  </xdr:nvSpPr>
                  <xdr:spPr>
                    <a:xfrm>
                      <a:off x="20138550" y="6127302"/>
                      <a:ext cx="2032444" cy="728880"/>
                    </a:xfrm>
                    <a:prstGeom prst="rect">
                      <a:avLst/>
                    </a:prstGeom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fontRef>
                  </xdr:style>
                  <xdr:txBody>
                    <a:bodyPr spcFirstLastPara="0" vert="horz" wrap="square" lIns="10160" tIns="10160" rIns="10160" bIns="10160" numCol="1" spcCol="1270" anchor="ctr" anchorCtr="0">
                      <a:noAutofit/>
                    </a:bodyPr>
                    <a:lstStyle/>
                    <a:p>
                      <a:pPr marL="0" lvl="0" indent="0" algn="ctr" defTabSz="71120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35000"/>
                        </a:spcAft>
                        <a:buNone/>
                      </a:pPr>
                      <a:r>
                        <a:rPr lang="en-US" sz="1600" b="1" kern="1200"/>
                        <a:t>Uncertainty</a:t>
                      </a:r>
                    </a:p>
                  </xdr:txBody>
                </xdr:sp>
              </xdr:grpSp>
              <xdr:grpSp>
                <xdr:nvGrpSpPr>
                  <xdr:cNvPr id="14" name="Group 13">
                    <a:extLst>
                      <a:ext uri="{FF2B5EF4-FFF2-40B4-BE49-F238E27FC236}">
                        <a16:creationId xmlns:a16="http://schemas.microsoft.com/office/drawing/2014/main" id="{99EBF058-64AE-50FE-C32E-B954C9A239DD}"/>
                      </a:ext>
                    </a:extLst>
                  </xdr:cNvPr>
                  <xdr:cNvGrpSpPr/>
                </xdr:nvGrpSpPr>
                <xdr:grpSpPr>
                  <a:xfrm>
                    <a:off x="22126745" y="1298003"/>
                    <a:ext cx="18538878" cy="9978031"/>
                    <a:chOff x="22126745" y="1298003"/>
                    <a:chExt cx="18538878" cy="9978031"/>
                  </a:xfrm>
                </xdr:grpSpPr>
                <xdr:cxnSp macro="">
                  <xdr:nvCxnSpPr>
                    <xdr:cNvPr id="15" name="Straight Connector 14">
                      <a:extLst>
                        <a:ext uri="{FF2B5EF4-FFF2-40B4-BE49-F238E27FC236}">
                          <a16:creationId xmlns:a16="http://schemas.microsoft.com/office/drawing/2014/main" id="{8DBB7519-06FB-53E3-1A77-1511D2B2B374}"/>
                        </a:ext>
                      </a:extLst>
                    </xdr:cNvPr>
                    <xdr:cNvCxnSpPr>
                      <a:stCxn id="120" idx="6"/>
                      <a:endCxn id="113" idx="1"/>
                    </xdr:cNvCxnSpPr>
                  </xdr:nvCxnSpPr>
                  <xdr:spPr>
                    <a:xfrm>
                      <a:off x="22126745" y="6461167"/>
                      <a:ext cx="5146678" cy="1710496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6" name="Straight Connector 15">
                      <a:extLst>
                        <a:ext uri="{FF2B5EF4-FFF2-40B4-BE49-F238E27FC236}">
                          <a16:creationId xmlns:a16="http://schemas.microsoft.com/office/drawing/2014/main" id="{91EEC71B-04CB-F66B-44C7-E000F113F016}"/>
                        </a:ext>
                      </a:extLst>
                    </xdr:cNvPr>
                    <xdr:cNvCxnSpPr>
                      <a:cxnSpLocks/>
                      <a:stCxn id="120" idx="6"/>
                      <a:endCxn id="118" idx="1"/>
                    </xdr:cNvCxnSpPr>
                  </xdr:nvCxnSpPr>
                  <xdr:spPr>
                    <a:xfrm>
                      <a:off x="22126745" y="6461167"/>
                      <a:ext cx="5068313" cy="4035755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7" name="Straight Connector 16">
                      <a:extLst>
                        <a:ext uri="{FF2B5EF4-FFF2-40B4-BE49-F238E27FC236}">
                          <a16:creationId xmlns:a16="http://schemas.microsoft.com/office/drawing/2014/main" id="{D0870A2D-07C7-61A9-9B2F-F269055EBDFB}"/>
                        </a:ext>
                      </a:extLst>
                    </xdr:cNvPr>
                    <xdr:cNvCxnSpPr>
                      <a:cxnSpLocks/>
                      <a:stCxn id="120" idx="6"/>
                      <a:endCxn id="111" idx="1"/>
                    </xdr:cNvCxnSpPr>
                  </xdr:nvCxnSpPr>
                  <xdr:spPr>
                    <a:xfrm flipV="1">
                      <a:off x="22126745" y="2730206"/>
                      <a:ext cx="4608044" cy="3730961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8" name="Straight Connector 17">
                      <a:extLst>
                        <a:ext uri="{FF2B5EF4-FFF2-40B4-BE49-F238E27FC236}">
                          <a16:creationId xmlns:a16="http://schemas.microsoft.com/office/drawing/2014/main" id="{C2CC4325-DC5A-354B-CE19-DF37E0295572}"/>
                        </a:ext>
                      </a:extLst>
                    </xdr:cNvPr>
                    <xdr:cNvCxnSpPr>
                      <a:stCxn id="120" idx="6"/>
                      <a:endCxn id="116" idx="1"/>
                    </xdr:cNvCxnSpPr>
                  </xdr:nvCxnSpPr>
                  <xdr:spPr>
                    <a:xfrm flipV="1">
                      <a:off x="22126745" y="5633652"/>
                      <a:ext cx="5146274" cy="827515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$BW$5">
                  <xdr:nvSpPr>
                    <xdr:cNvPr id="19" name="TextBox 18">
                      <a:extLst>
                        <a:ext uri="{FF2B5EF4-FFF2-40B4-BE49-F238E27FC236}">
                          <a16:creationId xmlns:a16="http://schemas.microsoft.com/office/drawing/2014/main" id="{B56A2F95-9EB1-F6E3-85A9-5204137A0218}"/>
                        </a:ext>
                      </a:extLst>
                    </xdr:cNvPr>
                    <xdr:cNvSpPr txBox="1"/>
                  </xdr:nvSpPr>
                  <xdr:spPr>
                    <a:xfrm>
                      <a:off x="24323367" y="4051621"/>
                      <a:ext cx="385240" cy="26148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fld id="{FA4495FE-E125-4886-9C44-2166025E7A8E}" type="TxLink">
                        <a:rPr lang="en-US" sz="2000" b="0" i="0" u="none" strike="noStrike">
                          <a:solidFill>
                            <a:srgbClr val="000000"/>
                          </a:solidFill>
                          <a:latin typeface="Aptos Narrow"/>
                        </a:rPr>
                        <a:pPr/>
                        <a:t>0.1</a:t>
                      </a:fld>
                      <a:endParaRPr lang="en-CA" sz="2400"/>
                    </a:p>
                  </xdr:txBody>
                </xdr:sp>
                <xdr:sp macro="" textlink="$BW$6">
                  <xdr:nvSpPr>
                    <xdr:cNvPr id="20" name="TextBox 19">
                      <a:extLst>
                        <a:ext uri="{FF2B5EF4-FFF2-40B4-BE49-F238E27FC236}">
                          <a16:creationId xmlns:a16="http://schemas.microsoft.com/office/drawing/2014/main" id="{C641B23F-99DC-306B-6AA2-AF825B8B5D89}"/>
                        </a:ext>
                      </a:extLst>
                    </xdr:cNvPr>
                    <xdr:cNvSpPr txBox="1"/>
                  </xdr:nvSpPr>
                  <xdr:spPr>
                    <a:xfrm>
                      <a:off x="25365171" y="5538869"/>
                      <a:ext cx="627878" cy="206452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fld id="{F0D0772A-DCE9-4EA5-A508-9464E4FB7723}" type="TxLink">
                        <a:rPr lang="en-US" sz="2000" b="0" i="0" u="none" strike="noStrike">
                          <a:solidFill>
                            <a:srgbClr val="000000"/>
                          </a:solidFill>
                          <a:latin typeface="Aptos Narrow"/>
                        </a:rPr>
                        <a:pPr/>
                        <a:t>0.15</a:t>
                      </a:fld>
                      <a:endParaRPr lang="en-CA" sz="2400"/>
                    </a:p>
                  </xdr:txBody>
                </xdr:sp>
                <xdr:sp macro="" textlink="$BW$9">
                  <xdr:nvSpPr>
                    <xdr:cNvPr id="21" name="TextBox 20">
                      <a:extLst>
                        <a:ext uri="{FF2B5EF4-FFF2-40B4-BE49-F238E27FC236}">
                          <a16:creationId xmlns:a16="http://schemas.microsoft.com/office/drawing/2014/main" id="{52008E93-0681-C389-A8CF-B2192DE06B58}"/>
                        </a:ext>
                      </a:extLst>
                    </xdr:cNvPr>
                    <xdr:cNvSpPr txBox="1"/>
                  </xdr:nvSpPr>
                  <xdr:spPr>
                    <a:xfrm>
                      <a:off x="24911341" y="7644528"/>
                      <a:ext cx="595328" cy="27711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fld id="{48F406FE-3853-4CBE-9202-589316B9118E}" type="TxLink">
                        <a:rPr lang="en-US" sz="2000" b="0" i="0" u="none" strike="noStrike">
                          <a:solidFill>
                            <a:srgbClr val="000000"/>
                          </a:solidFill>
                          <a:latin typeface="Aptos Narrow"/>
                        </a:rPr>
                        <a:pPr/>
                        <a:t>0.03</a:t>
                      </a:fld>
                      <a:endParaRPr lang="en-US" sz="2400"/>
                    </a:p>
                  </xdr:txBody>
                </xdr:sp>
                <xdr:sp macro="" textlink="$BW$10">
                  <xdr:nvSpPr>
                    <xdr:cNvPr id="22" name="TextBox 21">
                      <a:extLst>
                        <a:ext uri="{FF2B5EF4-FFF2-40B4-BE49-F238E27FC236}">
                          <a16:creationId xmlns:a16="http://schemas.microsoft.com/office/drawing/2014/main" id="{C7F82B6F-683C-6A3B-1296-26FD317F93C6}"/>
                        </a:ext>
                      </a:extLst>
                    </xdr:cNvPr>
                    <xdr:cNvSpPr txBox="1"/>
                  </xdr:nvSpPr>
                  <xdr:spPr>
                    <a:xfrm>
                      <a:off x="24141537" y="8553730"/>
                      <a:ext cx="393381" cy="24361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fld id="{7D366337-3E07-427D-BE7D-76DEFC711F82}" type="TxLink">
                        <a:rPr lang="en-US" sz="2000" b="0" i="0" u="none" strike="noStrike">
                          <a:solidFill>
                            <a:srgbClr val="000000"/>
                          </a:solidFill>
                          <a:latin typeface="Aptos Narrow"/>
                        </a:rPr>
                        <a:pPr/>
                        <a:t>0.72</a:t>
                      </a:fld>
                      <a:endParaRPr lang="en-CA" sz="2400"/>
                    </a:p>
                  </xdr:txBody>
                </xdr:sp>
                <xdr:grpSp>
                  <xdr:nvGrpSpPr>
                    <xdr:cNvPr id="23" name="Group 22">
                      <a:extLst>
                        <a:ext uri="{FF2B5EF4-FFF2-40B4-BE49-F238E27FC236}">
                          <a16:creationId xmlns:a16="http://schemas.microsoft.com/office/drawing/2014/main" id="{60F76555-522E-71BB-74C4-EE69B79DBFD1}"/>
                        </a:ext>
                      </a:extLst>
                    </xdr:cNvPr>
                    <xdr:cNvGrpSpPr/>
                  </xdr:nvGrpSpPr>
                  <xdr:grpSpPr>
                    <a:xfrm>
                      <a:off x="26734789" y="1298003"/>
                      <a:ext cx="13930834" cy="9978031"/>
                      <a:chOff x="26734789" y="1298003"/>
                      <a:chExt cx="13930834" cy="9978031"/>
                    </a:xfrm>
                  </xdr:grpSpPr>
                  <xdr:grpSp>
                    <xdr:nvGrpSpPr>
                      <xdr:cNvPr id="24" name="Group 23">
                        <a:extLst>
                          <a:ext uri="{FF2B5EF4-FFF2-40B4-BE49-F238E27FC236}">
                            <a16:creationId xmlns:a16="http://schemas.microsoft.com/office/drawing/2014/main" id="{2F01AA8C-D8CF-DD69-11CB-B541466397AC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7195058" y="10035495"/>
                        <a:ext cx="2118559" cy="922855"/>
                        <a:chOff x="27195058" y="10035495"/>
                        <a:chExt cx="2118559" cy="922855"/>
                      </a:xfrm>
                    </xdr:grpSpPr>
                    <xdr:sp macro="" textlink="">
                      <xdr:nvSpPr>
                        <xdr:cNvPr id="118" name="Rectangle: Rounded Corners 117">
                          <a:extLst>
                            <a:ext uri="{FF2B5EF4-FFF2-40B4-BE49-F238E27FC236}">
                              <a16:creationId xmlns:a16="http://schemas.microsoft.com/office/drawing/2014/main" id="{D39CA6B7-C647-C561-6A66-D758FC42BE67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7195058" y="10035495"/>
                          <a:ext cx="2118559" cy="922855"/>
                        </a:xfrm>
                        <a:prstGeom prst="roundRect">
                          <a:avLst>
                            <a:gd name="adj" fmla="val 10000"/>
                          </a:avLst>
                        </a:prstGeom>
                      </xdr:spPr>
                      <xdr:style>
                        <a:lnRef idx="3">
                          <a:schemeClr val="accent1">
                            <a:shade val="80000"/>
                            <a:hueOff val="0"/>
                            <a:satOff val="0"/>
                            <a:lumOff val="0"/>
                            <a:alphaOff val="0"/>
                          </a:schemeClr>
                        </a:lnRef>
                        <a:fill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fillRef>
                        <a:effect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effectRef>
                        <a:fontRef idx="minor">
                          <a:schemeClr val="dk1">
                            <a:hueOff val="0"/>
                            <a:satOff val="0"/>
                            <a:lumOff val="0"/>
                            <a:alphaOff val="0"/>
                          </a:schemeClr>
                        </a:fontRef>
                      </xdr:style>
                      <xdr:txBody>
                        <a:bodyPr/>
                        <a:lstStyle/>
                        <a:p>
                          <a:pPr algn="ctr"/>
                          <a:r>
                            <a:rPr lang="en-CA" sz="1800" b="1"/>
                            <a:t>Failure</a:t>
                          </a:r>
                        </a:p>
                      </xdr:txBody>
                    </xdr:sp>
                    <xdr:sp macro="" textlink="$BW$14">
                      <xdr:nvSpPr>
                        <xdr:cNvPr id="119" name="TextBox 118">
                          <a:extLst>
                            <a:ext uri="{FF2B5EF4-FFF2-40B4-BE49-F238E27FC236}">
                              <a16:creationId xmlns:a16="http://schemas.microsoft.com/office/drawing/2014/main" id="{E952C62A-E5D6-24C1-8863-D709B93D170D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7641944" y="10290363"/>
                          <a:ext cx="1270739" cy="557209"/>
                        </a:xfrm>
                        <a:prstGeom prst="rect">
                          <a:avLst/>
                        </a:prstGeom>
                        <a:solidFill>
                          <a:schemeClr val="bg2"/>
                        </a:solidFill>
                        <a:ln w="9525" cmpd="sng">
                          <a:solidFill>
                            <a:schemeClr val="lt1">
                              <a:shade val="50000"/>
                            </a:schemeClr>
                          </a:solidFill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fld id="{E557AED1-7B24-4A6D-9B63-71E9AFD0E039}" type="TxLink">
                            <a:rPr lang="en-US" sz="2000" b="0" i="0" u="none" strike="noStrike">
                              <a:solidFill>
                                <a:srgbClr val="000000"/>
                              </a:solidFill>
                              <a:latin typeface="Aptos Narrow"/>
                            </a:rPr>
                            <a:pPr/>
                            <a:t>-40</a:t>
                          </a:fld>
                          <a:endParaRPr lang="en-CA" sz="1100"/>
                        </a:p>
                      </xdr:txBody>
                    </xdr:sp>
                  </xdr:grpSp>
                  <xdr:grpSp>
                    <xdr:nvGrpSpPr>
                      <xdr:cNvPr id="25" name="Group 24">
                        <a:extLst>
                          <a:ext uri="{FF2B5EF4-FFF2-40B4-BE49-F238E27FC236}">
                            <a16:creationId xmlns:a16="http://schemas.microsoft.com/office/drawing/2014/main" id="{D274587F-C351-CC7A-09F0-42F1D17D2A9B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7273019" y="5131163"/>
                        <a:ext cx="2119210" cy="3658728"/>
                        <a:chOff x="27273019" y="5131163"/>
                        <a:chExt cx="2119210" cy="3658728"/>
                      </a:xfrm>
                    </xdr:grpSpPr>
                    <xdr:sp macro="" textlink="">
                      <xdr:nvSpPr>
                        <xdr:cNvPr id="113" name="Rectangle: Rounded Corners 112">
                          <a:extLst>
                            <a:ext uri="{FF2B5EF4-FFF2-40B4-BE49-F238E27FC236}">
                              <a16:creationId xmlns:a16="http://schemas.microsoft.com/office/drawing/2014/main" id="{3FC3CEDB-F93B-F505-75EB-3A3977546DF2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7273423" y="7553435"/>
                          <a:ext cx="2111969" cy="1236456"/>
                        </a:xfrm>
                        <a:prstGeom prst="roundRect">
                          <a:avLst>
                            <a:gd name="adj" fmla="val 10000"/>
                          </a:avLst>
                        </a:prstGeom>
                      </xdr:spPr>
                      <xdr:style>
                        <a:lnRef idx="3">
                          <a:schemeClr val="accent1">
                            <a:shade val="80000"/>
                            <a:hueOff val="0"/>
                            <a:satOff val="0"/>
                            <a:lumOff val="0"/>
                            <a:alphaOff val="0"/>
                          </a:schemeClr>
                        </a:lnRef>
                        <a:fill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fillRef>
                        <a:effect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effectRef>
                        <a:fontRef idx="minor">
                          <a:schemeClr val="dk1">
                            <a:hueOff val="0"/>
                            <a:satOff val="0"/>
                            <a:lumOff val="0"/>
                            <a:alphaOff val="0"/>
                          </a:schemeClr>
                        </a:fontRef>
                      </xdr:style>
                      <xdr:txBody>
                        <a:bodyPr/>
                        <a:lstStyle/>
                        <a:p>
                          <a:pPr algn="ctr"/>
                          <a:r>
                            <a:rPr lang="en-CA" sz="1800" b="1"/>
                            <a:t>Success for both</a:t>
                          </a:r>
                        </a:p>
                      </xdr:txBody>
                    </xdr:sp>
                    <xdr:sp macro="" textlink="$BR$27">
                      <xdr:nvSpPr>
                        <xdr:cNvPr id="114" name="TextBox 113">
                          <a:extLst>
                            <a:ext uri="{FF2B5EF4-FFF2-40B4-BE49-F238E27FC236}">
                              <a16:creationId xmlns:a16="http://schemas.microsoft.com/office/drawing/2014/main" id="{046A7391-9E3B-85EA-4A56-08C0A3DB5EE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7681466" y="7929049"/>
                          <a:ext cx="1270739" cy="634738"/>
                        </a:xfrm>
                        <a:prstGeom prst="rect">
                          <a:avLst/>
                        </a:prstGeom>
                        <a:solidFill>
                          <a:schemeClr val="bg2"/>
                        </a:solidFill>
                        <a:ln w="9525" cmpd="sng">
                          <a:solidFill>
                            <a:schemeClr val="lt1">
                              <a:shade val="50000"/>
                            </a:schemeClr>
                          </a:solidFill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fld id="{E4ADD907-57F0-4599-859D-F2F716C7A4D4}" type="TxLink">
                            <a:rPr lang="en-US" sz="2000" b="0" i="0" u="none" strike="noStrike">
                              <a:solidFill>
                                <a:srgbClr val="000000"/>
                              </a:solidFill>
                              <a:latin typeface="Aptos Narrow"/>
                            </a:rPr>
                            <a:pPr/>
                            <a:t>1350</a:t>
                          </a:fld>
                          <a:endParaRPr lang="en-CA" sz="1100"/>
                        </a:p>
                      </xdr:txBody>
                    </xdr:sp>
                    <xdr:grpSp>
                      <xdr:nvGrpSpPr>
                        <xdr:cNvPr id="115" name="Group 114">
                          <a:extLst>
                            <a:ext uri="{FF2B5EF4-FFF2-40B4-BE49-F238E27FC236}">
                              <a16:creationId xmlns:a16="http://schemas.microsoft.com/office/drawing/2014/main" id="{33415361-6D5F-6AF0-D8E2-3CD5A3AC5913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7273019" y="5131163"/>
                          <a:ext cx="2119210" cy="1004978"/>
                          <a:chOff x="27273019" y="5131163"/>
                          <a:chExt cx="2119210" cy="1004978"/>
                        </a:xfrm>
                      </xdr:grpSpPr>
                      <xdr:sp macro="" textlink="">
                        <xdr:nvSpPr>
                          <xdr:cNvPr id="116" name="Rectangle: Rounded Corners 115">
                            <a:extLst>
                              <a:ext uri="{FF2B5EF4-FFF2-40B4-BE49-F238E27FC236}">
                                <a16:creationId xmlns:a16="http://schemas.microsoft.com/office/drawing/2014/main" id="{38AB883D-E17E-EAC1-19DE-108B2649332C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7273019" y="5131163"/>
                            <a:ext cx="2119210" cy="1004978"/>
                          </a:xfrm>
                          <a:prstGeom prst="roundRect">
                            <a:avLst>
                              <a:gd name="adj" fmla="val 10000"/>
                            </a:avLst>
                          </a:prstGeom>
                        </xdr:spPr>
                        <xdr:style>
                          <a:lnRef idx="3">
                            <a:schemeClr val="accent1">
                              <a:shade val="80000"/>
                              <a:hueOff val="0"/>
                              <a:satOff val="0"/>
                              <a:lumOff val="0"/>
                              <a:alphaOff val="0"/>
                            </a:schemeClr>
                          </a:lnRef>
                          <a:fillRef idx="1">
                            <a:schemeClr val="lt1">
                              <a:hueOff val="0"/>
                              <a:satOff val="0"/>
                              <a:lumOff val="0"/>
                              <a:alphaOff val="0"/>
                            </a:schemeClr>
                          </a:fillRef>
                          <a:effectRef idx="1">
                            <a:schemeClr val="lt1">
                              <a:hueOff val="0"/>
                              <a:satOff val="0"/>
                              <a:lumOff val="0"/>
                              <a:alphaOff val="0"/>
                            </a:schemeClr>
                          </a:effectRef>
                          <a:fontRef idx="minor">
                            <a:schemeClr val="dk1">
                              <a:hueOff val="0"/>
                              <a:satOff val="0"/>
                              <a:lumOff val="0"/>
                              <a:alphaOff val="0"/>
                            </a:schemeClr>
                          </a:fontRef>
                        </xdr:style>
                        <xdr:txBody>
                          <a:bodyPr/>
                          <a:lstStyle/>
                          <a:p>
                            <a:pPr algn="ctr"/>
                            <a:r>
                              <a:rPr lang="en-CA" sz="1800" b="1"/>
                              <a:t>Success for weight</a:t>
                            </a:r>
                            <a:r>
                              <a:rPr lang="en-CA" sz="1800" b="1" baseline="0"/>
                              <a:t> loss only</a:t>
                            </a:r>
                            <a:endParaRPr lang="en-CA" sz="1800" b="1"/>
                          </a:p>
                        </xdr:txBody>
                      </xdr:sp>
                      <xdr:sp macro="" textlink="$BW$12">
                        <xdr:nvSpPr>
                          <xdr:cNvPr id="117" name="TextBox 116">
                            <a:extLst>
                              <a:ext uri="{FF2B5EF4-FFF2-40B4-BE49-F238E27FC236}">
                                <a16:creationId xmlns:a16="http://schemas.microsoft.com/office/drawing/2014/main" id="{B1C43349-6DA2-3188-02B1-13A52D32B289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27632589" y="5472587"/>
                            <a:ext cx="1270739" cy="475706"/>
                          </a:xfrm>
                          <a:prstGeom prst="rect">
                            <a:avLst/>
                          </a:prstGeom>
                          <a:solidFill>
                            <a:schemeClr val="bg2"/>
                          </a:solidFill>
                          <a:ln w="9525" cmpd="sng">
                            <a:solidFill>
                              <a:schemeClr val="lt1">
                                <a:shade val="50000"/>
                              </a:schemeClr>
                            </a:solidFill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fld id="{B799215E-8B9A-441E-8EAE-529629F73D43}" type="TxLink">
                              <a:rPr lang="en-US" sz="2000" b="0" i="0" u="none" strike="noStrike">
                                <a:solidFill>
                                  <a:srgbClr val="000000"/>
                                </a:solidFill>
                                <a:latin typeface="Aptos Narrow"/>
                              </a:rPr>
                              <a:pPr/>
                              <a:t>-6.25</a:t>
                            </a:fld>
                            <a:endParaRPr lang="en-CA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6" name="Group 25">
                        <a:extLst>
                          <a:ext uri="{FF2B5EF4-FFF2-40B4-BE49-F238E27FC236}">
                            <a16:creationId xmlns:a16="http://schemas.microsoft.com/office/drawing/2014/main" id="{BDED4C77-CAE8-D91E-B6F9-27F4D648288E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6734789" y="2222012"/>
                        <a:ext cx="2301989" cy="1016388"/>
                        <a:chOff x="26734789" y="2222012"/>
                        <a:chExt cx="2301989" cy="1016388"/>
                      </a:xfrm>
                    </xdr:grpSpPr>
                    <xdr:sp macro="" textlink="">
                      <xdr:nvSpPr>
                        <xdr:cNvPr id="111" name="Rectangle: Rounded Corners 110">
                          <a:extLst>
                            <a:ext uri="{FF2B5EF4-FFF2-40B4-BE49-F238E27FC236}">
                              <a16:creationId xmlns:a16="http://schemas.microsoft.com/office/drawing/2014/main" id="{47AD16C1-6587-FD9A-B997-28C56087C589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6734789" y="2222012"/>
                          <a:ext cx="2301989" cy="1016388"/>
                        </a:xfrm>
                        <a:prstGeom prst="roundRect">
                          <a:avLst>
                            <a:gd name="adj" fmla="val 10000"/>
                          </a:avLst>
                        </a:prstGeom>
                      </xdr:spPr>
                      <xdr:style>
                        <a:lnRef idx="3">
                          <a:schemeClr val="accent1">
                            <a:shade val="80000"/>
                            <a:hueOff val="0"/>
                            <a:satOff val="0"/>
                            <a:lumOff val="0"/>
                            <a:alphaOff val="0"/>
                          </a:schemeClr>
                        </a:lnRef>
                        <a:fill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fillRef>
                        <a:effectRef idx="1">
                          <a:schemeClr val="lt1">
                            <a:hueOff val="0"/>
                            <a:satOff val="0"/>
                            <a:lumOff val="0"/>
                            <a:alphaOff val="0"/>
                          </a:schemeClr>
                        </a:effectRef>
                        <a:fontRef idx="minor">
                          <a:schemeClr val="dk1">
                            <a:hueOff val="0"/>
                            <a:satOff val="0"/>
                            <a:lumOff val="0"/>
                            <a:alphaOff val="0"/>
                          </a:schemeClr>
                        </a:fontRef>
                      </xdr:style>
                      <xdr:txBody>
                        <a:bodyPr/>
                        <a:lstStyle/>
                        <a:p>
                          <a:pPr algn="ctr"/>
                          <a:r>
                            <a:rPr lang="en-CA" sz="1800" b="1"/>
                            <a:t>Success for depression only</a:t>
                          </a:r>
                        </a:p>
                      </xdr:txBody>
                    </xdr:sp>
                    <xdr:sp macro="" textlink="$BW$11">
                      <xdr:nvSpPr>
                        <xdr:cNvPr id="112" name="TextBox 111">
                          <a:extLst>
                            <a:ext uri="{FF2B5EF4-FFF2-40B4-BE49-F238E27FC236}">
                              <a16:creationId xmlns:a16="http://schemas.microsoft.com/office/drawing/2014/main" id="{3BA57D39-D89F-EED6-4D4F-0AD7B6310024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7272215" y="2596347"/>
                          <a:ext cx="1270739" cy="475705"/>
                        </a:xfrm>
                        <a:prstGeom prst="rect">
                          <a:avLst/>
                        </a:prstGeom>
                        <a:solidFill>
                          <a:schemeClr val="bg2"/>
                        </a:solidFill>
                        <a:ln w="9525" cmpd="sng">
                          <a:solidFill>
                            <a:schemeClr val="lt1">
                              <a:shade val="50000"/>
                            </a:schemeClr>
                          </a:solidFill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fld id="{4E73596A-7519-4077-BB66-258646ADC153}" type="TxLink">
                            <a:rPr lang="en-US" sz="2000" b="0" i="0" u="none" strike="noStrike">
                              <a:solidFill>
                                <a:srgbClr val="000000"/>
                              </a:solidFill>
                              <a:latin typeface="Aptos Narrow"/>
                            </a:rPr>
                            <a:pPr/>
                            <a:t>567.5</a:t>
                          </a:fld>
                          <a:endParaRPr lang="en-CA" sz="1100"/>
                        </a:p>
                      </xdr:txBody>
                    </xdr:sp>
                  </xdr:grpSp>
                  <xdr:grpSp>
                    <xdr:nvGrpSpPr>
                      <xdr:cNvPr id="27" name="Group 26">
                        <a:extLst>
                          <a:ext uri="{FF2B5EF4-FFF2-40B4-BE49-F238E27FC236}">
                            <a16:creationId xmlns:a16="http://schemas.microsoft.com/office/drawing/2014/main" id="{D55868F9-75E6-B0CA-097B-DA7F44315ED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9036778" y="1298003"/>
                        <a:ext cx="11628845" cy="9978031"/>
                        <a:chOff x="29036778" y="1298003"/>
                        <a:chExt cx="11628845" cy="9978031"/>
                      </a:xfrm>
                    </xdr:grpSpPr>
                    <xdr:cxnSp macro="">
                      <xdr:nvCxnSpPr>
                        <xdr:cNvPr id="28" name="Straight Connector 27">
                          <a:extLst>
                            <a:ext uri="{FF2B5EF4-FFF2-40B4-BE49-F238E27FC236}">
                              <a16:creationId xmlns:a16="http://schemas.microsoft.com/office/drawing/2014/main" id="{92838752-CA25-3957-B36A-8A941384D49D}"/>
                            </a:ext>
                          </a:extLst>
                        </xdr:cNvPr>
                        <xdr:cNvCxnSpPr>
                          <a:stCxn id="113" idx="3"/>
                        </xdr:cNvCxnSpPr>
                      </xdr:nvCxnSpPr>
                      <xdr:spPr>
                        <a:xfrm flipV="1">
                          <a:off x="29385392" y="7516917"/>
                          <a:ext cx="1330641" cy="654747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29" name="Straight Connector 28">
                          <a:extLst>
                            <a:ext uri="{FF2B5EF4-FFF2-40B4-BE49-F238E27FC236}">
                              <a16:creationId xmlns:a16="http://schemas.microsoft.com/office/drawing/2014/main" id="{8F49D2D8-4A66-1CD5-84AE-0233948C4DD3}"/>
                            </a:ext>
                          </a:extLst>
                        </xdr:cNvPr>
                        <xdr:cNvCxnSpPr>
                          <a:endCxn id="101" idx="1"/>
                        </xdr:cNvCxnSpPr>
                      </xdr:nvCxnSpPr>
                      <xdr:spPr>
                        <a:xfrm>
                          <a:off x="29399990" y="8178961"/>
                          <a:ext cx="1318699" cy="641406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30" name="Straight Connector 29">
                          <a:extLst>
                            <a:ext uri="{FF2B5EF4-FFF2-40B4-BE49-F238E27FC236}">
                              <a16:creationId xmlns:a16="http://schemas.microsoft.com/office/drawing/2014/main" id="{3CB682E6-4B52-E216-EAB5-87B63AA7CBE7}"/>
                            </a:ext>
                          </a:extLst>
                        </xdr:cNvPr>
                        <xdr:cNvCxnSpPr>
                          <a:stCxn id="116" idx="3"/>
                        </xdr:cNvCxnSpPr>
                      </xdr:nvCxnSpPr>
                      <xdr:spPr>
                        <a:xfrm flipV="1">
                          <a:off x="29392229" y="5069174"/>
                          <a:ext cx="1455375" cy="564478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31" name="Straight Connector 30">
                          <a:extLst>
                            <a:ext uri="{FF2B5EF4-FFF2-40B4-BE49-F238E27FC236}">
                              <a16:creationId xmlns:a16="http://schemas.microsoft.com/office/drawing/2014/main" id="{B29DD06C-01AF-AB0D-0CD0-0A8A10BADFFC}"/>
                            </a:ext>
                          </a:extLst>
                        </xdr:cNvPr>
                        <xdr:cNvCxnSpPr>
                          <a:stCxn id="116" idx="3"/>
                          <a:endCxn id="105" idx="1"/>
                        </xdr:cNvCxnSpPr>
                      </xdr:nvCxnSpPr>
                      <xdr:spPr>
                        <a:xfrm>
                          <a:off x="29392229" y="5633652"/>
                          <a:ext cx="1412539" cy="512621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32" name="Straight Connector 31">
                          <a:extLst>
                            <a:ext uri="{FF2B5EF4-FFF2-40B4-BE49-F238E27FC236}">
                              <a16:creationId xmlns:a16="http://schemas.microsoft.com/office/drawing/2014/main" id="{414F7D4D-1595-C8E7-3674-5702D349868A}"/>
                            </a:ext>
                          </a:extLst>
                        </xdr:cNvPr>
                        <xdr:cNvCxnSpPr>
                          <a:stCxn id="111" idx="3"/>
                          <a:endCxn id="109" idx="1"/>
                        </xdr:cNvCxnSpPr>
                      </xdr:nvCxnSpPr>
                      <xdr:spPr>
                        <a:xfrm flipV="1">
                          <a:off x="29036778" y="2240167"/>
                          <a:ext cx="1558519" cy="490040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33" name="Straight Connector 32">
                          <a:extLst>
                            <a:ext uri="{FF2B5EF4-FFF2-40B4-BE49-F238E27FC236}">
                              <a16:creationId xmlns:a16="http://schemas.microsoft.com/office/drawing/2014/main" id="{2C2E1C35-D782-B34E-A039-B4AFCF758B17}"/>
                            </a:ext>
                          </a:extLst>
                        </xdr:cNvPr>
                        <xdr:cNvCxnSpPr>
                          <a:stCxn id="111" idx="3"/>
                          <a:endCxn id="107" idx="1"/>
                        </xdr:cNvCxnSpPr>
                      </xdr:nvCxnSpPr>
                      <xdr:spPr>
                        <a:xfrm>
                          <a:off x="29046986" y="2730655"/>
                          <a:ext cx="1562862" cy="706259"/>
                        </a:xfrm>
                        <a:prstGeom prst="line">
                          <a:avLst/>
                        </a:prstGeom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grpSp>
                      <xdr:nvGrpSpPr>
                        <xdr:cNvPr id="34" name="Group 33">
                          <a:extLst>
                            <a:ext uri="{FF2B5EF4-FFF2-40B4-BE49-F238E27FC236}">
                              <a16:creationId xmlns:a16="http://schemas.microsoft.com/office/drawing/2014/main" id="{7CC37C66-1177-2065-6B13-B454FA0ED855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30588714" y="1298003"/>
                          <a:ext cx="10076909" cy="9978031"/>
                          <a:chOff x="30622738" y="1282584"/>
                          <a:chExt cx="10186666" cy="9861363"/>
                        </a:xfrm>
                      </xdr:grpSpPr>
                      <xdr:grpSp>
                        <xdr:nvGrpSpPr>
                          <xdr:cNvPr id="35" name="Group 34">
                            <a:extLst>
                              <a:ext uri="{FF2B5EF4-FFF2-40B4-BE49-F238E27FC236}">
                                <a16:creationId xmlns:a16="http://schemas.microsoft.com/office/drawing/2014/main" id="{77E1FF38-A2EB-F704-E06F-4E7CC56D2154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622738" y="1757582"/>
                            <a:ext cx="2103901" cy="914406"/>
                            <a:chOff x="30622738" y="1757582"/>
                            <a:chExt cx="2103901" cy="914406"/>
                          </a:xfrm>
                        </xdr:grpSpPr>
                        <xdr:sp macro="" textlink="">
                          <xdr:nvSpPr>
                            <xdr:cNvPr id="109" name="Rectangle: Rounded Corners 108">
                              <a:extLst>
                                <a:ext uri="{FF2B5EF4-FFF2-40B4-BE49-F238E27FC236}">
                                  <a16:creationId xmlns:a16="http://schemas.microsoft.com/office/drawing/2014/main" id="{0001E41D-8E70-8EF0-81B6-66A14E2ACFE5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622738" y="1757582"/>
                              <a:ext cx="2103901" cy="914406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/>
                            <a:lstStyle/>
                            <a:p>
                              <a:pPr algn="ctr"/>
                              <a:r>
                                <a:rPr lang="en-CA" sz="2000" b="1"/>
                                <a:t>Invest in Test Phase III</a:t>
                              </a:r>
                            </a:p>
                          </xdr:txBody>
                        </xdr:sp>
                        <xdr:sp macro="" textlink="$BR$10">
                          <xdr:nvSpPr>
                            <xdr:cNvPr id="110" name="TextBox 109">
                              <a:extLst>
                                <a:ext uri="{FF2B5EF4-FFF2-40B4-BE49-F238E27FC236}">
                                  <a16:creationId xmlns:a16="http://schemas.microsoft.com/office/drawing/2014/main" id="{FA460760-C49E-CD5B-68CB-2079F597DBCB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026198" y="2132886"/>
                              <a:ext cx="1267537" cy="345147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9174EA31-D7DC-4957-ACD9-4174628029FC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607.5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36" name="Group 35">
                            <a:extLst>
                              <a:ext uri="{FF2B5EF4-FFF2-40B4-BE49-F238E27FC236}">
                                <a16:creationId xmlns:a16="http://schemas.microsoft.com/office/drawing/2014/main" id="{300EF75D-DE86-4822-0C49-E91D0C8B5674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643872" y="2934452"/>
                            <a:ext cx="2111033" cy="923428"/>
                            <a:chOff x="30643872" y="2934452"/>
                            <a:chExt cx="2111033" cy="923428"/>
                          </a:xfrm>
                        </xdr:grpSpPr>
                        <xdr:sp macro="" textlink="">
                          <xdr:nvSpPr>
                            <xdr:cNvPr id="107" name="Rectangle: Rounded Corners 106">
                              <a:extLst>
                                <a:ext uri="{FF2B5EF4-FFF2-40B4-BE49-F238E27FC236}">
                                  <a16:creationId xmlns:a16="http://schemas.microsoft.com/office/drawing/2014/main" id="{2A56CD37-43B6-8A8E-1CC4-F2839035B7D6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643872" y="2934452"/>
                              <a:ext cx="2111033" cy="923428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/>
                            <a:lstStyle/>
                            <a:p>
                              <a:pPr algn="ctr"/>
                              <a:r>
                                <a:rPr lang="en-CA" sz="2000" b="1"/>
                                <a:t>Do Nothing (not license)</a:t>
                              </a:r>
                            </a:p>
                          </xdr:txBody>
                        </xdr:sp>
                        <xdr:sp macro="" textlink="$BR$9">
                          <xdr:nvSpPr>
                            <xdr:cNvPr id="108" name="TextBox 107">
                              <a:extLst>
                                <a:ext uri="{FF2B5EF4-FFF2-40B4-BE49-F238E27FC236}">
                                  <a16:creationId xmlns:a16="http://schemas.microsoft.com/office/drawing/2014/main" id="{A216E9B3-B6A6-F482-594A-A07E6EF8A3D6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017682" y="3306381"/>
                              <a:ext cx="1267537" cy="345146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53F152E7-1D12-453D-80AF-70F8DB1904B7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-70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37" name="Group 36">
                            <a:extLst>
                              <a:ext uri="{FF2B5EF4-FFF2-40B4-BE49-F238E27FC236}">
                                <a16:creationId xmlns:a16="http://schemas.microsoft.com/office/drawing/2014/main" id="{03E957F6-C4BD-4063-414C-38A031274497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838545" y="5617737"/>
                            <a:ext cx="2111033" cy="913348"/>
                            <a:chOff x="30838545" y="5617737"/>
                            <a:chExt cx="2111033" cy="913348"/>
                          </a:xfrm>
                        </xdr:grpSpPr>
                        <xdr:sp macro="" textlink="">
                          <xdr:nvSpPr>
                            <xdr:cNvPr id="105" name="Rectangle: Rounded Corners 104">
                              <a:extLst>
                                <a:ext uri="{FF2B5EF4-FFF2-40B4-BE49-F238E27FC236}">
                                  <a16:creationId xmlns:a16="http://schemas.microsoft.com/office/drawing/2014/main" id="{FDAF0884-DFD3-36C0-E2BA-31D02C8B2A65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838545" y="5617737"/>
                              <a:ext cx="2111033" cy="913348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 anchor="t"/>
                            <a:lstStyle/>
                            <a:p>
                              <a:pPr algn="ctr"/>
                              <a:r>
                                <a:rPr lang="en-CA" sz="1800" b="1"/>
                                <a:t>Do</a:t>
                              </a:r>
                              <a:r>
                                <a:rPr lang="en-CA" sz="1800" b="1" baseline="0"/>
                                <a:t> Nothing (not license)</a:t>
                              </a:r>
                              <a:endParaRPr lang="en-CA" sz="1800" b="1"/>
                            </a:p>
                          </xdr:txBody>
                        </xdr:sp>
                        <xdr:sp macro="" textlink="$BR$17">
                          <xdr:nvSpPr>
                            <xdr:cNvPr id="106" name="TextBox 105">
                              <a:extLst>
                                <a:ext uri="{FF2B5EF4-FFF2-40B4-BE49-F238E27FC236}">
                                  <a16:creationId xmlns:a16="http://schemas.microsoft.com/office/drawing/2014/main" id="{BEC248D6-3849-24BD-7A6B-5DE50FEEF7E3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303554" y="5929504"/>
                              <a:ext cx="1267539" cy="478887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ACB733A9-F1EF-47BA-A409-434D6461755D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-70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38" name="Group 37">
                            <a:extLst>
                              <a:ext uri="{FF2B5EF4-FFF2-40B4-BE49-F238E27FC236}">
                                <a16:creationId xmlns:a16="http://schemas.microsoft.com/office/drawing/2014/main" id="{5458A616-31D9-70D8-7597-8E4434FAA4B9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754148" y="7018247"/>
                            <a:ext cx="2103901" cy="1108038"/>
                            <a:chOff x="30754148" y="7018247"/>
                            <a:chExt cx="2103901" cy="1108038"/>
                          </a:xfrm>
                        </xdr:grpSpPr>
                        <xdr:sp macro="" textlink="">
                          <xdr:nvSpPr>
                            <xdr:cNvPr id="103" name="Rectangle: Rounded Corners 102">
                              <a:extLst>
                                <a:ext uri="{FF2B5EF4-FFF2-40B4-BE49-F238E27FC236}">
                                  <a16:creationId xmlns:a16="http://schemas.microsoft.com/office/drawing/2014/main" id="{501A8B17-7D57-DC6E-C1CE-79AA6A6F797B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754148" y="7018247"/>
                              <a:ext cx="2103901" cy="1108038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/>
                            <a:lstStyle/>
                            <a:p>
                              <a:pPr algn="ctr"/>
                              <a:r>
                                <a:rPr lang="en-CA" sz="1800" b="1"/>
                                <a:t>Invest</a:t>
                              </a:r>
                              <a:r>
                                <a:rPr lang="en-CA" sz="1800" b="1" baseline="0"/>
                                <a:t> in Test P</a:t>
                              </a:r>
                              <a:r>
                                <a:rPr lang="en-CA" sz="1800" b="1"/>
                                <a:t>hase III (Indication</a:t>
                              </a:r>
                              <a:r>
                                <a:rPr lang="en-CA" sz="1800" b="1" baseline="0"/>
                                <a:t> Test)</a:t>
                              </a:r>
                            </a:p>
                          </xdr:txBody>
                        </xdr:sp>
                        <xdr:sp macro="" textlink="$BR$30">
                          <xdr:nvSpPr>
                            <xdr:cNvPr id="104" name="TextBox 103">
                              <a:extLst>
                                <a:ext uri="{FF2B5EF4-FFF2-40B4-BE49-F238E27FC236}">
                                  <a16:creationId xmlns:a16="http://schemas.microsoft.com/office/drawing/2014/main" id="{361B86A6-E7E5-DCD9-E1C2-35E6F4BE1614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190421" y="7493893"/>
                              <a:ext cx="1267537" cy="538493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15810D38-3B27-47B4-91EF-74F910E5FD73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949.75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39" name="Group 38">
                            <a:extLst>
                              <a:ext uri="{FF2B5EF4-FFF2-40B4-BE49-F238E27FC236}">
                                <a16:creationId xmlns:a16="http://schemas.microsoft.com/office/drawing/2014/main" id="{0BEDE43A-8F04-08E8-B37C-FAE461AF169F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752712" y="8262184"/>
                            <a:ext cx="2111033" cy="913346"/>
                            <a:chOff x="30752712" y="8262184"/>
                            <a:chExt cx="2111033" cy="913346"/>
                          </a:xfrm>
                        </xdr:grpSpPr>
                        <xdr:sp macro="" textlink="">
                          <xdr:nvSpPr>
                            <xdr:cNvPr id="101" name="Rectangle: Rounded Corners 100">
                              <a:extLst>
                                <a:ext uri="{FF2B5EF4-FFF2-40B4-BE49-F238E27FC236}">
                                  <a16:creationId xmlns:a16="http://schemas.microsoft.com/office/drawing/2014/main" id="{509EBA38-939F-8D9A-9016-47FD4C8E0AF8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752712" y="8262184"/>
                              <a:ext cx="2111033" cy="913346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 anchor="t"/>
                            <a:lstStyle/>
                            <a:p>
                              <a:pPr algn="ctr"/>
                              <a:r>
                                <a:rPr lang="en-CA" sz="1800" b="1"/>
                                <a:t>Do</a:t>
                              </a:r>
                              <a:r>
                                <a:rPr lang="en-CA" sz="1800" b="1" baseline="0"/>
                                <a:t> Nothing (not lisence)</a:t>
                              </a:r>
                              <a:endParaRPr lang="en-CA" sz="1800" b="1"/>
                            </a:p>
                          </xdr:txBody>
                        </xdr:sp>
                        <xdr:sp macro="" textlink="$BR$29">
                          <xdr:nvSpPr>
                            <xdr:cNvPr id="102" name="TextBox 101">
                              <a:extLst>
                                <a:ext uri="{FF2B5EF4-FFF2-40B4-BE49-F238E27FC236}">
                                  <a16:creationId xmlns:a16="http://schemas.microsoft.com/office/drawing/2014/main" id="{12C47C47-81E1-F472-7AF3-20BFC00495AD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156767" y="8561146"/>
                              <a:ext cx="1267537" cy="511325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83398525-3502-4468-95D7-8D53E0861903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-70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40" name="Group 39">
                            <a:extLst>
                              <a:ext uri="{FF2B5EF4-FFF2-40B4-BE49-F238E27FC236}">
                                <a16:creationId xmlns:a16="http://schemas.microsoft.com/office/drawing/2014/main" id="{D4E2F1BC-C50E-5399-2A56-DADC2E28680E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810528" y="4380566"/>
                            <a:ext cx="2080527" cy="912794"/>
                            <a:chOff x="30868919" y="4511946"/>
                            <a:chExt cx="2080527" cy="912794"/>
                          </a:xfrm>
                        </xdr:grpSpPr>
                        <xdr:sp macro="" textlink="">
                          <xdr:nvSpPr>
                            <xdr:cNvPr id="99" name="Rectangle: Rounded Corners 98">
                              <a:extLst>
                                <a:ext uri="{FF2B5EF4-FFF2-40B4-BE49-F238E27FC236}">
                                  <a16:creationId xmlns:a16="http://schemas.microsoft.com/office/drawing/2014/main" id="{3F53BDF5-C0FB-7B85-4015-2B83E073479E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0868919" y="4511946"/>
                              <a:ext cx="2080527" cy="912794"/>
                            </a:xfrm>
                            <a:prstGeom prst="roundRect">
                              <a:avLst>
                                <a:gd name="adj" fmla="val 10000"/>
                              </a:avLst>
                            </a:prstGeom>
                          </xdr:spPr>
                          <xdr:style>
                            <a:lnRef idx="3">
                              <a:schemeClr val="accent1">
                                <a:shade val="80000"/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lnRef>
                            <a:fill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illRef>
                            <a:effectRef idx="1">
                              <a:schemeClr val="lt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effectRef>
                            <a:fontRef idx="minor">
                              <a:schemeClr val="dk1">
                                <a:hueOff val="0"/>
                                <a:satOff val="0"/>
                                <a:lumOff val="0"/>
                                <a:alphaOff val="0"/>
                              </a:schemeClr>
                            </a:fontRef>
                          </xdr:style>
                          <xdr:txBody>
                            <a:bodyPr/>
                            <a:lstStyle/>
                            <a:p>
                              <a:pPr algn="ctr"/>
                              <a:r>
                                <a:rPr lang="en-CA" sz="1800" b="1"/>
                                <a:t>Invest in Test Phase III</a:t>
                              </a:r>
                            </a:p>
                          </xdr:txBody>
                        </xdr:sp>
                        <xdr:sp macro="" textlink="$BR$18">
                          <xdr:nvSpPr>
                            <xdr:cNvPr id="100" name="TextBox 99">
                              <a:extLst>
                                <a:ext uri="{FF2B5EF4-FFF2-40B4-BE49-F238E27FC236}">
                                  <a16:creationId xmlns:a16="http://schemas.microsoft.com/office/drawing/2014/main" id="{6B31A519-C432-8C57-0799-A82C07507AE2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1262185" y="4817229"/>
                              <a:ext cx="1240569" cy="512488"/>
                            </a:xfrm>
                            <a:prstGeom prst="rect">
                              <a:avLst/>
                            </a:prstGeom>
                            <a:solidFill>
                              <a:schemeClr val="bg2"/>
                            </a:solidFill>
                            <a:ln w="9525" cmpd="sng">
                              <a:solidFill>
                                <a:schemeClr val="lt1">
                                  <a:shade val="50000"/>
                                </a:schemeClr>
                              </a:solidFill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fld id="{254F87B8-BFF8-4797-9540-DC8A492E2D42}" type="TxLink">
                                <a:rPr lang="en-US" sz="2000" b="0" i="0" u="none" strike="noStrike">
                                  <a:solidFill>
                                    <a:srgbClr val="000000"/>
                                  </a:solidFill>
                                  <a:latin typeface="Aptos Narrow"/>
                                </a:rPr>
                                <a:pPr/>
                                <a:t>33.75</a:t>
                              </a:fld>
                              <a:endParaRPr lang="en-CA" sz="1100"/>
                            </a:p>
                          </xdr:txBody>
                        </xdr:sp>
                      </xdr:grpSp>
                      <xdr:grpSp>
                        <xdr:nvGrpSpPr>
                          <xdr:cNvPr id="41" name="Group 40">
                            <a:extLst>
                              <a:ext uri="{FF2B5EF4-FFF2-40B4-BE49-F238E27FC236}">
                                <a16:creationId xmlns:a16="http://schemas.microsoft.com/office/drawing/2014/main" id="{B9198AA8-6ED8-1350-6666-76CB89B4F455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2726639" y="1282584"/>
                            <a:ext cx="8082765" cy="9861363"/>
                            <a:chOff x="32726639" y="1282584"/>
                            <a:chExt cx="8082765" cy="9861363"/>
                          </a:xfrm>
                        </xdr:grpSpPr>
                        <xdr:cxnSp macro="">
                          <xdr:nvCxnSpPr>
                            <xdr:cNvPr id="42" name="Straight Connector 41">
                              <a:extLst>
                                <a:ext uri="{FF2B5EF4-FFF2-40B4-BE49-F238E27FC236}">
                                  <a16:creationId xmlns:a16="http://schemas.microsoft.com/office/drawing/2014/main" id="{EB6DA56E-F95A-E698-E797-1B85BFC7872A}"/>
                                </a:ext>
                              </a:extLst>
                            </xdr:cNvPr>
                            <xdr:cNvCxnSpPr>
                              <a:cxnSpLocks/>
                              <a:stCxn id="109" idx="3"/>
                              <a:endCxn id="45" idx="2"/>
                            </xdr:cNvCxnSpPr>
                          </xdr:nvCxnSpPr>
                          <xdr:spPr>
                            <a:xfrm flipV="1">
                              <a:off x="32726639" y="2203902"/>
                              <a:ext cx="1486026" cy="10883"/>
                            </a:xfrm>
                            <a:prstGeom prst="line">
                              <a:avLst/>
                            </a:prstGeom>
                          </xdr:spPr>
                          <xdr:style>
                            <a:lnRef idx="2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1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grpSp>
                          <xdr:nvGrpSpPr>
                            <xdr:cNvPr id="43" name="Group 42">
                              <a:extLst>
                                <a:ext uri="{FF2B5EF4-FFF2-40B4-BE49-F238E27FC236}">
                                  <a16:creationId xmlns:a16="http://schemas.microsoft.com/office/drawing/2014/main" id="{7C85FCC7-53A1-5F24-B0D5-F7FA0FBB6B9C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32856033" y="1282584"/>
                              <a:ext cx="7953371" cy="9861363"/>
                              <a:chOff x="32856033" y="1282584"/>
                              <a:chExt cx="7953371" cy="9861363"/>
                            </a:xfrm>
                          </xdr:grpSpPr>
                          <xdr:cxnSp macro="">
                            <xdr:nvCxnSpPr>
                              <xdr:cNvPr id="47" name="Straight Connector 46">
                                <a:extLst>
                                  <a:ext uri="{FF2B5EF4-FFF2-40B4-BE49-F238E27FC236}">
                                    <a16:creationId xmlns:a16="http://schemas.microsoft.com/office/drawing/2014/main" id="{90CB642E-C2CA-31E5-1798-F6C3A22B28DD}"/>
                                  </a:ext>
                                </a:extLst>
                              </xdr:cNvPr>
                              <xdr:cNvCxnSpPr>
                                <a:cxnSpLocks/>
                                <a:endCxn id="97" idx="2"/>
                              </xdr:cNvCxnSpPr>
                            </xdr:nvCxnSpPr>
                            <xdr:spPr>
                              <a:xfrm flipV="1">
                                <a:off x="32914727" y="4979572"/>
                                <a:ext cx="1395196" cy="16620"/>
                              </a:xfrm>
                              <a:prstGeom prst="line">
                                <a:avLst/>
                              </a:prstGeom>
                            </xdr:spPr>
                            <xdr:style>
                              <a:lnRef idx="2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1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grpSp>
                            <xdr:nvGrpSpPr>
                              <xdr:cNvPr id="48" name="Group 47">
                                <a:extLst>
                                  <a:ext uri="{FF2B5EF4-FFF2-40B4-BE49-F238E27FC236}">
                                    <a16:creationId xmlns:a16="http://schemas.microsoft.com/office/drawing/2014/main" id="{D678A480-8A0F-453C-5E30-1DBD016BF557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34309923" y="4471075"/>
                                <a:ext cx="2832818" cy="1006774"/>
                                <a:chOff x="34309923" y="4471075"/>
                                <a:chExt cx="2832818" cy="1006774"/>
                              </a:xfrm>
                            </xdr:grpSpPr>
                            <xdr:sp macro="" textlink="">
                              <xdr:nvSpPr>
                                <xdr:cNvPr id="97" name="Oval 96">
                                  <a:extLst>
                                    <a:ext uri="{FF2B5EF4-FFF2-40B4-BE49-F238E27FC236}">
                                      <a16:creationId xmlns:a16="http://schemas.microsoft.com/office/drawing/2014/main" id="{2D727F2D-089C-644F-5EB3-71C42FF0957B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4309923" y="4471075"/>
                                  <a:ext cx="2832818" cy="1006774"/>
                                </a:xfrm>
                                <a:prstGeom prst="ellipse">
                                  <a:avLst/>
                                </a:prstGeom>
                              </xdr:spPr>
                              <xdr:style>
                                <a:lnRef idx="3">
                                  <a:schemeClr val="accent1">
                                    <a:shade val="80000"/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lnRef>
                                <a:fillRef idx="1">
                                  <a:schemeClr val="lt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illRef>
                                <a:effectRef idx="1">
                                  <a:schemeClr val="lt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effectRef>
                                <a:fontRef idx="minor">
                                  <a:schemeClr val="dk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ontRef>
                              </xdr:style>
                            </xdr:sp>
                            <xdr:sp macro="" textlink="">
                              <xdr:nvSpPr>
                                <xdr:cNvPr id="98" name="Oval 4">
                                  <a:extLst>
                                    <a:ext uri="{FF2B5EF4-FFF2-40B4-BE49-F238E27FC236}">
                                      <a16:creationId xmlns:a16="http://schemas.microsoft.com/office/drawing/2014/main" id="{0D81E3E5-18E5-319F-18B9-A67084991B59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34724780" y="4618514"/>
                                  <a:ext cx="2003104" cy="711896"/>
                                </a:xfrm>
                                <a:prstGeom prst="rect">
                                  <a:avLst/>
                                </a:prstGeom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ontRef>
                              </xdr:style>
                              <xdr:txBody>
                                <a:bodyPr spcFirstLastPara="0" vert="horz" wrap="square" lIns="10160" tIns="10160" rIns="10160" bIns="10160" numCol="1" spcCol="1270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ctr" defTabSz="711200">
                                    <a:lnSpc>
                                      <a:spcPct val="90000"/>
                                    </a:lnSpc>
                                    <a:spcBef>
                                      <a:spcPct val="0"/>
                                    </a:spcBef>
                                    <a:spcAft>
                                      <a:spcPct val="35000"/>
                                    </a:spcAft>
                                    <a:buNone/>
                                  </a:pPr>
                                  <a:r>
                                    <a:rPr lang="en-US" sz="1800" b="0" kern="1200"/>
                                    <a:t>Uncertainty</a:t>
                                  </a:r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49" name="Group 48">
                                <a:extLst>
                                  <a:ext uri="{FF2B5EF4-FFF2-40B4-BE49-F238E27FC236}">
                                    <a16:creationId xmlns:a16="http://schemas.microsoft.com/office/drawing/2014/main" id="{4E40F481-4CE3-89C2-20AA-6134B5F49717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32856033" y="1282584"/>
                                <a:ext cx="7953371" cy="9861363"/>
                                <a:chOff x="32856033" y="1282584"/>
                                <a:chExt cx="7953371" cy="9861363"/>
                              </a:xfrm>
                            </xdr:grpSpPr>
                            <xdr:cxnSp macro="">
                              <xdr:nvCxnSpPr>
                                <xdr:cNvPr id="50" name="Straight Connector 49">
                                  <a:extLst>
                                    <a:ext uri="{FF2B5EF4-FFF2-40B4-BE49-F238E27FC236}">
                                      <a16:creationId xmlns:a16="http://schemas.microsoft.com/office/drawing/2014/main" id="{184F44F6-A85C-B938-BADB-570EAA4AE851}"/>
                                    </a:ext>
                                  </a:extLst>
                                </xdr:cNvPr>
                                <xdr:cNvCxnSpPr>
                                  <a:cxnSpLocks/>
                                  <a:endCxn id="51" idx="2"/>
                                </xdr:cNvCxnSpPr>
                              </xdr:nvCxnSpPr>
                              <xdr:spPr>
                                <a:xfrm flipV="1">
                                  <a:off x="32856033" y="7479059"/>
                                  <a:ext cx="1413306" cy="15347"/>
                                </a:xfrm>
                                <a:prstGeom prst="line">
                                  <a:avLst/>
                                </a:prstGeom>
                              </xdr:spPr>
                              <xdr:style>
                                <a:lnRef idx="2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1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sp macro="" textlink="">
                              <xdr:nvSpPr>
                                <xdr:cNvPr id="51" name="Oval 50">
                                  <a:extLst>
                                    <a:ext uri="{FF2B5EF4-FFF2-40B4-BE49-F238E27FC236}">
                                      <a16:creationId xmlns:a16="http://schemas.microsoft.com/office/drawing/2014/main" id="{86C7F7B1-7C3F-5658-8733-2CCF599199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4269340" y="6985664"/>
                                  <a:ext cx="2863200" cy="1001188"/>
                                </a:xfrm>
                                <a:prstGeom prst="ellipse">
                                  <a:avLst/>
                                </a:prstGeom>
                              </xdr:spPr>
                              <xdr:style>
                                <a:lnRef idx="3">
                                  <a:schemeClr val="accent1">
                                    <a:shade val="80000"/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lnRef>
                                <a:fillRef idx="1">
                                  <a:schemeClr val="lt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illRef>
                                <a:effectRef idx="1">
                                  <a:schemeClr val="lt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effectRef>
                                <a:fontRef idx="minor">
                                  <a:schemeClr val="dk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ontRef>
                              </xdr:style>
                            </xdr:sp>
                            <xdr:sp macro="" textlink="">
                              <xdr:nvSpPr>
                                <xdr:cNvPr id="52" name="Oval 4">
                                  <a:extLst>
                                    <a:ext uri="{FF2B5EF4-FFF2-40B4-BE49-F238E27FC236}">
                                      <a16:creationId xmlns:a16="http://schemas.microsoft.com/office/drawing/2014/main" id="{6A004F99-FB96-6A0F-1C65-A1446259B0E8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34688646" y="7132285"/>
                                  <a:ext cx="2024587" cy="707946"/>
                                </a:xfrm>
                                <a:prstGeom prst="rect">
                                  <a:avLst/>
                                </a:prstGeom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>
                                    <a:hueOff val="0"/>
                                    <a:satOff val="0"/>
                                    <a:lumOff val="0"/>
                                    <a:alphaOff val="0"/>
                                  </a:schemeClr>
                                </a:fontRef>
                              </xdr:style>
                              <xdr:txBody>
                                <a:bodyPr spcFirstLastPara="0" vert="horz" wrap="square" lIns="10160" tIns="10160" rIns="10160" bIns="10160" numCol="1" spcCol="1270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ctr" defTabSz="711200">
                                    <a:lnSpc>
                                      <a:spcPct val="90000"/>
                                    </a:lnSpc>
                                    <a:spcBef>
                                      <a:spcPct val="0"/>
                                    </a:spcBef>
                                    <a:spcAft>
                                      <a:spcPct val="35000"/>
                                    </a:spcAft>
                                    <a:buNone/>
                                  </a:pPr>
                                  <a:r>
                                    <a:rPr lang="en-US" sz="1800" kern="1200"/>
                                    <a:t>Uncertainty</a:t>
                                  </a:r>
                                </a:p>
                              </xdr:txBody>
                            </xdr:sp>
                            <xdr:grpSp>
                              <xdr:nvGrpSpPr>
                                <xdr:cNvPr id="53" name="Group 52">
                                  <a:extLst>
                                    <a:ext uri="{FF2B5EF4-FFF2-40B4-BE49-F238E27FC236}">
                                      <a16:creationId xmlns:a16="http://schemas.microsoft.com/office/drawing/2014/main" id="{25C5CE6C-7692-4E3F-B12C-B8F8DB1E60CC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37061257" y="1282584"/>
                                  <a:ext cx="3748147" cy="9861363"/>
                                  <a:chOff x="37061257" y="1282584"/>
                                  <a:chExt cx="3748147" cy="9861363"/>
                                </a:xfrm>
                              </xdr:grpSpPr>
                              <xdr:sp macro="" textlink="$BR$6">
                                <xdr:nvSpPr>
                                  <xdr:cNvPr id="54" name="TextBox 53">
                                    <a:extLst>
                                      <a:ext uri="{FF2B5EF4-FFF2-40B4-BE49-F238E27FC236}">
                                        <a16:creationId xmlns:a16="http://schemas.microsoft.com/office/drawing/2014/main" id="{99F71D71-449B-62C2-3796-4E667B991E1D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363615" y="2615688"/>
                                    <a:ext cx="595876" cy="239885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556CBEC4-CA3E-496A-83F3-C2CA3E62B4F9}" type="TxLink">
                                      <a:rPr lang="en-US" sz="20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0.15</a:t>
                                    </a:fld>
                                    <a:endParaRPr lang="en-CA" sz="2400"/>
                                  </a:p>
                                </xdr:txBody>
                              </xdr:sp>
                              <xdr:sp macro="" textlink="$BR$23">
                                <xdr:nvSpPr>
                                  <xdr:cNvPr id="55" name="TextBox 54">
                                    <a:extLst>
                                      <a:ext uri="{FF2B5EF4-FFF2-40B4-BE49-F238E27FC236}">
                                        <a16:creationId xmlns:a16="http://schemas.microsoft.com/office/drawing/2014/main" id="{99E2F49E-8F38-0112-7720-A8EB4D734F06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8011514" y="8395576"/>
                                    <a:ext cx="410978" cy="25148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7B7A474C-1E4A-4609-8381-BA31EB6FD565}" type="TxLink">
                                      <a:rPr lang="en-US" sz="20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0.7</a:t>
                                    </a:fld>
                                    <a:endParaRPr lang="en-CA" sz="2400"/>
                                  </a:p>
                                </xdr:txBody>
                              </xdr:sp>
                              <xdr:sp macro="" textlink="$BR$24">
                                <xdr:nvSpPr>
                                  <xdr:cNvPr id="56" name="TextBox 55">
                                    <a:extLst>
                                      <a:ext uri="{FF2B5EF4-FFF2-40B4-BE49-F238E27FC236}">
                                        <a16:creationId xmlns:a16="http://schemas.microsoft.com/office/drawing/2014/main" id="{24591869-C14B-14D6-D073-BFDED254511F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459301" y="9346128"/>
                                    <a:ext cx="400137" cy="26756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969FC67A-4D9B-4722-A960-3B130E92D0FA}" type="TxLink">
                                      <a:rPr lang="en-US" sz="20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0.1</a:t>
                                    </a:fld>
                                    <a:endParaRPr lang="en-CA" sz="2400"/>
                                  </a:p>
                                </xdr:txBody>
                              </xdr:sp>
                              <xdr:sp macro="" textlink="$BR$5">
                                <xdr:nvSpPr>
                                  <xdr:cNvPr id="57" name="TextBox 56">
                                    <a:extLst>
                                      <a:ext uri="{FF2B5EF4-FFF2-40B4-BE49-F238E27FC236}">
                                        <a16:creationId xmlns:a16="http://schemas.microsoft.com/office/drawing/2014/main" id="{7F199413-96A4-2A01-CA2B-4F2397731579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455048" y="1484769"/>
                                    <a:ext cx="432270" cy="275412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E8329C81-9B53-48D0-BD5D-F6FBE1A405C7}" type="TxLink">
                                      <a:rPr lang="en-US" sz="20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0.85</a:t>
                                    </a:fld>
                                    <a:endParaRPr lang="en-CA" sz="2400"/>
                                  </a:p>
                                </xdr:txBody>
                              </xdr:sp>
                              <xdr:sp macro="" textlink="$BR$13">
                                <xdr:nvSpPr>
                                  <xdr:cNvPr id="58" name="TextBox 57">
                                    <a:extLst>
                                      <a:ext uri="{FF2B5EF4-FFF2-40B4-BE49-F238E27FC236}">
                                        <a16:creationId xmlns:a16="http://schemas.microsoft.com/office/drawing/2014/main" id="{5F059A2D-22F0-D537-3226-90CF206B3F7E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550307" y="4330732"/>
                                    <a:ext cx="557343" cy="205186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C1153487-1167-41FC-BD20-4BB5076C707F}" type="TxLink">
                                      <a:rPr lang="en-US" sz="20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0.75</a:t>
                                    </a:fld>
                                    <a:endParaRPr lang="en-CA" sz="2400"/>
                                  </a:p>
                                </xdr:txBody>
                              </xdr:sp>
                              <xdr:sp macro="" textlink="$BR$14">
                                <xdr:nvSpPr>
                                  <xdr:cNvPr id="59" name="TextBox 58">
                                    <a:extLst>
                                      <a:ext uri="{FF2B5EF4-FFF2-40B4-BE49-F238E27FC236}">
                                        <a16:creationId xmlns:a16="http://schemas.microsoft.com/office/drawing/2014/main" id="{A472C7B9-69D6-0CD4-3009-AE3BE3612F70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489685" y="5396675"/>
                                    <a:ext cx="492890" cy="232074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236033CF-737F-4DBB-BD7E-08475CB66D0C}" type="TxLink">
                                      <a:rPr lang="en-US" sz="20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0.25</a:t>
                                    </a:fld>
                                    <a:endParaRPr lang="en-CA" sz="2400"/>
                                  </a:p>
                                </xdr:txBody>
                              </xdr:sp>
                              <xdr:sp macro="" textlink="$BR$21">
                                <xdr:nvSpPr>
                                  <xdr:cNvPr id="60" name="TextBox 59">
                                    <a:extLst>
                                      <a:ext uri="{FF2B5EF4-FFF2-40B4-BE49-F238E27FC236}">
                                        <a16:creationId xmlns:a16="http://schemas.microsoft.com/office/drawing/2014/main" id="{0180D0AE-FA92-1E28-97F4-1069454A7D1A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532986" y="6792878"/>
                                    <a:ext cx="602444" cy="206460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1F59B30B-E8CE-4382-A04E-A173B6767AEB}" type="TxLink">
                                      <a:rPr lang="en-US" sz="20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0.15</a:t>
                                    </a:fld>
                                    <a:endParaRPr lang="en-CA" sz="2400"/>
                                  </a:p>
                                </xdr:txBody>
                              </xdr:sp>
                              <xdr:sp macro="" textlink="$BR$22">
                                <xdr:nvSpPr>
                                  <xdr:cNvPr id="61" name="TextBox 60">
                                    <a:extLst>
                                      <a:ext uri="{FF2B5EF4-FFF2-40B4-BE49-F238E27FC236}">
                                        <a16:creationId xmlns:a16="http://schemas.microsoft.com/office/drawing/2014/main" id="{79730435-19C7-3990-0521-3C0CB4E89FDE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37903436" y="7562783"/>
                                    <a:ext cx="484958" cy="258853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lt1"/>
                                  </a:solidFill>
                                  <a:ln w="9525" cmpd="sng">
                                    <a:solidFill>
                                      <a:schemeClr val="lt1">
                                        <a:shade val="50000"/>
                                      </a:schemeClr>
                                    </a:solidFill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t"/>
                                  <a:lstStyle/>
                                  <a:p>
                                    <a:fld id="{F23982B9-D73A-4143-B946-5C473B690AEC}" type="TxLink">
                                      <a:rPr lang="en-US" sz="2000" b="0" i="0" u="none" strike="noStrike">
                                        <a:solidFill>
                                          <a:srgbClr val="000000"/>
                                        </a:solidFill>
                                        <a:latin typeface="Aptos Narrow"/>
                                      </a:rPr>
                                      <a:pPr/>
                                      <a:t>0.05</a:t>
                                    </a:fld>
                                    <a:endParaRPr lang="en-CA" sz="2400"/>
                                  </a:p>
                                </xdr:txBody>
                              </xdr:sp>
                              <xdr:grpSp>
                                <xdr:nvGrpSpPr>
                                  <xdr:cNvPr id="62" name="Group 61">
                                    <a:extLst>
                                      <a:ext uri="{FF2B5EF4-FFF2-40B4-BE49-F238E27FC236}">
                                        <a16:creationId xmlns:a16="http://schemas.microsoft.com/office/drawing/2014/main" id="{A07849C7-A995-92D7-1FC0-DE3377EBD5C6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37061257" y="1282584"/>
                                    <a:ext cx="3748147" cy="9861363"/>
                                    <a:chOff x="37061257" y="1282584"/>
                                    <a:chExt cx="3748147" cy="9861363"/>
                                  </a:xfrm>
                                </xdr:grpSpPr>
                                <xdr:cxnSp macro="">
                                  <xdr:nvCxnSpPr>
                                    <xdr:cNvPr id="63" name="Straight Connector 62">
                                      <a:extLst>
                                        <a:ext uri="{FF2B5EF4-FFF2-40B4-BE49-F238E27FC236}">
                                          <a16:creationId xmlns:a16="http://schemas.microsoft.com/office/drawing/2014/main" id="{7F00DE8E-6C10-E62D-67B3-DEA4D5BAC9D5}"/>
                                        </a:ext>
                                      </a:extLst>
                                    </xdr:cNvPr>
                                    <xdr:cNvCxnSpPr>
                                      <a:stCxn id="51" idx="6"/>
                                      <a:endCxn id="80" idx="1"/>
                                    </xdr:cNvCxnSpPr>
                                  </xdr:nvCxnSpPr>
                                  <xdr:spPr>
                                    <a:xfrm>
                                      <a:off x="37132540" y="7486258"/>
                                      <a:ext cx="1455792" cy="689095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64" name="Straight Connector 63">
                                      <a:extLst>
                                        <a:ext uri="{FF2B5EF4-FFF2-40B4-BE49-F238E27FC236}">
                                          <a16:creationId xmlns:a16="http://schemas.microsoft.com/office/drawing/2014/main" id="{82BA682E-8098-ECF7-FB30-7F76126BAD92}"/>
                                        </a:ext>
                                      </a:extLst>
                                    </xdr:cNvPr>
                                    <xdr:cNvCxnSpPr>
                                      <a:stCxn id="51" idx="6"/>
                                      <a:endCxn id="83" idx="1"/>
                                    </xdr:cNvCxnSpPr>
                                  </xdr:nvCxnSpPr>
                                  <xdr:spPr>
                                    <a:xfrm>
                                      <a:off x="37132540" y="7486258"/>
                                      <a:ext cx="1551073" cy="2070243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65" name="Straight Connector 64">
                                      <a:extLst>
                                        <a:ext uri="{FF2B5EF4-FFF2-40B4-BE49-F238E27FC236}">
                                          <a16:creationId xmlns:a16="http://schemas.microsoft.com/office/drawing/2014/main" id="{C11DC305-B03B-B0D2-EC87-FA1C53A9381F}"/>
                                        </a:ext>
                                      </a:extLst>
                                    </xdr:cNvPr>
                                    <xdr:cNvCxnSpPr>
                                      <a:endCxn id="89" idx="1"/>
                                    </xdr:cNvCxnSpPr>
                                  </xdr:nvCxnSpPr>
                                  <xdr:spPr>
                                    <a:xfrm flipV="1">
                                      <a:off x="37061257" y="1659261"/>
                                      <a:ext cx="1715564" cy="517158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66" name="Straight Connector 65">
                                      <a:extLst>
                                        <a:ext uri="{FF2B5EF4-FFF2-40B4-BE49-F238E27FC236}">
                                          <a16:creationId xmlns:a16="http://schemas.microsoft.com/office/drawing/2014/main" id="{884E53A2-20E3-2E50-BD79-849867D5999F}"/>
                                        </a:ext>
                                      </a:extLst>
                                    </xdr:cNvPr>
                                    <xdr:cNvCxnSpPr>
                                      <a:endCxn id="92" idx="1"/>
                                    </xdr:cNvCxnSpPr>
                                  </xdr:nvCxnSpPr>
                                  <xdr:spPr>
                                    <a:xfrm>
                                      <a:off x="37061257" y="2176418"/>
                                      <a:ext cx="1567326" cy="655485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67" name="Straight Connector 66">
                                      <a:extLst>
                                        <a:ext uri="{FF2B5EF4-FFF2-40B4-BE49-F238E27FC236}">
                                          <a16:creationId xmlns:a16="http://schemas.microsoft.com/office/drawing/2014/main" id="{146A2BAB-9809-A7C4-4B7A-6069AEE66599}"/>
                                        </a:ext>
                                      </a:extLst>
                                    </xdr:cNvPr>
                                    <xdr:cNvCxnSpPr>
                                      <a:endCxn id="95" idx="1"/>
                                    </xdr:cNvCxnSpPr>
                                  </xdr:nvCxnSpPr>
                                  <xdr:spPr>
                                    <a:xfrm flipV="1">
                                      <a:off x="37158248" y="4363293"/>
                                      <a:ext cx="1427700" cy="590225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68" name="Straight Connector 67">
                                      <a:extLst>
                                        <a:ext uri="{FF2B5EF4-FFF2-40B4-BE49-F238E27FC236}">
                                          <a16:creationId xmlns:a16="http://schemas.microsoft.com/office/drawing/2014/main" id="{C572FCB2-3CF5-BB7B-E0E1-2700FF587FAE}"/>
                                        </a:ext>
                                      </a:extLst>
                                    </xdr:cNvPr>
                                    <xdr:cNvCxnSpPr>
                                      <a:endCxn id="87" idx="1"/>
                                    </xdr:cNvCxnSpPr>
                                  </xdr:nvCxnSpPr>
                                  <xdr:spPr>
                                    <a:xfrm>
                                      <a:off x="37158248" y="4953518"/>
                                      <a:ext cx="1427700" cy="684673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69" name="Straight Connector 68">
                                      <a:extLst>
                                        <a:ext uri="{FF2B5EF4-FFF2-40B4-BE49-F238E27FC236}">
                                          <a16:creationId xmlns:a16="http://schemas.microsoft.com/office/drawing/2014/main" id="{2916102A-8923-3D51-F6B2-CFBE58A6FA7A}"/>
                                        </a:ext>
                                      </a:extLst>
                                    </xdr:cNvPr>
                                    <xdr:cNvCxnSpPr>
                                      <a:stCxn id="51" idx="6"/>
                                      <a:endCxn id="78" idx="1"/>
                                    </xdr:cNvCxnSpPr>
                                  </xdr:nvCxnSpPr>
                                  <xdr:spPr>
                                    <a:xfrm flipV="1">
                                      <a:off x="37132540" y="6863655"/>
                                      <a:ext cx="1499154" cy="622603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70" name="Straight Connector 69">
                                      <a:extLst>
                                        <a:ext uri="{FF2B5EF4-FFF2-40B4-BE49-F238E27FC236}">
                                          <a16:creationId xmlns:a16="http://schemas.microsoft.com/office/drawing/2014/main" id="{CFC40190-05B8-E71A-C950-4A53F24B52FC}"/>
                                        </a:ext>
                                      </a:extLst>
                                    </xdr:cNvPr>
                                    <xdr:cNvCxnSpPr>
                                      <a:stCxn id="51" idx="6"/>
                                      <a:endCxn id="85" idx="1"/>
                                    </xdr:cNvCxnSpPr>
                                  </xdr:nvCxnSpPr>
                                  <xdr:spPr>
                                    <a:xfrm>
                                      <a:off x="37132541" y="7486258"/>
                                      <a:ext cx="1587125" cy="3204344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2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1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grpSp>
                                  <xdr:nvGrpSpPr>
                                    <xdr:cNvPr id="71" name="Group 70">
                                      <a:extLst>
                                        <a:ext uri="{FF2B5EF4-FFF2-40B4-BE49-F238E27FC236}">
                                          <a16:creationId xmlns:a16="http://schemas.microsoft.com/office/drawing/2014/main" id="{05FE553A-0935-DB38-59B6-5F17B11B36A2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38585948" y="1282584"/>
                                      <a:ext cx="2223456" cy="9861363"/>
                                      <a:chOff x="38585948" y="1282584"/>
                                      <a:chExt cx="2223456" cy="9861363"/>
                                    </a:xfrm>
                                  </xdr:grpSpPr>
                                  <xdr:grpSp>
                                    <xdr:nvGrpSpPr>
                                      <xdr:cNvPr id="72" name="Group 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C769EC05-3D60-E8D1-B813-33C9BEC884D8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8585948" y="1282584"/>
                                        <a:ext cx="2086009" cy="3537447"/>
                                        <a:chOff x="38585948" y="1282584"/>
                                        <a:chExt cx="2086009" cy="3537447"/>
                                      </a:xfrm>
                                    </xdr:grpSpPr>
                                    <xdr:sp macro="" textlink="">
                                      <xdr:nvSpPr>
                                        <xdr:cNvPr id="89" name="Rectangle: Rounded Corners 8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04F9953-6470-13B4-5B59-29C2E05AEB46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38776821" y="1282584"/>
                                          <a:ext cx="1798475" cy="753354"/>
                                        </a:xfrm>
                                        <a:prstGeom prst="roundRect">
                                          <a:avLst>
                                            <a:gd name="adj" fmla="val 10000"/>
                                          </a:avLst>
                                        </a:prstGeom>
                                      </xdr:spPr>
                                      <xdr:style>
                                        <a:lnRef idx="3">
                                          <a:schemeClr val="accent1">
                                            <a:shade val="80000"/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lnRef>
                                        <a:fill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illRef>
                                        <a:effect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effectRef>
                                        <a:fontRef idx="minor">
                                          <a:schemeClr val="dk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ontRef>
                                      </xdr:style>
                                      <xdr:txBody>
                                        <a:bodyPr anchor="t"/>
                                        <a:lstStyle/>
                                        <a:p>
                                          <a:pPr algn="ctr"/>
                                          <a:r>
                                            <a:rPr lang="en-CA" sz="1800" b="1"/>
                                            <a:t>Success</a:t>
                                          </a:r>
                                        </a:p>
                                      </xdr:txBody>
                                    </xdr:sp>
                                    <xdr:sp macro="" textlink="$BR$5">
                                      <xdr:nvSpPr>
                                        <xdr:cNvPr id="90" name="TextBox 8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E8734372-FCB9-597F-72CC-7724B8FE4BF5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39297285" y="1564549"/>
                                          <a:ext cx="873013" cy="353676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chemeClr val="bg2"/>
                                        </a:solidFill>
                                        <a:ln w="9525" cmpd="sng">
                                          <a:solidFill>
                                            <a:schemeClr val="lt1">
                                              <a:shade val="50000"/>
                                            </a:schemeClr>
                                          </a:solidFill>
                                        </a:ln>
                                      </xdr:spPr>
                                      <xdr:style>
                                        <a:lnRef idx="0">
                                          <a:scrgbClr r="0" g="0" b="0"/>
                                        </a:lnRef>
                                        <a:fillRef idx="0">
                                          <a:scrgbClr r="0" g="0" b="0"/>
                                        </a:fillRef>
                                        <a:effectRef idx="0">
                                          <a:scrgbClr r="0" g="0" b="0"/>
                                        </a:effectRef>
                                        <a:fontRef idx="minor">
                                          <a:schemeClr val="dk1"/>
                                        </a:fontRef>
                                      </xdr:style>
                                      <xdr:txBody>
                                        <a:bodyPr vertOverflow="clip" horzOverflow="clip" wrap="square" rtlCol="0" anchor="t"/>
                                        <a:lstStyle/>
                                        <a:p>
                                          <a:fld id="{AF55F01F-3D2D-4BF2-903E-327CA71126A6}" type="TxLink">
                                            <a:rPr lang="en-US" sz="2000" b="0" i="0" u="none" strike="noStrike">
                                              <a:solidFill>
                                                <a:srgbClr val="000000"/>
                                              </a:solidFill>
                                              <a:latin typeface="Aptos Narrow"/>
                                            </a:rPr>
                                            <a:pPr/>
                                            <a:t>0.85</a:t>
                                          </a:fld>
                                          <a:endParaRPr lang="en-CA" sz="1100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91" name="Group 9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490C8F77-E19C-914F-B22A-547EEFC7286B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38585948" y="2400399"/>
                                          <a:ext cx="2086009" cy="2419632"/>
                                          <a:chOff x="38585948" y="2400399"/>
                                          <a:chExt cx="2086009" cy="2419632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92" name="Rectangle: Rounded Corners 9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5446CDA6-7F2E-B5CF-0F02-2EBCB6FC6EE8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38628583" y="2400399"/>
                                            <a:ext cx="1946712" cy="863007"/>
                                          </a:xfrm>
                                          <a:prstGeom prst="roundRect">
                                            <a:avLst>
                                              <a:gd name="adj" fmla="val 10000"/>
                                            </a:avLst>
                                          </a:prstGeom>
                                        </xdr:spPr>
                                        <xdr:style>
                                          <a:lnRef idx="3">
                                            <a:schemeClr val="accent1">
                                              <a:shade val="80000"/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lnRef>
                                          <a:fill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illRef>
                                          <a:effect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effectRef>
                                          <a:fontRef idx="minor">
                                            <a:schemeClr val="dk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ontRef>
                                        </xdr:style>
                                        <xdr:txBody>
                                          <a:bodyPr/>
                                          <a:lstStyle/>
                                          <a:p>
                                            <a:pPr algn="ctr"/>
                                            <a:r>
                                              <a:rPr lang="en-CA" sz="1800" b="1"/>
                                              <a:t>Failure</a:t>
                                            </a:r>
                                          </a:p>
                                        </xdr:txBody>
                                      </xdr:sp>
                                      <xdr:sp macro="" textlink="$BR$8">
                                        <xdr:nvSpPr>
                                          <xdr:cNvPr id="93" name="TextBox 9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DDEE4AF4-64EA-0B71-C7C7-3A643D9E5B7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39088378" y="2696746"/>
                                            <a:ext cx="1019439" cy="370909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chemeClr val="bg2"/>
                                          </a:solidFill>
                                          <a:ln w="9525" cmpd="sng">
                                            <a:solidFill>
                                              <a:schemeClr val="lt1">
                                                <a:shade val="50000"/>
                                              </a:schemeClr>
                                            </a:solidFill>
                                          </a:ln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dk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/>
                                          <a:lstStyle/>
                                          <a:p>
                                            <a:fld id="{53CB21B6-7DDC-4882-A52C-BEAB6F5DC97F}" type="TxLink">
                                              <a:rPr lang="en-US" sz="2000" b="0" i="0" u="none" strike="noStrike">
                                                <a:solidFill>
                                                  <a:srgbClr val="000000"/>
                                                </a:solidFill>
                                                <a:latin typeface="Aptos Narrow"/>
                                              </a:rPr>
                                              <a:pPr/>
                                              <a:t>-200</a:t>
                                            </a:fld>
                                            <a:endParaRPr lang="en-CA" sz="11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94" name="Group 9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188438BF-423F-6164-0093-9A03F4CD9FB1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38585948" y="3906554"/>
                                            <a:ext cx="2086009" cy="913477"/>
                                            <a:chOff x="38585948" y="3906554"/>
                                            <a:chExt cx="2086009" cy="913477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95" name="Rectangle: Rounded Corners 9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D786A6E9-8268-A949-F081-3F471D381447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38585948" y="3906554"/>
                                              <a:ext cx="2086009" cy="913477"/>
                                            </a:xfrm>
                                            <a:prstGeom prst="roundRect">
                                              <a:avLst>
                                                <a:gd name="adj" fmla="val 10000"/>
                                              </a:avLst>
                                            </a:prstGeom>
                                          </xdr:spPr>
                                          <xdr:style>
                                            <a:lnRef idx="3">
                                              <a:schemeClr val="accent1">
                                                <a:shade val="80000"/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lnRef>
                                            <a:fillRef idx="1">
                                              <a:schemeClr val="lt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fillRef>
                                            <a:effectRef idx="1">
                                              <a:schemeClr val="lt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effectRef>
                                            <a:fontRef idx="minor">
                                              <a:schemeClr val="dk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fontRef>
                                          </xdr:style>
                                          <xdr:txBody>
                                            <a:bodyPr/>
                                            <a:lstStyle/>
                                            <a:p>
                                              <a:pPr algn="ctr"/>
                                              <a:r>
                                                <a:rPr lang="en-CA" sz="1800" b="1"/>
                                                <a:t>Success</a:t>
                                              </a:r>
                                            </a:p>
                                          </xdr:txBody>
                                        </xdr:sp>
                                        <xdr:sp macro="" textlink="$BR$15">
                                          <xdr:nvSpPr>
                                            <xdr:cNvPr id="96" name="TextBox 9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C7A6F1F0-E584-333C-AD5C-31BEBF8A0242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>
                                            <a:xfrm>
                                              <a:off x="38940218" y="4188265"/>
                                              <a:ext cx="1252086" cy="484552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chemeClr val="bg2"/>
                                            </a:solidFill>
                                            <a:ln w="9525" cmpd="sng">
                                              <a:solidFill>
                                                <a:schemeClr val="lt1">
                                                  <a:shade val="50000"/>
                                                </a:schemeClr>
                                              </a:solidFill>
                                            </a:ln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dk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/>
                                            <a:lstStyle/>
                                            <a:p>
                                              <a:fld id="{A8E89E20-FFD3-4460-9938-74D80DC375BC}" type="TxLink">
                                                <a:rPr lang="en-US" sz="2000" b="0" i="0" u="none" strike="noStrike">
                                                  <a:solidFill>
                                                    <a:srgbClr val="000000"/>
                                                  </a:solidFill>
                                                  <a:latin typeface="Aptos Narrow"/>
                                                </a:rPr>
                                                <a:pPr/>
                                                <a:t>95</a:t>
                                              </a:fld>
                                              <a:endParaRPr lang="en-CA" sz="1100"/>
                                            </a:p>
                                          </xdr:txBody>
                                        </xdr:sp>
                                      </xdr:grpSp>
                                    </xdr:grpSp>
                                  </xdr:grpSp>
                                  <xdr:grpSp>
                                    <xdr:nvGrpSpPr>
                                      <xdr:cNvPr id="73" name="Group 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61E3E36-E9E0-1F4B-A640-01D9542A87F3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8585948" y="5181451"/>
                                        <a:ext cx="2086009" cy="913477"/>
                                        <a:chOff x="38585948" y="5181451"/>
                                        <a:chExt cx="2086009" cy="913477"/>
                                      </a:xfrm>
                                    </xdr:grpSpPr>
                                    <xdr:sp macro="" textlink="">
                                      <xdr:nvSpPr>
                                        <xdr:cNvPr id="87" name="Rectangle: Rounded Corners 8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99DE3F3-F3C4-FF5A-67BD-688F236E6DA6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38585948" y="5181451"/>
                                          <a:ext cx="2086009" cy="913477"/>
                                        </a:xfrm>
                                        <a:prstGeom prst="roundRect">
                                          <a:avLst>
                                            <a:gd name="adj" fmla="val 10000"/>
                                          </a:avLst>
                                        </a:prstGeom>
                                      </xdr:spPr>
                                      <xdr:style>
                                        <a:lnRef idx="3">
                                          <a:schemeClr val="accent1">
                                            <a:shade val="80000"/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lnRef>
                                        <a:fill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illRef>
                                        <a:effect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effectRef>
                                        <a:fontRef idx="minor">
                                          <a:schemeClr val="dk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ontRef>
                                      </xdr:style>
                                      <xdr:txBody>
                                        <a:bodyPr/>
                                        <a:lstStyle/>
                                        <a:p>
                                          <a:pPr algn="ctr"/>
                                          <a:r>
                                            <a:rPr lang="en-CA" sz="1800" b="1"/>
                                            <a:t>Failure</a:t>
                                          </a:r>
                                        </a:p>
                                      </xdr:txBody>
                                    </xdr:sp>
                                    <xdr:sp macro="" textlink="$BR$16">
                                      <xdr:nvSpPr>
                                        <xdr:cNvPr id="88" name="TextBox 8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FD3FA27D-3DCB-D01A-5592-184B9AC80F84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38989801" y="5478584"/>
                                          <a:ext cx="1252086" cy="490900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chemeClr val="bg2"/>
                                        </a:solidFill>
                                        <a:ln w="9525" cmpd="sng">
                                          <a:solidFill>
                                            <a:schemeClr val="lt1">
                                              <a:shade val="50000"/>
                                            </a:schemeClr>
                                          </a:solidFill>
                                        </a:ln>
                                      </xdr:spPr>
                                      <xdr:style>
                                        <a:lnRef idx="0">
                                          <a:scrgbClr r="0" g="0" b="0"/>
                                        </a:lnRef>
                                        <a:fillRef idx="0">
                                          <a:scrgbClr r="0" g="0" b="0"/>
                                        </a:fillRef>
                                        <a:effectRef idx="0">
                                          <a:scrgbClr r="0" g="0" b="0"/>
                                        </a:effectRef>
                                        <a:fontRef idx="minor">
                                          <a:schemeClr val="dk1"/>
                                        </a:fontRef>
                                      </xdr:style>
                                      <xdr:txBody>
                                        <a:bodyPr vertOverflow="clip" horzOverflow="clip" wrap="square" rtlCol="0" anchor="t"/>
                                        <a:lstStyle/>
                                        <a:p>
                                          <a:fld id="{A3280899-384E-4F7C-BECB-D0ABA77E9D28}" type="TxLink">
                                            <a:rPr lang="en-US" sz="2000" b="0" i="0" u="none" strike="noStrike">
                                              <a:solidFill>
                                                <a:srgbClr val="000000"/>
                                              </a:solidFill>
                                              <a:latin typeface="Aptos Narrow"/>
                                            </a:rPr>
                                            <a:pPr/>
                                            <a:t>-150</a:t>
                                          </a:fld>
                                          <a:endParaRPr lang="en-CA" sz="1100"/>
                                        </a:p>
                                      </xdr:txBody>
                                    </xdr:sp>
                                  </xdr:grpSp>
                                  <xdr:grpSp>
                                    <xdr:nvGrpSpPr>
                                      <xdr:cNvPr id="74" name="Group 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9CDE32D6-650B-33BE-501F-354D398EC1AF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8719666" y="10237258"/>
                                        <a:ext cx="2089738" cy="906689"/>
                                        <a:chOff x="38719666" y="10237258"/>
                                        <a:chExt cx="2089738" cy="906689"/>
                                      </a:xfrm>
                                    </xdr:grpSpPr>
                                    <xdr:sp macro="" textlink="">
                                      <xdr:nvSpPr>
                                        <xdr:cNvPr id="85" name="Rectangle: Rounded Corners 8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C14E319-DD31-4FD1-0574-3306BBE0BDDC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38719666" y="10237258"/>
                                          <a:ext cx="2089738" cy="906689"/>
                                        </a:xfrm>
                                        <a:prstGeom prst="roundRect">
                                          <a:avLst>
                                            <a:gd name="adj" fmla="val 10000"/>
                                          </a:avLst>
                                        </a:prstGeom>
                                      </xdr:spPr>
                                      <xdr:style>
                                        <a:lnRef idx="3">
                                          <a:schemeClr val="accent1">
                                            <a:shade val="80000"/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lnRef>
                                        <a:fill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illRef>
                                        <a:effectRef idx="1">
                                          <a:schemeClr val="lt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effectRef>
                                        <a:fontRef idx="minor">
                                          <a:schemeClr val="dk1">
                                            <a:hueOff val="0"/>
                                            <a:satOff val="0"/>
                                            <a:lumOff val="0"/>
                                            <a:alphaOff val="0"/>
                                          </a:schemeClr>
                                        </a:fontRef>
                                      </xdr:style>
                                      <xdr:txBody>
                                        <a:bodyPr/>
                                        <a:lstStyle/>
                                        <a:p>
                                          <a:pPr algn="ctr"/>
                                          <a:r>
                                            <a:rPr lang="en-CA" sz="1800" b="1"/>
                                            <a:t>Failure</a:t>
                                          </a:r>
                                        </a:p>
                                      </xdr:txBody>
                                    </xdr:sp>
                                    <xdr:sp macro="" textlink="$BR$28">
                                      <xdr:nvSpPr>
                                        <xdr:cNvPr id="86" name="TextBox 8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267EECE-4709-ED1D-D7C2-08113A89087D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39024217" y="10629182"/>
                                          <a:ext cx="1268215" cy="464259"/>
                                        </a:xfrm>
                                        <a:prstGeom prst="rect">
                                          <a:avLst/>
                                        </a:prstGeom>
                                        <a:solidFill>
                                          <a:schemeClr val="bg2"/>
                                        </a:solidFill>
                                        <a:ln w="9525" cmpd="sng">
                                          <a:solidFill>
                                            <a:schemeClr val="lt1">
                                              <a:shade val="50000"/>
                                            </a:schemeClr>
                                          </a:solidFill>
                                        </a:ln>
                                      </xdr:spPr>
                                      <xdr:style>
                                        <a:lnRef idx="0">
                                          <a:scrgbClr r="0" g="0" b="0"/>
                                        </a:lnRef>
                                        <a:fillRef idx="0">
                                          <a:scrgbClr r="0" g="0" b="0"/>
                                        </a:fillRef>
                                        <a:effectRef idx="0">
                                          <a:scrgbClr r="0" g="0" b="0"/>
                                        </a:effectRef>
                                        <a:fontRef idx="minor">
                                          <a:schemeClr val="dk1"/>
                                        </a:fontRef>
                                      </xdr:style>
                                      <xdr:txBody>
                                        <a:bodyPr vertOverflow="clip" horzOverflow="clip" wrap="square" rtlCol="0" anchor="t"/>
                                        <a:lstStyle/>
                                        <a:p>
                                          <a:fld id="{7A700F57-D6E6-4D1B-8311-7C4719046D38}" type="TxLink">
                                            <a:rPr lang="en-US" sz="2000" b="0" i="0" u="none" strike="noStrike">
                                              <a:solidFill>
                                                <a:srgbClr val="000000"/>
                                              </a:solidFill>
                                              <a:latin typeface="Aptos Narrow"/>
                                            </a:rPr>
                                            <a:pPr/>
                                            <a:t>-500</a:t>
                                          </a:fld>
                                          <a:endParaRPr lang="en-CA" sz="1100"/>
                                        </a:p>
                                      </xdr:txBody>
                                    </xdr:sp>
                                  </xdr:grpSp>
                                  <xdr:grpSp>
                                    <xdr:nvGrpSpPr>
                                      <xdr:cNvPr id="75" name="Group 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A5CDC06E-E0C3-B058-1989-86FD7E36A3FB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8588332" y="6407390"/>
                                        <a:ext cx="2133100" cy="3614413"/>
                                        <a:chOff x="38588332" y="6407390"/>
                                        <a:chExt cx="2133100" cy="3614413"/>
                                      </a:xfrm>
                                    </xdr:grpSpPr>
                                    <xdr:grpSp>
                                      <xdr:nvGrpSpPr>
                                        <xdr:cNvPr id="76" name="Group 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6BB35733-AD3E-29E6-72F1-F233E5EF5CCF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38588332" y="7703649"/>
                                          <a:ext cx="2117002" cy="2318154"/>
                                          <a:chOff x="38588332" y="7703649"/>
                                          <a:chExt cx="2117002" cy="2318154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Rectangle: Rounded Corners 7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4C370B59-0039-F8CD-1C84-500419A77018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38588332" y="7703649"/>
                                            <a:ext cx="2109881" cy="943407"/>
                                          </a:xfrm>
                                          <a:prstGeom prst="roundRect">
                                            <a:avLst>
                                              <a:gd name="adj" fmla="val 10000"/>
                                            </a:avLst>
                                          </a:prstGeom>
                                        </xdr:spPr>
                                        <xdr:style>
                                          <a:lnRef idx="3">
                                            <a:schemeClr val="accent1">
                                              <a:shade val="80000"/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lnRef>
                                          <a:fill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illRef>
                                          <a:effect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effectRef>
                                          <a:fontRef idx="minor">
                                            <a:schemeClr val="dk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ontRef>
                                        </xdr:style>
                                        <xdr:txBody>
                                          <a:bodyPr/>
                                          <a:lstStyle/>
                                          <a:p>
                                            <a:pPr algn="ctr"/>
                                            <a:r>
                                              <a:rPr lang="en-CA" sz="1800" b="1"/>
                                              <a:t>Success for weight loss only</a:t>
                                            </a:r>
                                            <a:endParaRPr lang="en-CA" sz="1800" b="1">
                                              <a:effectLst/>
                                            </a:endParaRPr>
                                          </a:p>
                                          <a:p>
                                            <a:endParaRPr lang="en-CA"/>
                                          </a:p>
                                        </xdr:txBody>
                                      </xdr:sp>
                                      <xdr:sp macro="" textlink="$BR$26">
                                        <xdr:nvSpPr>
                                          <xdr:cNvPr id="81" name="TextBox 8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7B36A8CE-7F56-3898-A674-BCCD5EDA8673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39043941" y="8041010"/>
                                            <a:ext cx="971275" cy="345021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chemeClr val="bg2"/>
                                          </a:solidFill>
                                          <a:ln w="9525" cmpd="sng">
                                            <a:solidFill>
                                              <a:schemeClr val="lt1">
                                                <a:shade val="50000"/>
                                              </a:schemeClr>
                                            </a:solidFill>
                                          </a:ln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dk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/>
                                          <a:lstStyle/>
                                          <a:p>
                                            <a:fld id="{9E703BC0-F17B-4C5F-A405-C08217BBD28C}" type="TxLink">
                                              <a:rPr lang="en-US" sz="2000" b="0" i="0" u="none" strike="noStrike">
                                                <a:solidFill>
                                                  <a:srgbClr val="000000"/>
                                                </a:solidFill>
                                                <a:latin typeface="Aptos Narrow"/>
                                              </a:rPr>
                                              <a:pPr/>
                                              <a:t>-255</a:t>
                                            </a:fld>
                                            <a:endParaRPr lang="en-CA" sz="11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82" name="Group 8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3DA97E48-02B9-18CA-5146-B566F3080001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38683613" y="9091198"/>
                                            <a:ext cx="2021721" cy="930605"/>
                                            <a:chOff x="38683613" y="9091198"/>
                                            <a:chExt cx="2021721" cy="930605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83" name="Rectangle: Rounded Corners 8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A56ED7DC-6613-8D3E-7EE9-7843BE946E67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38683613" y="9091198"/>
                                              <a:ext cx="2021721" cy="930605"/>
                                            </a:xfrm>
                                            <a:prstGeom prst="roundRect">
                                              <a:avLst>
                                                <a:gd name="adj" fmla="val 10000"/>
                                              </a:avLst>
                                            </a:prstGeom>
                                          </xdr:spPr>
                                          <xdr:style>
                                            <a:lnRef idx="3">
                                              <a:schemeClr val="accent1">
                                                <a:shade val="80000"/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lnRef>
                                            <a:fillRef idx="1">
                                              <a:schemeClr val="lt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fillRef>
                                            <a:effectRef idx="1">
                                              <a:schemeClr val="lt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effectRef>
                                            <a:fontRef idx="minor">
                                              <a:schemeClr val="dk1">
                                                <a:hueOff val="0"/>
                                                <a:satOff val="0"/>
                                                <a:lumOff val="0"/>
                                                <a:alphaOff val="0"/>
                                              </a:schemeClr>
                                            </a:fontRef>
                                          </xdr:style>
                                          <xdr:txBody>
                                            <a:bodyPr/>
                                            <a:lstStyle/>
                                            <a:p>
                                              <a:pPr algn="ctr"/>
                                              <a:r>
                                                <a:rPr lang="en-CA" sz="1800" b="1" baseline="0"/>
                                                <a:t>Success for both </a:t>
                                              </a:r>
                                              <a:endParaRPr lang="en-CA" sz="1800" b="1"/>
                                            </a:p>
                                          </xdr:txBody>
                                        </xdr:sp>
                                        <xdr:sp macro="" textlink="$BR$27">
                                          <xdr:nvSpPr>
                                            <xdr:cNvPr id="84" name="TextBox 8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6553C106-AD44-F567-3A6E-36DFCE75090E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>
                                            <a:xfrm>
                                              <a:off x="39071955" y="9444475"/>
                                              <a:ext cx="1252086" cy="481614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solidFill>
                                              <a:schemeClr val="bg2"/>
                                            </a:solidFill>
                                            <a:ln w="9525" cmpd="sng">
                                              <a:solidFill>
                                                <a:schemeClr val="lt1">
                                                  <a:shade val="50000"/>
                                                </a:schemeClr>
                                              </a:solidFill>
                                            </a:ln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dk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/>
                                            <a:lstStyle/>
                                            <a:p>
                                              <a:fld id="{34BE6972-A033-4024-BFB5-671AA8479715}" type="TxLink">
                                                <a:rPr lang="en-US" sz="2000" b="0" i="0" u="none" strike="noStrike">
                                                  <a:solidFill>
                                                    <a:srgbClr val="000000"/>
                                                  </a:solidFill>
                                                  <a:latin typeface="Aptos Narrow"/>
                                                </a:rPr>
                                                <a:pPr/>
                                                <a:t>1350</a:t>
                                              </a:fld>
                                              <a:endParaRPr lang="en-CA" sz="1100"/>
                                            </a:p>
                                          </xdr:txBody>
                                        </xdr:sp>
                                      </xdr:grpSp>
                                    </xdr:grpSp>
                                    <xdr:grpSp>
                                      <xdr:nvGrpSpPr>
                                        <xdr:cNvPr id="77" name="Group 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8DE4889-B7E3-5B22-8E9D-EC078CCA6174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38631694" y="6407390"/>
                                          <a:ext cx="2089738" cy="912529"/>
                                          <a:chOff x="38631694" y="6407390"/>
                                          <a:chExt cx="2089738" cy="91252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78" name="Rectangle: Rounded Corners 7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E85C65E3-0D98-E2C1-6595-6D1948BC0980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38631694" y="6407390"/>
                                            <a:ext cx="2089738" cy="912529"/>
                                          </a:xfrm>
                                          <a:prstGeom prst="roundRect">
                                            <a:avLst>
                                              <a:gd name="adj" fmla="val 10000"/>
                                            </a:avLst>
                                          </a:prstGeom>
                                        </xdr:spPr>
                                        <xdr:style>
                                          <a:lnRef idx="3">
                                            <a:schemeClr val="accent1">
                                              <a:shade val="80000"/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lnRef>
                                          <a:fill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illRef>
                                          <a:effectRef idx="1">
                                            <a:schemeClr val="lt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effectRef>
                                          <a:fontRef idx="minor">
                                            <a:schemeClr val="dk1">
                                              <a:hueOff val="0"/>
                                              <a:satOff val="0"/>
                                              <a:lumOff val="0"/>
                                              <a:alphaOff val="0"/>
                                            </a:schemeClr>
                                          </a:fontRef>
                                        </xdr:style>
                                        <xdr:txBody>
                                          <a:bodyPr/>
                                          <a:lstStyle/>
                                          <a:p>
                                            <a:pPr algn="ctr"/>
                                            <a:r>
                                              <a:rPr lang="en-CA" sz="1800" b="1"/>
                                              <a:t>Success</a:t>
                                            </a:r>
                                            <a:r>
                                              <a:rPr lang="en-CA" sz="1800" b="1" baseline="0"/>
                                              <a:t> for depression only</a:t>
                                            </a:r>
                                            <a:endParaRPr lang="en-CA" sz="1800" b="1"/>
                                          </a:p>
                                          <a:p>
                                            <a:endParaRPr lang="en-CA"/>
                                          </a:p>
                                        </xdr:txBody>
                                      </xdr:sp>
                                      <xdr:sp macro="" textlink="$BR$25">
                                        <xdr:nvSpPr>
                                          <xdr:cNvPr id="79" name="TextBox 7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8BB57328-8622-1DE8-646E-01AA4672A661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38977405" y="6666690"/>
                                            <a:ext cx="1252086" cy="490900"/>
                                          </a:xfrm>
                                          <a:prstGeom prst="rect">
                                            <a:avLst/>
                                          </a:prstGeom>
                                          <a:solidFill>
                                            <a:schemeClr val="bg2"/>
                                          </a:solidFill>
                                          <a:ln w="9525" cmpd="sng">
                                            <a:solidFill>
                                              <a:schemeClr val="lt1">
                                                <a:shade val="50000"/>
                                              </a:schemeClr>
                                            </a:solidFill>
                                          </a:ln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dk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/>
                                          <a:lstStyle/>
                                          <a:p>
                                            <a:fld id="{10DE8285-16EB-4AB8-96C0-27A3E087D772}" type="TxLink">
                                              <a:rPr lang="en-US" sz="2000" b="0" i="0" u="none" strike="noStrike">
                                                <a:solidFill>
                                                  <a:srgbClr val="000000"/>
                                                </a:solidFill>
                                                <a:latin typeface="Aptos Narrow"/>
                                              </a:rPr>
                                              <a:pPr/>
                                              <a:t>450</a:t>
                                            </a:fld>
                                            <a:endParaRPr lang="en-CA" sz="1100"/>
                                          </a:p>
                                        </xdr:txBody>
                                      </xdr: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  <xdr:grpSp>
                          <xdr:nvGrpSpPr>
                            <xdr:cNvPr id="44" name="Group 43">
                              <a:extLst>
                                <a:ext uri="{FF2B5EF4-FFF2-40B4-BE49-F238E27FC236}">
                                  <a16:creationId xmlns:a16="http://schemas.microsoft.com/office/drawing/2014/main" id="{B9E97D9A-C630-6B8E-809D-61DB3A9795A1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34212665" y="1703129"/>
                              <a:ext cx="2833084" cy="1001545"/>
                              <a:chOff x="34212665" y="1703129"/>
                              <a:chExt cx="2833084" cy="1001545"/>
                            </a:xfrm>
                          </xdr:grpSpPr>
                          <xdr:sp macro="" textlink="">
                            <xdr:nvSpPr>
                              <xdr:cNvPr id="45" name="Oval 44">
                                <a:extLst>
                                  <a:ext uri="{FF2B5EF4-FFF2-40B4-BE49-F238E27FC236}">
                                    <a16:creationId xmlns:a16="http://schemas.microsoft.com/office/drawing/2014/main" id="{7F69279B-BBA0-E15B-3D10-2DB9743DDA72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4212665" y="1703129"/>
                                <a:ext cx="2833084" cy="1001545"/>
                              </a:xfrm>
                              <a:prstGeom prst="ellipse">
                                <a:avLst/>
                              </a:prstGeom>
                            </xdr:spPr>
                            <xdr:style>
                              <a:lnRef idx="3">
                                <a:schemeClr val="accent1">
                                  <a:shade val="80000"/>
                                  <a:hueOff val="0"/>
                                  <a:satOff val="0"/>
                                  <a:lumOff val="0"/>
                                  <a:alphaOff val="0"/>
                                </a:schemeClr>
                              </a:lnRef>
                              <a:fillRef idx="1">
                                <a:schemeClr val="lt1">
                                  <a:hueOff val="0"/>
                                  <a:satOff val="0"/>
                                  <a:lumOff val="0"/>
                                  <a:alphaOff val="0"/>
                                </a:schemeClr>
                              </a:fillRef>
                              <a:effectRef idx="1">
                                <a:schemeClr val="lt1">
                                  <a:hueOff val="0"/>
                                  <a:satOff val="0"/>
                                  <a:lumOff val="0"/>
                                  <a:alphaOff val="0"/>
                                </a:schemeClr>
                              </a:effectRef>
                              <a:fontRef idx="minor">
                                <a:schemeClr val="dk1">
                                  <a:hueOff val="0"/>
                                  <a:satOff val="0"/>
                                  <a:lumOff val="0"/>
                                  <a:alphaOff val="0"/>
                                </a:schemeClr>
                              </a:fontRef>
                            </xdr:style>
                          </xdr:sp>
                          <xdr:pic>
                            <xdr:nvPicPr>
                              <xdr:cNvPr id="46" name="Picture 45">
                                <a:extLst>
                                  <a:ext uri="{FF2B5EF4-FFF2-40B4-BE49-F238E27FC236}">
                                    <a16:creationId xmlns:a16="http://schemas.microsoft.com/office/drawing/2014/main" id="{FE687006-CD79-B7C2-9839-240AE8FA4113}"/>
                                  </a:ext>
                                </a:extLst>
                              </xdr:cNvPr>
                              <xdr:cNvPicPr>
                                <a:picLocks noChangeAspect="1"/>
                              </xdr:cNvPicPr>
                            </xdr:nvPicPr>
                            <xdr:blipFill>
                              <a:blip xmlns:r="http://schemas.openxmlformats.org/officeDocument/2006/relationships" r:embed="rId6"/>
                              <a:stretch>
                                <a:fillRect/>
                              </a:stretch>
                            </xdr:blipFill>
                            <xdr:spPr>
                              <a:xfrm>
                                <a:off x="35022837" y="1965888"/>
                                <a:ext cx="1176630" cy="426757"/>
                              </a:xfrm>
                              <a:prstGeom prst="rect">
                                <a:avLst/>
                              </a:prstGeom>
                            </xdr:spPr>
                          </xdr:pic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106</xdr:col>
      <xdr:colOff>142250</xdr:colOff>
      <xdr:row>24</xdr:row>
      <xdr:rowOff>6366</xdr:rowOff>
    </xdr:from>
    <xdr:to>
      <xdr:col>120</xdr:col>
      <xdr:colOff>191508</xdr:colOff>
      <xdr:row>40</xdr:row>
      <xdr:rowOff>280004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5" name="Chart 134">
              <a:extLst>
                <a:ext uri="{FF2B5EF4-FFF2-40B4-BE49-F238E27FC236}">
                  <a16:creationId xmlns:a16="http://schemas.microsoft.com/office/drawing/2014/main" id="{599D3A50-1F46-1953-D77A-AAEDAE91E3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12850" y="7791466"/>
              <a:ext cx="8583658" cy="5563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106</xdr:col>
      <xdr:colOff>94766</xdr:colOff>
      <xdr:row>6</xdr:row>
      <xdr:rowOff>136071</xdr:rowOff>
    </xdr:from>
    <xdr:to>
      <xdr:col>120</xdr:col>
      <xdr:colOff>302381</xdr:colOff>
      <xdr:row>21</xdr:row>
      <xdr:rowOff>154459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7" name="Chart 136">
              <a:extLst>
                <a:ext uri="{FF2B5EF4-FFF2-40B4-BE49-F238E27FC236}">
                  <a16:creationId xmlns:a16="http://schemas.microsoft.com/office/drawing/2014/main" id="{4AB31421-C373-2BA9-A0F7-B1BF63BFA7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65366" y="1971221"/>
              <a:ext cx="8742015" cy="4977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106</xdr:col>
      <xdr:colOff>111055</xdr:colOff>
      <xdr:row>46</xdr:row>
      <xdr:rowOff>89512</xdr:rowOff>
    </xdr:from>
    <xdr:to>
      <xdr:col>120</xdr:col>
      <xdr:colOff>312462</xdr:colOff>
      <xdr:row>63</xdr:row>
      <xdr:rowOff>50854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6" name="Chart 135">
              <a:extLst>
                <a:ext uri="{FF2B5EF4-FFF2-40B4-BE49-F238E27FC236}">
                  <a16:creationId xmlns:a16="http://schemas.microsoft.com/office/drawing/2014/main" id="{71D17B68-73D7-5974-FA70-64B78E93EE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81655" y="14986612"/>
              <a:ext cx="8735807" cy="55810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106</xdr:col>
      <xdr:colOff>234756</xdr:colOff>
      <xdr:row>67</xdr:row>
      <xdr:rowOff>309363</xdr:rowOff>
    </xdr:from>
    <xdr:to>
      <xdr:col>120</xdr:col>
      <xdr:colOff>269394</xdr:colOff>
      <xdr:row>85</xdr:row>
      <xdr:rowOff>122327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8" name="Chart 137">
              <a:extLst>
                <a:ext uri="{FF2B5EF4-FFF2-40B4-BE49-F238E27FC236}">
                  <a16:creationId xmlns:a16="http://schemas.microsoft.com/office/drawing/2014/main" id="{1E39C2D8-0B56-C0F0-BAF9-323A467491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05356" y="22147013"/>
              <a:ext cx="8569038" cy="5762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106</xdr:col>
      <xdr:colOff>291796</xdr:colOff>
      <xdr:row>90</xdr:row>
      <xdr:rowOff>223458</xdr:rowOff>
    </xdr:from>
    <xdr:to>
      <xdr:col>120</xdr:col>
      <xdr:colOff>408212</xdr:colOff>
      <xdr:row>106</xdr:row>
      <xdr:rowOff>241903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9" name="Chart 138">
              <a:extLst>
                <a:ext uri="{FF2B5EF4-FFF2-40B4-BE49-F238E27FC236}">
                  <a16:creationId xmlns:a16="http://schemas.microsoft.com/office/drawing/2014/main" id="{6C864632-73BD-F4D6-08CA-52C63A11D3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62396" y="29503308"/>
              <a:ext cx="8650816" cy="5307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FD08-8865-4317-8B9D-ADCC3B5A77B1}">
  <dimension ref="A1:AT65"/>
  <sheetViews>
    <sheetView showGridLines="0" topLeftCell="H1" zoomScale="29" zoomScaleNormal="25" workbookViewId="0">
      <selection activeCell="C11" sqref="C11"/>
    </sheetView>
  </sheetViews>
  <sheetFormatPr defaultRowHeight="14.5"/>
  <cols>
    <col min="1" max="1" width="22.453125" bestFit="1" customWidth="1"/>
    <col min="2" max="2" width="14.1796875" bestFit="1" customWidth="1"/>
    <col min="3" max="3" width="116.81640625" bestFit="1" customWidth="1"/>
    <col min="4" max="4" width="37.1796875" bestFit="1" customWidth="1"/>
    <col min="5" max="5" width="16.36328125" bestFit="1" customWidth="1"/>
    <col min="7" max="7" width="39.08984375" bestFit="1" customWidth="1"/>
    <col min="8" max="8" width="34.6328125" bestFit="1" customWidth="1"/>
    <col min="9" max="9" width="24.1796875" bestFit="1" customWidth="1"/>
    <col min="10" max="10" width="27.54296875" bestFit="1" customWidth="1"/>
    <col min="12" max="12" width="8.7265625" customWidth="1"/>
    <col min="13" max="13" width="27.36328125" bestFit="1" customWidth="1"/>
    <col min="14" max="14" width="19.7265625" bestFit="1" customWidth="1"/>
    <col min="15" max="15" width="13.453125" bestFit="1" customWidth="1"/>
    <col min="29" max="29" width="8.81640625" bestFit="1" customWidth="1"/>
    <col min="36" max="36" width="9.90625" bestFit="1" customWidth="1"/>
    <col min="37" max="37" width="59.7265625" bestFit="1" customWidth="1"/>
    <col min="38" max="38" width="27.453125" bestFit="1" customWidth="1"/>
    <col min="41" max="41" width="44.36328125" bestFit="1" customWidth="1"/>
    <col min="42" max="42" width="32.1796875" bestFit="1" customWidth="1"/>
    <col min="43" max="43" width="9.7265625" customWidth="1"/>
    <col min="44" max="44" width="51.08984375" customWidth="1"/>
    <col min="45" max="45" width="20.26953125" customWidth="1"/>
  </cols>
  <sheetData>
    <row r="1" spans="1:46" ht="26">
      <c r="A1" s="75" t="s">
        <v>127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</row>
    <row r="2" spans="1:46" ht="26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</row>
    <row r="3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6" ht="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K7" s="70" t="s">
        <v>58</v>
      </c>
      <c r="AL7" s="71"/>
      <c r="AO7" s="72" t="s">
        <v>59</v>
      </c>
      <c r="AP7" s="72"/>
      <c r="AR7" s="73" t="s">
        <v>76</v>
      </c>
      <c r="AS7" s="74"/>
      <c r="AT7" s="25"/>
    </row>
    <row r="8" spans="1:46" ht="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K8" s="8" t="s">
        <v>42</v>
      </c>
      <c r="AL8" s="10">
        <f>D54</f>
        <v>0.85</v>
      </c>
      <c r="AO8" s="8" t="s">
        <v>65</v>
      </c>
      <c r="AP8" s="22">
        <f>D49</f>
        <v>0.1</v>
      </c>
      <c r="AR8" s="23" t="s">
        <v>77</v>
      </c>
      <c r="AS8" s="24">
        <f>D46</f>
        <v>0.6</v>
      </c>
    </row>
    <row r="9" spans="1:46" ht="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K9" s="8" t="s">
        <v>32</v>
      </c>
      <c r="AL9" s="3">
        <f>D55</f>
        <v>0.15</v>
      </c>
      <c r="AO9" s="8" t="s">
        <v>82</v>
      </c>
      <c r="AP9" s="22">
        <f>D50</f>
        <v>0.15</v>
      </c>
      <c r="AR9" s="23" t="s">
        <v>78</v>
      </c>
      <c r="AS9" s="24">
        <f>D47</f>
        <v>0.4</v>
      </c>
    </row>
    <row r="10" spans="1:46" ht="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K10" s="8" t="s">
        <v>2</v>
      </c>
      <c r="AL10" s="3">
        <f>J44-D53</f>
        <v>750</v>
      </c>
      <c r="AO10" s="8" t="s">
        <v>66</v>
      </c>
      <c r="AP10" s="22">
        <f>D51</f>
        <v>0.05</v>
      </c>
      <c r="AR10" s="23" t="s">
        <v>79</v>
      </c>
      <c r="AS10" s="24">
        <f>AP18-D45</f>
        <v>43.3</v>
      </c>
    </row>
    <row r="11" spans="1:46" ht="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K11" s="8" t="s">
        <v>5</v>
      </c>
      <c r="AL11" s="3">
        <f>-(D53)</f>
        <v>-200</v>
      </c>
      <c r="AO11" s="8" t="s">
        <v>67</v>
      </c>
      <c r="AP11" s="22">
        <f>D52</f>
        <v>0.7</v>
      </c>
      <c r="AR11" s="23" t="s">
        <v>71</v>
      </c>
      <c r="AS11" s="24">
        <f>-D45</f>
        <v>-30</v>
      </c>
    </row>
    <row r="12" spans="1:46" ht="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K12" s="8" t="s">
        <v>40</v>
      </c>
      <c r="AL12" s="3">
        <f>-(D45+D48)</f>
        <v>-70</v>
      </c>
      <c r="AO12" s="8" t="s">
        <v>68</v>
      </c>
      <c r="AP12" s="22">
        <f>AL14-'Part A'!D48</f>
        <v>567.5</v>
      </c>
      <c r="AR12" s="23" t="s">
        <v>80</v>
      </c>
      <c r="AS12" s="24">
        <f>0</f>
        <v>0</v>
      </c>
    </row>
    <row r="13" spans="1:46" ht="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K13" s="8" t="s">
        <v>41</v>
      </c>
      <c r="AL13" s="3">
        <f>(AL8*AL10)+(AL9*AL11)</f>
        <v>607.5</v>
      </c>
      <c r="AO13" s="8" t="s">
        <v>69</v>
      </c>
      <c r="AP13" s="22">
        <f>AL22-D48</f>
        <v>-6.25</v>
      </c>
      <c r="AR13" s="23" t="s">
        <v>81</v>
      </c>
      <c r="AS13" s="24">
        <f>AS8*AS10+AS9*AS11</f>
        <v>13.979999999999997</v>
      </c>
    </row>
    <row r="14" spans="1:46" ht="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K14" s="9" t="s">
        <v>3</v>
      </c>
      <c r="AL14" s="4">
        <f>MAX(AL12,AL13)</f>
        <v>607.5</v>
      </c>
      <c r="AO14" s="8" t="s">
        <v>70</v>
      </c>
      <c r="AP14" s="22">
        <f>AL34-D48</f>
        <v>909.74999999999989</v>
      </c>
      <c r="AR14" s="23" t="s">
        <v>74</v>
      </c>
      <c r="AS14" s="31">
        <f>MAX(AS12,AS13)</f>
        <v>13.979999999999997</v>
      </c>
    </row>
    <row r="15" spans="1:46" ht="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K15" s="15" t="s">
        <v>4</v>
      </c>
      <c r="AL15" s="16" t="str">
        <f>IF(AL13&gt;=AL12,"Invest","Nothing")</f>
        <v>Invest</v>
      </c>
      <c r="AO15" s="8" t="s">
        <v>71</v>
      </c>
      <c r="AP15" s="22">
        <f>-D48</f>
        <v>-40</v>
      </c>
      <c r="AR15" s="26" t="s">
        <v>75</v>
      </c>
      <c r="AS15" s="33" t="str">
        <f>IF(AS13&gt;=AS12,"Invest","Nothing")</f>
        <v>Invest</v>
      </c>
    </row>
    <row r="16" spans="1:46" ht="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K16" s="9" t="s">
        <v>49</v>
      </c>
      <c r="AL16" s="19">
        <f>D58</f>
        <v>0.75</v>
      </c>
      <c r="AO16" s="8" t="s">
        <v>72</v>
      </c>
      <c r="AP16" s="22">
        <f>-D45</f>
        <v>-30</v>
      </c>
      <c r="AR16" s="27"/>
    </row>
    <row r="17" spans="1:42" ht="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K17" s="9" t="s">
        <v>34</v>
      </c>
      <c r="AL17" s="19">
        <f>D59</f>
        <v>0.25</v>
      </c>
      <c r="AO17" s="8" t="s">
        <v>73</v>
      </c>
      <c r="AP17" s="22">
        <f>AP8*AP12+AP9*AP13+AP10*AP14+AP11*AP15</f>
        <v>73.3</v>
      </c>
    </row>
    <row r="18" spans="1:42" ht="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K18" s="9" t="s">
        <v>2</v>
      </c>
      <c r="AL18" s="19">
        <f>J45-D57</f>
        <v>95</v>
      </c>
      <c r="AO18" s="8" t="s">
        <v>74</v>
      </c>
      <c r="AP18" s="30">
        <f>MAX(AP16,AP17)</f>
        <v>73.3</v>
      </c>
    </row>
    <row r="19" spans="1:42" ht="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K19" s="9" t="s">
        <v>5</v>
      </c>
      <c r="AL19" s="19">
        <f>-D57</f>
        <v>-150</v>
      </c>
      <c r="AO19" s="8" t="s">
        <v>75</v>
      </c>
      <c r="AP19" s="32" t="str">
        <f>IF(AP17&gt;=AP16,"Invest","Nothing")</f>
        <v>Invest</v>
      </c>
    </row>
    <row r="20" spans="1:42" ht="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K20" s="9" t="s">
        <v>40</v>
      </c>
      <c r="AL20" s="19">
        <f>-(D48+D45)</f>
        <v>-70</v>
      </c>
    </row>
    <row r="21" spans="1:42" ht="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K21" s="9" t="s">
        <v>56</v>
      </c>
      <c r="AL21" s="19">
        <f>AL16*AL18+AL17*AL19</f>
        <v>33.75</v>
      </c>
    </row>
    <row r="22" spans="1:42" ht="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K22" s="9" t="s">
        <v>3</v>
      </c>
      <c r="AL22" s="4">
        <f>MAX(AL20,AL21)</f>
        <v>33.75</v>
      </c>
    </row>
    <row r="23" spans="1:42" ht="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K23" s="9" t="s">
        <v>4</v>
      </c>
      <c r="AL23" s="5" t="str">
        <f>IF(AL21&gt;=AL20,"Invest","Don’t Invest")</f>
        <v>Invest</v>
      </c>
    </row>
    <row r="24" spans="1:42" ht="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K24" s="9" t="s">
        <v>50</v>
      </c>
      <c r="AL24" s="6">
        <f>D62</f>
        <v>0.15</v>
      </c>
    </row>
    <row r="25" spans="1:42" ht="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K25" s="9" t="s">
        <v>36</v>
      </c>
      <c r="AL25" s="6">
        <f>D63</f>
        <v>0.05</v>
      </c>
    </row>
    <row r="26" spans="1:42" ht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K26" s="9" t="s">
        <v>37</v>
      </c>
      <c r="AL26" s="6">
        <f>D64</f>
        <v>0.7</v>
      </c>
    </row>
    <row r="27" spans="1:42" ht="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K27" s="9" t="s">
        <v>51</v>
      </c>
      <c r="AL27" s="6">
        <f>D65</f>
        <v>0.1</v>
      </c>
    </row>
    <row r="28" spans="1:42" ht="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K28" s="9" t="s">
        <v>52</v>
      </c>
      <c r="AL28" s="6">
        <f>J44-D61</f>
        <v>450</v>
      </c>
    </row>
    <row r="29" spans="1:42" ht="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K29" s="9" t="s">
        <v>53</v>
      </c>
      <c r="AL29" s="6">
        <f>J45-D61</f>
        <v>-255</v>
      </c>
    </row>
    <row r="30" spans="1:42" ht="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K30" s="9" t="s">
        <v>54</v>
      </c>
      <c r="AL30" s="6">
        <f>J46-D61</f>
        <v>1350</v>
      </c>
    </row>
    <row r="31" spans="1:42" ht="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K31" s="9" t="s">
        <v>5</v>
      </c>
      <c r="AL31" s="6">
        <f>-D61</f>
        <v>-500</v>
      </c>
    </row>
    <row r="32" spans="1:42" ht="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K32" s="9" t="s">
        <v>40</v>
      </c>
      <c r="AL32" s="6">
        <f>-(D45+D48)</f>
        <v>-70</v>
      </c>
    </row>
    <row r="33" spans="1:38" ht="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K33" s="9" t="s">
        <v>55</v>
      </c>
      <c r="AL33" s="6">
        <f>AL24*AL28+AL25*AL29+AL26*AL30+AL27*AL31</f>
        <v>949.74999999999989</v>
      </c>
    </row>
    <row r="34" spans="1:38" ht="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K34" s="9" t="s">
        <v>3</v>
      </c>
      <c r="AL34" s="4">
        <f>MAX(AL32,AL33)</f>
        <v>949.74999999999989</v>
      </c>
    </row>
    <row r="35" spans="1:38" ht="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K35" s="9" t="s">
        <v>4</v>
      </c>
      <c r="AL35" s="5" t="str">
        <f>IF(AL33&gt;=AL31,"Invest","Nothing")</f>
        <v>Invest</v>
      </c>
    </row>
    <row r="36" spans="1:3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8" ht="26">
      <c r="B43" s="77" t="s">
        <v>6</v>
      </c>
      <c r="C43" s="78"/>
      <c r="D43" s="78"/>
      <c r="E43" s="79"/>
      <c r="G43" s="18"/>
      <c r="H43" s="29" t="s">
        <v>43</v>
      </c>
      <c r="I43" s="29" t="s">
        <v>44</v>
      </c>
      <c r="J43" s="29" t="s">
        <v>46</v>
      </c>
    </row>
    <row r="44" spans="1:38" ht="26">
      <c r="B44" s="14" t="s">
        <v>7</v>
      </c>
      <c r="C44" s="14" t="s">
        <v>8</v>
      </c>
      <c r="D44" s="14" t="s">
        <v>39</v>
      </c>
      <c r="E44" s="14" t="s">
        <v>12</v>
      </c>
      <c r="G44" s="28" t="s">
        <v>47</v>
      </c>
      <c r="H44" s="6">
        <v>1200</v>
      </c>
      <c r="I44" s="6">
        <v>250</v>
      </c>
      <c r="J44" s="6">
        <v>950</v>
      </c>
    </row>
    <row r="45" spans="1:38" ht="26">
      <c r="B45" s="69" t="s">
        <v>13</v>
      </c>
      <c r="C45" s="7" t="s">
        <v>9</v>
      </c>
      <c r="D45" s="6">
        <v>30</v>
      </c>
      <c r="E45" s="11"/>
      <c r="G45" s="28" t="s">
        <v>48</v>
      </c>
      <c r="H45" s="6">
        <v>345</v>
      </c>
      <c r="I45" s="6">
        <v>100</v>
      </c>
      <c r="J45" s="6">
        <v>245</v>
      </c>
      <c r="AH45" s="34"/>
      <c r="AI45" s="34"/>
      <c r="AJ45" s="35"/>
      <c r="AK45" s="34"/>
      <c r="AL45" s="35"/>
    </row>
    <row r="46" spans="1:38" ht="26">
      <c r="B46" s="69"/>
      <c r="C46" s="7" t="s">
        <v>10</v>
      </c>
      <c r="D46" s="6">
        <v>0.6</v>
      </c>
      <c r="E46" s="5" t="s">
        <v>14</v>
      </c>
      <c r="G46" s="28" t="s">
        <v>45</v>
      </c>
      <c r="H46" s="6">
        <v>2250</v>
      </c>
      <c r="I46" s="6">
        <v>400</v>
      </c>
      <c r="J46" s="6">
        <v>1850</v>
      </c>
      <c r="AH46" s="34"/>
      <c r="AI46" s="34"/>
      <c r="AJ46" s="36"/>
      <c r="AK46" s="35"/>
      <c r="AL46" s="17"/>
    </row>
    <row r="47" spans="1:38" ht="26" customHeight="1">
      <c r="B47" s="69"/>
      <c r="C47" s="12" t="s">
        <v>11</v>
      </c>
      <c r="D47" s="6">
        <v>0.4</v>
      </c>
      <c r="E47" s="5" t="s">
        <v>15</v>
      </c>
      <c r="AH47" s="34"/>
      <c r="AI47" s="34"/>
      <c r="AJ47" s="37"/>
      <c r="AK47" s="36"/>
      <c r="AL47" s="17"/>
    </row>
    <row r="48" spans="1:38" ht="26">
      <c r="B48" s="69" t="s">
        <v>27</v>
      </c>
      <c r="C48" s="7" t="s">
        <v>9</v>
      </c>
      <c r="D48" s="6">
        <v>40</v>
      </c>
      <c r="E48" s="6"/>
      <c r="AH48" s="34"/>
      <c r="AI48" s="34"/>
      <c r="AJ48" s="37"/>
      <c r="AK48" s="37"/>
      <c r="AL48" s="17"/>
    </row>
    <row r="49" spans="2:38" ht="26">
      <c r="B49" s="69"/>
      <c r="C49" s="7" t="s">
        <v>16</v>
      </c>
      <c r="D49" s="6">
        <v>0.1</v>
      </c>
      <c r="E49" s="5" t="s">
        <v>83</v>
      </c>
      <c r="AH49" s="34"/>
      <c r="AI49" s="34"/>
      <c r="AJ49" s="34"/>
      <c r="AK49" s="37"/>
      <c r="AL49" s="34"/>
    </row>
    <row r="50" spans="2:38" ht="26">
      <c r="B50" s="69"/>
      <c r="C50" s="7" t="s">
        <v>17</v>
      </c>
      <c r="D50" s="6">
        <v>0.15</v>
      </c>
      <c r="E50" s="5" t="s">
        <v>84</v>
      </c>
    </row>
    <row r="51" spans="2:38" ht="26">
      <c r="B51" s="69"/>
      <c r="C51" s="7" t="s">
        <v>18</v>
      </c>
      <c r="D51" s="6">
        <v>0.05</v>
      </c>
      <c r="E51" s="5" t="s">
        <v>60</v>
      </c>
    </row>
    <row r="52" spans="2:38" ht="26">
      <c r="B52" s="69"/>
      <c r="C52" s="12" t="s">
        <v>19</v>
      </c>
      <c r="D52" s="6">
        <v>0.7</v>
      </c>
      <c r="E52" s="5" t="s">
        <v>61</v>
      </c>
    </row>
    <row r="53" spans="2:38" ht="26">
      <c r="B53" s="69" t="s">
        <v>28</v>
      </c>
      <c r="C53" s="7" t="s">
        <v>20</v>
      </c>
      <c r="D53" s="6">
        <v>200</v>
      </c>
      <c r="E53" s="6"/>
    </row>
    <row r="54" spans="2:38" ht="26">
      <c r="B54" s="69"/>
      <c r="C54" s="7" t="s">
        <v>29</v>
      </c>
      <c r="D54" s="6">
        <v>0.85</v>
      </c>
      <c r="E54" s="5" t="s">
        <v>31</v>
      </c>
    </row>
    <row r="55" spans="2:38" ht="26">
      <c r="B55" s="69"/>
      <c r="C55" s="7" t="s">
        <v>11</v>
      </c>
      <c r="D55" s="6">
        <v>0.15</v>
      </c>
      <c r="E55" s="5" t="s">
        <v>32</v>
      </c>
    </row>
    <row r="56" spans="2:38" ht="26">
      <c r="B56" s="69"/>
      <c r="C56" s="7"/>
      <c r="D56" s="6"/>
      <c r="E56" s="6"/>
    </row>
    <row r="57" spans="2:38" ht="26">
      <c r="B57" s="69"/>
      <c r="C57" s="7" t="s">
        <v>21</v>
      </c>
      <c r="D57" s="6">
        <v>150</v>
      </c>
      <c r="E57" s="6"/>
    </row>
    <row r="58" spans="2:38" ht="26">
      <c r="B58" s="69"/>
      <c r="C58" s="7" t="s">
        <v>30</v>
      </c>
      <c r="D58" s="6">
        <v>0.75</v>
      </c>
      <c r="E58" s="5" t="s">
        <v>33</v>
      </c>
    </row>
    <row r="59" spans="2:38" ht="26">
      <c r="B59" s="69"/>
      <c r="C59" s="7" t="s">
        <v>11</v>
      </c>
      <c r="D59" s="6">
        <v>0.25</v>
      </c>
      <c r="E59" s="5" t="s">
        <v>34</v>
      </c>
    </row>
    <row r="60" spans="2:38" ht="26">
      <c r="B60" s="69"/>
      <c r="C60" s="13"/>
      <c r="D60" s="6"/>
      <c r="E60" s="6"/>
    </row>
    <row r="61" spans="2:38" ht="26">
      <c r="B61" s="69"/>
      <c r="C61" s="7" t="s">
        <v>22</v>
      </c>
      <c r="D61" s="6">
        <v>500</v>
      </c>
      <c r="E61" s="6"/>
    </row>
    <row r="62" spans="2:38" ht="26">
      <c r="B62" s="69"/>
      <c r="C62" s="7" t="s">
        <v>23</v>
      </c>
      <c r="D62" s="6">
        <v>0.15</v>
      </c>
      <c r="E62" s="5" t="s">
        <v>35</v>
      </c>
    </row>
    <row r="63" spans="2:38" ht="26">
      <c r="B63" s="69"/>
      <c r="C63" s="7" t="s">
        <v>24</v>
      </c>
      <c r="D63" s="6">
        <v>0.05</v>
      </c>
      <c r="E63" s="5" t="s">
        <v>36</v>
      </c>
    </row>
    <row r="64" spans="2:38" ht="26">
      <c r="B64" s="69"/>
      <c r="C64" s="7" t="s">
        <v>26</v>
      </c>
      <c r="D64" s="6">
        <v>0.7</v>
      </c>
      <c r="E64" s="5" t="s">
        <v>37</v>
      </c>
    </row>
    <row r="65" spans="2:5" ht="26">
      <c r="B65" s="69"/>
      <c r="C65" s="12" t="s">
        <v>25</v>
      </c>
      <c r="D65" s="6">
        <v>0.1</v>
      </c>
      <c r="E65" s="5" t="s">
        <v>38</v>
      </c>
    </row>
  </sheetData>
  <mergeCells count="9">
    <mergeCell ref="B53:B65"/>
    <mergeCell ref="AK7:AL7"/>
    <mergeCell ref="AO7:AP7"/>
    <mergeCell ref="AR7:AS7"/>
    <mergeCell ref="A1:AI1"/>
    <mergeCell ref="A2:AI2"/>
    <mergeCell ref="B43:E43"/>
    <mergeCell ref="B45:B47"/>
    <mergeCell ref="B48:B52"/>
  </mergeCells>
  <conditionalFormatting sqref="A1:A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F01B-D873-4B41-A077-7646EEF90710}">
  <dimension ref="A1:DY5004"/>
  <sheetViews>
    <sheetView showGridLines="0" tabSelected="1" topLeftCell="DJ21" zoomScale="42" zoomScaleNormal="44" workbookViewId="0">
      <selection activeCell="DV98" sqref="DV98"/>
    </sheetView>
  </sheetViews>
  <sheetFormatPr defaultRowHeight="14.5"/>
  <cols>
    <col min="2" max="2" width="14.08984375" bestFit="1" customWidth="1"/>
    <col min="3" max="3" width="112" bestFit="1" customWidth="1"/>
    <col min="4" max="4" width="35.90625" bestFit="1" customWidth="1"/>
    <col min="5" max="5" width="16.26953125" bestFit="1" customWidth="1"/>
    <col min="9" max="9" width="60.36328125" bestFit="1" customWidth="1"/>
    <col min="10" max="10" width="51.26953125" bestFit="1" customWidth="1"/>
    <col min="11" max="11" width="37.90625" bestFit="1" customWidth="1"/>
    <col min="12" max="12" width="43.6328125" bestFit="1" customWidth="1"/>
    <col min="69" max="69" width="65.6328125" bestFit="1" customWidth="1"/>
    <col min="70" max="70" width="25.81640625" customWidth="1"/>
    <col min="74" max="74" width="42.453125" bestFit="1" customWidth="1"/>
    <col min="75" max="75" width="28" customWidth="1"/>
    <col min="76" max="76" width="45.36328125" bestFit="1" customWidth="1"/>
    <col min="78" max="78" width="53.7265625" bestFit="1" customWidth="1"/>
    <col min="79" max="79" width="41.7265625" bestFit="1" customWidth="1"/>
    <col min="80" max="80" width="18.08984375" customWidth="1"/>
    <col min="84" max="84" width="11.453125" bestFit="1" customWidth="1"/>
    <col min="86" max="86" width="11.453125" bestFit="1" customWidth="1"/>
    <col min="87" max="87" width="27.81640625" customWidth="1"/>
    <col min="88" max="88" width="21.08984375" customWidth="1"/>
    <col min="91" max="91" width="19.6328125" customWidth="1"/>
    <col min="92" max="92" width="25.6328125" style="53" customWidth="1"/>
    <col min="93" max="105" width="22.6328125" customWidth="1"/>
    <col min="124" max="124" width="54" bestFit="1" customWidth="1"/>
    <col min="125" max="125" width="38.08984375" style="1" customWidth="1"/>
    <col min="126" max="126" width="39.08984375" customWidth="1"/>
    <col min="128" max="128" width="18.54296875" customWidth="1"/>
    <col min="129" max="129" width="25.26953125" customWidth="1"/>
    <col min="131" max="131" width="22.08984375" customWidth="1"/>
    <col min="132" max="132" width="20.453125" customWidth="1"/>
  </cols>
  <sheetData>
    <row r="1" spans="1:129" ht="26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</row>
    <row r="2" spans="1:129" ht="26">
      <c r="A2" s="88" t="s">
        <v>85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21"/>
      <c r="CH2" s="82" t="s">
        <v>113</v>
      </c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</row>
    <row r="3" spans="1:1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129" ht="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Q4" s="83" t="s">
        <v>28</v>
      </c>
      <c r="BR4" s="84"/>
      <c r="BV4" s="85" t="s">
        <v>59</v>
      </c>
      <c r="BW4" s="85"/>
      <c r="CA4" s="86" t="s">
        <v>13</v>
      </c>
      <c r="CB4" s="86"/>
      <c r="CF4" s="20" t="s">
        <v>98</v>
      </c>
      <c r="CH4" s="46" t="s">
        <v>96</v>
      </c>
      <c r="CI4" s="46">
        <f ca="1">CB20</f>
        <v>3.45847521279474</v>
      </c>
      <c r="CJ4" s="46" t="str">
        <f ca="1">CB21</f>
        <v>Invest</v>
      </c>
      <c r="CM4" s="46" t="s">
        <v>97</v>
      </c>
      <c r="CN4" s="47">
        <f ca="1">CB20</f>
        <v>3.45847521279474</v>
      </c>
      <c r="CO4" s="46" t="str">
        <f ca="1">CB21</f>
        <v>Invest</v>
      </c>
      <c r="CP4" s="60"/>
      <c r="CQ4" s="46" t="s">
        <v>118</v>
      </c>
      <c r="CR4" s="46">
        <f ca="1">CB20</f>
        <v>3.45847521279474</v>
      </c>
      <c r="CS4" s="46" t="str">
        <f ca="1">IF(CR4&gt;0,"Invest","Nothing")</f>
        <v>Invest</v>
      </c>
      <c r="CT4" s="60"/>
      <c r="CU4" s="46" t="s">
        <v>119</v>
      </c>
      <c r="CV4" s="46">
        <f ca="1">CB20</f>
        <v>3.45847521279474</v>
      </c>
      <c r="CW4" s="46" t="str">
        <f ca="1">IF(CV4&gt;0,"Invest","Nothing")</f>
        <v>Invest</v>
      </c>
      <c r="CX4" s="60"/>
      <c r="CY4" s="46" t="s">
        <v>122</v>
      </c>
      <c r="CZ4" s="46">
        <f ca="1">CB20</f>
        <v>3.45847521279474</v>
      </c>
      <c r="DA4" s="46" t="str">
        <f ca="1">IF(CZ4&gt;0,"Invest","Nothing")</f>
        <v>Invest</v>
      </c>
      <c r="DD4" s="20" t="s">
        <v>99</v>
      </c>
      <c r="DU4" s="51"/>
    </row>
    <row r="5" spans="1:129" ht="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Q5" s="8" t="s">
        <v>42</v>
      </c>
      <c r="BR5" s="10">
        <f>D69</f>
        <v>0.85</v>
      </c>
      <c r="BV5" s="8" t="s">
        <v>65</v>
      </c>
      <c r="BW5" s="22">
        <f>D64</f>
        <v>0.1</v>
      </c>
      <c r="CA5" s="41" t="s">
        <v>88</v>
      </c>
      <c r="CB5" s="42">
        <f>0.8</f>
        <v>0.8</v>
      </c>
      <c r="CH5" s="45">
        <v>1</v>
      </c>
      <c r="CI5" s="45">
        <f t="dataTable" ref="CI5:CJ1004" dt2D="0" dtr="0" r1="CB22" ca="1"/>
        <v>13.03117387924387</v>
      </c>
      <c r="CJ5" s="45" t="str">
        <v>Invest</v>
      </c>
      <c r="CM5" s="45">
        <v>1</v>
      </c>
      <c r="CN5" s="48">
        <f t="dataTable" ref="CN5:CO2004" dt2D="0" dtr="0" r1="CB22" ca="1"/>
        <v>0</v>
      </c>
      <c r="CO5" s="45" t="str">
        <v>Nothing</v>
      </c>
      <c r="CP5" s="61"/>
      <c r="CQ5" s="45">
        <v>1</v>
      </c>
      <c r="CR5" s="45">
        <f t="dataTable" ref="CR5:CS3004" dt2D="0" dtr="0" r1="CB22" ca="1"/>
        <v>36.048360398262609</v>
      </c>
      <c r="CS5" s="45" t="str">
        <v>Invest</v>
      </c>
      <c r="CT5" s="61"/>
      <c r="CU5" s="45">
        <v>1</v>
      </c>
      <c r="CV5" s="45">
        <f t="dataTable" ref="CV5:CW4004" dt2D="0" dtr="0" r1="CB22" ca="1"/>
        <v>10.707444553579478</v>
      </c>
      <c r="CW5" s="45" t="str">
        <v>Invest</v>
      </c>
      <c r="CX5" s="61"/>
      <c r="CY5" s="45">
        <v>1</v>
      </c>
      <c r="CZ5" s="45">
        <f t="dataTable" ref="CZ5:DA5004" dt2D="0" dtr="0" r1="CB22" ca="1"/>
        <v>0</v>
      </c>
      <c r="DA5" s="45" t="str">
        <v>Nothing</v>
      </c>
      <c r="DD5" s="20"/>
      <c r="DU5" s="52"/>
      <c r="DV5" s="50"/>
    </row>
    <row r="6" spans="1:129" ht="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Q6" s="8" t="s">
        <v>32</v>
      </c>
      <c r="BR6" s="3">
        <f>D70</f>
        <v>0.15</v>
      </c>
      <c r="BV6" s="8" t="s">
        <v>82</v>
      </c>
      <c r="BW6" s="22">
        <f>D65</f>
        <v>0.15</v>
      </c>
      <c r="CA6" s="41" t="s">
        <v>89</v>
      </c>
      <c r="CB6" s="42">
        <f>0.4</f>
        <v>0.4</v>
      </c>
      <c r="CH6" s="45">
        <v>2</v>
      </c>
      <c r="CI6" s="45">
        <v>15.584539752536053</v>
      </c>
      <c r="CJ6" s="45" t="str">
        <v>Invest</v>
      </c>
      <c r="CM6" s="45">
        <v>2</v>
      </c>
      <c r="CN6" s="48">
        <v>0</v>
      </c>
      <c r="CO6" s="45" t="str">
        <v>Nothing</v>
      </c>
      <c r="CP6" s="61"/>
      <c r="CQ6" s="45">
        <v>2</v>
      </c>
      <c r="CR6" s="45">
        <v>47.792002048474956</v>
      </c>
      <c r="CS6" s="45" t="str">
        <v>Invest</v>
      </c>
      <c r="CT6" s="61"/>
      <c r="CU6" s="45">
        <v>2</v>
      </c>
      <c r="CV6" s="45">
        <v>45.605303063736841</v>
      </c>
      <c r="CW6" s="45" t="str">
        <v>Invest</v>
      </c>
      <c r="CX6" s="61"/>
      <c r="CY6" s="45">
        <v>2</v>
      </c>
      <c r="CZ6" s="45">
        <v>0</v>
      </c>
      <c r="DA6" s="45" t="str">
        <v>Nothing</v>
      </c>
      <c r="DT6" s="80" t="s">
        <v>117</v>
      </c>
      <c r="DU6" s="81"/>
      <c r="DV6" s="50"/>
    </row>
    <row r="7" spans="1:129" ht="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Q7" s="8" t="s">
        <v>2</v>
      </c>
      <c r="BR7" s="3">
        <f>L60-D68</f>
        <v>750</v>
      </c>
      <c r="BV7" s="39" t="s">
        <v>87</v>
      </c>
      <c r="BW7" s="40">
        <v>0.1</v>
      </c>
      <c r="BX7" s="59" t="s">
        <v>115</v>
      </c>
      <c r="CA7" s="43" t="s">
        <v>14</v>
      </c>
      <c r="CB7" s="54">
        <f ca="1">CB5+RAND()*(CB6-CB5)</f>
        <v>0.50245753666592285</v>
      </c>
      <c r="CH7" s="45">
        <v>3</v>
      </c>
      <c r="CI7" s="45">
        <v>44.68266516464152</v>
      </c>
      <c r="CJ7" s="45" t="str">
        <v>Invest</v>
      </c>
      <c r="CM7" s="45">
        <v>3</v>
      </c>
      <c r="CN7" s="48">
        <v>41.384211551555438</v>
      </c>
      <c r="CO7" s="45" t="str">
        <v>Invest</v>
      </c>
      <c r="CP7" s="61"/>
      <c r="CQ7" s="45">
        <v>3</v>
      </c>
      <c r="CR7" s="45">
        <v>13.514779972227696</v>
      </c>
      <c r="CS7" s="45" t="str">
        <v>Invest</v>
      </c>
      <c r="CT7" s="61"/>
      <c r="CU7" s="45">
        <v>3</v>
      </c>
      <c r="CV7" s="45">
        <v>47.312603683742026</v>
      </c>
      <c r="CW7" s="45" t="str">
        <v>Invest</v>
      </c>
      <c r="CX7" s="61"/>
      <c r="CY7" s="45">
        <v>3</v>
      </c>
      <c r="CZ7" s="45">
        <v>24.608369380481165</v>
      </c>
      <c r="DA7" s="45" t="str">
        <v>Invest</v>
      </c>
      <c r="DT7" s="62" t="s">
        <v>124</v>
      </c>
      <c r="DU7" s="63">
        <f>DU10</f>
        <v>16.236713397963968</v>
      </c>
      <c r="DV7" s="57"/>
    </row>
    <row r="8" spans="1:129" ht="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Q8" s="8" t="s">
        <v>5</v>
      </c>
      <c r="BR8" s="3">
        <f>-D68</f>
        <v>-200</v>
      </c>
      <c r="BV8" s="39" t="s">
        <v>86</v>
      </c>
      <c r="BW8" s="40">
        <v>0</v>
      </c>
      <c r="CA8" s="8" t="s">
        <v>15</v>
      </c>
      <c r="CB8" s="55">
        <f ca="1">1-CB7</f>
        <v>0.49754246333407715</v>
      </c>
      <c r="CH8" s="45">
        <v>4</v>
      </c>
      <c r="CI8" s="45">
        <v>1.4990626575747612</v>
      </c>
      <c r="CJ8" s="45" t="str">
        <v>Invest</v>
      </c>
      <c r="CM8" s="45">
        <v>4</v>
      </c>
      <c r="CN8" s="48">
        <v>20.671789038810871</v>
      </c>
      <c r="CO8" s="45" t="str">
        <v>Invest</v>
      </c>
      <c r="CP8" s="61"/>
      <c r="CQ8" s="45">
        <v>4</v>
      </c>
      <c r="CR8" s="45">
        <v>12.769430704308919</v>
      </c>
      <c r="CS8" s="45" t="str">
        <v>Invest</v>
      </c>
      <c r="CT8" s="61"/>
      <c r="CU8" s="45">
        <v>4</v>
      </c>
      <c r="CV8" s="45">
        <v>0</v>
      </c>
      <c r="CW8" s="45" t="str">
        <v>Nothing</v>
      </c>
      <c r="CX8" s="61"/>
      <c r="CY8" s="45">
        <v>4</v>
      </c>
      <c r="CZ8" s="45">
        <v>21.141298907403424</v>
      </c>
      <c r="DA8" s="45" t="str">
        <v>Invest</v>
      </c>
      <c r="DT8" s="62" t="s">
        <v>125</v>
      </c>
      <c r="DU8" s="63">
        <f>COUNTIF(CI5:CI1004,"&gt;0")</f>
        <v>724</v>
      </c>
      <c r="DV8" s="7"/>
      <c r="DX8" s="49"/>
      <c r="DY8" s="49"/>
    </row>
    <row r="9" spans="1:129" ht="26.5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Q9" s="8" t="s">
        <v>40</v>
      </c>
      <c r="BR9" s="3">
        <f>-(D60+D63)</f>
        <v>-70</v>
      </c>
      <c r="BV9" s="38" t="s">
        <v>66</v>
      </c>
      <c r="BW9" s="56">
        <f ca="1">BW7+RAND()*(BW8-BW7)</f>
        <v>3.2758535683298992E-2</v>
      </c>
      <c r="CA9" s="8" t="s">
        <v>62</v>
      </c>
      <c r="CB9" s="55">
        <f ca="1">BW16-D60</f>
        <v>26.924919265213219</v>
      </c>
      <c r="CH9" s="45">
        <v>5</v>
      </c>
      <c r="CI9" s="45">
        <v>4.834744347420207</v>
      </c>
      <c r="CJ9" s="45" t="str">
        <v>Invest</v>
      </c>
      <c r="CM9" s="45">
        <v>5</v>
      </c>
      <c r="CN9" s="48">
        <v>0</v>
      </c>
      <c r="CO9" s="45" t="str">
        <v>Nothing</v>
      </c>
      <c r="CP9" s="61"/>
      <c r="CQ9" s="45">
        <v>5</v>
      </c>
      <c r="CR9" s="45">
        <v>0</v>
      </c>
      <c r="CS9" s="45" t="str">
        <v>Nothing</v>
      </c>
      <c r="CT9" s="61"/>
      <c r="CU9" s="45">
        <v>5</v>
      </c>
      <c r="CV9" s="45">
        <v>19.616091806070017</v>
      </c>
      <c r="CW9" s="45" t="str">
        <v>Invest</v>
      </c>
      <c r="CX9" s="61"/>
      <c r="CY9" s="45">
        <v>5</v>
      </c>
      <c r="CZ9" s="45">
        <v>0.10293476972774585</v>
      </c>
      <c r="DA9" s="45" t="str">
        <v>Invest</v>
      </c>
      <c r="DT9" s="64" t="s">
        <v>126</v>
      </c>
      <c r="DU9" s="65">
        <f>COUNTIF(CI5:CI1004,"=0")</f>
        <v>276</v>
      </c>
      <c r="DV9" s="7"/>
    </row>
    <row r="10" spans="1:129" ht="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Q10" s="8" t="s">
        <v>41</v>
      </c>
      <c r="BR10" s="3">
        <f>(BR5*BR7)+(BR6*BR8)</f>
        <v>607.5</v>
      </c>
      <c r="BV10" s="8" t="s">
        <v>67</v>
      </c>
      <c r="BW10" s="55">
        <f ca="1">1-BW9-BW6-BW5</f>
        <v>0.71724146431670099</v>
      </c>
      <c r="CA10" s="41" t="s">
        <v>90</v>
      </c>
      <c r="CB10" s="42">
        <v>-50</v>
      </c>
      <c r="CH10" s="45">
        <v>6</v>
      </c>
      <c r="CI10" s="45">
        <v>0</v>
      </c>
      <c r="CJ10" s="45" t="str">
        <v>Nothing</v>
      </c>
      <c r="CM10" s="45">
        <v>6</v>
      </c>
      <c r="CN10" s="48">
        <v>0</v>
      </c>
      <c r="CO10" s="45" t="str">
        <v>Nothing</v>
      </c>
      <c r="CP10" s="61"/>
      <c r="CQ10" s="45">
        <v>6</v>
      </c>
      <c r="CR10" s="45">
        <v>46.735711652415382</v>
      </c>
      <c r="CS10" s="45" t="str">
        <v>Invest</v>
      </c>
      <c r="CT10" s="61"/>
      <c r="CU10" s="45">
        <v>6</v>
      </c>
      <c r="CV10" s="45">
        <v>1.0465340507495462</v>
      </c>
      <c r="CW10" s="45" t="str">
        <v>Invest</v>
      </c>
      <c r="CX10" s="61"/>
      <c r="CY10" s="45">
        <v>6</v>
      </c>
      <c r="CZ10" s="45">
        <v>43.307982805817659</v>
      </c>
      <c r="DA10" s="45" t="str">
        <v>Invest</v>
      </c>
      <c r="DT10" s="66" t="s">
        <v>100</v>
      </c>
      <c r="DU10" s="66">
        <f>AVERAGE(CI5:CI1004)</f>
        <v>16.236713397963968</v>
      </c>
      <c r="DV10" s="7"/>
    </row>
    <row r="11" spans="1:129" ht="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Q11" s="9" t="s">
        <v>3</v>
      </c>
      <c r="BR11" s="4">
        <f>MAX(BR9,BR10)</f>
        <v>607.5</v>
      </c>
      <c r="BV11" s="8" t="s">
        <v>68</v>
      </c>
      <c r="BW11" s="22">
        <f>BR10-D63</f>
        <v>567.5</v>
      </c>
      <c r="CA11" s="41" t="s">
        <v>91</v>
      </c>
      <c r="CB11" s="42">
        <v>-10</v>
      </c>
      <c r="CH11" s="45">
        <v>7</v>
      </c>
      <c r="CI11" s="45">
        <v>13.599110869798931</v>
      </c>
      <c r="CJ11" s="45" t="str">
        <v>Invest</v>
      </c>
      <c r="CM11" s="45">
        <v>7</v>
      </c>
      <c r="CN11" s="48">
        <v>36.922409560925047</v>
      </c>
      <c r="CO11" s="45" t="str">
        <v>Invest</v>
      </c>
      <c r="CP11" s="61"/>
      <c r="CQ11" s="45">
        <v>7</v>
      </c>
      <c r="CR11" s="45">
        <v>0</v>
      </c>
      <c r="CS11" s="45" t="str">
        <v>Nothing</v>
      </c>
      <c r="CT11" s="61"/>
      <c r="CU11" s="45">
        <v>7</v>
      </c>
      <c r="CV11" s="45">
        <v>0</v>
      </c>
      <c r="CW11" s="45" t="str">
        <v>Nothing</v>
      </c>
      <c r="CX11" s="61"/>
      <c r="CY11" s="45">
        <v>7</v>
      </c>
      <c r="CZ11" s="45">
        <v>0.99513959699533849</v>
      </c>
      <c r="DA11" s="45" t="str">
        <v>Invest</v>
      </c>
      <c r="DT11" s="67" t="s">
        <v>101</v>
      </c>
      <c r="DU11" s="67">
        <f>_xlfn.STDEV.S(CI5:CI1004)/(SQRT(1000))</f>
        <v>0.52274352451718398</v>
      </c>
      <c r="DV11" s="7"/>
    </row>
    <row r="12" spans="1:129" ht="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Q12" s="15" t="s">
        <v>4</v>
      </c>
      <c r="BR12" s="16" t="str">
        <f>IF(BR10&gt;=BR9,"Invest","Nothing")</f>
        <v>Invest</v>
      </c>
      <c r="BV12" s="8" t="s">
        <v>69</v>
      </c>
      <c r="BW12" s="22">
        <f>BR18-D63</f>
        <v>-6.25</v>
      </c>
      <c r="BZ12" s="58" t="s">
        <v>114</v>
      </c>
      <c r="CA12" s="43" t="s">
        <v>63</v>
      </c>
      <c r="CB12" s="54">
        <f ca="1">CB10+RAND()*(CB11-CB10)</f>
        <v>-20.239786828750521</v>
      </c>
      <c r="CH12" s="45">
        <v>8</v>
      </c>
      <c r="CI12" s="45">
        <v>0</v>
      </c>
      <c r="CJ12" s="45" t="str">
        <v>Nothing</v>
      </c>
      <c r="CM12" s="45">
        <v>8</v>
      </c>
      <c r="CN12" s="48">
        <v>9.1282462949651162</v>
      </c>
      <c r="CO12" s="45" t="str">
        <v>Invest</v>
      </c>
      <c r="CP12" s="61"/>
      <c r="CQ12" s="45">
        <v>8</v>
      </c>
      <c r="CR12" s="45">
        <v>0</v>
      </c>
      <c r="CS12" s="45" t="str">
        <v>Nothing</v>
      </c>
      <c r="CT12" s="61"/>
      <c r="CU12" s="45">
        <v>8</v>
      </c>
      <c r="CV12" s="45">
        <v>0</v>
      </c>
      <c r="CW12" s="45" t="str">
        <v>Nothing</v>
      </c>
      <c r="CX12" s="61"/>
      <c r="CY12" s="45">
        <v>8</v>
      </c>
      <c r="CZ12" s="45">
        <v>38.127578517511637</v>
      </c>
      <c r="DA12" s="45" t="str">
        <v>Invest</v>
      </c>
      <c r="DT12" s="67" t="s">
        <v>102</v>
      </c>
      <c r="DU12" s="67">
        <f>MEDIAN(CI5:CI1004)</f>
        <v>12.385297184602241</v>
      </c>
      <c r="DV12" s="7"/>
    </row>
    <row r="13" spans="1:129" ht="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Q13" s="9" t="s">
        <v>49</v>
      </c>
      <c r="BR13" s="19">
        <f>D73</f>
        <v>0.75</v>
      </c>
      <c r="BV13" s="8" t="s">
        <v>70</v>
      </c>
      <c r="BW13" s="22">
        <f>BR30-D63</f>
        <v>909.74999999999989</v>
      </c>
      <c r="CA13" s="8" t="s">
        <v>92</v>
      </c>
      <c r="CB13" s="22">
        <f>0</f>
        <v>0</v>
      </c>
      <c r="CH13" s="45">
        <v>9</v>
      </c>
      <c r="CI13" s="45">
        <v>35.796582369498893</v>
      </c>
      <c r="CJ13" s="45" t="str">
        <v>Invest</v>
      </c>
      <c r="CM13" s="45">
        <v>9</v>
      </c>
      <c r="CN13" s="48">
        <v>0</v>
      </c>
      <c r="CO13" s="45" t="str">
        <v>Nothing</v>
      </c>
      <c r="CP13" s="61"/>
      <c r="CQ13" s="45">
        <v>9</v>
      </c>
      <c r="CR13" s="45">
        <v>9.5941566724562843</v>
      </c>
      <c r="CS13" s="45" t="str">
        <v>Invest</v>
      </c>
      <c r="CT13" s="61"/>
      <c r="CU13" s="45">
        <v>9</v>
      </c>
      <c r="CV13" s="45">
        <v>0</v>
      </c>
      <c r="CW13" s="45" t="str">
        <v>Nothing</v>
      </c>
      <c r="CX13" s="61"/>
      <c r="CY13" s="45">
        <v>9</v>
      </c>
      <c r="CZ13" s="45">
        <v>0</v>
      </c>
      <c r="DA13" s="45" t="str">
        <v>Nothing</v>
      </c>
      <c r="DT13" s="67" t="s">
        <v>103</v>
      </c>
      <c r="DU13" s="67">
        <f>_xlfn.MODE.SNGL(CN5:CN2004)</f>
        <v>0</v>
      </c>
      <c r="DV13" s="7"/>
    </row>
    <row r="14" spans="1:129" ht="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Q14" s="9" t="s">
        <v>34</v>
      </c>
      <c r="BR14" s="19">
        <f>D74</f>
        <v>0.25</v>
      </c>
      <c r="BV14" s="8" t="s">
        <v>71</v>
      </c>
      <c r="BW14" s="22">
        <f>-D63</f>
        <v>-40</v>
      </c>
      <c r="CA14" s="8" t="s">
        <v>93</v>
      </c>
      <c r="CB14" s="55">
        <f ca="1">CB7*CB9+CB8*CB12</f>
        <v>3.45847521279474</v>
      </c>
      <c r="CH14" s="45">
        <v>10</v>
      </c>
      <c r="CI14" s="45">
        <v>38.014292947899001</v>
      </c>
      <c r="CJ14" s="45" t="str">
        <v>Invest</v>
      </c>
      <c r="CM14" s="45">
        <v>10</v>
      </c>
      <c r="CN14" s="48">
        <v>6.2817312407193988</v>
      </c>
      <c r="CO14" s="45" t="str">
        <v>Invest</v>
      </c>
      <c r="CP14" s="61"/>
      <c r="CQ14" s="45">
        <v>10</v>
      </c>
      <c r="CR14" s="45">
        <v>40.934761114762829</v>
      </c>
      <c r="CS14" s="45" t="str">
        <v>Invest</v>
      </c>
      <c r="CT14" s="61"/>
      <c r="CU14" s="45">
        <v>10</v>
      </c>
      <c r="CV14" s="45">
        <v>31.070554529957811</v>
      </c>
      <c r="CW14" s="45" t="str">
        <v>Invest</v>
      </c>
      <c r="CX14" s="61"/>
      <c r="CY14" s="45">
        <v>10</v>
      </c>
      <c r="CZ14" s="45">
        <v>24.590954316284368</v>
      </c>
      <c r="DA14" s="45" t="str">
        <v>Invest</v>
      </c>
      <c r="DT14" s="67" t="s">
        <v>104</v>
      </c>
      <c r="DU14" s="67">
        <f>_xlfn.STDEV.S(CI5:CI1004)</f>
        <v>16.530601695783723</v>
      </c>
      <c r="DV14" s="7"/>
    </row>
    <row r="15" spans="1:129" ht="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Q15" s="9" t="s">
        <v>2</v>
      </c>
      <c r="BR15" s="19">
        <f>L61-D72</f>
        <v>95</v>
      </c>
      <c r="BV15" s="8" t="s">
        <v>72</v>
      </c>
      <c r="BW15" s="55">
        <f ca="1">CB12</f>
        <v>-20.239786828750521</v>
      </c>
      <c r="CA15" s="8" t="s">
        <v>74</v>
      </c>
      <c r="CB15" s="55">
        <f ca="1">MAX(CB13,CB14)</f>
        <v>3.45847521279474</v>
      </c>
      <c r="CH15" s="45">
        <v>11</v>
      </c>
      <c r="CI15" s="45">
        <v>0</v>
      </c>
      <c r="CJ15" s="45" t="str">
        <v>Nothing</v>
      </c>
      <c r="CM15" s="45">
        <v>11</v>
      </c>
      <c r="CN15" s="48">
        <v>36.95472949471678</v>
      </c>
      <c r="CO15" s="45" t="str">
        <v>Invest</v>
      </c>
      <c r="CP15" s="61"/>
      <c r="CQ15" s="45">
        <v>11</v>
      </c>
      <c r="CR15" s="45">
        <v>0</v>
      </c>
      <c r="CS15" s="45" t="str">
        <v>Nothing</v>
      </c>
      <c r="CT15" s="61"/>
      <c r="CU15" s="45">
        <v>11</v>
      </c>
      <c r="CV15" s="45">
        <v>14.581527835706744</v>
      </c>
      <c r="CW15" s="45" t="str">
        <v>Invest</v>
      </c>
      <c r="CX15" s="61"/>
      <c r="CY15" s="45">
        <v>11</v>
      </c>
      <c r="CZ15" s="45">
        <v>21.155395109775565</v>
      </c>
      <c r="DA15" s="45" t="str">
        <v>Invest</v>
      </c>
      <c r="DT15" s="67" t="s">
        <v>105</v>
      </c>
      <c r="DU15" s="67">
        <f>_xlfn.VAR.S(CI5:CI1004)</f>
        <v>273.26079242464766</v>
      </c>
      <c r="DV15" s="7"/>
    </row>
    <row r="16" spans="1:129" ht="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Q16" s="9" t="s">
        <v>5</v>
      </c>
      <c r="BR16" s="19">
        <f>-D72</f>
        <v>-150</v>
      </c>
      <c r="BV16" s="8" t="s">
        <v>73</v>
      </c>
      <c r="BW16" s="55">
        <f ca="1">BW5*BW11+BW6*BW12+BW9*BW13+BW10*BW14</f>
        <v>56.924919265213219</v>
      </c>
      <c r="CA16" s="8" t="s">
        <v>64</v>
      </c>
      <c r="CB16" s="32" t="str">
        <f ca="1">IF(CB15&gt;=CB14,"Invest","Nothing")</f>
        <v>Invest</v>
      </c>
      <c r="CH16" s="45">
        <v>12</v>
      </c>
      <c r="CI16" s="45">
        <v>37.816009855522132</v>
      </c>
      <c r="CJ16" s="45" t="str">
        <v>Invest</v>
      </c>
      <c r="CM16" s="45">
        <v>12</v>
      </c>
      <c r="CN16" s="48">
        <v>15.950872849488169</v>
      </c>
      <c r="CO16" s="45" t="str">
        <v>Invest</v>
      </c>
      <c r="CP16" s="61"/>
      <c r="CQ16" s="45">
        <v>12</v>
      </c>
      <c r="CR16" s="45">
        <v>6.9543520782571191</v>
      </c>
      <c r="CS16" s="45" t="str">
        <v>Invest</v>
      </c>
      <c r="CT16" s="61"/>
      <c r="CU16" s="45">
        <v>12</v>
      </c>
      <c r="CV16" s="45">
        <v>50.869825917419178</v>
      </c>
      <c r="CW16" s="45" t="str">
        <v>Invest</v>
      </c>
      <c r="CX16" s="61"/>
      <c r="CY16" s="45">
        <v>12</v>
      </c>
      <c r="CZ16" s="45">
        <v>53.012065771907437</v>
      </c>
      <c r="DA16" s="45" t="str">
        <v>Invest</v>
      </c>
      <c r="DT16" s="67" t="s">
        <v>106</v>
      </c>
      <c r="DU16" s="67">
        <f>KURT(CI5:CI1004)</f>
        <v>-0.23707141045508129</v>
      </c>
      <c r="DV16" s="7"/>
    </row>
    <row r="17" spans="1:126" ht="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Q17" s="9" t="s">
        <v>40</v>
      </c>
      <c r="BR17" s="19">
        <f>-(D60+D63)</f>
        <v>-70</v>
      </c>
      <c r="BV17" s="8" t="s">
        <v>74</v>
      </c>
      <c r="BW17" s="55">
        <f ca="1">MAX(BW15,BW16)</f>
        <v>56.924919265213219</v>
      </c>
      <c r="CH17" s="45">
        <v>13</v>
      </c>
      <c r="CI17" s="45">
        <v>12.211498074923359</v>
      </c>
      <c r="CJ17" s="45" t="str">
        <v>Invest</v>
      </c>
      <c r="CM17" s="45">
        <v>13</v>
      </c>
      <c r="CN17" s="48">
        <v>9.949239493018645</v>
      </c>
      <c r="CO17" s="45" t="str">
        <v>Invest</v>
      </c>
      <c r="CP17" s="61"/>
      <c r="CQ17" s="45">
        <v>13</v>
      </c>
      <c r="CR17" s="45">
        <v>0</v>
      </c>
      <c r="CS17" s="45" t="str">
        <v>Nothing</v>
      </c>
      <c r="CT17" s="61"/>
      <c r="CU17" s="45">
        <v>13</v>
      </c>
      <c r="CV17" s="45">
        <v>0</v>
      </c>
      <c r="CW17" s="45" t="str">
        <v>Nothing</v>
      </c>
      <c r="CX17" s="61"/>
      <c r="CY17" s="45">
        <v>13</v>
      </c>
      <c r="CZ17" s="45">
        <v>41.54386356482491</v>
      </c>
      <c r="DA17" s="45" t="str">
        <v>Invest</v>
      </c>
      <c r="DT17" s="67" t="s">
        <v>107</v>
      </c>
      <c r="DU17" s="67">
        <f>SKEW(CI5:CI1004)</f>
        <v>0.8521540335432195</v>
      </c>
      <c r="DV17" s="7"/>
    </row>
    <row r="18" spans="1:126" ht="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Q18" s="9" t="s">
        <v>56</v>
      </c>
      <c r="BR18" s="19">
        <f>BR13*BR15+BR14*BR16</f>
        <v>33.75</v>
      </c>
      <c r="BV18" s="8" t="s">
        <v>75</v>
      </c>
      <c r="BW18" s="32" t="str">
        <f ca="1">IF(BW16&gt;=BW15,"Invest","Nothing")</f>
        <v>Invest</v>
      </c>
      <c r="BZ18" s="20"/>
      <c r="CH18" s="45">
        <v>14</v>
      </c>
      <c r="CI18" s="45">
        <v>0</v>
      </c>
      <c r="CJ18" s="45" t="str">
        <v>Nothing</v>
      </c>
      <c r="CM18" s="45">
        <v>14</v>
      </c>
      <c r="CN18" s="48">
        <v>24.053363606692276</v>
      </c>
      <c r="CO18" s="45" t="str">
        <v>Invest</v>
      </c>
      <c r="CP18" s="61"/>
      <c r="CQ18" s="45">
        <v>14</v>
      </c>
      <c r="CR18" s="45">
        <v>20.54038065660416</v>
      </c>
      <c r="CS18" s="45" t="str">
        <v>Invest</v>
      </c>
      <c r="CT18" s="61"/>
      <c r="CU18" s="45">
        <v>14</v>
      </c>
      <c r="CV18" s="45">
        <v>15.095579545882842</v>
      </c>
      <c r="CW18" s="45" t="str">
        <v>Invest</v>
      </c>
      <c r="CX18" s="61"/>
      <c r="CY18" s="45">
        <v>14</v>
      </c>
      <c r="CZ18" s="45">
        <v>7.110224022885415</v>
      </c>
      <c r="DA18" s="45" t="str">
        <v>Invest</v>
      </c>
      <c r="DT18" s="67" t="s">
        <v>108</v>
      </c>
      <c r="DU18" s="67">
        <f>MAX(CI5:CI1004)-MIN(CI5:CI1004)</f>
        <v>65.725160041163349</v>
      </c>
      <c r="DV18" s="7"/>
    </row>
    <row r="19" spans="1:126" ht="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Q19" s="9" t="s">
        <v>3</v>
      </c>
      <c r="BR19" s="4">
        <f>MAX(BR17,BR18)</f>
        <v>33.75</v>
      </c>
      <c r="CH19" s="45">
        <v>15</v>
      </c>
      <c r="CI19" s="45">
        <v>23.47478693361596</v>
      </c>
      <c r="CJ19" s="45" t="str">
        <v>Invest</v>
      </c>
      <c r="CM19" s="45">
        <v>15</v>
      </c>
      <c r="CN19" s="48">
        <v>13.161515687297657</v>
      </c>
      <c r="CO19" s="45" t="str">
        <v>Invest</v>
      </c>
      <c r="CP19" s="61"/>
      <c r="CQ19" s="45">
        <v>15</v>
      </c>
      <c r="CR19" s="45">
        <v>0</v>
      </c>
      <c r="CS19" s="45" t="str">
        <v>Nothing</v>
      </c>
      <c r="CT19" s="61"/>
      <c r="CU19" s="45">
        <v>15</v>
      </c>
      <c r="CV19" s="45">
        <v>28.162677207902689</v>
      </c>
      <c r="CW19" s="45" t="str">
        <v>Invest</v>
      </c>
      <c r="CX19" s="61"/>
      <c r="CY19" s="45">
        <v>15</v>
      </c>
      <c r="CZ19" s="45">
        <v>0</v>
      </c>
      <c r="DA19" s="45" t="str">
        <v>Nothing</v>
      </c>
      <c r="DT19" s="67" t="s">
        <v>109</v>
      </c>
      <c r="DU19" s="67">
        <f>MIN(CI5:CI1004)</f>
        <v>0</v>
      </c>
      <c r="DV19" s="7"/>
    </row>
    <row r="20" spans="1:126" ht="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Q20" s="9" t="s">
        <v>4</v>
      </c>
      <c r="BR20" s="5" t="str">
        <f>IF(BR18&gt;=BR17,"Invest","Don’t Invest")</f>
        <v>Invest</v>
      </c>
      <c r="BZ20" s="20" t="s">
        <v>57</v>
      </c>
      <c r="CA20" s="8" t="s">
        <v>74</v>
      </c>
      <c r="CB20" s="44">
        <f ca="1">CB15</f>
        <v>3.45847521279474</v>
      </c>
      <c r="CH20" s="45">
        <v>16</v>
      </c>
      <c r="CI20" s="45">
        <v>0</v>
      </c>
      <c r="CJ20" s="45" t="str">
        <v>Nothing</v>
      </c>
      <c r="CM20" s="45">
        <v>16</v>
      </c>
      <c r="CN20" s="48">
        <v>26.746943638660024</v>
      </c>
      <c r="CO20" s="45" t="str">
        <v>Invest</v>
      </c>
      <c r="CP20" s="61"/>
      <c r="CQ20" s="45">
        <v>16</v>
      </c>
      <c r="CR20" s="45">
        <v>40.827720725894835</v>
      </c>
      <c r="CS20" s="45" t="str">
        <v>Invest</v>
      </c>
      <c r="CT20" s="61"/>
      <c r="CU20" s="45">
        <v>16</v>
      </c>
      <c r="CV20" s="45">
        <v>39.366127514290397</v>
      </c>
      <c r="CW20" s="45" t="str">
        <v>Invest</v>
      </c>
      <c r="CX20" s="61"/>
      <c r="CY20" s="45">
        <v>16</v>
      </c>
      <c r="CZ20" s="45">
        <v>12.665485888644245</v>
      </c>
      <c r="DA20" s="45" t="str">
        <v>Invest</v>
      </c>
      <c r="DT20" s="67" t="s">
        <v>110</v>
      </c>
      <c r="DU20" s="67">
        <f>MAX(CI5:CI1004)</f>
        <v>65.725160041163349</v>
      </c>
      <c r="DV20" s="7"/>
    </row>
    <row r="21" spans="1:126" ht="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Q21" s="9" t="s">
        <v>50</v>
      </c>
      <c r="BR21" s="6">
        <f>D77</f>
        <v>0.15</v>
      </c>
      <c r="CA21" s="8" t="s">
        <v>95</v>
      </c>
      <c r="CB21" s="44" t="str">
        <f ca="1">IF(CB20&gt;0,"Invest","Nothing")</f>
        <v>Invest</v>
      </c>
      <c r="CH21" s="45">
        <v>17</v>
      </c>
      <c r="CI21" s="45">
        <v>16.033053591218113</v>
      </c>
      <c r="CJ21" s="45" t="str">
        <v>Invest</v>
      </c>
      <c r="CM21" s="45">
        <v>17</v>
      </c>
      <c r="CN21" s="48">
        <v>0</v>
      </c>
      <c r="CO21" s="45" t="str">
        <v>Nothing</v>
      </c>
      <c r="CP21" s="61"/>
      <c r="CQ21" s="45">
        <v>17</v>
      </c>
      <c r="CR21" s="45">
        <v>29.041111531355885</v>
      </c>
      <c r="CS21" s="45" t="str">
        <v>Invest</v>
      </c>
      <c r="CT21" s="61"/>
      <c r="CU21" s="45">
        <v>17</v>
      </c>
      <c r="CV21" s="45">
        <v>28.31349206139754</v>
      </c>
      <c r="CW21" s="45" t="str">
        <v>Invest</v>
      </c>
      <c r="CX21" s="61"/>
      <c r="CY21" s="45">
        <v>17</v>
      </c>
      <c r="CZ21" s="45">
        <v>0</v>
      </c>
      <c r="DA21" s="45" t="str">
        <v>Nothing</v>
      </c>
      <c r="DT21" s="67" t="s">
        <v>111</v>
      </c>
      <c r="DU21" s="67">
        <f>SUM(CI5:CI1004)</f>
        <v>16236.713397963968</v>
      </c>
      <c r="DV21" s="7"/>
    </row>
    <row r="22" spans="1:126" ht="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Q22" s="9" t="s">
        <v>36</v>
      </c>
      <c r="BR22" s="6">
        <f>D78</f>
        <v>0.05</v>
      </c>
      <c r="CA22" s="8" t="s">
        <v>94</v>
      </c>
      <c r="CB22" s="44">
        <f ca="1">RAND()</f>
        <v>0.5362444846227441</v>
      </c>
      <c r="CH22" s="45">
        <v>18</v>
      </c>
      <c r="CI22" s="45">
        <v>3.54188310635584</v>
      </c>
      <c r="CJ22" s="45" t="str">
        <v>Invest</v>
      </c>
      <c r="CM22" s="45">
        <v>18</v>
      </c>
      <c r="CN22" s="48">
        <v>3.7375443088626739</v>
      </c>
      <c r="CO22" s="45" t="str">
        <v>Invest</v>
      </c>
      <c r="CP22" s="61"/>
      <c r="CQ22" s="45">
        <v>18</v>
      </c>
      <c r="CR22" s="45">
        <v>16.929597792410842</v>
      </c>
      <c r="CS22" s="45" t="str">
        <v>Invest</v>
      </c>
      <c r="CT22" s="61"/>
      <c r="CU22" s="45">
        <v>18</v>
      </c>
      <c r="CV22" s="45">
        <v>0</v>
      </c>
      <c r="CW22" s="45" t="str">
        <v>Nothing</v>
      </c>
      <c r="CX22" s="61"/>
      <c r="CY22" s="45">
        <v>18</v>
      </c>
      <c r="CZ22" s="45">
        <v>14.659090678408694</v>
      </c>
      <c r="DA22" s="45" t="str">
        <v>Invest</v>
      </c>
      <c r="DT22" s="67" t="s">
        <v>112</v>
      </c>
      <c r="DU22" s="67">
        <f>COUNT(CI5:CI1004)</f>
        <v>1000</v>
      </c>
      <c r="DV22" s="50"/>
    </row>
    <row r="23" spans="1:126" ht="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Q23" s="9" t="s">
        <v>37</v>
      </c>
      <c r="BR23" s="6">
        <f>D79</f>
        <v>0.7</v>
      </c>
      <c r="CH23" s="45">
        <v>19</v>
      </c>
      <c r="CI23" s="45">
        <v>23.688207868559783</v>
      </c>
      <c r="CJ23" s="45" t="str">
        <v>Invest</v>
      </c>
      <c r="CM23" s="45">
        <v>19</v>
      </c>
      <c r="CN23" s="48">
        <v>53.875610733854266</v>
      </c>
      <c r="CO23" s="45" t="str">
        <v>Invest</v>
      </c>
      <c r="CP23" s="61"/>
      <c r="CQ23" s="45">
        <v>19</v>
      </c>
      <c r="CR23" s="45">
        <v>27.7537423622205</v>
      </c>
      <c r="CS23" s="45" t="str">
        <v>Invest</v>
      </c>
      <c r="CT23" s="61"/>
      <c r="CU23" s="45">
        <v>19</v>
      </c>
      <c r="CV23" s="45">
        <v>5.335553928151235</v>
      </c>
      <c r="CW23" s="45" t="str">
        <v>Invest</v>
      </c>
      <c r="CX23" s="61"/>
      <c r="CY23" s="45">
        <v>19</v>
      </c>
      <c r="CZ23" s="45">
        <v>32.734566820258948</v>
      </c>
      <c r="DA23" s="45" t="str">
        <v>Invest</v>
      </c>
      <c r="DU23" s="7"/>
      <c r="DV23" s="50"/>
    </row>
    <row r="24" spans="1:126" ht="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Q24" s="9" t="s">
        <v>51</v>
      </c>
      <c r="BR24" s="6">
        <f>D80</f>
        <v>0.1</v>
      </c>
      <c r="CH24" s="45">
        <v>20</v>
      </c>
      <c r="CI24" s="45">
        <v>21.225130495795604</v>
      </c>
      <c r="CJ24" s="45" t="str">
        <v>Invest</v>
      </c>
      <c r="CM24" s="45">
        <v>20</v>
      </c>
      <c r="CN24" s="48">
        <v>26.112467241832519</v>
      </c>
      <c r="CO24" s="45" t="str">
        <v>Invest</v>
      </c>
      <c r="CP24" s="61"/>
      <c r="CQ24" s="45">
        <v>20</v>
      </c>
      <c r="CR24" s="45">
        <v>23.601270117137478</v>
      </c>
      <c r="CS24" s="45" t="str">
        <v>Invest</v>
      </c>
      <c r="CT24" s="61"/>
      <c r="CU24" s="45">
        <v>20</v>
      </c>
      <c r="CV24" s="45">
        <v>0</v>
      </c>
      <c r="CW24" s="45" t="str">
        <v>Nothing</v>
      </c>
      <c r="CX24" s="61"/>
      <c r="CY24" s="45">
        <v>20</v>
      </c>
      <c r="CZ24" s="45">
        <v>17.040018652423818</v>
      </c>
      <c r="DA24" s="45" t="str">
        <v>Invest</v>
      </c>
      <c r="DU24" s="52"/>
      <c r="DV24" s="50"/>
    </row>
    <row r="25" spans="1:126" ht="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Q25" s="9" t="s">
        <v>52</v>
      </c>
      <c r="BR25" s="6">
        <f>L60-D76</f>
        <v>450</v>
      </c>
      <c r="CH25" s="45">
        <v>21</v>
      </c>
      <c r="CI25" s="45">
        <v>0</v>
      </c>
      <c r="CJ25" s="45" t="str">
        <v>Nothing</v>
      </c>
      <c r="CM25" s="45">
        <v>21</v>
      </c>
      <c r="CN25" s="48">
        <v>50.140142362375599</v>
      </c>
      <c r="CO25" s="45" t="str">
        <v>Invest</v>
      </c>
      <c r="CP25" s="61"/>
      <c r="CQ25" s="45">
        <v>21</v>
      </c>
      <c r="CR25" s="45">
        <v>5.938194433111633</v>
      </c>
      <c r="CS25" s="45" t="str">
        <v>Invest</v>
      </c>
      <c r="CT25" s="61"/>
      <c r="CU25" s="45">
        <v>21</v>
      </c>
      <c r="CV25" s="45">
        <v>32.528437430961077</v>
      </c>
      <c r="CW25" s="45" t="str">
        <v>Invest</v>
      </c>
      <c r="CX25" s="61"/>
      <c r="CY25" s="45">
        <v>21</v>
      </c>
      <c r="CZ25" s="45">
        <v>0</v>
      </c>
      <c r="DA25" s="45" t="str">
        <v>Nothing</v>
      </c>
      <c r="DT25" s="80" t="s">
        <v>116</v>
      </c>
      <c r="DU25" s="81"/>
      <c r="DV25" s="50"/>
    </row>
    <row r="26" spans="1:126" ht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Q26" s="9" t="s">
        <v>53</v>
      </c>
      <c r="BR26" s="6">
        <f>L61-D76</f>
        <v>-255</v>
      </c>
      <c r="CH26" s="45">
        <v>22</v>
      </c>
      <c r="CI26" s="45">
        <v>36.589186237991754</v>
      </c>
      <c r="CJ26" s="45" t="str">
        <v>Invest</v>
      </c>
      <c r="CM26" s="45">
        <v>22</v>
      </c>
      <c r="CN26" s="48">
        <v>22.680185289069897</v>
      </c>
      <c r="CO26" s="45" t="str">
        <v>Invest</v>
      </c>
      <c r="CP26" s="61"/>
      <c r="CQ26" s="45">
        <v>22</v>
      </c>
      <c r="CR26" s="45">
        <v>29.635426643754407</v>
      </c>
      <c r="CS26" s="45" t="str">
        <v>Invest</v>
      </c>
      <c r="CT26" s="61"/>
      <c r="CU26" s="45">
        <v>22</v>
      </c>
      <c r="CV26" s="45">
        <v>0</v>
      </c>
      <c r="CW26" s="45" t="str">
        <v>Nothing</v>
      </c>
      <c r="CX26" s="61"/>
      <c r="CY26" s="45">
        <v>22</v>
      </c>
      <c r="CZ26" s="45">
        <v>13.059847529802425</v>
      </c>
      <c r="DA26" s="45" t="str">
        <v>Invest</v>
      </c>
      <c r="DT26" s="62" t="s">
        <v>124</v>
      </c>
      <c r="DU26" s="63">
        <f>DU29</f>
        <v>16.480161800631226</v>
      </c>
      <c r="DV26" s="50"/>
    </row>
    <row r="27" spans="1:126" ht="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Q27" s="9" t="s">
        <v>54</v>
      </c>
      <c r="BR27" s="6">
        <f>L62-D76</f>
        <v>1350</v>
      </c>
      <c r="CH27" s="45">
        <v>23</v>
      </c>
      <c r="CI27" s="45">
        <v>45.613425521250207</v>
      </c>
      <c r="CJ27" s="45" t="str">
        <v>Invest</v>
      </c>
      <c r="CM27" s="45">
        <v>23</v>
      </c>
      <c r="CN27" s="48">
        <v>5.3588388555775612</v>
      </c>
      <c r="CO27" s="45" t="str">
        <v>Invest</v>
      </c>
      <c r="CP27" s="61"/>
      <c r="CQ27" s="45">
        <v>23</v>
      </c>
      <c r="CR27" s="45">
        <v>0</v>
      </c>
      <c r="CS27" s="45" t="str">
        <v>Nothing</v>
      </c>
      <c r="CT27" s="61"/>
      <c r="CU27" s="45">
        <v>23</v>
      </c>
      <c r="CV27" s="45">
        <v>17.813615464536618</v>
      </c>
      <c r="CW27" s="45" t="str">
        <v>Invest</v>
      </c>
      <c r="CX27" s="61"/>
      <c r="CY27" s="45">
        <v>23</v>
      </c>
      <c r="CZ27" s="45">
        <v>28.60164810161897</v>
      </c>
      <c r="DA27" s="45" t="str">
        <v>Invest</v>
      </c>
      <c r="DT27" s="62" t="s">
        <v>125</v>
      </c>
      <c r="DU27" s="63">
        <f>COUNTIF(CN5:CN2004,"&gt;0")</f>
        <v>1454</v>
      </c>
    </row>
    <row r="28" spans="1:126" ht="26.5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Q28" s="9" t="s">
        <v>5</v>
      </c>
      <c r="BR28" s="6">
        <f>-D76</f>
        <v>-500</v>
      </c>
      <c r="CH28" s="45">
        <v>24</v>
      </c>
      <c r="CI28" s="45">
        <v>14.716341809782257</v>
      </c>
      <c r="CJ28" s="45" t="str">
        <v>Invest</v>
      </c>
      <c r="CM28" s="45">
        <v>24</v>
      </c>
      <c r="CN28" s="48">
        <v>10.400672514110447</v>
      </c>
      <c r="CO28" s="45" t="str">
        <v>Invest</v>
      </c>
      <c r="CP28" s="61"/>
      <c r="CQ28" s="45">
        <v>24</v>
      </c>
      <c r="CR28" s="45">
        <v>52.523309934150127</v>
      </c>
      <c r="CS28" s="45" t="str">
        <v>Invest</v>
      </c>
      <c r="CT28" s="61"/>
      <c r="CU28" s="45">
        <v>24</v>
      </c>
      <c r="CV28" s="45">
        <v>0</v>
      </c>
      <c r="CW28" s="45" t="str">
        <v>Nothing</v>
      </c>
      <c r="CX28" s="61"/>
      <c r="CY28" s="45">
        <v>24</v>
      </c>
      <c r="CZ28" s="45">
        <v>12.484173398806409</v>
      </c>
      <c r="DA28" s="45" t="str">
        <v>Invest</v>
      </c>
      <c r="DT28" s="64" t="s">
        <v>126</v>
      </c>
      <c r="DU28" s="65">
        <f>COUNTIF(CN5:CN2004,"=0")</f>
        <v>546</v>
      </c>
      <c r="DV28" s="50"/>
    </row>
    <row r="29" spans="1:126" ht="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Q29" s="9" t="s">
        <v>40</v>
      </c>
      <c r="BR29" s="6">
        <f>-(D60+D63)</f>
        <v>-70</v>
      </c>
      <c r="CH29" s="45">
        <v>25</v>
      </c>
      <c r="CI29" s="45">
        <v>28.766852416411115</v>
      </c>
      <c r="CJ29" s="45" t="str">
        <v>Invest</v>
      </c>
      <c r="CM29" s="45">
        <v>25</v>
      </c>
      <c r="CN29" s="48">
        <v>33.743747073312022</v>
      </c>
      <c r="CO29" s="45" t="str">
        <v>Invest</v>
      </c>
      <c r="CP29" s="61"/>
      <c r="CQ29" s="45">
        <v>25</v>
      </c>
      <c r="CR29" s="45">
        <v>25.103806635024483</v>
      </c>
      <c r="CS29" s="45" t="str">
        <v>Invest</v>
      </c>
      <c r="CT29" s="61"/>
      <c r="CU29" s="45">
        <v>25</v>
      </c>
      <c r="CV29" s="45">
        <v>1.6684210769879924</v>
      </c>
      <c r="CW29" s="45" t="str">
        <v>Invest</v>
      </c>
      <c r="CX29" s="61"/>
      <c r="CY29" s="45">
        <v>25</v>
      </c>
      <c r="CZ29" s="45">
        <v>0</v>
      </c>
      <c r="DA29" s="45" t="str">
        <v>Nothing</v>
      </c>
      <c r="DT29" s="67" t="s">
        <v>100</v>
      </c>
      <c r="DU29" s="68">
        <f>AVERAGE(CN5:CN2004)</f>
        <v>16.480161800631226</v>
      </c>
      <c r="DV29" s="50"/>
    </row>
    <row r="30" spans="1:126" ht="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Q30" s="9" t="s">
        <v>55</v>
      </c>
      <c r="BR30" s="6">
        <f>(BR21*BR25)+(BR22*BR26)+(BR23*BR27)+(BR24*BR28)</f>
        <v>949.74999999999989</v>
      </c>
      <c r="CH30" s="45">
        <v>26</v>
      </c>
      <c r="CI30" s="45">
        <v>56.592948525434032</v>
      </c>
      <c r="CJ30" s="45" t="str">
        <v>Invest</v>
      </c>
      <c r="CM30" s="45">
        <v>26</v>
      </c>
      <c r="CN30" s="48">
        <v>0</v>
      </c>
      <c r="CO30" s="45" t="str">
        <v>Nothing</v>
      </c>
      <c r="CP30" s="61"/>
      <c r="CQ30" s="45">
        <v>26</v>
      </c>
      <c r="CR30" s="45">
        <v>0</v>
      </c>
      <c r="CS30" s="45" t="str">
        <v>Nothing</v>
      </c>
      <c r="CT30" s="61"/>
      <c r="CU30" s="45">
        <v>26</v>
      </c>
      <c r="CV30" s="45">
        <v>7.1523652087208225</v>
      </c>
      <c r="CW30" s="45" t="str">
        <v>Invest</v>
      </c>
      <c r="CX30" s="61"/>
      <c r="CY30" s="45">
        <v>26</v>
      </c>
      <c r="CZ30" s="45">
        <v>19.988565466463236</v>
      </c>
      <c r="DA30" s="45" t="str">
        <v>Invest</v>
      </c>
      <c r="DT30" s="67" t="s">
        <v>101</v>
      </c>
      <c r="DU30" s="67">
        <f>_xlfn.STDEV.S(CN5:CN2004)/(SQRT(2000))</f>
        <v>0.36936128095206905</v>
      </c>
      <c r="DV30" s="50"/>
    </row>
    <row r="31" spans="1:126" ht="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Q31" s="9" t="s">
        <v>3</v>
      </c>
      <c r="BR31" s="4">
        <f>MAX(BR29,BR30)</f>
        <v>949.74999999999989</v>
      </c>
      <c r="CH31" s="45">
        <v>27</v>
      </c>
      <c r="CI31" s="45">
        <v>15.202990045395506</v>
      </c>
      <c r="CJ31" s="45" t="str">
        <v>Invest</v>
      </c>
      <c r="CM31" s="45">
        <v>27</v>
      </c>
      <c r="CN31" s="48">
        <v>0</v>
      </c>
      <c r="CO31" s="45" t="str">
        <v>Nothing</v>
      </c>
      <c r="CP31" s="61"/>
      <c r="CQ31" s="45">
        <v>27</v>
      </c>
      <c r="CR31" s="45">
        <v>33.109038922018087</v>
      </c>
      <c r="CS31" s="45" t="str">
        <v>Invest</v>
      </c>
      <c r="CT31" s="61"/>
      <c r="CU31" s="45">
        <v>27</v>
      </c>
      <c r="CV31" s="45">
        <v>25.507778850602001</v>
      </c>
      <c r="CW31" s="45" t="str">
        <v>Invest</v>
      </c>
      <c r="CX31" s="61"/>
      <c r="CY31" s="45">
        <v>27</v>
      </c>
      <c r="CZ31" s="45">
        <v>0</v>
      </c>
      <c r="DA31" s="45" t="str">
        <v>Nothing</v>
      </c>
      <c r="DT31" s="67" t="s">
        <v>102</v>
      </c>
      <c r="DU31" s="67">
        <f>MEDIAN(CN5:CN2004)</f>
        <v>12.207680464161069</v>
      </c>
      <c r="DV31" s="50"/>
    </row>
    <row r="32" spans="1:126" ht="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Q32" s="9" t="s">
        <v>4</v>
      </c>
      <c r="BR32" s="5" t="str">
        <f>IF(BR30&gt;=BR28,"Invest","Nothing")</f>
        <v>Invest</v>
      </c>
      <c r="CH32" s="45">
        <v>28</v>
      </c>
      <c r="CI32" s="45">
        <v>49.53721786389174</v>
      </c>
      <c r="CJ32" s="45" t="str">
        <v>Invest</v>
      </c>
      <c r="CM32" s="45">
        <v>28</v>
      </c>
      <c r="CN32" s="48">
        <v>10.532823797210327</v>
      </c>
      <c r="CO32" s="45" t="str">
        <v>Invest</v>
      </c>
      <c r="CP32" s="61"/>
      <c r="CQ32" s="45">
        <v>28</v>
      </c>
      <c r="CR32" s="45">
        <v>0</v>
      </c>
      <c r="CS32" s="45" t="str">
        <v>Nothing</v>
      </c>
      <c r="CT32" s="61"/>
      <c r="CU32" s="45">
        <v>28</v>
      </c>
      <c r="CV32" s="45">
        <v>17.391226705116125</v>
      </c>
      <c r="CW32" s="45" t="str">
        <v>Invest</v>
      </c>
      <c r="CX32" s="61"/>
      <c r="CY32" s="45">
        <v>28</v>
      </c>
      <c r="CZ32" s="45">
        <v>48.68816919970439</v>
      </c>
      <c r="DA32" s="45" t="str">
        <v>Invest</v>
      </c>
      <c r="DT32" s="67" t="s">
        <v>103</v>
      </c>
      <c r="DU32" s="67">
        <f>_xlfn.MODE.SNGL(CN5:CN2004)</f>
        <v>0</v>
      </c>
      <c r="DV32" s="50"/>
    </row>
    <row r="33" spans="1:126" ht="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CH33" s="45">
        <v>29</v>
      </c>
      <c r="CI33" s="45">
        <v>0</v>
      </c>
      <c r="CJ33" s="45" t="str">
        <v>Nothing</v>
      </c>
      <c r="CM33" s="45">
        <v>29</v>
      </c>
      <c r="CN33" s="48">
        <v>4.2889247304111713</v>
      </c>
      <c r="CO33" s="45" t="str">
        <v>Invest</v>
      </c>
      <c r="CP33" s="61"/>
      <c r="CQ33" s="45">
        <v>29</v>
      </c>
      <c r="CR33" s="45">
        <v>20.343046312695794</v>
      </c>
      <c r="CS33" s="45" t="str">
        <v>Invest</v>
      </c>
      <c r="CT33" s="61"/>
      <c r="CU33" s="45">
        <v>29</v>
      </c>
      <c r="CV33" s="45">
        <v>2.0756931840862567</v>
      </c>
      <c r="CW33" s="45" t="str">
        <v>Invest</v>
      </c>
      <c r="CX33" s="61"/>
      <c r="CY33" s="45">
        <v>29</v>
      </c>
      <c r="CZ33" s="45">
        <v>21.764606427265434</v>
      </c>
      <c r="DA33" s="45" t="str">
        <v>Invest</v>
      </c>
      <c r="DT33" s="67" t="s">
        <v>104</v>
      </c>
      <c r="DU33" s="67">
        <f>_xlfn.STDEV.S(CN5:CN2004)</f>
        <v>16.518338649304493</v>
      </c>
      <c r="DV33" s="50"/>
    </row>
    <row r="34" spans="1:126" ht="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CH34" s="45">
        <v>30</v>
      </c>
      <c r="CI34" s="45">
        <v>9.4933078895473386</v>
      </c>
      <c r="CJ34" s="45" t="str">
        <v>Invest</v>
      </c>
      <c r="CM34" s="45">
        <v>30</v>
      </c>
      <c r="CN34" s="48">
        <v>0</v>
      </c>
      <c r="CO34" s="45" t="str">
        <v>Nothing</v>
      </c>
      <c r="CP34" s="61"/>
      <c r="CQ34" s="45">
        <v>30</v>
      </c>
      <c r="CR34" s="45">
        <v>0</v>
      </c>
      <c r="CS34" s="45" t="str">
        <v>Nothing</v>
      </c>
      <c r="CT34" s="61"/>
      <c r="CU34" s="45">
        <v>30</v>
      </c>
      <c r="CV34" s="45">
        <v>16.811895273340294</v>
      </c>
      <c r="CW34" s="45" t="str">
        <v>Invest</v>
      </c>
      <c r="CX34" s="61"/>
      <c r="CY34" s="45">
        <v>30</v>
      </c>
      <c r="CZ34" s="45">
        <v>42.072653033187834</v>
      </c>
      <c r="DA34" s="45" t="str">
        <v>Invest</v>
      </c>
      <c r="DT34" s="67" t="s">
        <v>105</v>
      </c>
      <c r="DU34" s="67">
        <f>_xlfn.VAR.S(CN5:CN2004)</f>
        <v>272.8555117331066</v>
      </c>
      <c r="DV34" s="50"/>
    </row>
    <row r="35" spans="1:126" ht="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CH35" s="45">
        <v>31</v>
      </c>
      <c r="CI35" s="45">
        <v>32.433089158761796</v>
      </c>
      <c r="CJ35" s="45" t="str">
        <v>Invest</v>
      </c>
      <c r="CM35" s="45">
        <v>31</v>
      </c>
      <c r="CN35" s="48">
        <v>17.757278820592465</v>
      </c>
      <c r="CO35" s="45" t="str">
        <v>Invest</v>
      </c>
      <c r="CP35" s="61"/>
      <c r="CQ35" s="45">
        <v>31</v>
      </c>
      <c r="CR35" s="45">
        <v>0</v>
      </c>
      <c r="CS35" s="45" t="str">
        <v>Nothing</v>
      </c>
      <c r="CT35" s="61"/>
      <c r="CU35" s="45">
        <v>31</v>
      </c>
      <c r="CV35" s="45">
        <v>0</v>
      </c>
      <c r="CW35" s="45" t="str">
        <v>Nothing</v>
      </c>
      <c r="CX35" s="61"/>
      <c r="CY35" s="45">
        <v>31</v>
      </c>
      <c r="CZ35" s="45">
        <v>0</v>
      </c>
      <c r="DA35" s="45" t="str">
        <v>Nothing</v>
      </c>
      <c r="DT35" s="67" t="s">
        <v>106</v>
      </c>
      <c r="DU35" s="67">
        <f>KURT(CN5:CN2004)</f>
        <v>-0.40572179156166843</v>
      </c>
      <c r="DV35" s="50"/>
    </row>
    <row r="36" spans="1:126" ht="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CH36" s="45">
        <v>32</v>
      </c>
      <c r="CI36" s="45">
        <v>12.542132133706838</v>
      </c>
      <c r="CJ36" s="45" t="str">
        <v>Invest</v>
      </c>
      <c r="CM36" s="45">
        <v>32</v>
      </c>
      <c r="CN36" s="48">
        <v>0</v>
      </c>
      <c r="CO36" s="45" t="str">
        <v>Nothing</v>
      </c>
      <c r="CP36" s="61"/>
      <c r="CQ36" s="45">
        <v>32</v>
      </c>
      <c r="CR36" s="45">
        <v>39.046442669337651</v>
      </c>
      <c r="CS36" s="45" t="str">
        <v>Invest</v>
      </c>
      <c r="CT36" s="61"/>
      <c r="CU36" s="45">
        <v>32</v>
      </c>
      <c r="CV36" s="45">
        <v>6.0621610506474521</v>
      </c>
      <c r="CW36" s="45" t="str">
        <v>Invest</v>
      </c>
      <c r="CX36" s="61"/>
      <c r="CY36" s="45">
        <v>32</v>
      </c>
      <c r="CZ36" s="45">
        <v>0</v>
      </c>
      <c r="DA36" s="45" t="str">
        <v>Nothing</v>
      </c>
      <c r="DT36" s="67" t="s">
        <v>107</v>
      </c>
      <c r="DU36" s="67">
        <f>SKEW(CN5:CN2004)</f>
        <v>0.79007912837953076</v>
      </c>
      <c r="DV36" s="50"/>
    </row>
    <row r="37" spans="1:126" ht="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CH37" s="45">
        <v>33</v>
      </c>
      <c r="CI37" s="45">
        <v>5.631291210398599</v>
      </c>
      <c r="CJ37" s="45" t="str">
        <v>Invest</v>
      </c>
      <c r="CM37" s="45">
        <v>33</v>
      </c>
      <c r="CN37" s="48">
        <v>33.891451584822228</v>
      </c>
      <c r="CO37" s="45" t="str">
        <v>Invest</v>
      </c>
      <c r="CP37" s="61"/>
      <c r="CQ37" s="45">
        <v>33</v>
      </c>
      <c r="CR37" s="45">
        <v>0</v>
      </c>
      <c r="CS37" s="45" t="str">
        <v>Nothing</v>
      </c>
      <c r="CT37" s="61"/>
      <c r="CU37" s="45">
        <v>33</v>
      </c>
      <c r="CV37" s="45">
        <v>6.8969255711956041</v>
      </c>
      <c r="CW37" s="45" t="str">
        <v>Invest</v>
      </c>
      <c r="CX37" s="61"/>
      <c r="CY37" s="45">
        <v>33</v>
      </c>
      <c r="CZ37" s="45">
        <v>11.520149536039424</v>
      </c>
      <c r="DA37" s="45" t="str">
        <v>Invest</v>
      </c>
      <c r="DT37" s="67" t="s">
        <v>108</v>
      </c>
      <c r="DU37" s="67">
        <f>MAX(CN5:CN2004)-MIN(CN5:CN2004)</f>
        <v>67.786494892730957</v>
      </c>
      <c r="DV37" s="50"/>
    </row>
    <row r="38" spans="1:126" ht="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CH38" s="45">
        <v>34</v>
      </c>
      <c r="CI38" s="45">
        <v>0</v>
      </c>
      <c r="CJ38" s="45" t="str">
        <v>Nothing</v>
      </c>
      <c r="CM38" s="45">
        <v>34</v>
      </c>
      <c r="CN38" s="48">
        <v>0</v>
      </c>
      <c r="CO38" s="45" t="str">
        <v>Nothing</v>
      </c>
      <c r="CP38" s="61"/>
      <c r="CQ38" s="45">
        <v>34</v>
      </c>
      <c r="CR38" s="45">
        <v>9.4355323260333925</v>
      </c>
      <c r="CS38" s="45" t="str">
        <v>Invest</v>
      </c>
      <c r="CT38" s="61"/>
      <c r="CU38" s="45">
        <v>34</v>
      </c>
      <c r="CV38" s="45">
        <v>7.7723018387152703</v>
      </c>
      <c r="CW38" s="45" t="str">
        <v>Invest</v>
      </c>
      <c r="CX38" s="61"/>
      <c r="CY38" s="45">
        <v>34</v>
      </c>
      <c r="CZ38" s="45">
        <v>0</v>
      </c>
      <c r="DA38" s="45" t="str">
        <v>Nothing</v>
      </c>
      <c r="DT38" s="67" t="s">
        <v>109</v>
      </c>
      <c r="DU38" s="67">
        <f>MIN(CN5:CN2004)</f>
        <v>0</v>
      </c>
      <c r="DV38" s="50"/>
    </row>
    <row r="39" spans="1:126" ht="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CH39" s="45">
        <v>35</v>
      </c>
      <c r="CI39" s="45">
        <v>21.727211765169983</v>
      </c>
      <c r="CJ39" s="45" t="str">
        <v>Invest</v>
      </c>
      <c r="CM39" s="45">
        <v>35</v>
      </c>
      <c r="CN39" s="48">
        <v>22.52258721409417</v>
      </c>
      <c r="CO39" s="45" t="str">
        <v>Invest</v>
      </c>
      <c r="CP39" s="61"/>
      <c r="CQ39" s="45">
        <v>35</v>
      </c>
      <c r="CR39" s="45">
        <v>4.6168814520165835</v>
      </c>
      <c r="CS39" s="45" t="str">
        <v>Invest</v>
      </c>
      <c r="CT39" s="61"/>
      <c r="CU39" s="45">
        <v>35</v>
      </c>
      <c r="CV39" s="45">
        <v>27.276000183179956</v>
      </c>
      <c r="CW39" s="45" t="str">
        <v>Invest</v>
      </c>
      <c r="CX39" s="61"/>
      <c r="CY39" s="45">
        <v>35</v>
      </c>
      <c r="CZ39" s="45">
        <v>19.298716667985317</v>
      </c>
      <c r="DA39" s="45" t="str">
        <v>Invest</v>
      </c>
      <c r="DT39" s="67" t="s">
        <v>110</v>
      </c>
      <c r="DU39" s="67">
        <f>MAX(CN5:CN2004)</f>
        <v>67.786494892730957</v>
      </c>
      <c r="DV39" s="50"/>
    </row>
    <row r="40" spans="1:126" ht="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CH40" s="45">
        <v>36</v>
      </c>
      <c r="CI40" s="45">
        <v>10.698872341303955</v>
      </c>
      <c r="CJ40" s="45" t="str">
        <v>Invest</v>
      </c>
      <c r="CM40" s="45">
        <v>36</v>
      </c>
      <c r="CN40" s="48">
        <v>38.216593869503782</v>
      </c>
      <c r="CO40" s="45" t="str">
        <v>Invest</v>
      </c>
      <c r="CP40" s="61"/>
      <c r="CQ40" s="45">
        <v>36</v>
      </c>
      <c r="CR40" s="45">
        <v>1.8490750058132059</v>
      </c>
      <c r="CS40" s="45" t="str">
        <v>Invest</v>
      </c>
      <c r="CT40" s="61"/>
      <c r="CU40" s="45">
        <v>36</v>
      </c>
      <c r="CV40" s="45">
        <v>0</v>
      </c>
      <c r="CW40" s="45" t="str">
        <v>Nothing</v>
      </c>
      <c r="CX40" s="61"/>
      <c r="CY40" s="45">
        <v>36</v>
      </c>
      <c r="CZ40" s="45">
        <v>0</v>
      </c>
      <c r="DA40" s="45" t="str">
        <v>Nothing</v>
      </c>
      <c r="DT40" s="67" t="s">
        <v>111</v>
      </c>
      <c r="DU40" s="67">
        <f>SUM(CN5:CN2004)</f>
        <v>32960.323601262455</v>
      </c>
      <c r="DV40" s="50"/>
    </row>
    <row r="41" spans="1:126" ht="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CH41" s="45">
        <v>37</v>
      </c>
      <c r="CI41" s="45">
        <v>58.286792537454097</v>
      </c>
      <c r="CJ41" s="45" t="str">
        <v>Invest</v>
      </c>
      <c r="CM41" s="45">
        <v>37</v>
      </c>
      <c r="CN41" s="48">
        <v>15.375664624001596</v>
      </c>
      <c r="CO41" s="45" t="str">
        <v>Invest</v>
      </c>
      <c r="CP41" s="61"/>
      <c r="CQ41" s="45">
        <v>37</v>
      </c>
      <c r="CR41" s="45">
        <v>0</v>
      </c>
      <c r="CS41" s="45" t="str">
        <v>Nothing</v>
      </c>
      <c r="CT41" s="61"/>
      <c r="CU41" s="45">
        <v>37</v>
      </c>
      <c r="CV41" s="45">
        <v>56.032697817547231</v>
      </c>
      <c r="CW41" s="45" t="str">
        <v>Invest</v>
      </c>
      <c r="CX41" s="61"/>
      <c r="CY41" s="45">
        <v>37</v>
      </c>
      <c r="CZ41" s="45">
        <v>17.184547810483807</v>
      </c>
      <c r="DA41" s="45" t="str">
        <v>Invest</v>
      </c>
      <c r="DT41" s="67" t="s">
        <v>112</v>
      </c>
      <c r="DU41" s="67">
        <f>COUNT(CN5:CN2004)</f>
        <v>2000</v>
      </c>
      <c r="DV41" s="50"/>
    </row>
    <row r="42" spans="1:126" ht="23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CH42" s="45">
        <v>38</v>
      </c>
      <c r="CI42" s="45">
        <v>45.035506231009585</v>
      </c>
      <c r="CJ42" s="45" t="str">
        <v>Invest</v>
      </c>
      <c r="CM42" s="45">
        <v>38</v>
      </c>
      <c r="CN42" s="48">
        <v>0</v>
      </c>
      <c r="CO42" s="45" t="str">
        <v>Nothing</v>
      </c>
      <c r="CP42" s="61"/>
      <c r="CQ42" s="45">
        <v>38</v>
      </c>
      <c r="CR42" s="45">
        <v>6.0268410097813465</v>
      </c>
      <c r="CS42" s="45" t="str">
        <v>Invest</v>
      </c>
      <c r="CT42" s="61"/>
      <c r="CU42" s="45">
        <v>38</v>
      </c>
      <c r="CV42" s="45">
        <v>0.22618692029881959</v>
      </c>
      <c r="CW42" s="45" t="str">
        <v>Invest</v>
      </c>
      <c r="CX42" s="61"/>
      <c r="CY42" s="45">
        <v>38</v>
      </c>
      <c r="CZ42" s="45">
        <v>46.201564166430259</v>
      </c>
      <c r="DA42" s="45" t="str">
        <v>Invest</v>
      </c>
      <c r="DU42" s="52"/>
      <c r="DV42" s="50"/>
    </row>
    <row r="43" spans="1:126" ht="23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CH43" s="45">
        <v>39</v>
      </c>
      <c r="CI43" s="45">
        <v>13.9686746401512</v>
      </c>
      <c r="CJ43" s="45" t="str">
        <v>Invest</v>
      </c>
      <c r="CM43" s="45">
        <v>39</v>
      </c>
      <c r="CN43" s="48">
        <v>17.052904598424377</v>
      </c>
      <c r="CO43" s="45" t="str">
        <v>Invest</v>
      </c>
      <c r="CP43" s="61"/>
      <c r="CQ43" s="45">
        <v>39</v>
      </c>
      <c r="CR43" s="45">
        <v>0</v>
      </c>
      <c r="CS43" s="45" t="str">
        <v>Nothing</v>
      </c>
      <c r="CT43" s="61"/>
      <c r="CU43" s="45">
        <v>39</v>
      </c>
      <c r="CV43" s="45">
        <v>0</v>
      </c>
      <c r="CW43" s="45" t="str">
        <v>Nothing</v>
      </c>
      <c r="CX43" s="61"/>
      <c r="CY43" s="45">
        <v>39</v>
      </c>
      <c r="CZ43" s="45">
        <v>0</v>
      </c>
      <c r="DA43" s="45" t="str">
        <v>Nothing</v>
      </c>
      <c r="DU43" s="52"/>
      <c r="DV43" s="50"/>
    </row>
    <row r="44" spans="1:126" ht="23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CH44" s="45">
        <v>40</v>
      </c>
      <c r="CI44" s="45">
        <v>0</v>
      </c>
      <c r="CJ44" s="45" t="str">
        <v>Nothing</v>
      </c>
      <c r="CM44" s="45">
        <v>40</v>
      </c>
      <c r="CN44" s="48">
        <v>29.195232194775887</v>
      </c>
      <c r="CO44" s="45" t="str">
        <v>Invest</v>
      </c>
      <c r="CP44" s="61"/>
      <c r="CQ44" s="45">
        <v>40</v>
      </c>
      <c r="CR44" s="45">
        <v>16.194680868475473</v>
      </c>
      <c r="CS44" s="45" t="str">
        <v>Invest</v>
      </c>
      <c r="CT44" s="61"/>
      <c r="CU44" s="45">
        <v>40</v>
      </c>
      <c r="CV44" s="45">
        <v>21.593714276079318</v>
      </c>
      <c r="CW44" s="45" t="str">
        <v>Invest</v>
      </c>
      <c r="CX44" s="61"/>
      <c r="CY44" s="45">
        <v>40</v>
      </c>
      <c r="CZ44" s="45">
        <v>2.930360950200587</v>
      </c>
      <c r="DA44" s="45" t="str">
        <v>Invest</v>
      </c>
      <c r="DU44" s="52"/>
      <c r="DV44" s="50"/>
    </row>
    <row r="45" spans="1:126" ht="23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CH45" s="45">
        <v>41</v>
      </c>
      <c r="CI45" s="45">
        <v>0</v>
      </c>
      <c r="CJ45" s="45" t="str">
        <v>Nothing</v>
      </c>
      <c r="CM45" s="45">
        <v>41</v>
      </c>
      <c r="CN45" s="48">
        <v>60.528433370329566</v>
      </c>
      <c r="CO45" s="45" t="str">
        <v>Invest</v>
      </c>
      <c r="CP45" s="61"/>
      <c r="CQ45" s="45">
        <v>41</v>
      </c>
      <c r="CR45" s="45">
        <v>36.141945751157223</v>
      </c>
      <c r="CS45" s="45" t="str">
        <v>Invest</v>
      </c>
      <c r="CT45" s="61"/>
      <c r="CU45" s="45">
        <v>41</v>
      </c>
      <c r="CV45" s="45">
        <v>25.504528496617176</v>
      </c>
      <c r="CW45" s="45" t="str">
        <v>Invest</v>
      </c>
      <c r="CX45" s="61"/>
      <c r="CY45" s="45">
        <v>41</v>
      </c>
      <c r="CZ45" s="45">
        <v>0</v>
      </c>
      <c r="DA45" s="45" t="str">
        <v>Nothing</v>
      </c>
      <c r="DU45" s="52"/>
      <c r="DV45" s="50"/>
    </row>
    <row r="46" spans="1:126" ht="23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CH46" s="45">
        <v>42</v>
      </c>
      <c r="CI46" s="45">
        <v>46.504343250524492</v>
      </c>
      <c r="CJ46" s="45" t="str">
        <v>Invest</v>
      </c>
      <c r="CM46" s="45">
        <v>42</v>
      </c>
      <c r="CN46" s="48">
        <v>22.763496882080776</v>
      </c>
      <c r="CO46" s="45" t="str">
        <v>Invest</v>
      </c>
      <c r="CP46" s="61"/>
      <c r="CQ46" s="45">
        <v>42</v>
      </c>
      <c r="CR46" s="45">
        <v>52.547265845416078</v>
      </c>
      <c r="CS46" s="45" t="str">
        <v>Invest</v>
      </c>
      <c r="CT46" s="61"/>
      <c r="CU46" s="45">
        <v>42</v>
      </c>
      <c r="CV46" s="45">
        <v>5.8752971158718381</v>
      </c>
      <c r="CW46" s="45" t="str">
        <v>Invest</v>
      </c>
      <c r="CX46" s="61"/>
      <c r="CY46" s="45">
        <v>42</v>
      </c>
      <c r="CZ46" s="45">
        <v>4.4707089312279358</v>
      </c>
      <c r="DA46" s="45" t="str">
        <v>Invest</v>
      </c>
      <c r="DU46" s="52"/>
      <c r="DV46" s="50"/>
    </row>
    <row r="47" spans="1:126" ht="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CH47" s="45">
        <v>43</v>
      </c>
      <c r="CI47" s="45">
        <v>20.111039149446658</v>
      </c>
      <c r="CJ47" s="45" t="str">
        <v>Invest</v>
      </c>
      <c r="CM47" s="45">
        <v>43</v>
      </c>
      <c r="CN47" s="48">
        <v>8.4604726449992906</v>
      </c>
      <c r="CO47" s="45" t="str">
        <v>Invest</v>
      </c>
      <c r="CP47" s="61"/>
      <c r="CQ47" s="45">
        <v>43</v>
      </c>
      <c r="CR47" s="45">
        <v>4.0768139940768862</v>
      </c>
      <c r="CS47" s="45" t="str">
        <v>Invest</v>
      </c>
      <c r="CT47" s="61"/>
      <c r="CU47" s="45">
        <v>43</v>
      </c>
      <c r="CV47" s="45">
        <v>29.240262899173597</v>
      </c>
      <c r="CW47" s="45" t="str">
        <v>Invest</v>
      </c>
      <c r="CX47" s="61"/>
      <c r="CY47" s="45">
        <v>43</v>
      </c>
      <c r="CZ47" s="45">
        <v>12.634986536791452</v>
      </c>
      <c r="DA47" s="45" t="str">
        <v>Invest</v>
      </c>
      <c r="DT47" s="80" t="s">
        <v>120</v>
      </c>
      <c r="DU47" s="81"/>
      <c r="DV47" s="50"/>
    </row>
    <row r="48" spans="1:126" ht="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CH48" s="45">
        <v>44</v>
      </c>
      <c r="CI48" s="45">
        <v>15.299444847643494</v>
      </c>
      <c r="CJ48" s="45" t="str">
        <v>Invest</v>
      </c>
      <c r="CM48" s="45">
        <v>44</v>
      </c>
      <c r="CN48" s="48">
        <v>18.60862998714201</v>
      </c>
      <c r="CO48" s="45" t="str">
        <v>Invest</v>
      </c>
      <c r="CP48" s="61"/>
      <c r="CQ48" s="45">
        <v>44</v>
      </c>
      <c r="CR48" s="45">
        <v>39.706578156529886</v>
      </c>
      <c r="CS48" s="45" t="str">
        <v>Invest</v>
      </c>
      <c r="CT48" s="61"/>
      <c r="CU48" s="45">
        <v>44</v>
      </c>
      <c r="CV48" s="45">
        <v>0</v>
      </c>
      <c r="CW48" s="45" t="str">
        <v>Nothing</v>
      </c>
      <c r="CX48" s="61"/>
      <c r="CY48" s="45">
        <v>44</v>
      </c>
      <c r="CZ48" s="45">
        <v>37.646693521986656</v>
      </c>
      <c r="DA48" s="45" t="str">
        <v>Invest</v>
      </c>
      <c r="DT48" s="62" t="s">
        <v>124</v>
      </c>
      <c r="DU48" s="63">
        <f>DU51</f>
        <v>16.450041826168381</v>
      </c>
      <c r="DV48" s="50"/>
    </row>
    <row r="49" spans="1:126" ht="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CH49" s="45">
        <v>45</v>
      </c>
      <c r="CI49" s="45">
        <v>50.16116257351851</v>
      </c>
      <c r="CJ49" s="45" t="str">
        <v>Invest</v>
      </c>
      <c r="CM49" s="45">
        <v>45</v>
      </c>
      <c r="CN49" s="48">
        <v>3.8919522154653849</v>
      </c>
      <c r="CO49" s="45" t="str">
        <v>Invest</v>
      </c>
      <c r="CP49" s="61"/>
      <c r="CQ49" s="45">
        <v>45</v>
      </c>
      <c r="CR49" s="45">
        <v>0</v>
      </c>
      <c r="CS49" s="45" t="str">
        <v>Nothing</v>
      </c>
      <c r="CT49" s="61"/>
      <c r="CU49" s="45">
        <v>45</v>
      </c>
      <c r="CV49" s="45">
        <v>0</v>
      </c>
      <c r="CW49" s="45" t="str">
        <v>Nothing</v>
      </c>
      <c r="CX49" s="61"/>
      <c r="CY49" s="45">
        <v>45</v>
      </c>
      <c r="CZ49" s="45">
        <v>4.5871848621472111</v>
      </c>
      <c r="DA49" s="45" t="str">
        <v>Invest</v>
      </c>
      <c r="DT49" s="62" t="s">
        <v>125</v>
      </c>
      <c r="DU49" s="63">
        <f>COUNTIF(CR5:CR3004,"&gt;0")</f>
        <v>2195</v>
      </c>
      <c r="DV49" s="50"/>
    </row>
    <row r="50" spans="1:126" ht="26.5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CH50" s="45">
        <v>46</v>
      </c>
      <c r="CI50" s="45">
        <v>3.5122587614083169</v>
      </c>
      <c r="CJ50" s="45" t="str">
        <v>Invest</v>
      </c>
      <c r="CM50" s="45">
        <v>46</v>
      </c>
      <c r="CN50" s="48">
        <v>21.020261149926512</v>
      </c>
      <c r="CO50" s="45" t="str">
        <v>Invest</v>
      </c>
      <c r="CP50" s="61"/>
      <c r="CQ50" s="45">
        <v>46</v>
      </c>
      <c r="CR50" s="45">
        <v>15.416507817016267</v>
      </c>
      <c r="CS50" s="45" t="str">
        <v>Invest</v>
      </c>
      <c r="CT50" s="61"/>
      <c r="CU50" s="45">
        <v>46</v>
      </c>
      <c r="CV50" s="45">
        <v>2.7907019344826089</v>
      </c>
      <c r="CW50" s="45" t="str">
        <v>Invest</v>
      </c>
      <c r="CX50" s="61"/>
      <c r="CY50" s="45">
        <v>46</v>
      </c>
      <c r="CZ50" s="45">
        <v>48.797763768420765</v>
      </c>
      <c r="DA50" s="45" t="str">
        <v>Invest</v>
      </c>
      <c r="DT50" s="64" t="s">
        <v>126</v>
      </c>
      <c r="DU50" s="65">
        <f>COUNTIF(CR5:CR3004,"=0")</f>
        <v>805</v>
      </c>
      <c r="DV50" s="50"/>
    </row>
    <row r="51" spans="1:126" ht="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CH51" s="45">
        <v>47</v>
      </c>
      <c r="CI51" s="45">
        <v>0</v>
      </c>
      <c r="CJ51" s="45" t="str">
        <v>Nothing</v>
      </c>
      <c r="CM51" s="45">
        <v>47</v>
      </c>
      <c r="CN51" s="48">
        <v>34.668171831226907</v>
      </c>
      <c r="CO51" s="45" t="str">
        <v>Invest</v>
      </c>
      <c r="CP51" s="61"/>
      <c r="CQ51" s="45">
        <v>47</v>
      </c>
      <c r="CR51" s="45">
        <v>0</v>
      </c>
      <c r="CS51" s="45" t="str">
        <v>Nothing</v>
      </c>
      <c r="CT51" s="61"/>
      <c r="CU51" s="45">
        <v>47</v>
      </c>
      <c r="CV51" s="45">
        <v>0</v>
      </c>
      <c r="CW51" s="45" t="str">
        <v>Nothing</v>
      </c>
      <c r="CX51" s="61"/>
      <c r="CY51" s="45">
        <v>47</v>
      </c>
      <c r="CZ51" s="45">
        <v>0</v>
      </c>
      <c r="DA51" s="45" t="str">
        <v>Nothing</v>
      </c>
      <c r="DT51" s="67" t="s">
        <v>100</v>
      </c>
      <c r="DU51" s="67">
        <f>AVERAGE(CR5:CR3004)</f>
        <v>16.450041826168381</v>
      </c>
      <c r="DV51" s="50"/>
    </row>
    <row r="52" spans="1:126" ht="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CH52" s="45">
        <v>48</v>
      </c>
      <c r="CI52" s="45">
        <v>0</v>
      </c>
      <c r="CJ52" s="45" t="str">
        <v>Nothing</v>
      </c>
      <c r="CM52" s="45">
        <v>48</v>
      </c>
      <c r="CN52" s="48">
        <v>29.679577067111811</v>
      </c>
      <c r="CO52" s="45" t="str">
        <v>Invest</v>
      </c>
      <c r="CP52" s="61"/>
      <c r="CQ52" s="45">
        <v>48</v>
      </c>
      <c r="CR52" s="45">
        <v>0</v>
      </c>
      <c r="CS52" s="45" t="str">
        <v>Nothing</v>
      </c>
      <c r="CT52" s="61"/>
      <c r="CU52" s="45">
        <v>48</v>
      </c>
      <c r="CV52" s="45">
        <v>0</v>
      </c>
      <c r="CW52" s="45" t="str">
        <v>Nothing</v>
      </c>
      <c r="CX52" s="61"/>
      <c r="CY52" s="45">
        <v>48</v>
      </c>
      <c r="CZ52" s="45">
        <v>11.194735987150283</v>
      </c>
      <c r="DA52" s="45" t="str">
        <v>Invest</v>
      </c>
      <c r="DT52" s="67" t="s">
        <v>101</v>
      </c>
      <c r="DU52" s="67">
        <f>_xlfn.STDEV.S(CR5:CR3004)/(SQRT(3000))</f>
        <v>0.30075096754365366</v>
      </c>
      <c r="DV52" s="50"/>
    </row>
    <row r="53" spans="1:126" ht="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CH53" s="45">
        <v>49</v>
      </c>
      <c r="CI53" s="45">
        <v>0</v>
      </c>
      <c r="CJ53" s="45" t="str">
        <v>Nothing</v>
      </c>
      <c r="CM53" s="45">
        <v>49</v>
      </c>
      <c r="CN53" s="48">
        <v>8.6998528090705207</v>
      </c>
      <c r="CO53" s="45" t="str">
        <v>Invest</v>
      </c>
      <c r="CP53" s="61"/>
      <c r="CQ53" s="45">
        <v>49</v>
      </c>
      <c r="CR53" s="45">
        <v>0</v>
      </c>
      <c r="CS53" s="45" t="str">
        <v>Nothing</v>
      </c>
      <c r="CT53" s="61"/>
      <c r="CU53" s="45">
        <v>49</v>
      </c>
      <c r="CV53" s="45">
        <v>0</v>
      </c>
      <c r="CW53" s="45" t="str">
        <v>Nothing</v>
      </c>
      <c r="CX53" s="61"/>
      <c r="CY53" s="45">
        <v>49</v>
      </c>
      <c r="CZ53" s="45">
        <v>2.9571566638791289</v>
      </c>
      <c r="DA53" s="45" t="str">
        <v>Invest</v>
      </c>
      <c r="DT53" s="67" t="s">
        <v>102</v>
      </c>
      <c r="DU53" s="67">
        <f>MEDIAN(CR5:CR3004)</f>
        <v>12.387350467767941</v>
      </c>
      <c r="DV53" s="50"/>
    </row>
    <row r="54" spans="1:126" ht="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CH54" s="45">
        <v>50</v>
      </c>
      <c r="CI54" s="45">
        <v>14.60215197282484</v>
      </c>
      <c r="CJ54" s="45" t="str">
        <v>Invest</v>
      </c>
      <c r="CM54" s="45">
        <v>50</v>
      </c>
      <c r="CN54" s="48">
        <v>25.833628673867466</v>
      </c>
      <c r="CO54" s="45" t="str">
        <v>Invest</v>
      </c>
      <c r="CP54" s="61"/>
      <c r="CQ54" s="45">
        <v>50</v>
      </c>
      <c r="CR54" s="45">
        <v>0</v>
      </c>
      <c r="CS54" s="45" t="str">
        <v>Nothing</v>
      </c>
      <c r="CT54" s="61"/>
      <c r="CU54" s="45">
        <v>50</v>
      </c>
      <c r="CV54" s="45">
        <v>18.100358369490763</v>
      </c>
      <c r="CW54" s="45" t="str">
        <v>Invest</v>
      </c>
      <c r="CX54" s="61"/>
      <c r="CY54" s="45">
        <v>50</v>
      </c>
      <c r="CZ54" s="45">
        <v>29.323930646904387</v>
      </c>
      <c r="DA54" s="45" t="str">
        <v>Invest</v>
      </c>
      <c r="DT54" s="67" t="s">
        <v>103</v>
      </c>
      <c r="DU54" s="67">
        <f>_xlfn.MODE.SNGL(CR5:CR3004)</f>
        <v>0</v>
      </c>
      <c r="DV54" s="50"/>
    </row>
    <row r="55" spans="1:126" ht="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CH55" s="45">
        <v>51</v>
      </c>
      <c r="CI55" s="45">
        <v>18.773399163608325</v>
      </c>
      <c r="CJ55" s="45" t="str">
        <v>Invest</v>
      </c>
      <c r="CM55" s="45">
        <v>51</v>
      </c>
      <c r="CN55" s="48">
        <v>18.940712750646554</v>
      </c>
      <c r="CO55" s="45" t="str">
        <v>Invest</v>
      </c>
      <c r="CP55" s="61"/>
      <c r="CQ55" s="45">
        <v>51</v>
      </c>
      <c r="CR55" s="45">
        <v>12.085086917412966</v>
      </c>
      <c r="CS55" s="45" t="str">
        <v>Invest</v>
      </c>
      <c r="CT55" s="61"/>
      <c r="CU55" s="45">
        <v>51</v>
      </c>
      <c r="CV55" s="45">
        <v>18.760290230359182</v>
      </c>
      <c r="CW55" s="45" t="str">
        <v>Invest</v>
      </c>
      <c r="CX55" s="61"/>
      <c r="CY55" s="45">
        <v>51</v>
      </c>
      <c r="CZ55" s="45">
        <v>18.938243537434388</v>
      </c>
      <c r="DA55" s="45" t="str">
        <v>Invest</v>
      </c>
      <c r="DT55" s="67" t="s">
        <v>104</v>
      </c>
      <c r="DU55" s="67">
        <f>_xlfn.STDEV.S(CR5:CR3004)</f>
        <v>16.472808911516321</v>
      </c>
      <c r="DV55" s="50"/>
    </row>
    <row r="56" spans="1:126" ht="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CH56" s="45">
        <v>52</v>
      </c>
      <c r="CI56" s="45">
        <v>0</v>
      </c>
      <c r="CJ56" s="45" t="str">
        <v>Nothing</v>
      </c>
      <c r="CM56" s="45">
        <v>52</v>
      </c>
      <c r="CN56" s="48">
        <v>6.6276464750665554</v>
      </c>
      <c r="CO56" s="45" t="str">
        <v>Invest</v>
      </c>
      <c r="CP56" s="61"/>
      <c r="CQ56" s="45">
        <v>52</v>
      </c>
      <c r="CR56" s="45">
        <v>0</v>
      </c>
      <c r="CS56" s="45" t="str">
        <v>Nothing</v>
      </c>
      <c r="CT56" s="61"/>
      <c r="CU56" s="45">
        <v>52</v>
      </c>
      <c r="CV56" s="45">
        <v>29.343689487165335</v>
      </c>
      <c r="CW56" s="45" t="str">
        <v>Invest</v>
      </c>
      <c r="CX56" s="61"/>
      <c r="CY56" s="45">
        <v>52</v>
      </c>
      <c r="CZ56" s="45">
        <v>0</v>
      </c>
      <c r="DA56" s="45" t="str">
        <v>Nothing</v>
      </c>
      <c r="DT56" s="67" t="s">
        <v>105</v>
      </c>
      <c r="DU56" s="67">
        <f>_xlfn.VAR.S(CR5:CR3004)</f>
        <v>271.35343343533151</v>
      </c>
      <c r="DV56" s="50"/>
    </row>
    <row r="57" spans="1:126" ht="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CH57" s="45">
        <v>53</v>
      </c>
      <c r="CI57" s="45">
        <v>28.436395495608583</v>
      </c>
      <c r="CJ57" s="45" t="str">
        <v>Invest</v>
      </c>
      <c r="CM57" s="45">
        <v>53</v>
      </c>
      <c r="CN57" s="48">
        <v>12.210611784447577</v>
      </c>
      <c r="CO57" s="45" t="str">
        <v>Invest</v>
      </c>
      <c r="CP57" s="61"/>
      <c r="CQ57" s="45">
        <v>53</v>
      </c>
      <c r="CR57" s="45">
        <v>26.909348161918178</v>
      </c>
      <c r="CS57" s="45" t="str">
        <v>Invest</v>
      </c>
      <c r="CT57" s="61"/>
      <c r="CU57" s="45">
        <v>53</v>
      </c>
      <c r="CV57" s="45">
        <v>55.067261623469086</v>
      </c>
      <c r="CW57" s="45" t="str">
        <v>Invest</v>
      </c>
      <c r="CX57" s="61"/>
      <c r="CY57" s="45">
        <v>53</v>
      </c>
      <c r="CZ57" s="45">
        <v>0</v>
      </c>
      <c r="DA57" s="45" t="str">
        <v>Nothing</v>
      </c>
      <c r="DT57" s="67" t="s">
        <v>106</v>
      </c>
      <c r="DU57" s="67">
        <f>KURT(CR5:CR3004)</f>
        <v>-0.31697815136137164</v>
      </c>
      <c r="DV57" s="50"/>
    </row>
    <row r="58" spans="1:126" ht="26">
      <c r="CH58" s="45">
        <v>54</v>
      </c>
      <c r="CI58" s="45">
        <v>0</v>
      </c>
      <c r="CJ58" s="45" t="str">
        <v>Nothing</v>
      </c>
      <c r="CM58" s="45">
        <v>54</v>
      </c>
      <c r="CN58" s="48">
        <v>3.1105729430067708</v>
      </c>
      <c r="CO58" s="45" t="str">
        <v>Invest</v>
      </c>
      <c r="CP58" s="61"/>
      <c r="CQ58" s="45">
        <v>54</v>
      </c>
      <c r="CR58" s="45">
        <v>0</v>
      </c>
      <c r="CS58" s="45" t="str">
        <v>Nothing</v>
      </c>
      <c r="CT58" s="61"/>
      <c r="CU58" s="45">
        <v>54</v>
      </c>
      <c r="CV58" s="45">
        <v>28.477613494069015</v>
      </c>
      <c r="CW58" s="45" t="str">
        <v>Invest</v>
      </c>
      <c r="CX58" s="61"/>
      <c r="CY58" s="45">
        <v>54</v>
      </c>
      <c r="CZ58" s="45">
        <v>18.312760945283578</v>
      </c>
      <c r="DA58" s="45" t="str">
        <v>Invest</v>
      </c>
      <c r="DT58" s="67" t="s">
        <v>107</v>
      </c>
      <c r="DU58" s="67">
        <f>SKEW(CR5:CR3004)</f>
        <v>0.8137983473318402</v>
      </c>
      <c r="DV58" s="50"/>
    </row>
    <row r="59" spans="1:126" ht="26">
      <c r="B59" s="14" t="s">
        <v>7</v>
      </c>
      <c r="C59" s="14" t="s">
        <v>8</v>
      </c>
      <c r="D59" s="14" t="s">
        <v>39</v>
      </c>
      <c r="E59" s="14" t="s">
        <v>12</v>
      </c>
      <c r="I59" s="18"/>
      <c r="J59" s="29" t="s">
        <v>43</v>
      </c>
      <c r="K59" s="29" t="s">
        <v>44</v>
      </c>
      <c r="L59" s="29" t="s">
        <v>46</v>
      </c>
      <c r="CH59" s="45">
        <v>55</v>
      </c>
      <c r="CI59" s="45">
        <v>0.90510203874519757</v>
      </c>
      <c r="CJ59" s="45" t="str">
        <v>Invest</v>
      </c>
      <c r="CM59" s="45">
        <v>55</v>
      </c>
      <c r="CN59" s="48">
        <v>30.349290787336557</v>
      </c>
      <c r="CO59" s="45" t="str">
        <v>Invest</v>
      </c>
      <c r="CP59" s="61"/>
      <c r="CQ59" s="45">
        <v>55</v>
      </c>
      <c r="CR59" s="45">
        <v>2.7397472807506666</v>
      </c>
      <c r="CS59" s="45" t="str">
        <v>Invest</v>
      </c>
      <c r="CT59" s="61"/>
      <c r="CU59" s="45">
        <v>55</v>
      </c>
      <c r="CV59" s="45">
        <v>6.8301279608679515</v>
      </c>
      <c r="CW59" s="45" t="str">
        <v>Invest</v>
      </c>
      <c r="CX59" s="61"/>
      <c r="CY59" s="45">
        <v>55</v>
      </c>
      <c r="CZ59" s="45">
        <v>0</v>
      </c>
      <c r="DA59" s="45" t="str">
        <v>Nothing</v>
      </c>
      <c r="DT59" s="67" t="s">
        <v>108</v>
      </c>
      <c r="DU59" s="67">
        <f>MAX(CR5:CR3004)-MIN(CR5:CR3004)</f>
        <v>65.788679285111243</v>
      </c>
      <c r="DV59" s="50"/>
    </row>
    <row r="60" spans="1:126" ht="26">
      <c r="B60" s="69" t="s">
        <v>13</v>
      </c>
      <c r="C60" s="7" t="s">
        <v>9</v>
      </c>
      <c r="D60" s="6">
        <v>30</v>
      </c>
      <c r="E60" s="11"/>
      <c r="I60" s="28" t="s">
        <v>47</v>
      </c>
      <c r="J60" s="6">
        <v>1200</v>
      </c>
      <c r="K60" s="6">
        <v>250</v>
      </c>
      <c r="L60" s="6">
        <v>950</v>
      </c>
      <c r="CH60" s="45">
        <v>56</v>
      </c>
      <c r="CI60" s="45">
        <v>38.224140900635135</v>
      </c>
      <c r="CJ60" s="45" t="str">
        <v>Invest</v>
      </c>
      <c r="CM60" s="45">
        <v>56</v>
      </c>
      <c r="CN60" s="48">
        <v>23.027687842649865</v>
      </c>
      <c r="CO60" s="45" t="str">
        <v>Invest</v>
      </c>
      <c r="CP60" s="61"/>
      <c r="CQ60" s="45">
        <v>56</v>
      </c>
      <c r="CR60" s="45">
        <v>9.6400775169708854</v>
      </c>
      <c r="CS60" s="45" t="str">
        <v>Invest</v>
      </c>
      <c r="CT60" s="61"/>
      <c r="CU60" s="45">
        <v>56</v>
      </c>
      <c r="CV60" s="45">
        <v>39.650558442561433</v>
      </c>
      <c r="CW60" s="45" t="str">
        <v>Invest</v>
      </c>
      <c r="CX60" s="61"/>
      <c r="CY60" s="45">
        <v>56</v>
      </c>
      <c r="CZ60" s="45">
        <v>12.426900712993351</v>
      </c>
      <c r="DA60" s="45" t="str">
        <v>Invest</v>
      </c>
      <c r="DT60" s="67" t="s">
        <v>109</v>
      </c>
      <c r="DU60" s="67">
        <f>MIN(CR5:CR3004)</f>
        <v>0</v>
      </c>
      <c r="DV60" s="50"/>
    </row>
    <row r="61" spans="1:126" ht="26">
      <c r="B61" s="69"/>
      <c r="C61" s="7" t="s">
        <v>10</v>
      </c>
      <c r="D61" s="6">
        <v>0.6</v>
      </c>
      <c r="E61" s="5" t="s">
        <v>14</v>
      </c>
      <c r="I61" s="28" t="s">
        <v>48</v>
      </c>
      <c r="J61" s="6">
        <v>345</v>
      </c>
      <c r="K61" s="6">
        <v>100</v>
      </c>
      <c r="L61" s="6">
        <v>245</v>
      </c>
      <c r="CH61" s="45">
        <v>57</v>
      </c>
      <c r="CI61" s="45">
        <v>0.20784510378057464</v>
      </c>
      <c r="CJ61" s="45" t="str">
        <v>Invest</v>
      </c>
      <c r="CM61" s="45">
        <v>57</v>
      </c>
      <c r="CN61" s="48">
        <v>57.431054716862796</v>
      </c>
      <c r="CO61" s="45" t="str">
        <v>Invest</v>
      </c>
      <c r="CP61" s="61"/>
      <c r="CQ61" s="45">
        <v>57</v>
      </c>
      <c r="CR61" s="45">
        <v>54.290586264876822</v>
      </c>
      <c r="CS61" s="45" t="str">
        <v>Invest</v>
      </c>
      <c r="CT61" s="61"/>
      <c r="CU61" s="45">
        <v>57</v>
      </c>
      <c r="CV61" s="45">
        <v>45.224674651816684</v>
      </c>
      <c r="CW61" s="45" t="str">
        <v>Invest</v>
      </c>
      <c r="CX61" s="61"/>
      <c r="CY61" s="45">
        <v>57</v>
      </c>
      <c r="CZ61" s="45">
        <v>8.8849388206208744</v>
      </c>
      <c r="DA61" s="45" t="str">
        <v>Invest</v>
      </c>
      <c r="DT61" s="67" t="s">
        <v>110</v>
      </c>
      <c r="DU61" s="67">
        <f>MAX(CR5:CR3004)</f>
        <v>65.788679285111243</v>
      </c>
      <c r="DV61" s="50"/>
    </row>
    <row r="62" spans="1:126" ht="26">
      <c r="B62" s="69"/>
      <c r="C62" s="12" t="s">
        <v>11</v>
      </c>
      <c r="D62" s="6">
        <v>0.4</v>
      </c>
      <c r="E62" s="5" t="s">
        <v>15</v>
      </c>
      <c r="I62" s="28" t="s">
        <v>45</v>
      </c>
      <c r="J62" s="6">
        <v>2250</v>
      </c>
      <c r="K62" s="6">
        <v>400</v>
      </c>
      <c r="L62" s="6">
        <v>1850</v>
      </c>
      <c r="CH62" s="45">
        <v>58</v>
      </c>
      <c r="CI62" s="45">
        <v>0</v>
      </c>
      <c r="CJ62" s="45" t="str">
        <v>Nothing</v>
      </c>
      <c r="CM62" s="45">
        <v>58</v>
      </c>
      <c r="CN62" s="48">
        <v>13.740918466962956</v>
      </c>
      <c r="CO62" s="45" t="str">
        <v>Invest</v>
      </c>
      <c r="CP62" s="61"/>
      <c r="CQ62" s="45">
        <v>58</v>
      </c>
      <c r="CR62" s="45">
        <v>0</v>
      </c>
      <c r="CS62" s="45" t="str">
        <v>Nothing</v>
      </c>
      <c r="CT62" s="61"/>
      <c r="CU62" s="45">
        <v>58</v>
      </c>
      <c r="CV62" s="45">
        <v>48.552479995126355</v>
      </c>
      <c r="CW62" s="45" t="str">
        <v>Invest</v>
      </c>
      <c r="CX62" s="61"/>
      <c r="CY62" s="45">
        <v>58</v>
      </c>
      <c r="CZ62" s="45">
        <v>20.093204594318419</v>
      </c>
      <c r="DA62" s="45" t="str">
        <v>Invest</v>
      </c>
      <c r="DT62" s="67" t="s">
        <v>111</v>
      </c>
      <c r="DU62" s="67">
        <f>SUM(CR5:CR3004)</f>
        <v>49350.125478505142</v>
      </c>
      <c r="DV62" s="50"/>
    </row>
    <row r="63" spans="1:126" ht="26">
      <c r="B63" s="69" t="s">
        <v>27</v>
      </c>
      <c r="C63" s="7" t="s">
        <v>9</v>
      </c>
      <c r="D63" s="6">
        <v>40</v>
      </c>
      <c r="E63" s="6"/>
      <c r="CH63" s="45">
        <v>59</v>
      </c>
      <c r="CI63" s="45">
        <v>26.362845260067864</v>
      </c>
      <c r="CJ63" s="45" t="str">
        <v>Invest</v>
      </c>
      <c r="CM63" s="45">
        <v>59</v>
      </c>
      <c r="CN63" s="48">
        <v>28.259489702459987</v>
      </c>
      <c r="CO63" s="45" t="str">
        <v>Invest</v>
      </c>
      <c r="CP63" s="61"/>
      <c r="CQ63" s="45">
        <v>59</v>
      </c>
      <c r="CR63" s="45">
        <v>23.749603497167733</v>
      </c>
      <c r="CS63" s="45" t="str">
        <v>Invest</v>
      </c>
      <c r="CT63" s="61"/>
      <c r="CU63" s="45">
        <v>59</v>
      </c>
      <c r="CV63" s="45">
        <v>39.36793043628294</v>
      </c>
      <c r="CW63" s="45" t="str">
        <v>Invest</v>
      </c>
      <c r="CX63" s="61"/>
      <c r="CY63" s="45">
        <v>59</v>
      </c>
      <c r="CZ63" s="45">
        <v>18.045295392188599</v>
      </c>
      <c r="DA63" s="45" t="str">
        <v>Invest</v>
      </c>
      <c r="DT63" s="67" t="s">
        <v>112</v>
      </c>
      <c r="DU63" s="67">
        <f>COUNT(CR5:CR3004)</f>
        <v>3000</v>
      </c>
      <c r="DV63" s="50"/>
    </row>
    <row r="64" spans="1:126" ht="26">
      <c r="B64" s="69"/>
      <c r="C64" s="7" t="s">
        <v>16</v>
      </c>
      <c r="D64" s="6">
        <v>0.1</v>
      </c>
      <c r="E64" s="5" t="s">
        <v>83</v>
      </c>
      <c r="CH64" s="45">
        <v>60</v>
      </c>
      <c r="CI64" s="45">
        <v>0</v>
      </c>
      <c r="CJ64" s="45" t="str">
        <v>Nothing</v>
      </c>
      <c r="CM64" s="45">
        <v>60</v>
      </c>
      <c r="CN64" s="48">
        <v>14.242157841375509</v>
      </c>
      <c r="CO64" s="45" t="str">
        <v>Invest</v>
      </c>
      <c r="CP64" s="61"/>
      <c r="CQ64" s="45">
        <v>60</v>
      </c>
      <c r="CR64" s="45">
        <v>60.171821480521729</v>
      </c>
      <c r="CS64" s="45" t="str">
        <v>Invest</v>
      </c>
      <c r="CT64" s="61"/>
      <c r="CU64" s="45">
        <v>60</v>
      </c>
      <c r="CV64" s="45">
        <v>13.93639386356578</v>
      </c>
      <c r="CW64" s="45" t="str">
        <v>Invest</v>
      </c>
      <c r="CX64" s="61"/>
      <c r="CY64" s="45">
        <v>60</v>
      </c>
      <c r="CZ64" s="45">
        <v>52.153315699856165</v>
      </c>
      <c r="DA64" s="45" t="str">
        <v>Invest</v>
      </c>
      <c r="DU64" s="52"/>
      <c r="DV64" s="50"/>
    </row>
    <row r="65" spans="2:126" ht="26">
      <c r="B65" s="69"/>
      <c r="C65" s="7" t="s">
        <v>17</v>
      </c>
      <c r="D65" s="6">
        <v>0.15</v>
      </c>
      <c r="E65" s="5" t="s">
        <v>84</v>
      </c>
      <c r="CH65" s="45">
        <v>61</v>
      </c>
      <c r="CI65" s="45">
        <v>44.51787819475696</v>
      </c>
      <c r="CJ65" s="45" t="str">
        <v>Invest</v>
      </c>
      <c r="CM65" s="45">
        <v>61</v>
      </c>
      <c r="CN65" s="48">
        <v>36.65281337740609</v>
      </c>
      <c r="CO65" s="45" t="str">
        <v>Invest</v>
      </c>
      <c r="CP65" s="61"/>
      <c r="CQ65" s="45">
        <v>61</v>
      </c>
      <c r="CR65" s="45">
        <v>19.096397623759557</v>
      </c>
      <c r="CS65" s="45" t="str">
        <v>Invest</v>
      </c>
      <c r="CT65" s="61"/>
      <c r="CU65" s="45">
        <v>61</v>
      </c>
      <c r="CV65" s="45">
        <v>50.490297759594384</v>
      </c>
      <c r="CW65" s="45" t="str">
        <v>Invest</v>
      </c>
      <c r="CX65" s="61"/>
      <c r="CY65" s="45">
        <v>61</v>
      </c>
      <c r="CZ65" s="45">
        <v>19.357699947623367</v>
      </c>
      <c r="DA65" s="45" t="str">
        <v>Invest</v>
      </c>
      <c r="DU65" s="52"/>
      <c r="DV65" s="50"/>
    </row>
    <row r="66" spans="2:126" ht="26">
      <c r="B66" s="69"/>
      <c r="C66" s="7" t="s">
        <v>18</v>
      </c>
      <c r="D66" s="6">
        <v>0.05</v>
      </c>
      <c r="E66" s="5" t="s">
        <v>60</v>
      </c>
      <c r="CH66" s="45">
        <v>62</v>
      </c>
      <c r="CI66" s="45">
        <v>12.138134947903353</v>
      </c>
      <c r="CJ66" s="45" t="str">
        <v>Invest</v>
      </c>
      <c r="CM66" s="45">
        <v>62</v>
      </c>
      <c r="CN66" s="48">
        <v>23.02024890696628</v>
      </c>
      <c r="CO66" s="45" t="str">
        <v>Invest</v>
      </c>
      <c r="CP66" s="61"/>
      <c r="CQ66" s="45">
        <v>62</v>
      </c>
      <c r="CR66" s="45">
        <v>7.4034478375397264</v>
      </c>
      <c r="CS66" s="45" t="str">
        <v>Invest</v>
      </c>
      <c r="CT66" s="61"/>
      <c r="CU66" s="45">
        <v>62</v>
      </c>
      <c r="CV66" s="45">
        <v>15.078449612463579</v>
      </c>
      <c r="CW66" s="45" t="str">
        <v>Invest</v>
      </c>
      <c r="CX66" s="61"/>
      <c r="CY66" s="45">
        <v>62</v>
      </c>
      <c r="CZ66" s="45">
        <v>31.675328035514468</v>
      </c>
      <c r="DA66" s="45" t="str">
        <v>Invest</v>
      </c>
      <c r="DU66" s="52"/>
      <c r="DV66" s="50"/>
    </row>
    <row r="67" spans="2:126" ht="26">
      <c r="B67" s="69"/>
      <c r="C67" s="12" t="s">
        <v>19</v>
      </c>
      <c r="D67" s="6">
        <v>0.7</v>
      </c>
      <c r="E67" s="5" t="s">
        <v>61</v>
      </c>
      <c r="CH67" s="45">
        <v>63</v>
      </c>
      <c r="CI67" s="45">
        <v>9.3385132549534546</v>
      </c>
      <c r="CJ67" s="45" t="str">
        <v>Invest</v>
      </c>
      <c r="CM67" s="45">
        <v>63</v>
      </c>
      <c r="CN67" s="48">
        <v>31.710542592933621</v>
      </c>
      <c r="CO67" s="45" t="str">
        <v>Invest</v>
      </c>
      <c r="CP67" s="61"/>
      <c r="CQ67" s="45">
        <v>63</v>
      </c>
      <c r="CR67" s="45">
        <v>12.470368282085786</v>
      </c>
      <c r="CS67" s="45" t="str">
        <v>Invest</v>
      </c>
      <c r="CT67" s="61"/>
      <c r="CU67" s="45">
        <v>63</v>
      </c>
      <c r="CV67" s="45">
        <v>11.537008390155053</v>
      </c>
      <c r="CW67" s="45" t="str">
        <v>Invest</v>
      </c>
      <c r="CX67" s="61"/>
      <c r="CY67" s="45">
        <v>63</v>
      </c>
      <c r="CZ67" s="45">
        <v>0</v>
      </c>
      <c r="DA67" s="45" t="str">
        <v>Nothing</v>
      </c>
      <c r="DU67" s="52"/>
      <c r="DV67" s="50"/>
    </row>
    <row r="68" spans="2:126" ht="26">
      <c r="B68" s="69" t="s">
        <v>28</v>
      </c>
      <c r="C68" s="7" t="s">
        <v>20</v>
      </c>
      <c r="D68" s="6">
        <v>200</v>
      </c>
      <c r="E68" s="6"/>
      <c r="CH68" s="45">
        <v>64</v>
      </c>
      <c r="CI68" s="45">
        <v>0</v>
      </c>
      <c r="CJ68" s="45" t="str">
        <v>Nothing</v>
      </c>
      <c r="CM68" s="45">
        <v>64</v>
      </c>
      <c r="CN68" s="48">
        <v>26.55386327237019</v>
      </c>
      <c r="CO68" s="45" t="str">
        <v>Invest</v>
      </c>
      <c r="CP68" s="61"/>
      <c r="CQ68" s="45">
        <v>64</v>
      </c>
      <c r="CR68" s="45">
        <v>0</v>
      </c>
      <c r="CS68" s="45" t="str">
        <v>Nothing</v>
      </c>
      <c r="CT68" s="61"/>
      <c r="CU68" s="45">
        <v>64</v>
      </c>
      <c r="CV68" s="45">
        <v>42.546508871427179</v>
      </c>
      <c r="CW68" s="45" t="str">
        <v>Invest</v>
      </c>
      <c r="CX68" s="61"/>
      <c r="CY68" s="45">
        <v>64</v>
      </c>
      <c r="CZ68" s="45">
        <v>20.84988450792952</v>
      </c>
      <c r="DA68" s="45" t="str">
        <v>Invest</v>
      </c>
      <c r="DU68" s="52"/>
      <c r="DV68" s="50"/>
    </row>
    <row r="69" spans="2:126" ht="26">
      <c r="B69" s="69"/>
      <c r="C69" s="7" t="s">
        <v>29</v>
      </c>
      <c r="D69" s="6">
        <v>0.85</v>
      </c>
      <c r="E69" s="5" t="s">
        <v>31</v>
      </c>
      <c r="CH69" s="45">
        <v>65</v>
      </c>
      <c r="CI69" s="45">
        <v>1.8799948143734788</v>
      </c>
      <c r="CJ69" s="45" t="str">
        <v>Invest</v>
      </c>
      <c r="CM69" s="45">
        <v>65</v>
      </c>
      <c r="CN69" s="48">
        <v>11.845640191884863</v>
      </c>
      <c r="CO69" s="45" t="str">
        <v>Invest</v>
      </c>
      <c r="CP69" s="61"/>
      <c r="CQ69" s="45">
        <v>65</v>
      </c>
      <c r="CR69" s="45">
        <v>17.953896946704454</v>
      </c>
      <c r="CS69" s="45" t="str">
        <v>Invest</v>
      </c>
      <c r="CT69" s="61"/>
      <c r="CU69" s="45">
        <v>65</v>
      </c>
      <c r="CV69" s="45">
        <v>24.852281190229672</v>
      </c>
      <c r="CW69" s="45" t="str">
        <v>Invest</v>
      </c>
      <c r="CX69" s="61"/>
      <c r="CY69" s="45">
        <v>65</v>
      </c>
      <c r="CZ69" s="45">
        <v>23.394966150875561</v>
      </c>
      <c r="DA69" s="45" t="str">
        <v>Invest</v>
      </c>
      <c r="DT69" s="80" t="s">
        <v>121</v>
      </c>
      <c r="DU69" s="81"/>
      <c r="DV69" s="50"/>
    </row>
    <row r="70" spans="2:126" ht="26">
      <c r="B70" s="69"/>
      <c r="C70" s="7" t="s">
        <v>11</v>
      </c>
      <c r="D70" s="6">
        <v>0.15</v>
      </c>
      <c r="E70" s="5" t="s">
        <v>32</v>
      </c>
      <c r="CH70" s="45">
        <v>66</v>
      </c>
      <c r="CI70" s="45">
        <v>44.218287120205062</v>
      </c>
      <c r="CJ70" s="45" t="str">
        <v>Invest</v>
      </c>
      <c r="CM70" s="45">
        <v>66</v>
      </c>
      <c r="CN70" s="48">
        <v>0</v>
      </c>
      <c r="CO70" s="45" t="str">
        <v>Nothing</v>
      </c>
      <c r="CP70" s="61"/>
      <c r="CQ70" s="45">
        <v>66</v>
      </c>
      <c r="CR70" s="45">
        <v>0</v>
      </c>
      <c r="CS70" s="45" t="str">
        <v>Nothing</v>
      </c>
      <c r="CT70" s="61"/>
      <c r="CU70" s="45">
        <v>66</v>
      </c>
      <c r="CV70" s="45">
        <v>0</v>
      </c>
      <c r="CW70" s="45" t="str">
        <v>Nothing</v>
      </c>
      <c r="CX70" s="61"/>
      <c r="CY70" s="45">
        <v>66</v>
      </c>
      <c r="CZ70" s="45">
        <v>26.352871073445552</v>
      </c>
      <c r="DA70" s="45" t="str">
        <v>Invest</v>
      </c>
      <c r="DT70" s="62" t="s">
        <v>124</v>
      </c>
      <c r="DU70" s="63">
        <f>DU73</f>
        <v>16.781111842719522</v>
      </c>
      <c r="DV70" s="50"/>
    </row>
    <row r="71" spans="2:126" ht="26">
      <c r="B71" s="69"/>
      <c r="C71" s="7"/>
      <c r="D71" s="6"/>
      <c r="E71" s="6"/>
      <c r="CH71" s="45">
        <v>67</v>
      </c>
      <c r="CI71" s="45">
        <v>18.948506686655008</v>
      </c>
      <c r="CJ71" s="45" t="str">
        <v>Invest</v>
      </c>
      <c r="CM71" s="45">
        <v>67</v>
      </c>
      <c r="CN71" s="48">
        <v>4.3835889992505308</v>
      </c>
      <c r="CO71" s="45" t="str">
        <v>Invest</v>
      </c>
      <c r="CP71" s="61"/>
      <c r="CQ71" s="45">
        <v>67</v>
      </c>
      <c r="CR71" s="45">
        <v>0</v>
      </c>
      <c r="CS71" s="45" t="str">
        <v>Nothing</v>
      </c>
      <c r="CT71" s="61"/>
      <c r="CU71" s="45">
        <v>67</v>
      </c>
      <c r="CV71" s="45">
        <v>6.1277517000487229</v>
      </c>
      <c r="CW71" s="45" t="str">
        <v>Invest</v>
      </c>
      <c r="CX71" s="61"/>
      <c r="CY71" s="45">
        <v>67</v>
      </c>
      <c r="CZ71" s="45">
        <v>16.204179241955281</v>
      </c>
      <c r="DA71" s="45" t="str">
        <v>Invest</v>
      </c>
      <c r="DT71" s="62" t="s">
        <v>125</v>
      </c>
      <c r="DU71" s="63">
        <f>COUNTIF(CV5:CV4004,"&gt;0")</f>
        <v>2941</v>
      </c>
      <c r="DV71" s="50"/>
    </row>
    <row r="72" spans="2:126" ht="26.5" thickBot="1">
      <c r="B72" s="69"/>
      <c r="C72" s="7" t="s">
        <v>21</v>
      </c>
      <c r="D72" s="6">
        <v>150</v>
      </c>
      <c r="E72" s="6"/>
      <c r="CH72" s="45">
        <v>68</v>
      </c>
      <c r="CI72" s="45">
        <v>0</v>
      </c>
      <c r="CJ72" s="45" t="str">
        <v>Nothing</v>
      </c>
      <c r="CM72" s="45">
        <v>68</v>
      </c>
      <c r="CN72" s="48">
        <v>16.079983997709636</v>
      </c>
      <c r="CO72" s="45" t="str">
        <v>Invest</v>
      </c>
      <c r="CP72" s="61"/>
      <c r="CQ72" s="45">
        <v>68</v>
      </c>
      <c r="CR72" s="45">
        <v>0</v>
      </c>
      <c r="CS72" s="45" t="str">
        <v>Nothing</v>
      </c>
      <c r="CT72" s="61"/>
      <c r="CU72" s="45">
        <v>68</v>
      </c>
      <c r="CV72" s="45">
        <v>12.730362589181144</v>
      </c>
      <c r="CW72" s="45" t="str">
        <v>Invest</v>
      </c>
      <c r="CX72" s="61"/>
      <c r="CY72" s="45">
        <v>68</v>
      </c>
      <c r="CZ72" s="45">
        <v>14.375800114779137</v>
      </c>
      <c r="DA72" s="45" t="str">
        <v>Invest</v>
      </c>
      <c r="DT72" s="64" t="s">
        <v>126</v>
      </c>
      <c r="DU72" s="65">
        <f>COUNTIF(CV5:CV4004,"=0")</f>
        <v>1059</v>
      </c>
      <c r="DV72" s="50"/>
    </row>
    <row r="73" spans="2:126" ht="26">
      <c r="B73" s="69"/>
      <c r="C73" s="7" t="s">
        <v>30</v>
      </c>
      <c r="D73" s="6">
        <v>0.75</v>
      </c>
      <c r="E73" s="5" t="s">
        <v>33</v>
      </c>
      <c r="CH73" s="45">
        <v>69</v>
      </c>
      <c r="CI73" s="45">
        <v>1.3187715863880669</v>
      </c>
      <c r="CJ73" s="45" t="str">
        <v>Invest</v>
      </c>
      <c r="CM73" s="45">
        <v>69</v>
      </c>
      <c r="CN73" s="48">
        <v>4.9222067851649385</v>
      </c>
      <c r="CO73" s="45" t="str">
        <v>Invest</v>
      </c>
      <c r="CP73" s="61"/>
      <c r="CQ73" s="45">
        <v>69</v>
      </c>
      <c r="CR73" s="45">
        <v>0</v>
      </c>
      <c r="CS73" s="45" t="str">
        <v>Nothing</v>
      </c>
      <c r="CT73" s="61"/>
      <c r="CU73" s="45">
        <v>69</v>
      </c>
      <c r="CV73" s="45">
        <v>0</v>
      </c>
      <c r="CW73" s="45" t="str">
        <v>Nothing</v>
      </c>
      <c r="CX73" s="61"/>
      <c r="CY73" s="45">
        <v>69</v>
      </c>
      <c r="CZ73" s="45">
        <v>45.022059376344586</v>
      </c>
      <c r="DA73" s="45" t="str">
        <v>Invest</v>
      </c>
      <c r="DT73" s="67" t="s">
        <v>100</v>
      </c>
      <c r="DU73" s="67">
        <f>AVERAGE(CV5:CV4004)</f>
        <v>16.781111842719522</v>
      </c>
      <c r="DV73" s="50"/>
    </row>
    <row r="74" spans="2:126" ht="26">
      <c r="B74" s="69"/>
      <c r="C74" s="7" t="s">
        <v>11</v>
      </c>
      <c r="D74" s="6">
        <v>0.25</v>
      </c>
      <c r="E74" s="5" t="s">
        <v>34</v>
      </c>
      <c r="CH74" s="45">
        <v>70</v>
      </c>
      <c r="CI74" s="45">
        <v>12.563074591809276</v>
      </c>
      <c r="CJ74" s="45" t="str">
        <v>Invest</v>
      </c>
      <c r="CM74" s="45">
        <v>70</v>
      </c>
      <c r="CN74" s="48">
        <v>21.93080830810797</v>
      </c>
      <c r="CO74" s="45" t="str">
        <v>Invest</v>
      </c>
      <c r="CP74" s="61"/>
      <c r="CQ74" s="45">
        <v>70</v>
      </c>
      <c r="CR74" s="45">
        <v>34.903243709188189</v>
      </c>
      <c r="CS74" s="45" t="str">
        <v>Invest</v>
      </c>
      <c r="CT74" s="61"/>
      <c r="CU74" s="45">
        <v>70</v>
      </c>
      <c r="CV74" s="45">
        <v>51.749391314014204</v>
      </c>
      <c r="CW74" s="45" t="str">
        <v>Invest</v>
      </c>
      <c r="CX74" s="61"/>
      <c r="CY74" s="45">
        <v>70</v>
      </c>
      <c r="CZ74" s="45">
        <v>14.178940818354825</v>
      </c>
      <c r="DA74" s="45" t="str">
        <v>Invest</v>
      </c>
      <c r="DT74" s="67" t="s">
        <v>101</v>
      </c>
      <c r="DU74" s="67">
        <f>_xlfn.STDEV.S(CV5:CV4004)/(SQRT(4000))</f>
        <v>0.26050686809833051</v>
      </c>
      <c r="DV74" s="50"/>
    </row>
    <row r="75" spans="2:126" ht="26">
      <c r="B75" s="69"/>
      <c r="C75" s="13"/>
      <c r="D75" s="6"/>
      <c r="E75" s="6"/>
      <c r="CH75" s="45">
        <v>71</v>
      </c>
      <c r="CI75" s="45">
        <v>0</v>
      </c>
      <c r="CJ75" s="45" t="str">
        <v>Nothing</v>
      </c>
      <c r="CM75" s="45">
        <v>71</v>
      </c>
      <c r="CN75" s="48">
        <v>17.682025746025946</v>
      </c>
      <c r="CO75" s="45" t="str">
        <v>Invest</v>
      </c>
      <c r="CP75" s="61"/>
      <c r="CQ75" s="45">
        <v>71</v>
      </c>
      <c r="CR75" s="45">
        <v>12.795185614372393</v>
      </c>
      <c r="CS75" s="45" t="str">
        <v>Invest</v>
      </c>
      <c r="CT75" s="61"/>
      <c r="CU75" s="45">
        <v>71</v>
      </c>
      <c r="CV75" s="45">
        <v>18.953558215084893</v>
      </c>
      <c r="CW75" s="45" t="str">
        <v>Invest</v>
      </c>
      <c r="CX75" s="61"/>
      <c r="CY75" s="45">
        <v>71</v>
      </c>
      <c r="CZ75" s="45">
        <v>19.790616961930329</v>
      </c>
      <c r="DA75" s="45" t="str">
        <v>Invest</v>
      </c>
      <c r="DT75" s="67" t="s">
        <v>102</v>
      </c>
      <c r="DU75" s="67">
        <f>MEDIAN(CV5:CV4004)</f>
        <v>13.173406123655944</v>
      </c>
      <c r="DV75" s="50"/>
    </row>
    <row r="76" spans="2:126" ht="26">
      <c r="B76" s="69"/>
      <c r="C76" s="7" t="s">
        <v>22</v>
      </c>
      <c r="D76" s="6">
        <v>500</v>
      </c>
      <c r="E76" s="6"/>
      <c r="CH76" s="45">
        <v>72</v>
      </c>
      <c r="CI76" s="45">
        <v>33.410960035951504</v>
      </c>
      <c r="CJ76" s="45" t="str">
        <v>Invest</v>
      </c>
      <c r="CM76" s="45">
        <v>72</v>
      </c>
      <c r="CN76" s="48">
        <v>0</v>
      </c>
      <c r="CO76" s="45" t="str">
        <v>Nothing</v>
      </c>
      <c r="CP76" s="61"/>
      <c r="CQ76" s="45">
        <v>72</v>
      </c>
      <c r="CR76" s="45">
        <v>6.798734735594353</v>
      </c>
      <c r="CS76" s="45" t="str">
        <v>Invest</v>
      </c>
      <c r="CT76" s="61"/>
      <c r="CU76" s="45">
        <v>72</v>
      </c>
      <c r="CV76" s="45">
        <v>39.905386086710976</v>
      </c>
      <c r="CW76" s="45" t="str">
        <v>Invest</v>
      </c>
      <c r="CX76" s="61"/>
      <c r="CY76" s="45">
        <v>72</v>
      </c>
      <c r="CZ76" s="45">
        <v>20.628331018971142</v>
      </c>
      <c r="DA76" s="45" t="str">
        <v>Invest</v>
      </c>
      <c r="DT76" s="67" t="s">
        <v>103</v>
      </c>
      <c r="DU76" s="67">
        <f>_xlfn.MODE.SNGL(CV5:CV4004)</f>
        <v>0</v>
      </c>
      <c r="DV76" s="50"/>
    </row>
    <row r="77" spans="2:126" ht="26">
      <c r="B77" s="69"/>
      <c r="C77" s="7" t="s">
        <v>23</v>
      </c>
      <c r="D77" s="6">
        <v>0.15</v>
      </c>
      <c r="E77" s="5" t="s">
        <v>35</v>
      </c>
      <c r="CH77" s="45">
        <v>73</v>
      </c>
      <c r="CI77" s="45">
        <v>17.053948165878879</v>
      </c>
      <c r="CJ77" s="45" t="str">
        <v>Invest</v>
      </c>
      <c r="CM77" s="45">
        <v>73</v>
      </c>
      <c r="CN77" s="48">
        <v>47.284358116221313</v>
      </c>
      <c r="CO77" s="45" t="str">
        <v>Invest</v>
      </c>
      <c r="CP77" s="61"/>
      <c r="CQ77" s="45">
        <v>73</v>
      </c>
      <c r="CR77" s="45">
        <v>0</v>
      </c>
      <c r="CS77" s="45" t="str">
        <v>Nothing</v>
      </c>
      <c r="CT77" s="61"/>
      <c r="CU77" s="45">
        <v>73</v>
      </c>
      <c r="CV77" s="45">
        <v>0</v>
      </c>
      <c r="CW77" s="45" t="str">
        <v>Nothing</v>
      </c>
      <c r="CX77" s="61"/>
      <c r="CY77" s="45">
        <v>73</v>
      </c>
      <c r="CZ77" s="45">
        <v>2.7851277151193674</v>
      </c>
      <c r="DA77" s="45" t="str">
        <v>Invest</v>
      </c>
      <c r="DT77" s="67" t="s">
        <v>104</v>
      </c>
      <c r="DU77" s="67">
        <f>_xlfn.STDEV.S(CV5:CV4004)</f>
        <v>16.475900986155626</v>
      </c>
      <c r="DV77" s="50"/>
    </row>
    <row r="78" spans="2:126" ht="26">
      <c r="B78" s="69"/>
      <c r="C78" s="7" t="s">
        <v>24</v>
      </c>
      <c r="D78" s="6">
        <v>0.05</v>
      </c>
      <c r="E78" s="5" t="s">
        <v>36</v>
      </c>
      <c r="CH78" s="45">
        <v>74</v>
      </c>
      <c r="CI78" s="45">
        <v>0</v>
      </c>
      <c r="CJ78" s="45" t="str">
        <v>Nothing</v>
      </c>
      <c r="CM78" s="45">
        <v>74</v>
      </c>
      <c r="CN78" s="48">
        <v>0</v>
      </c>
      <c r="CO78" s="45" t="str">
        <v>Nothing</v>
      </c>
      <c r="CP78" s="61"/>
      <c r="CQ78" s="45">
        <v>74</v>
      </c>
      <c r="CR78" s="45">
        <v>0</v>
      </c>
      <c r="CS78" s="45" t="str">
        <v>Nothing</v>
      </c>
      <c r="CT78" s="61"/>
      <c r="CU78" s="45">
        <v>74</v>
      </c>
      <c r="CV78" s="45">
        <v>47.894066496737423</v>
      </c>
      <c r="CW78" s="45" t="str">
        <v>Invest</v>
      </c>
      <c r="CX78" s="61"/>
      <c r="CY78" s="45">
        <v>74</v>
      </c>
      <c r="CZ78" s="45">
        <v>8.571102947316863</v>
      </c>
      <c r="DA78" s="45" t="str">
        <v>Invest</v>
      </c>
      <c r="DT78" s="67" t="s">
        <v>105</v>
      </c>
      <c r="DU78" s="67">
        <f>_xlfn.VAR.S(CV5:CV4004)</f>
        <v>271.45531330560391</v>
      </c>
      <c r="DV78" s="50"/>
    </row>
    <row r="79" spans="2:126" ht="26">
      <c r="B79" s="69"/>
      <c r="C79" s="7" t="s">
        <v>26</v>
      </c>
      <c r="D79" s="6">
        <v>0.7</v>
      </c>
      <c r="E79" s="5" t="s">
        <v>37</v>
      </c>
      <c r="CH79" s="45">
        <v>75</v>
      </c>
      <c r="CI79" s="45">
        <v>4.0539283526411403</v>
      </c>
      <c r="CJ79" s="45" t="str">
        <v>Invest</v>
      </c>
      <c r="CM79" s="45">
        <v>75</v>
      </c>
      <c r="CN79" s="48">
        <v>0</v>
      </c>
      <c r="CO79" s="45" t="str">
        <v>Nothing</v>
      </c>
      <c r="CP79" s="61"/>
      <c r="CQ79" s="45">
        <v>75</v>
      </c>
      <c r="CR79" s="45">
        <v>11.913441293671927</v>
      </c>
      <c r="CS79" s="45" t="str">
        <v>Invest</v>
      </c>
      <c r="CT79" s="61"/>
      <c r="CU79" s="45">
        <v>75</v>
      </c>
      <c r="CV79" s="45">
        <v>22.653029320877963</v>
      </c>
      <c r="CW79" s="45" t="str">
        <v>Invest</v>
      </c>
      <c r="CX79" s="61"/>
      <c r="CY79" s="45">
        <v>75</v>
      </c>
      <c r="CZ79" s="45">
        <v>36.207670892177589</v>
      </c>
      <c r="DA79" s="45" t="str">
        <v>Invest</v>
      </c>
      <c r="DT79" s="67" t="s">
        <v>106</v>
      </c>
      <c r="DU79" s="67">
        <f>KURT(CV5:CV4004)</f>
        <v>-0.47310206864144311</v>
      </c>
      <c r="DV79" s="50"/>
    </row>
    <row r="80" spans="2:126" ht="26">
      <c r="B80" s="69"/>
      <c r="C80" s="12" t="s">
        <v>25</v>
      </c>
      <c r="D80" s="6">
        <v>0.1</v>
      </c>
      <c r="E80" s="5" t="s">
        <v>38</v>
      </c>
      <c r="CH80" s="45">
        <v>76</v>
      </c>
      <c r="CI80" s="45">
        <v>0</v>
      </c>
      <c r="CJ80" s="45" t="str">
        <v>Nothing</v>
      </c>
      <c r="CM80" s="45">
        <v>76</v>
      </c>
      <c r="CN80" s="48">
        <v>5.211271077531908</v>
      </c>
      <c r="CO80" s="45" t="str">
        <v>Invest</v>
      </c>
      <c r="CP80" s="61"/>
      <c r="CQ80" s="45">
        <v>76</v>
      </c>
      <c r="CR80" s="45">
        <v>30.109177803949969</v>
      </c>
      <c r="CS80" s="45" t="str">
        <v>Invest</v>
      </c>
      <c r="CT80" s="61"/>
      <c r="CU80" s="45">
        <v>76</v>
      </c>
      <c r="CV80" s="45">
        <v>33.56642376039111</v>
      </c>
      <c r="CW80" s="45" t="str">
        <v>Invest</v>
      </c>
      <c r="CX80" s="61"/>
      <c r="CY80" s="45">
        <v>76</v>
      </c>
      <c r="CZ80" s="45">
        <v>27.612295426409965</v>
      </c>
      <c r="DA80" s="45" t="str">
        <v>Invest</v>
      </c>
      <c r="DT80" s="67" t="s">
        <v>107</v>
      </c>
      <c r="DU80" s="67">
        <f>SKEW(CV5:CV4004)</f>
        <v>0.74169241058005031</v>
      </c>
      <c r="DV80" s="50"/>
    </row>
    <row r="81" spans="86:126" ht="26">
      <c r="CH81" s="45">
        <v>77</v>
      </c>
      <c r="CI81" s="45">
        <v>12.751257371354136</v>
      </c>
      <c r="CJ81" s="45" t="str">
        <v>Invest</v>
      </c>
      <c r="CM81" s="45">
        <v>77</v>
      </c>
      <c r="CN81" s="48">
        <v>34.779149113308279</v>
      </c>
      <c r="CO81" s="45" t="str">
        <v>Invest</v>
      </c>
      <c r="CP81" s="61"/>
      <c r="CQ81" s="45">
        <v>77</v>
      </c>
      <c r="CR81" s="45">
        <v>37.128611558565417</v>
      </c>
      <c r="CS81" s="45" t="str">
        <v>Invest</v>
      </c>
      <c r="CT81" s="61"/>
      <c r="CU81" s="45">
        <v>77</v>
      </c>
      <c r="CV81" s="45">
        <v>12.721288290346656</v>
      </c>
      <c r="CW81" s="45" t="str">
        <v>Invest</v>
      </c>
      <c r="CX81" s="61"/>
      <c r="CY81" s="45">
        <v>77</v>
      </c>
      <c r="CZ81" s="45">
        <v>40.907264933576556</v>
      </c>
      <c r="DA81" s="45" t="str">
        <v>Invest</v>
      </c>
      <c r="DT81" s="67" t="s">
        <v>108</v>
      </c>
      <c r="DU81" s="67">
        <f>MAX(CV5:CV4004)-MIN(CV5:CV4004)</f>
        <v>65.968832331673156</v>
      </c>
      <c r="DV81" s="50"/>
    </row>
    <row r="82" spans="86:126" ht="26">
      <c r="CH82" s="45">
        <v>78</v>
      </c>
      <c r="CI82" s="45">
        <v>2.9448777369357408</v>
      </c>
      <c r="CJ82" s="45" t="str">
        <v>Invest</v>
      </c>
      <c r="CM82" s="45">
        <v>78</v>
      </c>
      <c r="CN82" s="48">
        <v>0</v>
      </c>
      <c r="CO82" s="45" t="str">
        <v>Nothing</v>
      </c>
      <c r="CP82" s="61"/>
      <c r="CQ82" s="45">
        <v>78</v>
      </c>
      <c r="CR82" s="45">
        <v>0</v>
      </c>
      <c r="CS82" s="45" t="str">
        <v>Nothing</v>
      </c>
      <c r="CT82" s="61"/>
      <c r="CU82" s="45">
        <v>78</v>
      </c>
      <c r="CV82" s="45">
        <v>0</v>
      </c>
      <c r="CW82" s="45" t="str">
        <v>Nothing</v>
      </c>
      <c r="CX82" s="61"/>
      <c r="CY82" s="45">
        <v>78</v>
      </c>
      <c r="CZ82" s="45">
        <v>4.3531116809528392</v>
      </c>
      <c r="DA82" s="45" t="str">
        <v>Invest</v>
      </c>
      <c r="DT82" s="67" t="s">
        <v>109</v>
      </c>
      <c r="DU82" s="67">
        <f>MIN(CV5:CV4004)</f>
        <v>0</v>
      </c>
      <c r="DV82" s="50"/>
    </row>
    <row r="83" spans="86:126" ht="26">
      <c r="CH83" s="45">
        <v>79</v>
      </c>
      <c r="CI83" s="45">
        <v>9.7981416370764016</v>
      </c>
      <c r="CJ83" s="45" t="str">
        <v>Invest</v>
      </c>
      <c r="CM83" s="45">
        <v>79</v>
      </c>
      <c r="CN83" s="48">
        <v>13.646552655468245</v>
      </c>
      <c r="CO83" s="45" t="str">
        <v>Invest</v>
      </c>
      <c r="CP83" s="61"/>
      <c r="CQ83" s="45">
        <v>79</v>
      </c>
      <c r="CR83" s="45">
        <v>7.9379042383761051</v>
      </c>
      <c r="CS83" s="45" t="str">
        <v>Invest</v>
      </c>
      <c r="CT83" s="61"/>
      <c r="CU83" s="45">
        <v>79</v>
      </c>
      <c r="CV83" s="45">
        <v>35.683562859841516</v>
      </c>
      <c r="CW83" s="45" t="str">
        <v>Invest</v>
      </c>
      <c r="CX83" s="61"/>
      <c r="CY83" s="45">
        <v>79</v>
      </c>
      <c r="CZ83" s="45">
        <v>6.2132658045625</v>
      </c>
      <c r="DA83" s="45" t="str">
        <v>Invest</v>
      </c>
      <c r="DT83" s="67" t="s">
        <v>110</v>
      </c>
      <c r="DU83" s="67">
        <f>MAX(CV5:CV4004)</f>
        <v>65.968832331673156</v>
      </c>
      <c r="DV83" s="50"/>
    </row>
    <row r="84" spans="86:126" ht="26">
      <c r="CH84" s="45">
        <v>80</v>
      </c>
      <c r="CI84" s="45">
        <v>0</v>
      </c>
      <c r="CJ84" s="45" t="str">
        <v>Nothing</v>
      </c>
      <c r="CM84" s="45">
        <v>80</v>
      </c>
      <c r="CN84" s="48">
        <v>0</v>
      </c>
      <c r="CO84" s="45" t="str">
        <v>Nothing</v>
      </c>
      <c r="CP84" s="61"/>
      <c r="CQ84" s="45">
        <v>80</v>
      </c>
      <c r="CR84" s="45">
        <v>35.724575726570137</v>
      </c>
      <c r="CS84" s="45" t="str">
        <v>Invest</v>
      </c>
      <c r="CT84" s="61"/>
      <c r="CU84" s="45">
        <v>80</v>
      </c>
      <c r="CV84" s="45">
        <v>17.73705956883331</v>
      </c>
      <c r="CW84" s="45" t="str">
        <v>Invest</v>
      </c>
      <c r="CX84" s="61"/>
      <c r="CY84" s="45">
        <v>80</v>
      </c>
      <c r="CZ84" s="45">
        <v>4.2549881056586649</v>
      </c>
      <c r="DA84" s="45" t="str">
        <v>Invest</v>
      </c>
      <c r="DT84" s="67" t="s">
        <v>111</v>
      </c>
      <c r="DU84" s="67">
        <f>SUM(CV5:CV4004)</f>
        <v>67124.447370878086</v>
      </c>
      <c r="DV84" s="50"/>
    </row>
    <row r="85" spans="86:126" ht="26">
      <c r="CH85" s="45">
        <v>81</v>
      </c>
      <c r="CI85" s="45">
        <v>3.5289562354026955</v>
      </c>
      <c r="CJ85" s="45" t="str">
        <v>Invest</v>
      </c>
      <c r="CM85" s="45">
        <v>81</v>
      </c>
      <c r="CN85" s="48">
        <v>17.834760002401794</v>
      </c>
      <c r="CO85" s="45" t="str">
        <v>Invest</v>
      </c>
      <c r="CP85" s="61"/>
      <c r="CQ85" s="45">
        <v>81</v>
      </c>
      <c r="CR85" s="45">
        <v>56.195971445768492</v>
      </c>
      <c r="CS85" s="45" t="str">
        <v>Invest</v>
      </c>
      <c r="CT85" s="61"/>
      <c r="CU85" s="45">
        <v>81</v>
      </c>
      <c r="CV85" s="45">
        <v>34.604028113640851</v>
      </c>
      <c r="CW85" s="45" t="str">
        <v>Invest</v>
      </c>
      <c r="CX85" s="61"/>
      <c r="CY85" s="45">
        <v>81</v>
      </c>
      <c r="CZ85" s="45">
        <v>0</v>
      </c>
      <c r="DA85" s="45" t="str">
        <v>Nothing</v>
      </c>
      <c r="DT85" s="67" t="s">
        <v>112</v>
      </c>
      <c r="DU85" s="67">
        <f>COUNT(CV5:CV4004)</f>
        <v>4000</v>
      </c>
      <c r="DV85" s="50"/>
    </row>
    <row r="86" spans="86:126" ht="23.5">
      <c r="CH86" s="45">
        <v>82</v>
      </c>
      <c r="CI86" s="45">
        <v>48.617156774812806</v>
      </c>
      <c r="CJ86" s="45" t="str">
        <v>Invest</v>
      </c>
      <c r="CM86" s="45">
        <v>82</v>
      </c>
      <c r="CN86" s="48">
        <v>38.181943012325533</v>
      </c>
      <c r="CO86" s="45" t="str">
        <v>Invest</v>
      </c>
      <c r="CP86" s="61"/>
      <c r="CQ86" s="45">
        <v>82</v>
      </c>
      <c r="CR86" s="45">
        <v>0</v>
      </c>
      <c r="CS86" s="45" t="str">
        <v>Nothing</v>
      </c>
      <c r="CT86" s="61"/>
      <c r="CU86" s="45">
        <v>82</v>
      </c>
      <c r="CV86" s="45">
        <v>0</v>
      </c>
      <c r="CW86" s="45" t="str">
        <v>Nothing</v>
      </c>
      <c r="CX86" s="61"/>
      <c r="CY86" s="45">
        <v>82</v>
      </c>
      <c r="CZ86" s="45">
        <v>33.413482424808386</v>
      </c>
      <c r="DA86" s="45" t="str">
        <v>Invest</v>
      </c>
      <c r="DU86" s="52"/>
      <c r="DV86" s="50"/>
    </row>
    <row r="87" spans="86:126" ht="23.5">
      <c r="CH87" s="45">
        <v>83</v>
      </c>
      <c r="CI87" s="45">
        <v>0.28841151008148458</v>
      </c>
      <c r="CJ87" s="45" t="str">
        <v>Invest</v>
      </c>
      <c r="CM87" s="45">
        <v>83</v>
      </c>
      <c r="CN87" s="48">
        <v>0</v>
      </c>
      <c r="CO87" s="45" t="str">
        <v>Nothing</v>
      </c>
      <c r="CP87" s="61"/>
      <c r="CQ87" s="45">
        <v>83</v>
      </c>
      <c r="CR87" s="45">
        <v>36.677969527409324</v>
      </c>
      <c r="CS87" s="45" t="str">
        <v>Invest</v>
      </c>
      <c r="CT87" s="61"/>
      <c r="CU87" s="45">
        <v>83</v>
      </c>
      <c r="CV87" s="45">
        <v>12.750238379045008</v>
      </c>
      <c r="CW87" s="45" t="str">
        <v>Invest</v>
      </c>
      <c r="CX87" s="61"/>
      <c r="CY87" s="45">
        <v>83</v>
      </c>
      <c r="CZ87" s="45">
        <v>37.611834318758405</v>
      </c>
      <c r="DA87" s="45" t="str">
        <v>Invest</v>
      </c>
      <c r="DU87" s="52"/>
      <c r="DV87" s="50"/>
    </row>
    <row r="88" spans="86:126" ht="23.5">
      <c r="CH88" s="45">
        <v>84</v>
      </c>
      <c r="CI88" s="45">
        <v>23.799578478565959</v>
      </c>
      <c r="CJ88" s="45" t="str">
        <v>Invest</v>
      </c>
      <c r="CM88" s="45">
        <v>84</v>
      </c>
      <c r="CN88" s="48">
        <v>34.960486192775647</v>
      </c>
      <c r="CO88" s="45" t="str">
        <v>Invest</v>
      </c>
      <c r="CP88" s="61"/>
      <c r="CQ88" s="45">
        <v>84</v>
      </c>
      <c r="CR88" s="45">
        <v>44.564667046564665</v>
      </c>
      <c r="CS88" s="45" t="str">
        <v>Invest</v>
      </c>
      <c r="CT88" s="61"/>
      <c r="CU88" s="45">
        <v>84</v>
      </c>
      <c r="CV88" s="45">
        <v>0</v>
      </c>
      <c r="CW88" s="45" t="str">
        <v>Nothing</v>
      </c>
      <c r="CX88" s="61"/>
      <c r="CY88" s="45">
        <v>84</v>
      </c>
      <c r="CZ88" s="45">
        <v>35.12278875064041</v>
      </c>
      <c r="DA88" s="45" t="str">
        <v>Invest</v>
      </c>
      <c r="DU88" s="52"/>
      <c r="DV88" s="50"/>
    </row>
    <row r="89" spans="86:126" ht="23.5">
      <c r="CH89" s="45">
        <v>85</v>
      </c>
      <c r="CI89" s="45">
        <v>0</v>
      </c>
      <c r="CJ89" s="45" t="str">
        <v>Nothing</v>
      </c>
      <c r="CM89" s="45">
        <v>85</v>
      </c>
      <c r="CN89" s="48">
        <v>38.810988155243784</v>
      </c>
      <c r="CO89" s="45" t="str">
        <v>Invest</v>
      </c>
      <c r="CP89" s="61"/>
      <c r="CQ89" s="45">
        <v>85</v>
      </c>
      <c r="CR89" s="45">
        <v>10.007771224834674</v>
      </c>
      <c r="CS89" s="45" t="str">
        <v>Invest</v>
      </c>
      <c r="CT89" s="61"/>
      <c r="CU89" s="45">
        <v>85</v>
      </c>
      <c r="CV89" s="45">
        <v>13.123628371509461</v>
      </c>
      <c r="CW89" s="45" t="str">
        <v>Invest</v>
      </c>
      <c r="CX89" s="61"/>
      <c r="CY89" s="45">
        <v>85</v>
      </c>
      <c r="CZ89" s="45">
        <v>0</v>
      </c>
      <c r="DA89" s="45" t="str">
        <v>Nothing</v>
      </c>
      <c r="DU89" s="52"/>
      <c r="DV89" s="50"/>
    </row>
    <row r="90" spans="86:126" ht="23.5">
      <c r="CH90" s="45">
        <v>86</v>
      </c>
      <c r="CI90" s="45">
        <v>4.0240056445797929</v>
      </c>
      <c r="CJ90" s="45" t="str">
        <v>Invest</v>
      </c>
      <c r="CM90" s="45">
        <v>86</v>
      </c>
      <c r="CN90" s="48">
        <v>25.49114762107618</v>
      </c>
      <c r="CO90" s="45" t="str">
        <v>Invest</v>
      </c>
      <c r="CP90" s="61"/>
      <c r="CQ90" s="45">
        <v>86</v>
      </c>
      <c r="CR90" s="45">
        <v>5.9324690963493918</v>
      </c>
      <c r="CS90" s="45" t="str">
        <v>Invest</v>
      </c>
      <c r="CT90" s="61"/>
      <c r="CU90" s="45">
        <v>86</v>
      </c>
      <c r="CV90" s="45">
        <v>24.801623353768317</v>
      </c>
      <c r="CW90" s="45" t="str">
        <v>Invest</v>
      </c>
      <c r="CX90" s="61"/>
      <c r="CY90" s="45">
        <v>86</v>
      </c>
      <c r="CZ90" s="45">
        <v>54.946275111017677</v>
      </c>
      <c r="DA90" s="45" t="str">
        <v>Invest</v>
      </c>
      <c r="DU90" s="52"/>
      <c r="DV90" s="50"/>
    </row>
    <row r="91" spans="86:126" ht="26">
      <c r="CH91" s="45">
        <v>87</v>
      </c>
      <c r="CI91" s="45">
        <v>9.9071879250666512</v>
      </c>
      <c r="CJ91" s="45" t="str">
        <v>Invest</v>
      </c>
      <c r="CM91" s="45">
        <v>87</v>
      </c>
      <c r="CN91" s="48">
        <v>4.0064463554965961</v>
      </c>
      <c r="CO91" s="45" t="str">
        <v>Invest</v>
      </c>
      <c r="CP91" s="61"/>
      <c r="CQ91" s="45">
        <v>87</v>
      </c>
      <c r="CR91" s="45">
        <v>22.011576059901426</v>
      </c>
      <c r="CS91" s="45" t="str">
        <v>Invest</v>
      </c>
      <c r="CT91" s="61"/>
      <c r="CU91" s="45">
        <v>87</v>
      </c>
      <c r="CV91" s="45">
        <v>17.577652962902899</v>
      </c>
      <c r="CW91" s="45" t="str">
        <v>Invest</v>
      </c>
      <c r="CX91" s="61"/>
      <c r="CY91" s="45">
        <v>87</v>
      </c>
      <c r="CZ91" s="45">
        <v>3.7175406434921356</v>
      </c>
      <c r="DA91" s="45" t="str">
        <v>Invest</v>
      </c>
      <c r="DT91" s="80" t="s">
        <v>123</v>
      </c>
      <c r="DU91" s="81"/>
      <c r="DV91" s="50"/>
    </row>
    <row r="92" spans="86:126" ht="26">
      <c r="CH92" s="45">
        <v>88</v>
      </c>
      <c r="CI92" s="45">
        <v>34.30882518692195</v>
      </c>
      <c r="CJ92" s="45" t="str">
        <v>Invest</v>
      </c>
      <c r="CM92" s="45">
        <v>88</v>
      </c>
      <c r="CN92" s="48">
        <v>30.402013214632866</v>
      </c>
      <c r="CO92" s="45" t="str">
        <v>Invest</v>
      </c>
      <c r="CP92" s="61"/>
      <c r="CQ92" s="45">
        <v>88</v>
      </c>
      <c r="CR92" s="45">
        <v>13.185477484188663</v>
      </c>
      <c r="CS92" s="45" t="str">
        <v>Invest</v>
      </c>
      <c r="CT92" s="61"/>
      <c r="CU92" s="45">
        <v>88</v>
      </c>
      <c r="CV92" s="45">
        <v>0</v>
      </c>
      <c r="CW92" s="45" t="str">
        <v>Nothing</v>
      </c>
      <c r="CX92" s="61"/>
      <c r="CY92" s="45">
        <v>88</v>
      </c>
      <c r="CZ92" s="45">
        <v>40.727411813743878</v>
      </c>
      <c r="DA92" s="45" t="str">
        <v>Invest</v>
      </c>
      <c r="DT92" s="62" t="s">
        <v>124</v>
      </c>
      <c r="DU92" s="63">
        <f>DU95</f>
        <v>16.47131151007239</v>
      </c>
      <c r="DV92" s="50"/>
    </row>
    <row r="93" spans="86:126" ht="26">
      <c r="CH93" s="45">
        <v>89</v>
      </c>
      <c r="CI93" s="45">
        <v>0</v>
      </c>
      <c r="CJ93" s="45" t="str">
        <v>Nothing</v>
      </c>
      <c r="CM93" s="45">
        <v>89</v>
      </c>
      <c r="CN93" s="48">
        <v>0</v>
      </c>
      <c r="CO93" s="45" t="str">
        <v>Nothing</v>
      </c>
      <c r="CP93" s="61"/>
      <c r="CQ93" s="45">
        <v>89</v>
      </c>
      <c r="CR93" s="45">
        <v>0</v>
      </c>
      <c r="CS93" s="45" t="str">
        <v>Nothing</v>
      </c>
      <c r="CT93" s="61"/>
      <c r="CU93" s="45">
        <v>89</v>
      </c>
      <c r="CV93" s="45">
        <v>29.918498406819154</v>
      </c>
      <c r="CW93" s="45" t="str">
        <v>Invest</v>
      </c>
      <c r="CX93" s="61"/>
      <c r="CY93" s="45">
        <v>89</v>
      </c>
      <c r="CZ93" s="45">
        <v>21.306583032679871</v>
      </c>
      <c r="DA93" s="45" t="str">
        <v>Invest</v>
      </c>
      <c r="DT93" s="62" t="s">
        <v>125</v>
      </c>
      <c r="DU93" s="63">
        <f>COUNTIF(CZ5:CZ5004,"&gt;0")</f>
        <v>3658</v>
      </c>
      <c r="DV93" s="50"/>
    </row>
    <row r="94" spans="86:126" ht="26.5" thickBot="1">
      <c r="CH94" s="45">
        <v>90</v>
      </c>
      <c r="CI94" s="45">
        <v>18.24835226567415</v>
      </c>
      <c r="CJ94" s="45" t="str">
        <v>Invest</v>
      </c>
      <c r="CM94" s="45">
        <v>90</v>
      </c>
      <c r="CN94" s="48">
        <v>0</v>
      </c>
      <c r="CO94" s="45" t="str">
        <v>Nothing</v>
      </c>
      <c r="CP94" s="61"/>
      <c r="CQ94" s="45">
        <v>90</v>
      </c>
      <c r="CR94" s="45">
        <v>2.0814128337828244</v>
      </c>
      <c r="CS94" s="45" t="str">
        <v>Invest</v>
      </c>
      <c r="CT94" s="61"/>
      <c r="CU94" s="45">
        <v>90</v>
      </c>
      <c r="CV94" s="45">
        <v>11.893656728380925</v>
      </c>
      <c r="CW94" s="45" t="str">
        <v>Invest</v>
      </c>
      <c r="CX94" s="61"/>
      <c r="CY94" s="45">
        <v>90</v>
      </c>
      <c r="CZ94" s="45">
        <v>0</v>
      </c>
      <c r="DA94" s="45" t="str">
        <v>Nothing</v>
      </c>
      <c r="DT94" s="64" t="s">
        <v>126</v>
      </c>
      <c r="DU94" s="65">
        <f>COUNTIF(CZ5:CZ5004,"=0")</f>
        <v>1342</v>
      </c>
      <c r="DV94" s="50"/>
    </row>
    <row r="95" spans="86:126" ht="26">
      <c r="CH95" s="45">
        <v>91</v>
      </c>
      <c r="CI95" s="45">
        <v>42.5289615266365</v>
      </c>
      <c r="CJ95" s="45" t="str">
        <v>Invest</v>
      </c>
      <c r="CM95" s="45">
        <v>91</v>
      </c>
      <c r="CN95" s="48">
        <v>0</v>
      </c>
      <c r="CO95" s="45" t="str">
        <v>Nothing</v>
      </c>
      <c r="CP95" s="61"/>
      <c r="CQ95" s="45">
        <v>91</v>
      </c>
      <c r="CR95" s="45">
        <v>8.7261273224405436</v>
      </c>
      <c r="CS95" s="45" t="str">
        <v>Invest</v>
      </c>
      <c r="CT95" s="61"/>
      <c r="CU95" s="45">
        <v>91</v>
      </c>
      <c r="CV95" s="45">
        <v>13.700192133479367</v>
      </c>
      <c r="CW95" s="45" t="str">
        <v>Invest</v>
      </c>
      <c r="CX95" s="61"/>
      <c r="CY95" s="45">
        <v>91</v>
      </c>
      <c r="CZ95" s="45">
        <v>23.212160858738152</v>
      </c>
      <c r="DA95" s="45" t="str">
        <v>Invest</v>
      </c>
      <c r="DT95" s="67" t="s">
        <v>100</v>
      </c>
      <c r="DU95" s="67">
        <f>AVERAGE(CZ5:CZ5004)</f>
        <v>16.47131151007239</v>
      </c>
      <c r="DV95" s="50"/>
    </row>
    <row r="96" spans="86:126" ht="26">
      <c r="CH96" s="45">
        <v>92</v>
      </c>
      <c r="CI96" s="45">
        <v>32.118056096755474</v>
      </c>
      <c r="CJ96" s="45" t="str">
        <v>Invest</v>
      </c>
      <c r="CM96" s="45">
        <v>92</v>
      </c>
      <c r="CN96" s="48">
        <v>3.6491302605978451</v>
      </c>
      <c r="CO96" s="45" t="str">
        <v>Invest</v>
      </c>
      <c r="CP96" s="61"/>
      <c r="CQ96" s="45">
        <v>92</v>
      </c>
      <c r="CR96" s="45">
        <v>1.1511645096995498</v>
      </c>
      <c r="CS96" s="45" t="str">
        <v>Invest</v>
      </c>
      <c r="CT96" s="61"/>
      <c r="CU96" s="45">
        <v>92</v>
      </c>
      <c r="CV96" s="45">
        <v>31.394423239019048</v>
      </c>
      <c r="CW96" s="45" t="str">
        <v>Invest</v>
      </c>
      <c r="CX96" s="61"/>
      <c r="CY96" s="45">
        <v>92</v>
      </c>
      <c r="CZ96" s="45">
        <v>18.160088429563153</v>
      </c>
      <c r="DA96" s="45" t="str">
        <v>Invest</v>
      </c>
      <c r="DT96" s="67" t="s">
        <v>101</v>
      </c>
      <c r="DU96" s="67">
        <f>_xlfn.STDEV.S(CZ5:CZ5004)/(SQRT(5000))</f>
        <v>0.23392067048282467</v>
      </c>
      <c r="DV96" s="50"/>
    </row>
    <row r="97" spans="86:126" ht="26">
      <c r="CH97" s="45">
        <v>93</v>
      </c>
      <c r="CI97" s="45">
        <v>18.279325082762373</v>
      </c>
      <c r="CJ97" s="45" t="str">
        <v>Invest</v>
      </c>
      <c r="CM97" s="45">
        <v>93</v>
      </c>
      <c r="CN97" s="48">
        <v>0</v>
      </c>
      <c r="CO97" s="45" t="str">
        <v>Nothing</v>
      </c>
      <c r="CP97" s="61"/>
      <c r="CQ97" s="45">
        <v>93</v>
      </c>
      <c r="CR97" s="45">
        <v>2.3784629906828298</v>
      </c>
      <c r="CS97" s="45" t="str">
        <v>Invest</v>
      </c>
      <c r="CT97" s="61"/>
      <c r="CU97" s="45">
        <v>93</v>
      </c>
      <c r="CV97" s="45">
        <v>0</v>
      </c>
      <c r="CW97" s="45" t="str">
        <v>Nothing</v>
      </c>
      <c r="CX97" s="61"/>
      <c r="CY97" s="45">
        <v>93</v>
      </c>
      <c r="CZ97" s="45">
        <v>4.5963728449355408</v>
      </c>
      <c r="DA97" s="45" t="str">
        <v>Invest</v>
      </c>
      <c r="DT97" s="67" t="s">
        <v>102</v>
      </c>
      <c r="DU97" s="67">
        <f>MEDIAN(CZ5:CZ5004)</f>
        <v>12.22925160229553</v>
      </c>
      <c r="DV97" s="50"/>
    </row>
    <row r="98" spans="86:126" ht="26">
      <c r="CH98" s="45">
        <v>94</v>
      </c>
      <c r="CI98" s="45">
        <v>57.443040541822072</v>
      </c>
      <c r="CJ98" s="45" t="str">
        <v>Invest</v>
      </c>
      <c r="CM98" s="45">
        <v>94</v>
      </c>
      <c r="CN98" s="48">
        <v>0</v>
      </c>
      <c r="CO98" s="45" t="str">
        <v>Nothing</v>
      </c>
      <c r="CP98" s="61"/>
      <c r="CQ98" s="45">
        <v>94</v>
      </c>
      <c r="CR98" s="45">
        <v>28.563485939494605</v>
      </c>
      <c r="CS98" s="45" t="str">
        <v>Invest</v>
      </c>
      <c r="CT98" s="61"/>
      <c r="CU98" s="45">
        <v>94</v>
      </c>
      <c r="CV98" s="45">
        <v>6.0128088620127826</v>
      </c>
      <c r="CW98" s="45" t="str">
        <v>Invest</v>
      </c>
      <c r="CX98" s="61"/>
      <c r="CY98" s="45">
        <v>94</v>
      </c>
      <c r="CZ98" s="45">
        <v>0</v>
      </c>
      <c r="DA98" s="45" t="str">
        <v>Nothing</v>
      </c>
      <c r="DT98" s="67" t="s">
        <v>103</v>
      </c>
      <c r="DU98" s="67">
        <f>_xlfn.MODE.SNGL(CZ5:CZ5004)</f>
        <v>0</v>
      </c>
      <c r="DV98" s="50"/>
    </row>
    <row r="99" spans="86:126" ht="26">
      <c r="CH99" s="45">
        <v>95</v>
      </c>
      <c r="CI99" s="45">
        <v>11.220824860286942</v>
      </c>
      <c r="CJ99" s="45" t="str">
        <v>Invest</v>
      </c>
      <c r="CM99" s="45">
        <v>95</v>
      </c>
      <c r="CN99" s="48">
        <v>0</v>
      </c>
      <c r="CO99" s="45" t="str">
        <v>Nothing</v>
      </c>
      <c r="CP99" s="61"/>
      <c r="CQ99" s="45">
        <v>95</v>
      </c>
      <c r="CR99" s="45">
        <v>35.337930583518016</v>
      </c>
      <c r="CS99" s="45" t="str">
        <v>Invest</v>
      </c>
      <c r="CT99" s="61"/>
      <c r="CU99" s="45">
        <v>95</v>
      </c>
      <c r="CV99" s="45">
        <v>9.6042589546497315</v>
      </c>
      <c r="CW99" s="45" t="str">
        <v>Invest</v>
      </c>
      <c r="CX99" s="61"/>
      <c r="CY99" s="45">
        <v>95</v>
      </c>
      <c r="CZ99" s="45">
        <v>37.913200351261892</v>
      </c>
      <c r="DA99" s="45" t="str">
        <v>Invest</v>
      </c>
      <c r="DT99" s="67" t="s">
        <v>104</v>
      </c>
      <c r="DU99" s="67">
        <f>_xlfn.STDEV.S(CZ5:CZ5004)</f>
        <v>16.54068923581092</v>
      </c>
      <c r="DV99" s="50"/>
    </row>
    <row r="100" spans="86:126" ht="26">
      <c r="CH100" s="45">
        <v>96</v>
      </c>
      <c r="CI100" s="45">
        <v>0</v>
      </c>
      <c r="CJ100" s="45" t="str">
        <v>Nothing</v>
      </c>
      <c r="CM100" s="45">
        <v>96</v>
      </c>
      <c r="CN100" s="48">
        <v>7.0845297002321566</v>
      </c>
      <c r="CO100" s="45" t="str">
        <v>Invest</v>
      </c>
      <c r="CP100" s="61"/>
      <c r="CQ100" s="45">
        <v>96</v>
      </c>
      <c r="CR100" s="45">
        <v>22.726069317267065</v>
      </c>
      <c r="CS100" s="45" t="str">
        <v>Invest</v>
      </c>
      <c r="CT100" s="61"/>
      <c r="CU100" s="45">
        <v>96</v>
      </c>
      <c r="CV100" s="45">
        <v>3.0716280569670946</v>
      </c>
      <c r="CW100" s="45" t="str">
        <v>Invest</v>
      </c>
      <c r="CX100" s="61"/>
      <c r="CY100" s="45">
        <v>96</v>
      </c>
      <c r="CZ100" s="45">
        <v>17.090741459547097</v>
      </c>
      <c r="DA100" s="45" t="str">
        <v>Invest</v>
      </c>
      <c r="DT100" s="67" t="s">
        <v>105</v>
      </c>
      <c r="DU100" s="67">
        <f>_xlfn.VAR.S(CZ5:CZ5004)</f>
        <v>273.59440039567119</v>
      </c>
      <c r="DV100" s="50"/>
    </row>
    <row r="101" spans="86:126" ht="26">
      <c r="CH101" s="45">
        <v>97</v>
      </c>
      <c r="CI101" s="45">
        <v>0</v>
      </c>
      <c r="CJ101" s="45" t="str">
        <v>Nothing</v>
      </c>
      <c r="CM101" s="45">
        <v>97</v>
      </c>
      <c r="CN101" s="48">
        <v>25.232903923144463</v>
      </c>
      <c r="CO101" s="45" t="str">
        <v>Invest</v>
      </c>
      <c r="CP101" s="61"/>
      <c r="CQ101" s="45">
        <v>97</v>
      </c>
      <c r="CR101" s="45">
        <v>10.906879999531958</v>
      </c>
      <c r="CS101" s="45" t="str">
        <v>Invest</v>
      </c>
      <c r="CT101" s="61"/>
      <c r="CU101" s="45">
        <v>97</v>
      </c>
      <c r="CV101" s="45">
        <v>12.558846576472304</v>
      </c>
      <c r="CW101" s="45" t="str">
        <v>Invest</v>
      </c>
      <c r="CX101" s="61"/>
      <c r="CY101" s="45">
        <v>97</v>
      </c>
      <c r="CZ101" s="45">
        <v>0</v>
      </c>
      <c r="DA101" s="45" t="str">
        <v>Nothing</v>
      </c>
      <c r="DT101" s="67" t="s">
        <v>106</v>
      </c>
      <c r="DU101" s="67">
        <f>KURT(CZ5:CZ5004)</f>
        <v>-0.34817807308705673</v>
      </c>
      <c r="DV101" s="50"/>
    </row>
    <row r="102" spans="86:126" ht="26">
      <c r="CH102" s="45">
        <v>98</v>
      </c>
      <c r="CI102" s="45">
        <v>31.081036189712592</v>
      </c>
      <c r="CJ102" s="45" t="str">
        <v>Invest</v>
      </c>
      <c r="CM102" s="45">
        <v>98</v>
      </c>
      <c r="CN102" s="48">
        <v>0</v>
      </c>
      <c r="CO102" s="45" t="str">
        <v>Nothing</v>
      </c>
      <c r="CP102" s="61"/>
      <c r="CQ102" s="45">
        <v>98</v>
      </c>
      <c r="CR102" s="45">
        <v>13.467308501829878</v>
      </c>
      <c r="CS102" s="45" t="str">
        <v>Invest</v>
      </c>
      <c r="CT102" s="61"/>
      <c r="CU102" s="45">
        <v>98</v>
      </c>
      <c r="CV102" s="45">
        <v>0</v>
      </c>
      <c r="CW102" s="45" t="str">
        <v>Nothing</v>
      </c>
      <c r="CX102" s="61"/>
      <c r="CY102" s="45">
        <v>98</v>
      </c>
      <c r="CZ102" s="45">
        <v>27.198511696579796</v>
      </c>
      <c r="DA102" s="45" t="str">
        <v>Invest</v>
      </c>
      <c r="DT102" s="67" t="s">
        <v>107</v>
      </c>
      <c r="DU102" s="67">
        <f>SKEW(CZ5:CZ5004)</f>
        <v>0.80474069159704753</v>
      </c>
      <c r="DV102" s="50"/>
    </row>
    <row r="103" spans="86:126" ht="26">
      <c r="CH103" s="45">
        <v>99</v>
      </c>
      <c r="CI103" s="45">
        <v>33.255503947003263</v>
      </c>
      <c r="CJ103" s="45" t="str">
        <v>Invest</v>
      </c>
      <c r="CM103" s="45">
        <v>99</v>
      </c>
      <c r="CN103" s="48">
        <v>16.408446364083996</v>
      </c>
      <c r="CO103" s="45" t="str">
        <v>Invest</v>
      </c>
      <c r="CP103" s="61"/>
      <c r="CQ103" s="45">
        <v>99</v>
      </c>
      <c r="CR103" s="45">
        <v>19.450712078890891</v>
      </c>
      <c r="CS103" s="45" t="str">
        <v>Invest</v>
      </c>
      <c r="CT103" s="61"/>
      <c r="CU103" s="45">
        <v>99</v>
      </c>
      <c r="CV103" s="45">
        <v>18.191948480220077</v>
      </c>
      <c r="CW103" s="45" t="str">
        <v>Invest</v>
      </c>
      <c r="CX103" s="61"/>
      <c r="CY103" s="45">
        <v>99</v>
      </c>
      <c r="CZ103" s="45">
        <v>6.1071057519090886</v>
      </c>
      <c r="DA103" s="45" t="str">
        <v>Invest</v>
      </c>
      <c r="DT103" s="67" t="s">
        <v>108</v>
      </c>
      <c r="DU103" s="67">
        <f>MAX(CZ5:CZ5004)-MIN(CZ5:CZ5004)</f>
        <v>67.672952970316103</v>
      </c>
      <c r="DV103" s="50"/>
    </row>
    <row r="104" spans="86:126" ht="26">
      <c r="CH104" s="45">
        <v>100</v>
      </c>
      <c r="CI104" s="45">
        <v>0</v>
      </c>
      <c r="CJ104" s="45" t="str">
        <v>Nothing</v>
      </c>
      <c r="CM104" s="45">
        <v>100</v>
      </c>
      <c r="CN104" s="48">
        <v>0</v>
      </c>
      <c r="CO104" s="45" t="str">
        <v>Nothing</v>
      </c>
      <c r="CP104" s="61"/>
      <c r="CQ104" s="45">
        <v>100</v>
      </c>
      <c r="CR104" s="45">
        <v>0</v>
      </c>
      <c r="CS104" s="45" t="str">
        <v>Nothing</v>
      </c>
      <c r="CT104" s="61"/>
      <c r="CU104" s="45">
        <v>100</v>
      </c>
      <c r="CV104" s="45">
        <v>52.315514326584548</v>
      </c>
      <c r="CW104" s="45" t="str">
        <v>Invest</v>
      </c>
      <c r="CX104" s="61"/>
      <c r="CY104" s="45">
        <v>100</v>
      </c>
      <c r="CZ104" s="45">
        <v>13.348221362211426</v>
      </c>
      <c r="DA104" s="45" t="str">
        <v>Invest</v>
      </c>
      <c r="DT104" s="67" t="s">
        <v>109</v>
      </c>
      <c r="DU104" s="67">
        <f>MIN(CZ5:CZ5004)</f>
        <v>0</v>
      </c>
      <c r="DV104" s="50"/>
    </row>
    <row r="105" spans="86:126" ht="26">
      <c r="CH105" s="45">
        <v>101</v>
      </c>
      <c r="CI105" s="45">
        <v>0</v>
      </c>
      <c r="CJ105" s="45" t="str">
        <v>Nothing</v>
      </c>
      <c r="CM105" s="45">
        <v>101</v>
      </c>
      <c r="CN105" s="48">
        <v>0</v>
      </c>
      <c r="CO105" s="45" t="str">
        <v>Nothing</v>
      </c>
      <c r="CP105" s="61"/>
      <c r="CQ105" s="45">
        <v>101</v>
      </c>
      <c r="CR105" s="45">
        <v>25.874887673228834</v>
      </c>
      <c r="CS105" s="45" t="str">
        <v>Invest</v>
      </c>
      <c r="CT105" s="61"/>
      <c r="CU105" s="45">
        <v>101</v>
      </c>
      <c r="CV105" s="45">
        <v>0</v>
      </c>
      <c r="CW105" s="45" t="str">
        <v>Nothing</v>
      </c>
      <c r="CX105" s="61"/>
      <c r="CY105" s="45">
        <v>101</v>
      </c>
      <c r="CZ105" s="45">
        <v>0.22985596571508893</v>
      </c>
      <c r="DA105" s="45" t="str">
        <v>Invest</v>
      </c>
      <c r="DT105" s="67" t="s">
        <v>110</v>
      </c>
      <c r="DU105" s="67">
        <f>MAX(CZ5:CZ5004)</f>
        <v>67.672952970316103</v>
      </c>
      <c r="DV105" s="50"/>
    </row>
    <row r="106" spans="86:126" ht="26">
      <c r="CH106" s="45">
        <v>102</v>
      </c>
      <c r="CI106" s="45">
        <v>26.649607674507131</v>
      </c>
      <c r="CJ106" s="45" t="str">
        <v>Invest</v>
      </c>
      <c r="CM106" s="45">
        <v>102</v>
      </c>
      <c r="CN106" s="48">
        <v>0</v>
      </c>
      <c r="CO106" s="45" t="str">
        <v>Nothing</v>
      </c>
      <c r="CP106" s="61"/>
      <c r="CQ106" s="45">
        <v>102</v>
      </c>
      <c r="CR106" s="45">
        <v>0</v>
      </c>
      <c r="CS106" s="45" t="str">
        <v>Nothing</v>
      </c>
      <c r="CT106" s="61"/>
      <c r="CU106" s="45">
        <v>102</v>
      </c>
      <c r="CV106" s="45">
        <v>0</v>
      </c>
      <c r="CW106" s="45" t="str">
        <v>Nothing</v>
      </c>
      <c r="CX106" s="61"/>
      <c r="CY106" s="45">
        <v>102</v>
      </c>
      <c r="CZ106" s="45">
        <v>8.9919814849671198</v>
      </c>
      <c r="DA106" s="45" t="str">
        <v>Invest</v>
      </c>
      <c r="DT106" s="67" t="s">
        <v>111</v>
      </c>
      <c r="DU106" s="67">
        <f>SUM(CZ5:CZ5004)</f>
        <v>82356.557550361948</v>
      </c>
      <c r="DV106" s="50"/>
    </row>
    <row r="107" spans="86:126" ht="26">
      <c r="CH107" s="45">
        <v>103</v>
      </c>
      <c r="CI107" s="45">
        <v>34.169788377095585</v>
      </c>
      <c r="CJ107" s="45" t="str">
        <v>Invest</v>
      </c>
      <c r="CM107" s="45">
        <v>103</v>
      </c>
      <c r="CN107" s="48">
        <v>16.078898563633295</v>
      </c>
      <c r="CO107" s="45" t="str">
        <v>Invest</v>
      </c>
      <c r="CP107" s="61"/>
      <c r="CQ107" s="45">
        <v>103</v>
      </c>
      <c r="CR107" s="45">
        <v>39.801561247627646</v>
      </c>
      <c r="CS107" s="45" t="str">
        <v>Invest</v>
      </c>
      <c r="CT107" s="61"/>
      <c r="CU107" s="45">
        <v>103</v>
      </c>
      <c r="CV107" s="45">
        <v>29.544061355391321</v>
      </c>
      <c r="CW107" s="45" t="str">
        <v>Invest</v>
      </c>
      <c r="CX107" s="61"/>
      <c r="CY107" s="45">
        <v>103</v>
      </c>
      <c r="CZ107" s="45">
        <v>5.6713622450155263</v>
      </c>
      <c r="DA107" s="45" t="str">
        <v>Invest</v>
      </c>
      <c r="DT107" s="67" t="s">
        <v>112</v>
      </c>
      <c r="DU107" s="67">
        <f>COUNT(CZ5:CZ5004)</f>
        <v>5000</v>
      </c>
      <c r="DV107" s="50"/>
    </row>
    <row r="108" spans="86:126" ht="23.5">
      <c r="CH108" s="45">
        <v>104</v>
      </c>
      <c r="CI108" s="45">
        <v>26.509976046814618</v>
      </c>
      <c r="CJ108" s="45" t="str">
        <v>Invest</v>
      </c>
      <c r="CM108" s="45">
        <v>104</v>
      </c>
      <c r="CN108" s="48">
        <v>10.98918287198671</v>
      </c>
      <c r="CO108" s="45" t="str">
        <v>Invest</v>
      </c>
      <c r="CP108" s="61"/>
      <c r="CQ108" s="45">
        <v>104</v>
      </c>
      <c r="CR108" s="45">
        <v>0</v>
      </c>
      <c r="CS108" s="45" t="str">
        <v>Nothing</v>
      </c>
      <c r="CT108" s="61"/>
      <c r="CU108" s="45">
        <v>104</v>
      </c>
      <c r="CV108" s="45">
        <v>41.691715315015124</v>
      </c>
      <c r="CW108" s="45" t="str">
        <v>Invest</v>
      </c>
      <c r="CX108" s="61"/>
      <c r="CY108" s="45">
        <v>104</v>
      </c>
      <c r="CZ108" s="45">
        <v>49.902453310838489</v>
      </c>
      <c r="DA108" s="45" t="str">
        <v>Invest</v>
      </c>
      <c r="DU108" s="52"/>
      <c r="DV108" s="50"/>
    </row>
    <row r="109" spans="86:126" ht="23.5">
      <c r="CH109" s="45">
        <v>105</v>
      </c>
      <c r="CI109" s="45">
        <v>0</v>
      </c>
      <c r="CJ109" s="45" t="str">
        <v>Nothing</v>
      </c>
      <c r="CM109" s="45">
        <v>105</v>
      </c>
      <c r="CN109" s="48">
        <v>38.111947194587231</v>
      </c>
      <c r="CO109" s="45" t="str">
        <v>Invest</v>
      </c>
      <c r="CP109" s="61"/>
      <c r="CQ109" s="45">
        <v>105</v>
      </c>
      <c r="CR109" s="45">
        <v>0</v>
      </c>
      <c r="CS109" s="45" t="str">
        <v>Nothing</v>
      </c>
      <c r="CT109" s="61"/>
      <c r="CU109" s="45">
        <v>105</v>
      </c>
      <c r="CV109" s="45">
        <v>25.392180688585373</v>
      </c>
      <c r="CW109" s="45" t="str">
        <v>Invest</v>
      </c>
      <c r="CX109" s="61"/>
      <c r="CY109" s="45">
        <v>105</v>
      </c>
      <c r="CZ109" s="45">
        <v>25.147416078235096</v>
      </c>
      <c r="DA109" s="45" t="str">
        <v>Invest</v>
      </c>
      <c r="DU109" s="52"/>
      <c r="DV109" s="50"/>
    </row>
    <row r="110" spans="86:126" ht="23.5">
      <c r="CH110" s="45">
        <v>106</v>
      </c>
      <c r="CI110" s="45">
        <v>0</v>
      </c>
      <c r="CJ110" s="45" t="str">
        <v>Nothing</v>
      </c>
      <c r="CM110" s="45">
        <v>106</v>
      </c>
      <c r="CN110" s="48">
        <v>0</v>
      </c>
      <c r="CO110" s="45" t="str">
        <v>Nothing</v>
      </c>
      <c r="CP110" s="61"/>
      <c r="CQ110" s="45">
        <v>106</v>
      </c>
      <c r="CR110" s="45">
        <v>34.730396622770606</v>
      </c>
      <c r="CS110" s="45" t="str">
        <v>Invest</v>
      </c>
      <c r="CT110" s="61"/>
      <c r="CU110" s="45">
        <v>106</v>
      </c>
      <c r="CV110" s="45">
        <v>39.488526106078872</v>
      </c>
      <c r="CW110" s="45" t="str">
        <v>Invest</v>
      </c>
      <c r="CX110" s="61"/>
      <c r="CY110" s="45">
        <v>106</v>
      </c>
      <c r="CZ110" s="45">
        <v>20.580679188044869</v>
      </c>
      <c r="DA110" s="45" t="str">
        <v>Invest</v>
      </c>
      <c r="DU110" s="52"/>
      <c r="DV110" s="50"/>
    </row>
    <row r="111" spans="86:126" ht="23.5">
      <c r="CH111" s="45">
        <v>107</v>
      </c>
      <c r="CI111" s="45">
        <v>7.8876977240139254</v>
      </c>
      <c r="CJ111" s="45" t="str">
        <v>Invest</v>
      </c>
      <c r="CM111" s="45">
        <v>107</v>
      </c>
      <c r="CN111" s="48">
        <v>0</v>
      </c>
      <c r="CO111" s="45" t="str">
        <v>Nothing</v>
      </c>
      <c r="CP111" s="61"/>
      <c r="CQ111" s="45">
        <v>107</v>
      </c>
      <c r="CR111" s="45">
        <v>0</v>
      </c>
      <c r="CS111" s="45" t="str">
        <v>Nothing</v>
      </c>
      <c r="CT111" s="61"/>
      <c r="CU111" s="45">
        <v>107</v>
      </c>
      <c r="CV111" s="45">
        <v>51.27667444222449</v>
      </c>
      <c r="CW111" s="45" t="str">
        <v>Invest</v>
      </c>
      <c r="CX111" s="61"/>
      <c r="CY111" s="45">
        <v>107</v>
      </c>
      <c r="CZ111" s="45">
        <v>35.747397566088587</v>
      </c>
      <c r="DA111" s="45" t="str">
        <v>Invest</v>
      </c>
      <c r="DU111" s="52"/>
      <c r="DV111" s="50"/>
    </row>
    <row r="112" spans="86:126" ht="23.5">
      <c r="CH112" s="45">
        <v>108</v>
      </c>
      <c r="CI112" s="45">
        <v>59.521536712494282</v>
      </c>
      <c r="CJ112" s="45" t="str">
        <v>Invest</v>
      </c>
      <c r="CM112" s="45">
        <v>108</v>
      </c>
      <c r="CN112" s="48">
        <v>11.25552717323718</v>
      </c>
      <c r="CO112" s="45" t="str">
        <v>Invest</v>
      </c>
      <c r="CP112" s="61"/>
      <c r="CQ112" s="45">
        <v>108</v>
      </c>
      <c r="CR112" s="45">
        <v>0</v>
      </c>
      <c r="CS112" s="45" t="str">
        <v>Nothing</v>
      </c>
      <c r="CT112" s="61"/>
      <c r="CU112" s="45">
        <v>108</v>
      </c>
      <c r="CV112" s="45">
        <v>0</v>
      </c>
      <c r="CW112" s="45" t="str">
        <v>Nothing</v>
      </c>
      <c r="CX112" s="61"/>
      <c r="CY112" s="45">
        <v>108</v>
      </c>
      <c r="CZ112" s="45">
        <v>33.405570157449503</v>
      </c>
      <c r="DA112" s="45" t="str">
        <v>Invest</v>
      </c>
      <c r="DU112" s="52"/>
      <c r="DV112" s="50"/>
    </row>
    <row r="113" spans="86:126" ht="23.5">
      <c r="CH113" s="45">
        <v>109</v>
      </c>
      <c r="CI113" s="45">
        <v>38.594885518677984</v>
      </c>
      <c r="CJ113" s="45" t="str">
        <v>Invest</v>
      </c>
      <c r="CM113" s="45">
        <v>109</v>
      </c>
      <c r="CN113" s="48">
        <v>52.303135375134403</v>
      </c>
      <c r="CO113" s="45" t="str">
        <v>Invest</v>
      </c>
      <c r="CP113" s="61"/>
      <c r="CQ113" s="45">
        <v>109</v>
      </c>
      <c r="CR113" s="45">
        <v>0</v>
      </c>
      <c r="CS113" s="45" t="str">
        <v>Nothing</v>
      </c>
      <c r="CT113" s="61"/>
      <c r="CU113" s="45">
        <v>109</v>
      </c>
      <c r="CV113" s="45">
        <v>14.535759406903242</v>
      </c>
      <c r="CW113" s="45" t="str">
        <v>Invest</v>
      </c>
      <c r="CX113" s="61"/>
      <c r="CY113" s="45">
        <v>109</v>
      </c>
      <c r="CZ113" s="45">
        <v>37.936419527393497</v>
      </c>
      <c r="DA113" s="45" t="str">
        <v>Invest</v>
      </c>
      <c r="DU113" s="52"/>
      <c r="DV113" s="50"/>
    </row>
    <row r="114" spans="86:126" ht="23.5">
      <c r="CH114" s="45">
        <v>110</v>
      </c>
      <c r="CI114" s="45">
        <v>16.974007877153262</v>
      </c>
      <c r="CJ114" s="45" t="str">
        <v>Invest</v>
      </c>
      <c r="CM114" s="45">
        <v>110</v>
      </c>
      <c r="CN114" s="48">
        <v>13.970122655579489</v>
      </c>
      <c r="CO114" s="45" t="str">
        <v>Invest</v>
      </c>
      <c r="CP114" s="61"/>
      <c r="CQ114" s="45">
        <v>110</v>
      </c>
      <c r="CR114" s="45">
        <v>17.977924723782301</v>
      </c>
      <c r="CS114" s="45" t="str">
        <v>Invest</v>
      </c>
      <c r="CT114" s="61"/>
      <c r="CU114" s="45">
        <v>110</v>
      </c>
      <c r="CV114" s="45">
        <v>2.48437152904987</v>
      </c>
      <c r="CW114" s="45" t="str">
        <v>Invest</v>
      </c>
      <c r="CX114" s="61"/>
      <c r="CY114" s="45">
        <v>110</v>
      </c>
      <c r="CZ114" s="45">
        <v>0</v>
      </c>
      <c r="DA114" s="45" t="str">
        <v>Nothing</v>
      </c>
      <c r="DU114" s="52"/>
      <c r="DV114" s="50"/>
    </row>
    <row r="115" spans="86:126" ht="23.5">
      <c r="CH115" s="45">
        <v>111</v>
      </c>
      <c r="CI115" s="45">
        <v>0</v>
      </c>
      <c r="CJ115" s="45" t="str">
        <v>Nothing</v>
      </c>
      <c r="CM115" s="45">
        <v>111</v>
      </c>
      <c r="CN115" s="48">
        <v>28.708659614845011</v>
      </c>
      <c r="CO115" s="45" t="str">
        <v>Invest</v>
      </c>
      <c r="CP115" s="61"/>
      <c r="CQ115" s="45">
        <v>111</v>
      </c>
      <c r="CR115" s="45">
        <v>0</v>
      </c>
      <c r="CS115" s="45" t="str">
        <v>Nothing</v>
      </c>
      <c r="CT115" s="61"/>
      <c r="CU115" s="45">
        <v>111</v>
      </c>
      <c r="CV115" s="45">
        <v>41.952816930455064</v>
      </c>
      <c r="CW115" s="45" t="str">
        <v>Invest</v>
      </c>
      <c r="CX115" s="61"/>
      <c r="CY115" s="45">
        <v>111</v>
      </c>
      <c r="CZ115" s="45">
        <v>34.793885607436323</v>
      </c>
      <c r="DA115" s="45" t="str">
        <v>Invest</v>
      </c>
      <c r="DU115" s="52"/>
      <c r="DV115" s="50"/>
    </row>
    <row r="116" spans="86:126" ht="23.5">
      <c r="CH116" s="45">
        <v>112</v>
      </c>
      <c r="CI116" s="45">
        <v>0.68597255002404012</v>
      </c>
      <c r="CJ116" s="45" t="str">
        <v>Invest</v>
      </c>
      <c r="CM116" s="45">
        <v>112</v>
      </c>
      <c r="CN116" s="48">
        <v>33.258142838619541</v>
      </c>
      <c r="CO116" s="45" t="str">
        <v>Invest</v>
      </c>
      <c r="CP116" s="61"/>
      <c r="CQ116" s="45">
        <v>112</v>
      </c>
      <c r="CR116" s="45">
        <v>0</v>
      </c>
      <c r="CS116" s="45" t="str">
        <v>Nothing</v>
      </c>
      <c r="CT116" s="61"/>
      <c r="CU116" s="45">
        <v>112</v>
      </c>
      <c r="CV116" s="45">
        <v>27.360148029560548</v>
      </c>
      <c r="CW116" s="45" t="str">
        <v>Invest</v>
      </c>
      <c r="CX116" s="61"/>
      <c r="CY116" s="45">
        <v>112</v>
      </c>
      <c r="CZ116" s="45">
        <v>12.489151899522529</v>
      </c>
      <c r="DA116" s="45" t="str">
        <v>Invest</v>
      </c>
      <c r="DU116" s="52"/>
      <c r="DV116" s="50"/>
    </row>
    <row r="117" spans="86:126" ht="23.5">
      <c r="CH117" s="45">
        <v>113</v>
      </c>
      <c r="CI117" s="45">
        <v>0</v>
      </c>
      <c r="CJ117" s="45" t="str">
        <v>Nothing</v>
      </c>
      <c r="CM117" s="45">
        <v>113</v>
      </c>
      <c r="CN117" s="48">
        <v>18.089329069023915</v>
      </c>
      <c r="CO117" s="45" t="str">
        <v>Invest</v>
      </c>
      <c r="CP117" s="61"/>
      <c r="CQ117" s="45">
        <v>113</v>
      </c>
      <c r="CR117" s="45">
        <v>27.326844652048127</v>
      </c>
      <c r="CS117" s="45" t="str">
        <v>Invest</v>
      </c>
      <c r="CT117" s="61"/>
      <c r="CU117" s="45">
        <v>113</v>
      </c>
      <c r="CV117" s="45">
        <v>49.574266520148065</v>
      </c>
      <c r="CW117" s="45" t="str">
        <v>Invest</v>
      </c>
      <c r="CX117" s="61"/>
      <c r="CY117" s="45">
        <v>113</v>
      </c>
      <c r="CZ117" s="45">
        <v>0</v>
      </c>
      <c r="DA117" s="45" t="str">
        <v>Nothing</v>
      </c>
      <c r="DU117" s="52"/>
      <c r="DV117" s="50"/>
    </row>
    <row r="118" spans="86:126" ht="23.5">
      <c r="CH118" s="45">
        <v>114</v>
      </c>
      <c r="CI118" s="45">
        <v>62.410103370857748</v>
      </c>
      <c r="CJ118" s="45" t="str">
        <v>Invest</v>
      </c>
      <c r="CM118" s="45">
        <v>114</v>
      </c>
      <c r="CN118" s="48">
        <v>9.7636273711699673</v>
      </c>
      <c r="CO118" s="45" t="str">
        <v>Invest</v>
      </c>
      <c r="CP118" s="61"/>
      <c r="CQ118" s="45">
        <v>114</v>
      </c>
      <c r="CR118" s="45">
        <v>12.043816243788267</v>
      </c>
      <c r="CS118" s="45" t="str">
        <v>Invest</v>
      </c>
      <c r="CT118" s="61"/>
      <c r="CU118" s="45">
        <v>114</v>
      </c>
      <c r="CV118" s="45">
        <v>0</v>
      </c>
      <c r="CW118" s="45" t="str">
        <v>Nothing</v>
      </c>
      <c r="CX118" s="61"/>
      <c r="CY118" s="45">
        <v>114</v>
      </c>
      <c r="CZ118" s="45">
        <v>17.421591456935275</v>
      </c>
      <c r="DA118" s="45" t="str">
        <v>Invest</v>
      </c>
      <c r="DU118" s="52"/>
      <c r="DV118" s="50"/>
    </row>
    <row r="119" spans="86:126" ht="23.5">
      <c r="CH119" s="45">
        <v>115</v>
      </c>
      <c r="CI119" s="45">
        <v>15.349827381444776</v>
      </c>
      <c r="CJ119" s="45" t="str">
        <v>Invest</v>
      </c>
      <c r="CM119" s="45">
        <v>115</v>
      </c>
      <c r="CN119" s="48">
        <v>23.520808315400011</v>
      </c>
      <c r="CO119" s="45" t="str">
        <v>Invest</v>
      </c>
      <c r="CP119" s="61"/>
      <c r="CQ119" s="45">
        <v>115</v>
      </c>
      <c r="CR119" s="45">
        <v>0</v>
      </c>
      <c r="CS119" s="45" t="str">
        <v>Nothing</v>
      </c>
      <c r="CT119" s="61"/>
      <c r="CU119" s="45">
        <v>115</v>
      </c>
      <c r="CV119" s="45">
        <v>0.86108087389235877</v>
      </c>
      <c r="CW119" s="45" t="str">
        <v>Invest</v>
      </c>
      <c r="CX119" s="61"/>
      <c r="CY119" s="45">
        <v>115</v>
      </c>
      <c r="CZ119" s="45">
        <v>27.707149849034334</v>
      </c>
      <c r="DA119" s="45" t="str">
        <v>Invest</v>
      </c>
      <c r="DU119" s="52"/>
      <c r="DV119" s="50"/>
    </row>
    <row r="120" spans="86:126" ht="23.5">
      <c r="CH120" s="45">
        <v>116</v>
      </c>
      <c r="CI120" s="45">
        <v>29.691212352309552</v>
      </c>
      <c r="CJ120" s="45" t="str">
        <v>Invest</v>
      </c>
      <c r="CM120" s="45">
        <v>116</v>
      </c>
      <c r="CN120" s="48">
        <v>24.783829518842378</v>
      </c>
      <c r="CO120" s="45" t="str">
        <v>Invest</v>
      </c>
      <c r="CP120" s="61"/>
      <c r="CQ120" s="45">
        <v>116</v>
      </c>
      <c r="CR120" s="45">
        <v>33.872790905234716</v>
      </c>
      <c r="CS120" s="45" t="str">
        <v>Invest</v>
      </c>
      <c r="CT120" s="61"/>
      <c r="CU120" s="45">
        <v>116</v>
      </c>
      <c r="CV120" s="45">
        <v>15.715494740528342</v>
      </c>
      <c r="CW120" s="45" t="str">
        <v>Invest</v>
      </c>
      <c r="CX120" s="61"/>
      <c r="CY120" s="45">
        <v>116</v>
      </c>
      <c r="CZ120" s="45">
        <v>25.952421940407138</v>
      </c>
      <c r="DA120" s="45" t="str">
        <v>Invest</v>
      </c>
      <c r="DU120" s="52"/>
      <c r="DV120" s="50"/>
    </row>
    <row r="121" spans="86:126" ht="23.5">
      <c r="CH121" s="45">
        <v>117</v>
      </c>
      <c r="CI121" s="45">
        <v>36.260673437700518</v>
      </c>
      <c r="CJ121" s="45" t="str">
        <v>Invest</v>
      </c>
      <c r="CM121" s="45">
        <v>117</v>
      </c>
      <c r="CN121" s="48">
        <v>0</v>
      </c>
      <c r="CO121" s="45" t="str">
        <v>Nothing</v>
      </c>
      <c r="CP121" s="61"/>
      <c r="CQ121" s="45">
        <v>117</v>
      </c>
      <c r="CR121" s="45">
        <v>36.772583131951798</v>
      </c>
      <c r="CS121" s="45" t="str">
        <v>Invest</v>
      </c>
      <c r="CT121" s="61"/>
      <c r="CU121" s="45">
        <v>117</v>
      </c>
      <c r="CV121" s="45">
        <v>51.537506190220256</v>
      </c>
      <c r="CW121" s="45" t="str">
        <v>Invest</v>
      </c>
      <c r="CX121" s="61"/>
      <c r="CY121" s="45">
        <v>117</v>
      </c>
      <c r="CZ121" s="45">
        <v>0</v>
      </c>
      <c r="DA121" s="45" t="str">
        <v>Nothing</v>
      </c>
      <c r="DU121" s="52"/>
      <c r="DV121" s="50"/>
    </row>
    <row r="122" spans="86:126" ht="23.5">
      <c r="CH122" s="45">
        <v>118</v>
      </c>
      <c r="CI122" s="45">
        <v>0</v>
      </c>
      <c r="CJ122" s="45" t="str">
        <v>Nothing</v>
      </c>
      <c r="CM122" s="45">
        <v>118</v>
      </c>
      <c r="CN122" s="48">
        <v>17.746462107458687</v>
      </c>
      <c r="CO122" s="45" t="str">
        <v>Invest</v>
      </c>
      <c r="CP122" s="61"/>
      <c r="CQ122" s="45">
        <v>118</v>
      </c>
      <c r="CR122" s="45">
        <v>22.237444972747319</v>
      </c>
      <c r="CS122" s="45" t="str">
        <v>Invest</v>
      </c>
      <c r="CT122" s="61"/>
      <c r="CU122" s="45">
        <v>118</v>
      </c>
      <c r="CV122" s="45">
        <v>1.0842846641086918</v>
      </c>
      <c r="CW122" s="45" t="str">
        <v>Invest</v>
      </c>
      <c r="CX122" s="61"/>
      <c r="CY122" s="45">
        <v>118</v>
      </c>
      <c r="CZ122" s="45">
        <v>16.667452167125568</v>
      </c>
      <c r="DA122" s="45" t="str">
        <v>Invest</v>
      </c>
      <c r="DU122" s="52"/>
      <c r="DV122" s="50"/>
    </row>
    <row r="123" spans="86:126" ht="23.5">
      <c r="CH123" s="45">
        <v>119</v>
      </c>
      <c r="CI123" s="45">
        <v>35.992028529196439</v>
      </c>
      <c r="CJ123" s="45" t="str">
        <v>Invest</v>
      </c>
      <c r="CM123" s="45">
        <v>119</v>
      </c>
      <c r="CN123" s="48">
        <v>0</v>
      </c>
      <c r="CO123" s="45" t="str">
        <v>Nothing</v>
      </c>
      <c r="CP123" s="61"/>
      <c r="CQ123" s="45">
        <v>119</v>
      </c>
      <c r="CR123" s="45">
        <v>19.1567804377888</v>
      </c>
      <c r="CS123" s="45" t="str">
        <v>Invest</v>
      </c>
      <c r="CT123" s="61"/>
      <c r="CU123" s="45">
        <v>119</v>
      </c>
      <c r="CV123" s="45">
        <v>12.439327827173008</v>
      </c>
      <c r="CW123" s="45" t="str">
        <v>Invest</v>
      </c>
      <c r="CX123" s="61"/>
      <c r="CY123" s="45">
        <v>119</v>
      </c>
      <c r="CZ123" s="45">
        <v>14.77546296512633</v>
      </c>
      <c r="DA123" s="45" t="str">
        <v>Invest</v>
      </c>
      <c r="DU123" s="52"/>
      <c r="DV123" s="50"/>
    </row>
    <row r="124" spans="86:126" ht="23.5">
      <c r="CH124" s="45">
        <v>120</v>
      </c>
      <c r="CI124" s="45">
        <v>58.804298885226189</v>
      </c>
      <c r="CJ124" s="45" t="str">
        <v>Invest</v>
      </c>
      <c r="CM124" s="45">
        <v>120</v>
      </c>
      <c r="CN124" s="48">
        <v>0</v>
      </c>
      <c r="CO124" s="45" t="str">
        <v>Nothing</v>
      </c>
      <c r="CP124" s="61"/>
      <c r="CQ124" s="45">
        <v>120</v>
      </c>
      <c r="CR124" s="45">
        <v>14.618378793716811</v>
      </c>
      <c r="CS124" s="45" t="str">
        <v>Invest</v>
      </c>
      <c r="CT124" s="61"/>
      <c r="CU124" s="45">
        <v>120</v>
      </c>
      <c r="CV124" s="45">
        <v>0</v>
      </c>
      <c r="CW124" s="45" t="str">
        <v>Nothing</v>
      </c>
      <c r="CX124" s="61"/>
      <c r="CY124" s="45">
        <v>120</v>
      </c>
      <c r="CZ124" s="45">
        <v>41.908374718062056</v>
      </c>
      <c r="DA124" s="45" t="str">
        <v>Invest</v>
      </c>
      <c r="DU124" s="52"/>
      <c r="DV124" s="50"/>
    </row>
    <row r="125" spans="86:126" ht="23.5">
      <c r="CH125" s="45">
        <v>121</v>
      </c>
      <c r="CI125" s="45">
        <v>36.865685878986369</v>
      </c>
      <c r="CJ125" s="45" t="str">
        <v>Invest</v>
      </c>
      <c r="CM125" s="45">
        <v>121</v>
      </c>
      <c r="CN125" s="48">
        <v>0</v>
      </c>
      <c r="CO125" s="45" t="str">
        <v>Nothing</v>
      </c>
      <c r="CP125" s="61"/>
      <c r="CQ125" s="45">
        <v>121</v>
      </c>
      <c r="CR125" s="45">
        <v>27.409230483365267</v>
      </c>
      <c r="CS125" s="45" t="str">
        <v>Invest</v>
      </c>
      <c r="CT125" s="61"/>
      <c r="CU125" s="45">
        <v>121</v>
      </c>
      <c r="CV125" s="45">
        <v>40.942457039711954</v>
      </c>
      <c r="CW125" s="45" t="str">
        <v>Invest</v>
      </c>
      <c r="CX125" s="61"/>
      <c r="CY125" s="45">
        <v>121</v>
      </c>
      <c r="CZ125" s="45">
        <v>29.065474756998611</v>
      </c>
      <c r="DA125" s="45" t="str">
        <v>Invest</v>
      </c>
      <c r="DU125" s="52"/>
      <c r="DV125" s="50"/>
    </row>
    <row r="126" spans="86:126" ht="23.5">
      <c r="CH126" s="45">
        <v>122</v>
      </c>
      <c r="CI126" s="45">
        <v>0</v>
      </c>
      <c r="CJ126" s="45" t="str">
        <v>Nothing</v>
      </c>
      <c r="CM126" s="45">
        <v>122</v>
      </c>
      <c r="CN126" s="48">
        <v>0</v>
      </c>
      <c r="CO126" s="45" t="str">
        <v>Nothing</v>
      </c>
      <c r="CP126" s="61"/>
      <c r="CQ126" s="45">
        <v>122</v>
      </c>
      <c r="CR126" s="45">
        <v>37.986748467046503</v>
      </c>
      <c r="CS126" s="45" t="str">
        <v>Invest</v>
      </c>
      <c r="CT126" s="61"/>
      <c r="CU126" s="45">
        <v>122</v>
      </c>
      <c r="CV126" s="45">
        <v>0</v>
      </c>
      <c r="CW126" s="45" t="str">
        <v>Nothing</v>
      </c>
      <c r="CX126" s="61"/>
      <c r="CY126" s="45">
        <v>122</v>
      </c>
      <c r="CZ126" s="45">
        <v>0.80772009848691262</v>
      </c>
      <c r="DA126" s="45" t="str">
        <v>Invest</v>
      </c>
      <c r="DU126" s="52"/>
      <c r="DV126" s="50"/>
    </row>
    <row r="127" spans="86:126" ht="23.5">
      <c r="CH127" s="45">
        <v>123</v>
      </c>
      <c r="CI127" s="45">
        <v>0</v>
      </c>
      <c r="CJ127" s="45" t="str">
        <v>Nothing</v>
      </c>
      <c r="CM127" s="45">
        <v>123</v>
      </c>
      <c r="CN127" s="48">
        <v>0</v>
      </c>
      <c r="CO127" s="45" t="str">
        <v>Nothing</v>
      </c>
      <c r="CP127" s="61"/>
      <c r="CQ127" s="45">
        <v>123</v>
      </c>
      <c r="CR127" s="45">
        <v>0</v>
      </c>
      <c r="CS127" s="45" t="str">
        <v>Nothing</v>
      </c>
      <c r="CT127" s="61"/>
      <c r="CU127" s="45">
        <v>123</v>
      </c>
      <c r="CV127" s="45">
        <v>0</v>
      </c>
      <c r="CW127" s="45" t="str">
        <v>Nothing</v>
      </c>
      <c r="CX127" s="61"/>
      <c r="CY127" s="45">
        <v>123</v>
      </c>
      <c r="CZ127" s="45">
        <v>21.085104493345597</v>
      </c>
      <c r="DA127" s="45" t="str">
        <v>Invest</v>
      </c>
      <c r="DU127" s="52"/>
      <c r="DV127" s="50"/>
    </row>
    <row r="128" spans="86:126" ht="23.5">
      <c r="CH128" s="45">
        <v>124</v>
      </c>
      <c r="CI128" s="45">
        <v>12.22533883429648</v>
      </c>
      <c r="CJ128" s="45" t="str">
        <v>Invest</v>
      </c>
      <c r="CM128" s="45">
        <v>124</v>
      </c>
      <c r="CN128" s="48">
        <v>0</v>
      </c>
      <c r="CO128" s="45" t="str">
        <v>Nothing</v>
      </c>
      <c r="CP128" s="61"/>
      <c r="CQ128" s="45">
        <v>124</v>
      </c>
      <c r="CR128" s="45">
        <v>1.3008901328781803</v>
      </c>
      <c r="CS128" s="45" t="str">
        <v>Invest</v>
      </c>
      <c r="CT128" s="61"/>
      <c r="CU128" s="45">
        <v>124</v>
      </c>
      <c r="CV128" s="45">
        <v>0</v>
      </c>
      <c r="CW128" s="45" t="str">
        <v>Nothing</v>
      </c>
      <c r="CX128" s="61"/>
      <c r="CY128" s="45">
        <v>124</v>
      </c>
      <c r="CZ128" s="45">
        <v>22.406507563533651</v>
      </c>
      <c r="DA128" s="45" t="str">
        <v>Invest</v>
      </c>
      <c r="DU128" s="52"/>
      <c r="DV128" s="50"/>
    </row>
    <row r="129" spans="86:126" ht="23.5">
      <c r="CH129" s="45">
        <v>125</v>
      </c>
      <c r="CI129" s="45">
        <v>21.953636749002879</v>
      </c>
      <c r="CJ129" s="45" t="str">
        <v>Invest</v>
      </c>
      <c r="CM129" s="45">
        <v>125</v>
      </c>
      <c r="CN129" s="48">
        <v>16.566493991183997</v>
      </c>
      <c r="CO129" s="45" t="str">
        <v>Invest</v>
      </c>
      <c r="CP129" s="61"/>
      <c r="CQ129" s="45">
        <v>125</v>
      </c>
      <c r="CR129" s="45">
        <v>52.7197326291924</v>
      </c>
      <c r="CS129" s="45" t="str">
        <v>Invest</v>
      </c>
      <c r="CT129" s="61"/>
      <c r="CU129" s="45">
        <v>125</v>
      </c>
      <c r="CV129" s="45">
        <v>0</v>
      </c>
      <c r="CW129" s="45" t="str">
        <v>Nothing</v>
      </c>
      <c r="CX129" s="61"/>
      <c r="CY129" s="45">
        <v>125</v>
      </c>
      <c r="CZ129" s="45">
        <v>4.9203511973432157</v>
      </c>
      <c r="DA129" s="45" t="str">
        <v>Invest</v>
      </c>
      <c r="DU129" s="52"/>
      <c r="DV129" s="50"/>
    </row>
    <row r="130" spans="86:126" ht="23.5">
      <c r="CH130" s="45">
        <v>126</v>
      </c>
      <c r="CI130" s="45">
        <v>13.281936869094508</v>
      </c>
      <c r="CJ130" s="45" t="str">
        <v>Invest</v>
      </c>
      <c r="CM130" s="45">
        <v>126</v>
      </c>
      <c r="CN130" s="48">
        <v>24.968689482295417</v>
      </c>
      <c r="CO130" s="45" t="str">
        <v>Invest</v>
      </c>
      <c r="CP130" s="61"/>
      <c r="CQ130" s="45">
        <v>126</v>
      </c>
      <c r="CR130" s="45">
        <v>57.185051577114962</v>
      </c>
      <c r="CS130" s="45" t="str">
        <v>Invest</v>
      </c>
      <c r="CT130" s="61"/>
      <c r="CU130" s="45">
        <v>126</v>
      </c>
      <c r="CV130" s="45">
        <v>3.7419079313142642</v>
      </c>
      <c r="CW130" s="45" t="str">
        <v>Invest</v>
      </c>
      <c r="CX130" s="61"/>
      <c r="CY130" s="45">
        <v>126</v>
      </c>
      <c r="CZ130" s="45">
        <v>34.345982874488115</v>
      </c>
      <c r="DA130" s="45" t="str">
        <v>Invest</v>
      </c>
      <c r="DU130" s="52"/>
      <c r="DV130" s="50"/>
    </row>
    <row r="131" spans="86:126" ht="23.5">
      <c r="CH131" s="45">
        <v>127</v>
      </c>
      <c r="CI131" s="45">
        <v>0</v>
      </c>
      <c r="CJ131" s="45" t="str">
        <v>Nothing</v>
      </c>
      <c r="CM131" s="45">
        <v>127</v>
      </c>
      <c r="CN131" s="48">
        <v>0</v>
      </c>
      <c r="CO131" s="45" t="str">
        <v>Nothing</v>
      </c>
      <c r="CP131" s="61"/>
      <c r="CQ131" s="45">
        <v>127</v>
      </c>
      <c r="CR131" s="45">
        <v>6.4429548665923448</v>
      </c>
      <c r="CS131" s="45" t="str">
        <v>Invest</v>
      </c>
      <c r="CT131" s="61"/>
      <c r="CU131" s="45">
        <v>127</v>
      </c>
      <c r="CV131" s="45">
        <v>43.011154187679345</v>
      </c>
      <c r="CW131" s="45" t="str">
        <v>Invest</v>
      </c>
      <c r="CX131" s="61"/>
      <c r="CY131" s="45">
        <v>127</v>
      </c>
      <c r="CZ131" s="45">
        <v>15.990583580092958</v>
      </c>
      <c r="DA131" s="45" t="str">
        <v>Invest</v>
      </c>
      <c r="DU131" s="52"/>
      <c r="DV131" s="50"/>
    </row>
    <row r="132" spans="86:126" ht="23.5">
      <c r="CH132" s="45">
        <v>128</v>
      </c>
      <c r="CI132" s="45">
        <v>33.554026082253358</v>
      </c>
      <c r="CJ132" s="45" t="str">
        <v>Invest</v>
      </c>
      <c r="CM132" s="45">
        <v>128</v>
      </c>
      <c r="CN132" s="48">
        <v>0</v>
      </c>
      <c r="CO132" s="45" t="str">
        <v>Nothing</v>
      </c>
      <c r="CP132" s="61"/>
      <c r="CQ132" s="45">
        <v>128</v>
      </c>
      <c r="CR132" s="45">
        <v>0</v>
      </c>
      <c r="CS132" s="45" t="str">
        <v>Nothing</v>
      </c>
      <c r="CT132" s="61"/>
      <c r="CU132" s="45">
        <v>128</v>
      </c>
      <c r="CV132" s="45">
        <v>0</v>
      </c>
      <c r="CW132" s="45" t="str">
        <v>Nothing</v>
      </c>
      <c r="CX132" s="61"/>
      <c r="CY132" s="45">
        <v>128</v>
      </c>
      <c r="CZ132" s="45">
        <v>12.958446904100665</v>
      </c>
      <c r="DA132" s="45" t="str">
        <v>Invest</v>
      </c>
      <c r="DU132" s="52"/>
      <c r="DV132" s="50"/>
    </row>
    <row r="133" spans="86:126" ht="23.5">
      <c r="CH133" s="45">
        <v>129</v>
      </c>
      <c r="CI133" s="45">
        <v>0</v>
      </c>
      <c r="CJ133" s="45" t="str">
        <v>Nothing</v>
      </c>
      <c r="CM133" s="45">
        <v>129</v>
      </c>
      <c r="CN133" s="48">
        <v>5.3093320622019391</v>
      </c>
      <c r="CO133" s="45" t="str">
        <v>Invest</v>
      </c>
      <c r="CP133" s="61"/>
      <c r="CQ133" s="45">
        <v>129</v>
      </c>
      <c r="CR133" s="45">
        <v>19.262024340561428</v>
      </c>
      <c r="CS133" s="45" t="str">
        <v>Invest</v>
      </c>
      <c r="CT133" s="61"/>
      <c r="CU133" s="45">
        <v>129</v>
      </c>
      <c r="CV133" s="45">
        <v>48.794474807964065</v>
      </c>
      <c r="CW133" s="45" t="str">
        <v>Invest</v>
      </c>
      <c r="CX133" s="61"/>
      <c r="CY133" s="45">
        <v>129</v>
      </c>
      <c r="CZ133" s="45">
        <v>18.061140588787669</v>
      </c>
      <c r="DA133" s="45" t="str">
        <v>Invest</v>
      </c>
      <c r="DU133" s="52"/>
      <c r="DV133" s="50"/>
    </row>
    <row r="134" spans="86:126" ht="23.5">
      <c r="CH134" s="45">
        <v>130</v>
      </c>
      <c r="CI134" s="45">
        <v>3.4621420544991288</v>
      </c>
      <c r="CJ134" s="45" t="str">
        <v>Invest</v>
      </c>
      <c r="CM134" s="45">
        <v>130</v>
      </c>
      <c r="CN134" s="48">
        <v>28.353807539349873</v>
      </c>
      <c r="CO134" s="45" t="str">
        <v>Invest</v>
      </c>
      <c r="CP134" s="61"/>
      <c r="CQ134" s="45">
        <v>130</v>
      </c>
      <c r="CR134" s="45">
        <v>49.573287243270869</v>
      </c>
      <c r="CS134" s="45" t="str">
        <v>Invest</v>
      </c>
      <c r="CT134" s="61"/>
      <c r="CU134" s="45">
        <v>130</v>
      </c>
      <c r="CV134" s="45">
        <v>18.191259315004505</v>
      </c>
      <c r="CW134" s="45" t="str">
        <v>Invest</v>
      </c>
      <c r="CX134" s="61"/>
      <c r="CY134" s="45">
        <v>130</v>
      </c>
      <c r="CZ134" s="45">
        <v>0</v>
      </c>
      <c r="DA134" s="45" t="str">
        <v>Nothing</v>
      </c>
      <c r="DU134" s="52"/>
      <c r="DV134" s="50"/>
    </row>
    <row r="135" spans="86:126" ht="23.5">
      <c r="CH135" s="45">
        <v>131</v>
      </c>
      <c r="CI135" s="45">
        <v>8.5904151092209062</v>
      </c>
      <c r="CJ135" s="45" t="str">
        <v>Invest</v>
      </c>
      <c r="CM135" s="45">
        <v>131</v>
      </c>
      <c r="CN135" s="48">
        <v>20.118192451239221</v>
      </c>
      <c r="CO135" s="45" t="str">
        <v>Invest</v>
      </c>
      <c r="CP135" s="61"/>
      <c r="CQ135" s="45">
        <v>131</v>
      </c>
      <c r="CR135" s="45">
        <v>15.680089088683422</v>
      </c>
      <c r="CS135" s="45" t="str">
        <v>Invest</v>
      </c>
      <c r="CT135" s="61"/>
      <c r="CU135" s="45">
        <v>131</v>
      </c>
      <c r="CV135" s="45">
        <v>27.08279776669194</v>
      </c>
      <c r="CW135" s="45" t="str">
        <v>Invest</v>
      </c>
      <c r="CX135" s="61"/>
      <c r="CY135" s="45">
        <v>131</v>
      </c>
      <c r="CZ135" s="45">
        <v>41.0689001685802</v>
      </c>
      <c r="DA135" s="45" t="str">
        <v>Invest</v>
      </c>
      <c r="DU135" s="52"/>
      <c r="DV135" s="50"/>
    </row>
    <row r="136" spans="86:126" ht="23.5">
      <c r="CH136" s="45">
        <v>132</v>
      </c>
      <c r="CI136" s="45">
        <v>0</v>
      </c>
      <c r="CJ136" s="45" t="str">
        <v>Nothing</v>
      </c>
      <c r="CM136" s="45">
        <v>132</v>
      </c>
      <c r="CN136" s="48">
        <v>29.068511891540314</v>
      </c>
      <c r="CO136" s="45" t="str">
        <v>Invest</v>
      </c>
      <c r="CP136" s="61"/>
      <c r="CQ136" s="45">
        <v>132</v>
      </c>
      <c r="CR136" s="45">
        <v>43.929281895886106</v>
      </c>
      <c r="CS136" s="45" t="str">
        <v>Invest</v>
      </c>
      <c r="CT136" s="61"/>
      <c r="CU136" s="45">
        <v>132</v>
      </c>
      <c r="CV136" s="45">
        <v>7.4154684131803918</v>
      </c>
      <c r="CW136" s="45" t="str">
        <v>Invest</v>
      </c>
      <c r="CX136" s="61"/>
      <c r="CY136" s="45">
        <v>132</v>
      </c>
      <c r="CZ136" s="45">
        <v>5.3389389670318828</v>
      </c>
      <c r="DA136" s="45" t="str">
        <v>Invest</v>
      </c>
      <c r="DU136" s="52"/>
      <c r="DV136" s="50"/>
    </row>
    <row r="137" spans="86:126" ht="23.5">
      <c r="CH137" s="45">
        <v>133</v>
      </c>
      <c r="CI137" s="45">
        <v>48.36620694680083</v>
      </c>
      <c r="CJ137" s="45" t="str">
        <v>Invest</v>
      </c>
      <c r="CM137" s="45">
        <v>133</v>
      </c>
      <c r="CN137" s="48">
        <v>3.2739061791694688</v>
      </c>
      <c r="CO137" s="45" t="str">
        <v>Invest</v>
      </c>
      <c r="CP137" s="61"/>
      <c r="CQ137" s="45">
        <v>133</v>
      </c>
      <c r="CR137" s="45">
        <v>0</v>
      </c>
      <c r="CS137" s="45" t="str">
        <v>Nothing</v>
      </c>
      <c r="CT137" s="61"/>
      <c r="CU137" s="45">
        <v>133</v>
      </c>
      <c r="CV137" s="45">
        <v>0</v>
      </c>
      <c r="CW137" s="45" t="str">
        <v>Nothing</v>
      </c>
      <c r="CX137" s="61"/>
      <c r="CY137" s="45">
        <v>133</v>
      </c>
      <c r="CZ137" s="45">
        <v>65.29189501198654</v>
      </c>
      <c r="DA137" s="45" t="str">
        <v>Invest</v>
      </c>
      <c r="DU137" s="52"/>
      <c r="DV137" s="50"/>
    </row>
    <row r="138" spans="86:126" ht="23.5">
      <c r="CH138" s="45">
        <v>134</v>
      </c>
      <c r="CI138" s="45">
        <v>12.647600396253374</v>
      </c>
      <c r="CJ138" s="45" t="str">
        <v>Invest</v>
      </c>
      <c r="CM138" s="45">
        <v>134</v>
      </c>
      <c r="CN138" s="48">
        <v>39.486166407785539</v>
      </c>
      <c r="CO138" s="45" t="str">
        <v>Invest</v>
      </c>
      <c r="CP138" s="61"/>
      <c r="CQ138" s="45">
        <v>134</v>
      </c>
      <c r="CR138" s="45">
        <v>4.1900570200365443</v>
      </c>
      <c r="CS138" s="45" t="str">
        <v>Invest</v>
      </c>
      <c r="CT138" s="61"/>
      <c r="CU138" s="45">
        <v>134</v>
      </c>
      <c r="CV138" s="45">
        <v>22.80234873263112</v>
      </c>
      <c r="CW138" s="45" t="str">
        <v>Invest</v>
      </c>
      <c r="CX138" s="61"/>
      <c r="CY138" s="45">
        <v>134</v>
      </c>
      <c r="CZ138" s="45">
        <v>2.6480214104766695</v>
      </c>
      <c r="DA138" s="45" t="str">
        <v>Invest</v>
      </c>
      <c r="DU138" s="52"/>
      <c r="DV138" s="50"/>
    </row>
    <row r="139" spans="86:126" ht="23.5">
      <c r="CH139" s="45">
        <v>135</v>
      </c>
      <c r="CI139" s="45">
        <v>7.8811562328825744</v>
      </c>
      <c r="CJ139" s="45" t="str">
        <v>Invest</v>
      </c>
      <c r="CM139" s="45">
        <v>135</v>
      </c>
      <c r="CN139" s="48">
        <v>19.167701347962115</v>
      </c>
      <c r="CO139" s="45" t="str">
        <v>Invest</v>
      </c>
      <c r="CP139" s="61"/>
      <c r="CQ139" s="45">
        <v>135</v>
      </c>
      <c r="CR139" s="45">
        <v>0</v>
      </c>
      <c r="CS139" s="45" t="str">
        <v>Nothing</v>
      </c>
      <c r="CT139" s="61"/>
      <c r="CU139" s="45">
        <v>135</v>
      </c>
      <c r="CV139" s="45">
        <v>47.622813987392853</v>
      </c>
      <c r="CW139" s="45" t="str">
        <v>Invest</v>
      </c>
      <c r="CX139" s="61"/>
      <c r="CY139" s="45">
        <v>135</v>
      </c>
      <c r="CZ139" s="45">
        <v>48.496610628182715</v>
      </c>
      <c r="DA139" s="45" t="str">
        <v>Invest</v>
      </c>
      <c r="DU139" s="52"/>
      <c r="DV139" s="50"/>
    </row>
    <row r="140" spans="86:126" ht="23.5">
      <c r="CH140" s="45">
        <v>136</v>
      </c>
      <c r="CI140" s="45">
        <v>0</v>
      </c>
      <c r="CJ140" s="45" t="str">
        <v>Nothing</v>
      </c>
      <c r="CM140" s="45">
        <v>136</v>
      </c>
      <c r="CN140" s="48">
        <v>17.370020025265788</v>
      </c>
      <c r="CO140" s="45" t="str">
        <v>Invest</v>
      </c>
      <c r="CP140" s="61"/>
      <c r="CQ140" s="45">
        <v>136</v>
      </c>
      <c r="CR140" s="45">
        <v>45.229702768642937</v>
      </c>
      <c r="CS140" s="45" t="str">
        <v>Invest</v>
      </c>
      <c r="CT140" s="61"/>
      <c r="CU140" s="45">
        <v>136</v>
      </c>
      <c r="CV140" s="45">
        <v>0</v>
      </c>
      <c r="CW140" s="45" t="str">
        <v>Nothing</v>
      </c>
      <c r="CX140" s="61"/>
      <c r="CY140" s="45">
        <v>136</v>
      </c>
      <c r="CZ140" s="45">
        <v>35.118112193595252</v>
      </c>
      <c r="DA140" s="45" t="str">
        <v>Invest</v>
      </c>
      <c r="DU140" s="52"/>
      <c r="DV140" s="50"/>
    </row>
    <row r="141" spans="86:126" ht="23.5">
      <c r="CH141" s="45">
        <v>137</v>
      </c>
      <c r="CI141" s="45">
        <v>0</v>
      </c>
      <c r="CJ141" s="45" t="str">
        <v>Nothing</v>
      </c>
      <c r="CM141" s="45">
        <v>137</v>
      </c>
      <c r="CN141" s="48">
        <v>5.6140215054980072</v>
      </c>
      <c r="CO141" s="45" t="str">
        <v>Invest</v>
      </c>
      <c r="CP141" s="61"/>
      <c r="CQ141" s="45">
        <v>137</v>
      </c>
      <c r="CR141" s="45">
        <v>8.3736385448452637</v>
      </c>
      <c r="CS141" s="45" t="str">
        <v>Invest</v>
      </c>
      <c r="CT141" s="61"/>
      <c r="CU141" s="45">
        <v>137</v>
      </c>
      <c r="CV141" s="45">
        <v>0</v>
      </c>
      <c r="CW141" s="45" t="str">
        <v>Nothing</v>
      </c>
      <c r="CX141" s="61"/>
      <c r="CY141" s="45">
        <v>137</v>
      </c>
      <c r="CZ141" s="45">
        <v>35.648654023147387</v>
      </c>
      <c r="DA141" s="45" t="str">
        <v>Invest</v>
      </c>
      <c r="DU141" s="52"/>
      <c r="DV141" s="50"/>
    </row>
    <row r="142" spans="86:126" ht="23.5">
      <c r="CH142" s="45">
        <v>138</v>
      </c>
      <c r="CI142" s="45">
        <v>10.97689625418403</v>
      </c>
      <c r="CJ142" s="45" t="str">
        <v>Invest</v>
      </c>
      <c r="CM142" s="45">
        <v>138</v>
      </c>
      <c r="CN142" s="48">
        <v>0.86170656179710292</v>
      </c>
      <c r="CO142" s="45" t="str">
        <v>Invest</v>
      </c>
      <c r="CP142" s="61"/>
      <c r="CQ142" s="45">
        <v>138</v>
      </c>
      <c r="CR142" s="45">
        <v>14.665827969988978</v>
      </c>
      <c r="CS142" s="45" t="str">
        <v>Invest</v>
      </c>
      <c r="CT142" s="61"/>
      <c r="CU142" s="45">
        <v>138</v>
      </c>
      <c r="CV142" s="45">
        <v>0</v>
      </c>
      <c r="CW142" s="45" t="str">
        <v>Nothing</v>
      </c>
      <c r="CX142" s="61"/>
      <c r="CY142" s="45">
        <v>138</v>
      </c>
      <c r="CZ142" s="45">
        <v>48.298125878384191</v>
      </c>
      <c r="DA142" s="45" t="str">
        <v>Invest</v>
      </c>
      <c r="DU142" s="52"/>
      <c r="DV142" s="50"/>
    </row>
    <row r="143" spans="86:126" ht="23.5">
      <c r="CH143" s="45">
        <v>139</v>
      </c>
      <c r="CI143" s="45">
        <v>48.655376327937063</v>
      </c>
      <c r="CJ143" s="45" t="str">
        <v>Invest</v>
      </c>
      <c r="CM143" s="45">
        <v>139</v>
      </c>
      <c r="CN143" s="48">
        <v>12.657117546355742</v>
      </c>
      <c r="CO143" s="45" t="str">
        <v>Invest</v>
      </c>
      <c r="CP143" s="61"/>
      <c r="CQ143" s="45">
        <v>139</v>
      </c>
      <c r="CR143" s="45">
        <v>30.1119801077296</v>
      </c>
      <c r="CS143" s="45" t="str">
        <v>Invest</v>
      </c>
      <c r="CT143" s="61"/>
      <c r="CU143" s="45">
        <v>139</v>
      </c>
      <c r="CV143" s="45">
        <v>25.286721307724509</v>
      </c>
      <c r="CW143" s="45" t="str">
        <v>Invest</v>
      </c>
      <c r="CX143" s="61"/>
      <c r="CY143" s="45">
        <v>139</v>
      </c>
      <c r="CZ143" s="45">
        <v>0</v>
      </c>
      <c r="DA143" s="45" t="str">
        <v>Nothing</v>
      </c>
      <c r="DU143" s="52"/>
      <c r="DV143" s="50"/>
    </row>
    <row r="144" spans="86:126" ht="23.5">
      <c r="CH144" s="45">
        <v>140</v>
      </c>
      <c r="CI144" s="45">
        <v>13.148924083798649</v>
      </c>
      <c r="CJ144" s="45" t="str">
        <v>Invest</v>
      </c>
      <c r="CM144" s="45">
        <v>140</v>
      </c>
      <c r="CN144" s="48">
        <v>45.930043816571768</v>
      </c>
      <c r="CO144" s="45" t="str">
        <v>Invest</v>
      </c>
      <c r="CP144" s="61"/>
      <c r="CQ144" s="45">
        <v>140</v>
      </c>
      <c r="CR144" s="45">
        <v>0</v>
      </c>
      <c r="CS144" s="45" t="str">
        <v>Nothing</v>
      </c>
      <c r="CT144" s="61"/>
      <c r="CU144" s="45">
        <v>140</v>
      </c>
      <c r="CV144" s="45">
        <v>26.239249864106561</v>
      </c>
      <c r="CW144" s="45" t="str">
        <v>Invest</v>
      </c>
      <c r="CX144" s="61"/>
      <c r="CY144" s="45">
        <v>140</v>
      </c>
      <c r="CZ144" s="45">
        <v>0</v>
      </c>
      <c r="DA144" s="45" t="str">
        <v>Nothing</v>
      </c>
      <c r="DU144" s="52"/>
      <c r="DV144" s="50"/>
    </row>
    <row r="145" spans="86:126" ht="23.5">
      <c r="CH145" s="45">
        <v>141</v>
      </c>
      <c r="CI145" s="45">
        <v>2.4128135028290743</v>
      </c>
      <c r="CJ145" s="45" t="str">
        <v>Invest</v>
      </c>
      <c r="CM145" s="45">
        <v>141</v>
      </c>
      <c r="CN145" s="48">
        <v>0</v>
      </c>
      <c r="CO145" s="45" t="str">
        <v>Nothing</v>
      </c>
      <c r="CP145" s="61"/>
      <c r="CQ145" s="45">
        <v>141</v>
      </c>
      <c r="CR145" s="45">
        <v>0</v>
      </c>
      <c r="CS145" s="45" t="str">
        <v>Nothing</v>
      </c>
      <c r="CT145" s="61"/>
      <c r="CU145" s="45">
        <v>141</v>
      </c>
      <c r="CV145" s="45">
        <v>7.8035681113050028</v>
      </c>
      <c r="CW145" s="45" t="str">
        <v>Invest</v>
      </c>
      <c r="CX145" s="61"/>
      <c r="CY145" s="45">
        <v>141</v>
      </c>
      <c r="CZ145" s="45">
        <v>6.0983500364684922</v>
      </c>
      <c r="DA145" s="45" t="str">
        <v>Invest</v>
      </c>
      <c r="DU145" s="52"/>
      <c r="DV145" s="50"/>
    </row>
    <row r="146" spans="86:126" ht="23.5">
      <c r="CH146" s="45">
        <v>142</v>
      </c>
      <c r="CI146" s="45">
        <v>28.117767906131292</v>
      </c>
      <c r="CJ146" s="45" t="str">
        <v>Invest</v>
      </c>
      <c r="CM146" s="45">
        <v>142</v>
      </c>
      <c r="CN146" s="48">
        <v>0</v>
      </c>
      <c r="CO146" s="45" t="str">
        <v>Nothing</v>
      </c>
      <c r="CP146" s="61"/>
      <c r="CQ146" s="45">
        <v>142</v>
      </c>
      <c r="CR146" s="45">
        <v>2.5286844770878645</v>
      </c>
      <c r="CS146" s="45" t="str">
        <v>Invest</v>
      </c>
      <c r="CT146" s="61"/>
      <c r="CU146" s="45">
        <v>142</v>
      </c>
      <c r="CV146" s="45">
        <v>18.186984335208649</v>
      </c>
      <c r="CW146" s="45" t="str">
        <v>Invest</v>
      </c>
      <c r="CX146" s="61"/>
      <c r="CY146" s="45">
        <v>142</v>
      </c>
      <c r="CZ146" s="45">
        <v>4.3779706897565838</v>
      </c>
      <c r="DA146" s="45" t="str">
        <v>Invest</v>
      </c>
      <c r="DU146" s="52"/>
      <c r="DV146" s="50"/>
    </row>
    <row r="147" spans="86:126" ht="23.5">
      <c r="CH147" s="45">
        <v>143</v>
      </c>
      <c r="CI147" s="45">
        <v>33.140325700764983</v>
      </c>
      <c r="CJ147" s="45" t="str">
        <v>Invest</v>
      </c>
      <c r="CM147" s="45">
        <v>143</v>
      </c>
      <c r="CN147" s="48">
        <v>0</v>
      </c>
      <c r="CO147" s="45" t="str">
        <v>Nothing</v>
      </c>
      <c r="CP147" s="61"/>
      <c r="CQ147" s="45">
        <v>143</v>
      </c>
      <c r="CR147" s="45">
        <v>0</v>
      </c>
      <c r="CS147" s="45" t="str">
        <v>Nothing</v>
      </c>
      <c r="CT147" s="61"/>
      <c r="CU147" s="45">
        <v>143</v>
      </c>
      <c r="CV147" s="45">
        <v>53.202304352866641</v>
      </c>
      <c r="CW147" s="45" t="str">
        <v>Invest</v>
      </c>
      <c r="CX147" s="61"/>
      <c r="CY147" s="45">
        <v>143</v>
      </c>
      <c r="CZ147" s="45">
        <v>54.673449482569417</v>
      </c>
      <c r="DA147" s="45" t="str">
        <v>Invest</v>
      </c>
      <c r="DU147" s="52"/>
      <c r="DV147" s="50"/>
    </row>
    <row r="148" spans="86:126" ht="23.5">
      <c r="CH148" s="45">
        <v>144</v>
      </c>
      <c r="CI148" s="45">
        <v>11.309168319911876</v>
      </c>
      <c r="CJ148" s="45" t="str">
        <v>Invest</v>
      </c>
      <c r="CM148" s="45">
        <v>144</v>
      </c>
      <c r="CN148" s="48">
        <v>3.3854277671411666</v>
      </c>
      <c r="CO148" s="45" t="str">
        <v>Invest</v>
      </c>
      <c r="CP148" s="61"/>
      <c r="CQ148" s="45">
        <v>144</v>
      </c>
      <c r="CR148" s="45">
        <v>24.975887022865621</v>
      </c>
      <c r="CS148" s="45" t="str">
        <v>Invest</v>
      </c>
      <c r="CT148" s="61"/>
      <c r="CU148" s="45">
        <v>144</v>
      </c>
      <c r="CV148" s="45">
        <v>26.947583945888887</v>
      </c>
      <c r="CW148" s="45" t="str">
        <v>Invest</v>
      </c>
      <c r="CX148" s="61"/>
      <c r="CY148" s="45">
        <v>144</v>
      </c>
      <c r="CZ148" s="45">
        <v>32.392842624605727</v>
      </c>
      <c r="DA148" s="45" t="str">
        <v>Invest</v>
      </c>
      <c r="DU148" s="52"/>
      <c r="DV148" s="50"/>
    </row>
    <row r="149" spans="86:126" ht="23.5">
      <c r="CH149" s="45">
        <v>145</v>
      </c>
      <c r="CI149" s="45">
        <v>6.6514212326914341</v>
      </c>
      <c r="CJ149" s="45" t="str">
        <v>Invest</v>
      </c>
      <c r="CM149" s="45">
        <v>145</v>
      </c>
      <c r="CN149" s="48">
        <v>27.668695623327331</v>
      </c>
      <c r="CO149" s="45" t="str">
        <v>Invest</v>
      </c>
      <c r="CP149" s="61"/>
      <c r="CQ149" s="45">
        <v>145</v>
      </c>
      <c r="CR149" s="45">
        <v>21.731575615054538</v>
      </c>
      <c r="CS149" s="45" t="str">
        <v>Invest</v>
      </c>
      <c r="CT149" s="61"/>
      <c r="CU149" s="45">
        <v>145</v>
      </c>
      <c r="CV149" s="45">
        <v>29.067373015057477</v>
      </c>
      <c r="CW149" s="45" t="str">
        <v>Invest</v>
      </c>
      <c r="CX149" s="61"/>
      <c r="CY149" s="45">
        <v>145</v>
      </c>
      <c r="CZ149" s="45">
        <v>19.084655160031112</v>
      </c>
      <c r="DA149" s="45" t="str">
        <v>Invest</v>
      </c>
      <c r="DU149" s="52"/>
      <c r="DV149" s="50"/>
    </row>
    <row r="150" spans="86:126" ht="23.5">
      <c r="CH150" s="45">
        <v>146</v>
      </c>
      <c r="CI150" s="45">
        <v>0</v>
      </c>
      <c r="CJ150" s="45" t="str">
        <v>Nothing</v>
      </c>
      <c r="CM150" s="45">
        <v>146</v>
      </c>
      <c r="CN150" s="48">
        <v>42.24566760929644</v>
      </c>
      <c r="CO150" s="45" t="str">
        <v>Invest</v>
      </c>
      <c r="CP150" s="61"/>
      <c r="CQ150" s="45">
        <v>146</v>
      </c>
      <c r="CR150" s="45">
        <v>0</v>
      </c>
      <c r="CS150" s="45" t="str">
        <v>Nothing</v>
      </c>
      <c r="CT150" s="61"/>
      <c r="CU150" s="45">
        <v>146</v>
      </c>
      <c r="CV150" s="45">
        <v>0</v>
      </c>
      <c r="CW150" s="45" t="str">
        <v>Nothing</v>
      </c>
      <c r="CX150" s="61"/>
      <c r="CY150" s="45">
        <v>146</v>
      </c>
      <c r="CZ150" s="45">
        <v>32.250326787155608</v>
      </c>
      <c r="DA150" s="45" t="str">
        <v>Invest</v>
      </c>
      <c r="DU150" s="52"/>
      <c r="DV150" s="50"/>
    </row>
    <row r="151" spans="86:126" ht="23.5">
      <c r="CH151" s="45">
        <v>147</v>
      </c>
      <c r="CI151" s="45">
        <v>6.0994968083604331</v>
      </c>
      <c r="CJ151" s="45" t="str">
        <v>Invest</v>
      </c>
      <c r="CM151" s="45">
        <v>147</v>
      </c>
      <c r="CN151" s="48">
        <v>2.4989979044875099E-2</v>
      </c>
      <c r="CO151" s="45" t="str">
        <v>Invest</v>
      </c>
      <c r="CP151" s="61"/>
      <c r="CQ151" s="45">
        <v>147</v>
      </c>
      <c r="CR151" s="45">
        <v>0</v>
      </c>
      <c r="CS151" s="45" t="str">
        <v>Nothing</v>
      </c>
      <c r="CT151" s="61"/>
      <c r="CU151" s="45">
        <v>147</v>
      </c>
      <c r="CV151" s="45">
        <v>0</v>
      </c>
      <c r="CW151" s="45" t="str">
        <v>Nothing</v>
      </c>
      <c r="CX151" s="61"/>
      <c r="CY151" s="45">
        <v>147</v>
      </c>
      <c r="CZ151" s="45">
        <v>11.869655827969162</v>
      </c>
      <c r="DA151" s="45" t="str">
        <v>Invest</v>
      </c>
      <c r="DU151" s="52"/>
      <c r="DV151" s="50"/>
    </row>
    <row r="152" spans="86:126" ht="23.5">
      <c r="CH152" s="45">
        <v>148</v>
      </c>
      <c r="CI152" s="45">
        <v>18.347733468486009</v>
      </c>
      <c r="CJ152" s="45" t="str">
        <v>Invest</v>
      </c>
      <c r="CM152" s="45">
        <v>148</v>
      </c>
      <c r="CN152" s="48">
        <v>0</v>
      </c>
      <c r="CO152" s="45" t="str">
        <v>Nothing</v>
      </c>
      <c r="CP152" s="61"/>
      <c r="CQ152" s="45">
        <v>148</v>
      </c>
      <c r="CR152" s="45">
        <v>0</v>
      </c>
      <c r="CS152" s="45" t="str">
        <v>Nothing</v>
      </c>
      <c r="CT152" s="61"/>
      <c r="CU152" s="45">
        <v>148</v>
      </c>
      <c r="CV152" s="45">
        <v>26.116800644387084</v>
      </c>
      <c r="CW152" s="45" t="str">
        <v>Invest</v>
      </c>
      <c r="CX152" s="61"/>
      <c r="CY152" s="45">
        <v>148</v>
      </c>
      <c r="CZ152" s="45">
        <v>30.871846653760382</v>
      </c>
      <c r="DA152" s="45" t="str">
        <v>Invest</v>
      </c>
      <c r="DU152" s="52"/>
      <c r="DV152" s="50"/>
    </row>
    <row r="153" spans="86:126" ht="23.5">
      <c r="CH153" s="45">
        <v>149</v>
      </c>
      <c r="CI153" s="45">
        <v>49.809955580347257</v>
      </c>
      <c r="CJ153" s="45" t="str">
        <v>Invest</v>
      </c>
      <c r="CM153" s="45">
        <v>149</v>
      </c>
      <c r="CN153" s="48">
        <v>12.295637717280332</v>
      </c>
      <c r="CO153" s="45" t="str">
        <v>Invest</v>
      </c>
      <c r="CP153" s="61"/>
      <c r="CQ153" s="45">
        <v>149</v>
      </c>
      <c r="CR153" s="45">
        <v>0</v>
      </c>
      <c r="CS153" s="45" t="str">
        <v>Nothing</v>
      </c>
      <c r="CT153" s="61"/>
      <c r="CU153" s="45">
        <v>149</v>
      </c>
      <c r="CV153" s="45">
        <v>9.7891611615027969</v>
      </c>
      <c r="CW153" s="45" t="str">
        <v>Invest</v>
      </c>
      <c r="CX153" s="61"/>
      <c r="CY153" s="45">
        <v>149</v>
      </c>
      <c r="CZ153" s="45">
        <v>48.682165983471435</v>
      </c>
      <c r="DA153" s="45" t="str">
        <v>Invest</v>
      </c>
      <c r="DU153" s="52"/>
      <c r="DV153" s="50"/>
    </row>
    <row r="154" spans="86:126" ht="23.5">
      <c r="CH154" s="45">
        <v>150</v>
      </c>
      <c r="CI154" s="45">
        <v>9.7478779279925369</v>
      </c>
      <c r="CJ154" s="45" t="str">
        <v>Invest</v>
      </c>
      <c r="CM154" s="45">
        <v>150</v>
      </c>
      <c r="CN154" s="48">
        <v>0</v>
      </c>
      <c r="CO154" s="45" t="str">
        <v>Nothing</v>
      </c>
      <c r="CP154" s="61"/>
      <c r="CQ154" s="45">
        <v>150</v>
      </c>
      <c r="CR154" s="45">
        <v>0</v>
      </c>
      <c r="CS154" s="45" t="str">
        <v>Nothing</v>
      </c>
      <c r="CT154" s="61"/>
      <c r="CU154" s="45">
        <v>150</v>
      </c>
      <c r="CV154" s="45">
        <v>0</v>
      </c>
      <c r="CW154" s="45" t="str">
        <v>Nothing</v>
      </c>
      <c r="CX154" s="61"/>
      <c r="CY154" s="45">
        <v>150</v>
      </c>
      <c r="CZ154" s="45">
        <v>0</v>
      </c>
      <c r="DA154" s="45" t="str">
        <v>Nothing</v>
      </c>
      <c r="DU154" s="52"/>
      <c r="DV154" s="50"/>
    </row>
    <row r="155" spans="86:126" ht="23.5">
      <c r="CH155" s="45">
        <v>151</v>
      </c>
      <c r="CI155" s="45">
        <v>19.819975369588253</v>
      </c>
      <c r="CJ155" s="45" t="str">
        <v>Invest</v>
      </c>
      <c r="CM155" s="45">
        <v>151</v>
      </c>
      <c r="CN155" s="48">
        <v>11.97824190676544</v>
      </c>
      <c r="CO155" s="45" t="str">
        <v>Invest</v>
      </c>
      <c r="CP155" s="61"/>
      <c r="CQ155" s="45">
        <v>151</v>
      </c>
      <c r="CR155" s="45">
        <v>15.347299446642271</v>
      </c>
      <c r="CS155" s="45" t="str">
        <v>Invest</v>
      </c>
      <c r="CT155" s="61"/>
      <c r="CU155" s="45">
        <v>151</v>
      </c>
      <c r="CV155" s="45">
        <v>27.221967282711013</v>
      </c>
      <c r="CW155" s="45" t="str">
        <v>Invest</v>
      </c>
      <c r="CX155" s="61"/>
      <c r="CY155" s="45">
        <v>151</v>
      </c>
      <c r="CZ155" s="45">
        <v>0</v>
      </c>
      <c r="DA155" s="45" t="str">
        <v>Nothing</v>
      </c>
      <c r="DU155" s="52"/>
      <c r="DV155" s="50"/>
    </row>
    <row r="156" spans="86:126" ht="23.5">
      <c r="CH156" s="45">
        <v>152</v>
      </c>
      <c r="CI156" s="45">
        <v>4.9821327006512739</v>
      </c>
      <c r="CJ156" s="45" t="str">
        <v>Invest</v>
      </c>
      <c r="CM156" s="45">
        <v>152</v>
      </c>
      <c r="CN156" s="48">
        <v>20.388386474656254</v>
      </c>
      <c r="CO156" s="45" t="str">
        <v>Invest</v>
      </c>
      <c r="CP156" s="61"/>
      <c r="CQ156" s="45">
        <v>152</v>
      </c>
      <c r="CR156" s="45">
        <v>0</v>
      </c>
      <c r="CS156" s="45" t="str">
        <v>Nothing</v>
      </c>
      <c r="CT156" s="61"/>
      <c r="CU156" s="45">
        <v>152</v>
      </c>
      <c r="CV156" s="45">
        <v>1.1628470446990384</v>
      </c>
      <c r="CW156" s="45" t="str">
        <v>Invest</v>
      </c>
      <c r="CX156" s="61"/>
      <c r="CY156" s="45">
        <v>152</v>
      </c>
      <c r="CZ156" s="45">
        <v>12.951011499139502</v>
      </c>
      <c r="DA156" s="45" t="str">
        <v>Invest</v>
      </c>
      <c r="DU156" s="52"/>
      <c r="DV156" s="50"/>
    </row>
    <row r="157" spans="86:126" ht="23.5">
      <c r="CH157" s="45">
        <v>153</v>
      </c>
      <c r="CI157" s="45">
        <v>0</v>
      </c>
      <c r="CJ157" s="45" t="str">
        <v>Nothing</v>
      </c>
      <c r="CM157" s="45">
        <v>153</v>
      </c>
      <c r="CN157" s="48">
        <v>53.144039429463895</v>
      </c>
      <c r="CO157" s="45" t="str">
        <v>Invest</v>
      </c>
      <c r="CP157" s="61"/>
      <c r="CQ157" s="45">
        <v>153</v>
      </c>
      <c r="CR157" s="45">
        <v>0</v>
      </c>
      <c r="CS157" s="45" t="str">
        <v>Nothing</v>
      </c>
      <c r="CT157" s="61"/>
      <c r="CU157" s="45">
        <v>153</v>
      </c>
      <c r="CV157" s="45">
        <v>0</v>
      </c>
      <c r="CW157" s="45" t="str">
        <v>Nothing</v>
      </c>
      <c r="CX157" s="61"/>
      <c r="CY157" s="45">
        <v>153</v>
      </c>
      <c r="CZ157" s="45">
        <v>2.919733254690172</v>
      </c>
      <c r="DA157" s="45" t="str">
        <v>Invest</v>
      </c>
      <c r="DU157" s="52"/>
      <c r="DV157" s="50"/>
    </row>
    <row r="158" spans="86:126" ht="23.5">
      <c r="CH158" s="45">
        <v>154</v>
      </c>
      <c r="CI158" s="45">
        <v>16.044675060859209</v>
      </c>
      <c r="CJ158" s="45" t="str">
        <v>Invest</v>
      </c>
      <c r="CM158" s="45">
        <v>154</v>
      </c>
      <c r="CN158" s="48">
        <v>2.03923600967242</v>
      </c>
      <c r="CO158" s="45" t="str">
        <v>Invest</v>
      </c>
      <c r="CP158" s="61"/>
      <c r="CQ158" s="45">
        <v>154</v>
      </c>
      <c r="CR158" s="45">
        <v>0</v>
      </c>
      <c r="CS158" s="45" t="str">
        <v>Nothing</v>
      </c>
      <c r="CT158" s="61"/>
      <c r="CU158" s="45">
        <v>154</v>
      </c>
      <c r="CV158" s="45">
        <v>45.463108086426011</v>
      </c>
      <c r="CW158" s="45" t="str">
        <v>Invest</v>
      </c>
      <c r="CX158" s="61"/>
      <c r="CY158" s="45">
        <v>154</v>
      </c>
      <c r="CZ158" s="45">
        <v>58.964793581553678</v>
      </c>
      <c r="DA158" s="45" t="str">
        <v>Invest</v>
      </c>
      <c r="DU158" s="52"/>
      <c r="DV158" s="50"/>
    </row>
    <row r="159" spans="86:126" ht="23.5">
      <c r="CH159" s="45">
        <v>155</v>
      </c>
      <c r="CI159" s="45">
        <v>2.9630882933762326</v>
      </c>
      <c r="CJ159" s="45" t="str">
        <v>Invest</v>
      </c>
      <c r="CM159" s="45">
        <v>155</v>
      </c>
      <c r="CN159" s="48">
        <v>2.740988672804928</v>
      </c>
      <c r="CO159" s="45" t="str">
        <v>Invest</v>
      </c>
      <c r="CP159" s="61"/>
      <c r="CQ159" s="45">
        <v>155</v>
      </c>
      <c r="CR159" s="45">
        <v>0</v>
      </c>
      <c r="CS159" s="45" t="str">
        <v>Nothing</v>
      </c>
      <c r="CT159" s="61"/>
      <c r="CU159" s="45">
        <v>155</v>
      </c>
      <c r="CV159" s="45">
        <v>0</v>
      </c>
      <c r="CW159" s="45" t="str">
        <v>Nothing</v>
      </c>
      <c r="CX159" s="61"/>
      <c r="CY159" s="45">
        <v>155</v>
      </c>
      <c r="CZ159" s="45">
        <v>31.639145399623089</v>
      </c>
      <c r="DA159" s="45" t="str">
        <v>Invest</v>
      </c>
      <c r="DU159" s="52"/>
      <c r="DV159" s="50"/>
    </row>
    <row r="160" spans="86:126" ht="23.5">
      <c r="CH160" s="45">
        <v>156</v>
      </c>
      <c r="CI160" s="45">
        <v>0</v>
      </c>
      <c r="CJ160" s="45" t="str">
        <v>Nothing</v>
      </c>
      <c r="CM160" s="45">
        <v>156</v>
      </c>
      <c r="CN160" s="48">
        <v>4.9610531468519046</v>
      </c>
      <c r="CO160" s="45" t="str">
        <v>Invest</v>
      </c>
      <c r="CP160" s="61"/>
      <c r="CQ160" s="45">
        <v>156</v>
      </c>
      <c r="CR160" s="45">
        <v>19.879704589657081</v>
      </c>
      <c r="CS160" s="45" t="str">
        <v>Invest</v>
      </c>
      <c r="CT160" s="61"/>
      <c r="CU160" s="45">
        <v>156</v>
      </c>
      <c r="CV160" s="45">
        <v>25.075843762165114</v>
      </c>
      <c r="CW160" s="45" t="str">
        <v>Invest</v>
      </c>
      <c r="CX160" s="61"/>
      <c r="CY160" s="45">
        <v>156</v>
      </c>
      <c r="CZ160" s="45">
        <v>4.8689520906573058</v>
      </c>
      <c r="DA160" s="45" t="str">
        <v>Invest</v>
      </c>
      <c r="DU160" s="52"/>
      <c r="DV160" s="50"/>
    </row>
    <row r="161" spans="86:126" ht="23.5">
      <c r="CH161" s="45">
        <v>157</v>
      </c>
      <c r="CI161" s="45">
        <v>9.7018655623475514</v>
      </c>
      <c r="CJ161" s="45" t="str">
        <v>Invest</v>
      </c>
      <c r="CM161" s="45">
        <v>157</v>
      </c>
      <c r="CN161" s="48">
        <v>41.405003439244993</v>
      </c>
      <c r="CO161" s="45" t="str">
        <v>Invest</v>
      </c>
      <c r="CP161" s="61"/>
      <c r="CQ161" s="45">
        <v>157</v>
      </c>
      <c r="CR161" s="45">
        <v>6.9110754637068137</v>
      </c>
      <c r="CS161" s="45" t="str">
        <v>Invest</v>
      </c>
      <c r="CT161" s="61"/>
      <c r="CU161" s="45">
        <v>157</v>
      </c>
      <c r="CV161" s="45">
        <v>25.093102478738256</v>
      </c>
      <c r="CW161" s="45" t="str">
        <v>Invest</v>
      </c>
      <c r="CX161" s="61"/>
      <c r="CY161" s="45">
        <v>157</v>
      </c>
      <c r="CZ161" s="45">
        <v>34.707178830820752</v>
      </c>
      <c r="DA161" s="45" t="str">
        <v>Invest</v>
      </c>
      <c r="DU161" s="52"/>
      <c r="DV161" s="50"/>
    </row>
    <row r="162" spans="86:126" ht="23.5">
      <c r="CH162" s="45">
        <v>158</v>
      </c>
      <c r="CI162" s="45">
        <v>22.719747292895693</v>
      </c>
      <c r="CJ162" s="45" t="str">
        <v>Invest</v>
      </c>
      <c r="CM162" s="45">
        <v>158</v>
      </c>
      <c r="CN162" s="48">
        <v>8.8479431365453856</v>
      </c>
      <c r="CO162" s="45" t="str">
        <v>Invest</v>
      </c>
      <c r="CP162" s="61"/>
      <c r="CQ162" s="45">
        <v>158</v>
      </c>
      <c r="CR162" s="45">
        <v>58.518260980678427</v>
      </c>
      <c r="CS162" s="45" t="str">
        <v>Invest</v>
      </c>
      <c r="CT162" s="61"/>
      <c r="CU162" s="45">
        <v>158</v>
      </c>
      <c r="CV162" s="45">
        <v>40.958345414040551</v>
      </c>
      <c r="CW162" s="45" t="str">
        <v>Invest</v>
      </c>
      <c r="CX162" s="61"/>
      <c r="CY162" s="45">
        <v>158</v>
      </c>
      <c r="CZ162" s="45">
        <v>26.911131343562069</v>
      </c>
      <c r="DA162" s="45" t="str">
        <v>Invest</v>
      </c>
      <c r="DU162" s="52"/>
      <c r="DV162" s="50"/>
    </row>
    <row r="163" spans="86:126" ht="23.5">
      <c r="CH163" s="45">
        <v>159</v>
      </c>
      <c r="CI163" s="45">
        <v>23.240059633418127</v>
      </c>
      <c r="CJ163" s="45" t="str">
        <v>Invest</v>
      </c>
      <c r="CM163" s="45">
        <v>159</v>
      </c>
      <c r="CN163" s="48">
        <v>0</v>
      </c>
      <c r="CO163" s="45" t="str">
        <v>Nothing</v>
      </c>
      <c r="CP163" s="61"/>
      <c r="CQ163" s="45">
        <v>159</v>
      </c>
      <c r="CR163" s="45">
        <v>35.07895424909961</v>
      </c>
      <c r="CS163" s="45" t="str">
        <v>Invest</v>
      </c>
      <c r="CT163" s="61"/>
      <c r="CU163" s="45">
        <v>159</v>
      </c>
      <c r="CV163" s="45">
        <v>26.470259696081428</v>
      </c>
      <c r="CW163" s="45" t="str">
        <v>Invest</v>
      </c>
      <c r="CX163" s="61"/>
      <c r="CY163" s="45">
        <v>159</v>
      </c>
      <c r="CZ163" s="45">
        <v>3.9731446893324014</v>
      </c>
      <c r="DA163" s="45" t="str">
        <v>Invest</v>
      </c>
      <c r="DU163" s="52"/>
      <c r="DV163" s="50"/>
    </row>
    <row r="164" spans="86:126" ht="23.5">
      <c r="CH164" s="45">
        <v>160</v>
      </c>
      <c r="CI164" s="45">
        <v>39.40974655586745</v>
      </c>
      <c r="CJ164" s="45" t="str">
        <v>Invest</v>
      </c>
      <c r="CM164" s="45">
        <v>160</v>
      </c>
      <c r="CN164" s="48">
        <v>28.731475235783051</v>
      </c>
      <c r="CO164" s="45" t="str">
        <v>Invest</v>
      </c>
      <c r="CP164" s="61"/>
      <c r="CQ164" s="45">
        <v>160</v>
      </c>
      <c r="CR164" s="45">
        <v>8.1511148057560483</v>
      </c>
      <c r="CS164" s="45" t="str">
        <v>Invest</v>
      </c>
      <c r="CT164" s="61"/>
      <c r="CU164" s="45">
        <v>160</v>
      </c>
      <c r="CV164" s="45">
        <v>39.068283443792176</v>
      </c>
      <c r="CW164" s="45" t="str">
        <v>Invest</v>
      </c>
      <c r="CX164" s="61"/>
      <c r="CY164" s="45">
        <v>160</v>
      </c>
      <c r="CZ164" s="45">
        <v>6.25834249521359</v>
      </c>
      <c r="DA164" s="45" t="str">
        <v>Invest</v>
      </c>
      <c r="DU164" s="52"/>
      <c r="DV164" s="50"/>
    </row>
    <row r="165" spans="86:126" ht="23.5">
      <c r="CH165" s="45">
        <v>161</v>
      </c>
      <c r="CI165" s="45">
        <v>0</v>
      </c>
      <c r="CJ165" s="45" t="str">
        <v>Nothing</v>
      </c>
      <c r="CM165" s="45">
        <v>161</v>
      </c>
      <c r="CN165" s="48">
        <v>11.113125483075724</v>
      </c>
      <c r="CO165" s="45" t="str">
        <v>Invest</v>
      </c>
      <c r="CP165" s="61"/>
      <c r="CQ165" s="45">
        <v>161</v>
      </c>
      <c r="CR165" s="45">
        <v>0</v>
      </c>
      <c r="CS165" s="45" t="str">
        <v>Nothing</v>
      </c>
      <c r="CT165" s="61"/>
      <c r="CU165" s="45">
        <v>161</v>
      </c>
      <c r="CV165" s="45">
        <v>0</v>
      </c>
      <c r="CW165" s="45" t="str">
        <v>Nothing</v>
      </c>
      <c r="CX165" s="61"/>
      <c r="CY165" s="45">
        <v>161</v>
      </c>
      <c r="CZ165" s="45">
        <v>34.751079621794872</v>
      </c>
      <c r="DA165" s="45" t="str">
        <v>Invest</v>
      </c>
      <c r="DU165" s="52"/>
      <c r="DV165" s="50"/>
    </row>
    <row r="166" spans="86:126" ht="23.5">
      <c r="CH166" s="45">
        <v>162</v>
      </c>
      <c r="CI166" s="45">
        <v>15.918646007982602</v>
      </c>
      <c r="CJ166" s="45" t="str">
        <v>Invest</v>
      </c>
      <c r="CM166" s="45">
        <v>162</v>
      </c>
      <c r="CN166" s="48">
        <v>8.3647019996847138</v>
      </c>
      <c r="CO166" s="45" t="str">
        <v>Invest</v>
      </c>
      <c r="CP166" s="61"/>
      <c r="CQ166" s="45">
        <v>162</v>
      </c>
      <c r="CR166" s="45">
        <v>11.383544445759837</v>
      </c>
      <c r="CS166" s="45" t="str">
        <v>Invest</v>
      </c>
      <c r="CT166" s="61"/>
      <c r="CU166" s="45">
        <v>162</v>
      </c>
      <c r="CV166" s="45">
        <v>23.50175588753298</v>
      </c>
      <c r="CW166" s="45" t="str">
        <v>Invest</v>
      </c>
      <c r="CX166" s="61"/>
      <c r="CY166" s="45">
        <v>162</v>
      </c>
      <c r="CZ166" s="45">
        <v>0</v>
      </c>
      <c r="DA166" s="45" t="str">
        <v>Nothing</v>
      </c>
      <c r="DU166" s="52"/>
      <c r="DV166" s="50"/>
    </row>
    <row r="167" spans="86:126" ht="23.5">
      <c r="CH167" s="45">
        <v>163</v>
      </c>
      <c r="CI167" s="45">
        <v>0</v>
      </c>
      <c r="CJ167" s="45" t="str">
        <v>Nothing</v>
      </c>
      <c r="CM167" s="45">
        <v>163</v>
      </c>
      <c r="CN167" s="48">
        <v>0</v>
      </c>
      <c r="CO167" s="45" t="str">
        <v>Nothing</v>
      </c>
      <c r="CP167" s="61"/>
      <c r="CQ167" s="45">
        <v>163</v>
      </c>
      <c r="CR167" s="45">
        <v>34.590188449819763</v>
      </c>
      <c r="CS167" s="45" t="str">
        <v>Invest</v>
      </c>
      <c r="CT167" s="61"/>
      <c r="CU167" s="45">
        <v>163</v>
      </c>
      <c r="CV167" s="45">
        <v>0</v>
      </c>
      <c r="CW167" s="45" t="str">
        <v>Nothing</v>
      </c>
      <c r="CX167" s="61"/>
      <c r="CY167" s="45">
        <v>163</v>
      </c>
      <c r="CZ167" s="45">
        <v>4.5233578925710685</v>
      </c>
      <c r="DA167" s="45" t="str">
        <v>Invest</v>
      </c>
      <c r="DU167" s="52"/>
      <c r="DV167" s="50"/>
    </row>
    <row r="168" spans="86:126" ht="23.5">
      <c r="CH168" s="45">
        <v>164</v>
      </c>
      <c r="CI168" s="45">
        <v>3.5539029376089672</v>
      </c>
      <c r="CJ168" s="45" t="str">
        <v>Invest</v>
      </c>
      <c r="CM168" s="45">
        <v>164</v>
      </c>
      <c r="CN168" s="48">
        <v>16.561337723207522</v>
      </c>
      <c r="CO168" s="45" t="str">
        <v>Invest</v>
      </c>
      <c r="CP168" s="61"/>
      <c r="CQ168" s="45">
        <v>164</v>
      </c>
      <c r="CR168" s="45">
        <v>56.750059655500316</v>
      </c>
      <c r="CS168" s="45" t="str">
        <v>Invest</v>
      </c>
      <c r="CT168" s="61"/>
      <c r="CU168" s="45">
        <v>164</v>
      </c>
      <c r="CV168" s="45">
        <v>18.173325623312842</v>
      </c>
      <c r="CW168" s="45" t="str">
        <v>Invest</v>
      </c>
      <c r="CX168" s="61"/>
      <c r="CY168" s="45">
        <v>164</v>
      </c>
      <c r="CZ168" s="45">
        <v>0</v>
      </c>
      <c r="DA168" s="45" t="str">
        <v>Nothing</v>
      </c>
      <c r="DU168" s="52"/>
      <c r="DV168" s="50"/>
    </row>
    <row r="169" spans="86:126" ht="23.5">
      <c r="CH169" s="45">
        <v>165</v>
      </c>
      <c r="CI169" s="45">
        <v>64.616570309099927</v>
      </c>
      <c r="CJ169" s="45" t="str">
        <v>Invest</v>
      </c>
      <c r="CM169" s="45">
        <v>165</v>
      </c>
      <c r="CN169" s="48">
        <v>0</v>
      </c>
      <c r="CO169" s="45" t="str">
        <v>Nothing</v>
      </c>
      <c r="CP169" s="61"/>
      <c r="CQ169" s="45">
        <v>165</v>
      </c>
      <c r="CR169" s="45">
        <v>55.384768126505335</v>
      </c>
      <c r="CS169" s="45" t="str">
        <v>Invest</v>
      </c>
      <c r="CT169" s="61"/>
      <c r="CU169" s="45">
        <v>165</v>
      </c>
      <c r="CV169" s="45">
        <v>10.156478280658529</v>
      </c>
      <c r="CW169" s="45" t="str">
        <v>Invest</v>
      </c>
      <c r="CX169" s="61"/>
      <c r="CY169" s="45">
        <v>165</v>
      </c>
      <c r="CZ169" s="45">
        <v>39.30546268161698</v>
      </c>
      <c r="DA169" s="45" t="str">
        <v>Invest</v>
      </c>
      <c r="DU169" s="52"/>
      <c r="DV169" s="50"/>
    </row>
    <row r="170" spans="86:126" ht="23.5">
      <c r="CH170" s="45">
        <v>166</v>
      </c>
      <c r="CI170" s="45">
        <v>1.6938159601815839</v>
      </c>
      <c r="CJ170" s="45" t="str">
        <v>Invest</v>
      </c>
      <c r="CM170" s="45">
        <v>166</v>
      </c>
      <c r="CN170" s="48">
        <v>31.19121468191878</v>
      </c>
      <c r="CO170" s="45" t="str">
        <v>Invest</v>
      </c>
      <c r="CP170" s="61"/>
      <c r="CQ170" s="45">
        <v>166</v>
      </c>
      <c r="CR170" s="45">
        <v>35.035846021222625</v>
      </c>
      <c r="CS170" s="45" t="str">
        <v>Invest</v>
      </c>
      <c r="CT170" s="61"/>
      <c r="CU170" s="45">
        <v>166</v>
      </c>
      <c r="CV170" s="45">
        <v>34.715721201751705</v>
      </c>
      <c r="CW170" s="45" t="str">
        <v>Invest</v>
      </c>
      <c r="CX170" s="61"/>
      <c r="CY170" s="45">
        <v>166</v>
      </c>
      <c r="CZ170" s="45">
        <v>0</v>
      </c>
      <c r="DA170" s="45" t="str">
        <v>Nothing</v>
      </c>
      <c r="DU170" s="52"/>
      <c r="DV170" s="50"/>
    </row>
    <row r="171" spans="86:126" ht="23.5">
      <c r="CH171" s="45">
        <v>167</v>
      </c>
      <c r="CI171" s="45">
        <v>29.526015398909937</v>
      </c>
      <c r="CJ171" s="45" t="str">
        <v>Invest</v>
      </c>
      <c r="CM171" s="45">
        <v>167</v>
      </c>
      <c r="CN171" s="48">
        <v>16.284132395755034</v>
      </c>
      <c r="CO171" s="45" t="str">
        <v>Invest</v>
      </c>
      <c r="CP171" s="61"/>
      <c r="CQ171" s="45">
        <v>167</v>
      </c>
      <c r="CR171" s="45">
        <v>24.426394286235354</v>
      </c>
      <c r="CS171" s="45" t="str">
        <v>Invest</v>
      </c>
      <c r="CT171" s="61"/>
      <c r="CU171" s="45">
        <v>167</v>
      </c>
      <c r="CV171" s="45">
        <v>7.2729860553962862</v>
      </c>
      <c r="CW171" s="45" t="str">
        <v>Invest</v>
      </c>
      <c r="CX171" s="61"/>
      <c r="CY171" s="45">
        <v>167</v>
      </c>
      <c r="CZ171" s="45">
        <v>0.32709948683043777</v>
      </c>
      <c r="DA171" s="45" t="str">
        <v>Invest</v>
      </c>
      <c r="DU171" s="52"/>
      <c r="DV171" s="50"/>
    </row>
    <row r="172" spans="86:126" ht="23.5">
      <c r="CH172" s="45">
        <v>168</v>
      </c>
      <c r="CI172" s="45">
        <v>47.079311220114896</v>
      </c>
      <c r="CJ172" s="45" t="str">
        <v>Invest</v>
      </c>
      <c r="CM172" s="45">
        <v>168</v>
      </c>
      <c r="CN172" s="48">
        <v>9.5087479420797525</v>
      </c>
      <c r="CO172" s="45" t="str">
        <v>Invest</v>
      </c>
      <c r="CP172" s="61"/>
      <c r="CQ172" s="45">
        <v>168</v>
      </c>
      <c r="CR172" s="45">
        <v>0</v>
      </c>
      <c r="CS172" s="45" t="str">
        <v>Nothing</v>
      </c>
      <c r="CT172" s="61"/>
      <c r="CU172" s="45">
        <v>168</v>
      </c>
      <c r="CV172" s="45">
        <v>26.024928057050225</v>
      </c>
      <c r="CW172" s="45" t="str">
        <v>Invest</v>
      </c>
      <c r="CX172" s="61"/>
      <c r="CY172" s="45">
        <v>168</v>
      </c>
      <c r="CZ172" s="45">
        <v>0</v>
      </c>
      <c r="DA172" s="45" t="str">
        <v>Nothing</v>
      </c>
      <c r="DU172" s="52"/>
      <c r="DV172" s="50"/>
    </row>
    <row r="173" spans="86:126" ht="23.5">
      <c r="CH173" s="45">
        <v>169</v>
      </c>
      <c r="CI173" s="45">
        <v>0</v>
      </c>
      <c r="CJ173" s="45" t="str">
        <v>Nothing</v>
      </c>
      <c r="CM173" s="45">
        <v>169</v>
      </c>
      <c r="CN173" s="48">
        <v>38.858456491026701</v>
      </c>
      <c r="CO173" s="45" t="str">
        <v>Invest</v>
      </c>
      <c r="CP173" s="61"/>
      <c r="CQ173" s="45">
        <v>169</v>
      </c>
      <c r="CR173" s="45">
        <v>4.8492122998255951</v>
      </c>
      <c r="CS173" s="45" t="str">
        <v>Invest</v>
      </c>
      <c r="CT173" s="61"/>
      <c r="CU173" s="45">
        <v>169</v>
      </c>
      <c r="CV173" s="45">
        <v>2.9313071757747586</v>
      </c>
      <c r="CW173" s="45" t="str">
        <v>Invest</v>
      </c>
      <c r="CX173" s="61"/>
      <c r="CY173" s="45">
        <v>169</v>
      </c>
      <c r="CZ173" s="45">
        <v>42.61797701033322</v>
      </c>
      <c r="DA173" s="45" t="str">
        <v>Invest</v>
      </c>
      <c r="DU173" s="52"/>
      <c r="DV173" s="50"/>
    </row>
    <row r="174" spans="86:126" ht="23.5">
      <c r="CH174" s="45">
        <v>170</v>
      </c>
      <c r="CI174" s="45">
        <v>17.803762675958875</v>
      </c>
      <c r="CJ174" s="45" t="str">
        <v>Invest</v>
      </c>
      <c r="CM174" s="45">
        <v>170</v>
      </c>
      <c r="CN174" s="48">
        <v>4.4384611895627151</v>
      </c>
      <c r="CO174" s="45" t="str">
        <v>Invest</v>
      </c>
      <c r="CP174" s="61"/>
      <c r="CQ174" s="45">
        <v>170</v>
      </c>
      <c r="CR174" s="45">
        <v>26.010099253906226</v>
      </c>
      <c r="CS174" s="45" t="str">
        <v>Invest</v>
      </c>
      <c r="CT174" s="61"/>
      <c r="CU174" s="45">
        <v>170</v>
      </c>
      <c r="CV174" s="45">
        <v>55.431412930097395</v>
      </c>
      <c r="CW174" s="45" t="str">
        <v>Invest</v>
      </c>
      <c r="CX174" s="61"/>
      <c r="CY174" s="45">
        <v>170</v>
      </c>
      <c r="CZ174" s="45">
        <v>41.247972773520473</v>
      </c>
      <c r="DA174" s="45" t="str">
        <v>Invest</v>
      </c>
      <c r="DU174" s="52"/>
      <c r="DV174" s="50"/>
    </row>
    <row r="175" spans="86:126" ht="23.5">
      <c r="CH175" s="45">
        <v>171</v>
      </c>
      <c r="CI175" s="45">
        <v>29.776244037598303</v>
      </c>
      <c r="CJ175" s="45" t="str">
        <v>Invest</v>
      </c>
      <c r="CM175" s="45">
        <v>171</v>
      </c>
      <c r="CN175" s="48">
        <v>33.245635772792966</v>
      </c>
      <c r="CO175" s="45" t="str">
        <v>Invest</v>
      </c>
      <c r="CP175" s="61"/>
      <c r="CQ175" s="45">
        <v>171</v>
      </c>
      <c r="CR175" s="45">
        <v>0</v>
      </c>
      <c r="CS175" s="45" t="str">
        <v>Nothing</v>
      </c>
      <c r="CT175" s="61"/>
      <c r="CU175" s="45">
        <v>171</v>
      </c>
      <c r="CV175" s="45">
        <v>33.300706895534127</v>
      </c>
      <c r="CW175" s="45" t="str">
        <v>Invest</v>
      </c>
      <c r="CX175" s="61"/>
      <c r="CY175" s="45">
        <v>171</v>
      </c>
      <c r="CZ175" s="45">
        <v>0</v>
      </c>
      <c r="DA175" s="45" t="str">
        <v>Nothing</v>
      </c>
      <c r="DU175" s="52"/>
      <c r="DV175" s="50"/>
    </row>
    <row r="176" spans="86:126" ht="23.5">
      <c r="CH176" s="45">
        <v>172</v>
      </c>
      <c r="CI176" s="45">
        <v>13.806893170531851</v>
      </c>
      <c r="CJ176" s="45" t="str">
        <v>Invest</v>
      </c>
      <c r="CM176" s="45">
        <v>172</v>
      </c>
      <c r="CN176" s="48">
        <v>55.090925238491835</v>
      </c>
      <c r="CO176" s="45" t="str">
        <v>Invest</v>
      </c>
      <c r="CP176" s="61"/>
      <c r="CQ176" s="45">
        <v>172</v>
      </c>
      <c r="CR176" s="45">
        <v>49.939230484090835</v>
      </c>
      <c r="CS176" s="45" t="str">
        <v>Invest</v>
      </c>
      <c r="CT176" s="61"/>
      <c r="CU176" s="45">
        <v>172</v>
      </c>
      <c r="CV176" s="45">
        <v>35.707978198740378</v>
      </c>
      <c r="CW176" s="45" t="str">
        <v>Invest</v>
      </c>
      <c r="CX176" s="61"/>
      <c r="CY176" s="45">
        <v>172</v>
      </c>
      <c r="CZ176" s="45">
        <v>1.2353996810887402</v>
      </c>
      <c r="DA176" s="45" t="str">
        <v>Invest</v>
      </c>
      <c r="DU176" s="52"/>
      <c r="DV176" s="50"/>
    </row>
    <row r="177" spans="86:126" ht="23.5">
      <c r="CH177" s="45">
        <v>173</v>
      </c>
      <c r="CI177" s="45">
        <v>37.030398509376703</v>
      </c>
      <c r="CJ177" s="45" t="str">
        <v>Invest</v>
      </c>
      <c r="CM177" s="45">
        <v>173</v>
      </c>
      <c r="CN177" s="48">
        <v>16.419356544931464</v>
      </c>
      <c r="CO177" s="45" t="str">
        <v>Invest</v>
      </c>
      <c r="CP177" s="61"/>
      <c r="CQ177" s="45">
        <v>173</v>
      </c>
      <c r="CR177" s="45">
        <v>42.187654357260257</v>
      </c>
      <c r="CS177" s="45" t="str">
        <v>Invest</v>
      </c>
      <c r="CT177" s="61"/>
      <c r="CU177" s="45">
        <v>173</v>
      </c>
      <c r="CV177" s="45">
        <v>47.304612675315511</v>
      </c>
      <c r="CW177" s="45" t="str">
        <v>Invest</v>
      </c>
      <c r="CX177" s="61"/>
      <c r="CY177" s="45">
        <v>173</v>
      </c>
      <c r="CZ177" s="45">
        <v>0</v>
      </c>
      <c r="DA177" s="45" t="str">
        <v>Nothing</v>
      </c>
      <c r="DU177" s="52"/>
      <c r="DV177" s="50"/>
    </row>
    <row r="178" spans="86:126" ht="23.5">
      <c r="CH178" s="45">
        <v>174</v>
      </c>
      <c r="CI178" s="45">
        <v>22.211106960051463</v>
      </c>
      <c r="CJ178" s="45" t="str">
        <v>Invest</v>
      </c>
      <c r="CM178" s="45">
        <v>174</v>
      </c>
      <c r="CN178" s="48">
        <v>51.571545788757618</v>
      </c>
      <c r="CO178" s="45" t="str">
        <v>Invest</v>
      </c>
      <c r="CP178" s="61"/>
      <c r="CQ178" s="45">
        <v>174</v>
      </c>
      <c r="CR178" s="45">
        <v>39.832927683084371</v>
      </c>
      <c r="CS178" s="45" t="str">
        <v>Invest</v>
      </c>
      <c r="CT178" s="61"/>
      <c r="CU178" s="45">
        <v>174</v>
      </c>
      <c r="CV178" s="45">
        <v>21.229841501280511</v>
      </c>
      <c r="CW178" s="45" t="str">
        <v>Invest</v>
      </c>
      <c r="CX178" s="61"/>
      <c r="CY178" s="45">
        <v>174</v>
      </c>
      <c r="CZ178" s="45">
        <v>56.236938391677434</v>
      </c>
      <c r="DA178" s="45" t="str">
        <v>Invest</v>
      </c>
      <c r="DU178" s="52"/>
      <c r="DV178" s="50"/>
    </row>
    <row r="179" spans="86:126" ht="23.5">
      <c r="CH179" s="45">
        <v>175</v>
      </c>
      <c r="CI179" s="45">
        <v>53.079970249417883</v>
      </c>
      <c r="CJ179" s="45" t="str">
        <v>Invest</v>
      </c>
      <c r="CM179" s="45">
        <v>175</v>
      </c>
      <c r="CN179" s="48">
        <v>17.677429149155149</v>
      </c>
      <c r="CO179" s="45" t="str">
        <v>Invest</v>
      </c>
      <c r="CP179" s="61"/>
      <c r="CQ179" s="45">
        <v>175</v>
      </c>
      <c r="CR179" s="45">
        <v>20.584492593968864</v>
      </c>
      <c r="CS179" s="45" t="str">
        <v>Invest</v>
      </c>
      <c r="CT179" s="61"/>
      <c r="CU179" s="45">
        <v>175</v>
      </c>
      <c r="CV179" s="45">
        <v>0</v>
      </c>
      <c r="CW179" s="45" t="str">
        <v>Nothing</v>
      </c>
      <c r="CX179" s="61"/>
      <c r="CY179" s="45">
        <v>175</v>
      </c>
      <c r="CZ179" s="45">
        <v>31.812539364317011</v>
      </c>
      <c r="DA179" s="45" t="str">
        <v>Invest</v>
      </c>
      <c r="DU179" s="52"/>
      <c r="DV179" s="50"/>
    </row>
    <row r="180" spans="86:126" ht="23.5">
      <c r="CH180" s="45">
        <v>176</v>
      </c>
      <c r="CI180" s="45">
        <v>15.768748931031185</v>
      </c>
      <c r="CJ180" s="45" t="str">
        <v>Invest</v>
      </c>
      <c r="CM180" s="45">
        <v>176</v>
      </c>
      <c r="CN180" s="48">
        <v>7.6295988603639788</v>
      </c>
      <c r="CO180" s="45" t="str">
        <v>Invest</v>
      </c>
      <c r="CP180" s="61"/>
      <c r="CQ180" s="45">
        <v>176</v>
      </c>
      <c r="CR180" s="45">
        <v>13.927731509560097</v>
      </c>
      <c r="CS180" s="45" t="str">
        <v>Invest</v>
      </c>
      <c r="CT180" s="61"/>
      <c r="CU180" s="45">
        <v>176</v>
      </c>
      <c r="CV180" s="45">
        <v>37.199107149927315</v>
      </c>
      <c r="CW180" s="45" t="str">
        <v>Invest</v>
      </c>
      <c r="CX180" s="61"/>
      <c r="CY180" s="45">
        <v>176</v>
      </c>
      <c r="CZ180" s="45">
        <v>23.13338920361079</v>
      </c>
      <c r="DA180" s="45" t="str">
        <v>Invest</v>
      </c>
      <c r="DU180" s="52"/>
      <c r="DV180" s="50"/>
    </row>
    <row r="181" spans="86:126" ht="23.5">
      <c r="CH181" s="45">
        <v>177</v>
      </c>
      <c r="CI181" s="45">
        <v>38.795022488028593</v>
      </c>
      <c r="CJ181" s="45" t="str">
        <v>Invest</v>
      </c>
      <c r="CM181" s="45">
        <v>177</v>
      </c>
      <c r="CN181" s="48">
        <v>24.662378068232886</v>
      </c>
      <c r="CO181" s="45" t="str">
        <v>Invest</v>
      </c>
      <c r="CP181" s="61"/>
      <c r="CQ181" s="45">
        <v>177</v>
      </c>
      <c r="CR181" s="45">
        <v>15.653419721360066</v>
      </c>
      <c r="CS181" s="45" t="str">
        <v>Invest</v>
      </c>
      <c r="CT181" s="61"/>
      <c r="CU181" s="45">
        <v>177</v>
      </c>
      <c r="CV181" s="45">
        <v>15.722758228642913</v>
      </c>
      <c r="CW181" s="45" t="str">
        <v>Invest</v>
      </c>
      <c r="CX181" s="61"/>
      <c r="CY181" s="45">
        <v>177</v>
      </c>
      <c r="CZ181" s="45">
        <v>0</v>
      </c>
      <c r="DA181" s="45" t="str">
        <v>Nothing</v>
      </c>
      <c r="DU181" s="52"/>
      <c r="DV181" s="50"/>
    </row>
    <row r="182" spans="86:126" ht="23.5">
      <c r="CH182" s="45">
        <v>178</v>
      </c>
      <c r="CI182" s="45">
        <v>0</v>
      </c>
      <c r="CJ182" s="45" t="str">
        <v>Nothing</v>
      </c>
      <c r="CM182" s="45">
        <v>178</v>
      </c>
      <c r="CN182" s="48">
        <v>6.2625124399386758</v>
      </c>
      <c r="CO182" s="45" t="str">
        <v>Invest</v>
      </c>
      <c r="CP182" s="61"/>
      <c r="CQ182" s="45">
        <v>178</v>
      </c>
      <c r="CR182" s="45">
        <v>18.787668029773634</v>
      </c>
      <c r="CS182" s="45" t="str">
        <v>Invest</v>
      </c>
      <c r="CT182" s="61"/>
      <c r="CU182" s="45">
        <v>178</v>
      </c>
      <c r="CV182" s="45">
        <v>6.0801183026406829</v>
      </c>
      <c r="CW182" s="45" t="str">
        <v>Invest</v>
      </c>
      <c r="CX182" s="61"/>
      <c r="CY182" s="45">
        <v>178</v>
      </c>
      <c r="CZ182" s="45">
        <v>16.510396228740355</v>
      </c>
      <c r="DA182" s="45" t="str">
        <v>Invest</v>
      </c>
      <c r="DU182" s="52"/>
      <c r="DV182" s="50"/>
    </row>
    <row r="183" spans="86:126" ht="23.5">
      <c r="CH183" s="45">
        <v>179</v>
      </c>
      <c r="CI183" s="45">
        <v>0</v>
      </c>
      <c r="CJ183" s="45" t="str">
        <v>Nothing</v>
      </c>
      <c r="CM183" s="45">
        <v>179</v>
      </c>
      <c r="CN183" s="48">
        <v>27.040674907182225</v>
      </c>
      <c r="CO183" s="45" t="str">
        <v>Invest</v>
      </c>
      <c r="CP183" s="61"/>
      <c r="CQ183" s="45">
        <v>179</v>
      </c>
      <c r="CR183" s="45">
        <v>3.8864443785380001</v>
      </c>
      <c r="CS183" s="45" t="str">
        <v>Invest</v>
      </c>
      <c r="CT183" s="61"/>
      <c r="CU183" s="45">
        <v>179</v>
      </c>
      <c r="CV183" s="45">
        <v>35.396998635819187</v>
      </c>
      <c r="CW183" s="45" t="str">
        <v>Invest</v>
      </c>
      <c r="CX183" s="61"/>
      <c r="CY183" s="45">
        <v>179</v>
      </c>
      <c r="CZ183" s="45">
        <v>34.365848625911113</v>
      </c>
      <c r="DA183" s="45" t="str">
        <v>Invest</v>
      </c>
      <c r="DU183" s="52"/>
      <c r="DV183" s="50"/>
    </row>
    <row r="184" spans="86:126" ht="23.5">
      <c r="CH184" s="45">
        <v>180</v>
      </c>
      <c r="CI184" s="45">
        <v>0</v>
      </c>
      <c r="CJ184" s="45" t="str">
        <v>Nothing</v>
      </c>
      <c r="CM184" s="45">
        <v>180</v>
      </c>
      <c r="CN184" s="48">
        <v>46.622615522220087</v>
      </c>
      <c r="CO184" s="45" t="str">
        <v>Invest</v>
      </c>
      <c r="CP184" s="61"/>
      <c r="CQ184" s="45">
        <v>180</v>
      </c>
      <c r="CR184" s="45">
        <v>24.206035138440509</v>
      </c>
      <c r="CS184" s="45" t="str">
        <v>Invest</v>
      </c>
      <c r="CT184" s="61"/>
      <c r="CU184" s="45">
        <v>180</v>
      </c>
      <c r="CV184" s="45">
        <v>51.018411114752254</v>
      </c>
      <c r="CW184" s="45" t="str">
        <v>Invest</v>
      </c>
      <c r="CX184" s="61"/>
      <c r="CY184" s="45">
        <v>180</v>
      </c>
      <c r="CZ184" s="45">
        <v>17.43133679933603</v>
      </c>
      <c r="DA184" s="45" t="str">
        <v>Invest</v>
      </c>
      <c r="DU184" s="52"/>
      <c r="DV184" s="50"/>
    </row>
    <row r="185" spans="86:126" ht="23.5">
      <c r="CH185" s="45">
        <v>181</v>
      </c>
      <c r="CI185" s="45">
        <v>0</v>
      </c>
      <c r="CJ185" s="45" t="str">
        <v>Nothing</v>
      </c>
      <c r="CM185" s="45">
        <v>181</v>
      </c>
      <c r="CN185" s="48">
        <v>0</v>
      </c>
      <c r="CO185" s="45" t="str">
        <v>Nothing</v>
      </c>
      <c r="CP185" s="61"/>
      <c r="CQ185" s="45">
        <v>181</v>
      </c>
      <c r="CR185" s="45">
        <v>18.611403135752997</v>
      </c>
      <c r="CS185" s="45" t="str">
        <v>Invest</v>
      </c>
      <c r="CT185" s="61"/>
      <c r="CU185" s="45">
        <v>181</v>
      </c>
      <c r="CV185" s="45">
        <v>26.328132509740989</v>
      </c>
      <c r="CW185" s="45" t="str">
        <v>Invest</v>
      </c>
      <c r="CX185" s="61"/>
      <c r="CY185" s="45">
        <v>181</v>
      </c>
      <c r="CZ185" s="45">
        <v>0</v>
      </c>
      <c r="DA185" s="45" t="str">
        <v>Nothing</v>
      </c>
      <c r="DU185" s="52"/>
      <c r="DV185" s="50"/>
    </row>
    <row r="186" spans="86:126" ht="23.5">
      <c r="CH186" s="45">
        <v>182</v>
      </c>
      <c r="CI186" s="45">
        <v>15.535936096260862</v>
      </c>
      <c r="CJ186" s="45" t="str">
        <v>Invest</v>
      </c>
      <c r="CM186" s="45">
        <v>182</v>
      </c>
      <c r="CN186" s="48">
        <v>39.213627737867284</v>
      </c>
      <c r="CO186" s="45" t="str">
        <v>Invest</v>
      </c>
      <c r="CP186" s="61"/>
      <c r="CQ186" s="45">
        <v>182</v>
      </c>
      <c r="CR186" s="45">
        <v>28.654783770349376</v>
      </c>
      <c r="CS186" s="45" t="str">
        <v>Invest</v>
      </c>
      <c r="CT186" s="61"/>
      <c r="CU186" s="45">
        <v>182</v>
      </c>
      <c r="CV186" s="45">
        <v>25.593252611463871</v>
      </c>
      <c r="CW186" s="45" t="str">
        <v>Invest</v>
      </c>
      <c r="CX186" s="61"/>
      <c r="CY186" s="45">
        <v>182</v>
      </c>
      <c r="CZ186" s="45">
        <v>0</v>
      </c>
      <c r="DA186" s="45" t="str">
        <v>Nothing</v>
      </c>
      <c r="DU186" s="52"/>
      <c r="DV186" s="50"/>
    </row>
    <row r="187" spans="86:126" ht="23.5">
      <c r="CH187" s="45">
        <v>183</v>
      </c>
      <c r="CI187" s="45">
        <v>13.204981451891985</v>
      </c>
      <c r="CJ187" s="45" t="str">
        <v>Invest</v>
      </c>
      <c r="CM187" s="45">
        <v>183</v>
      </c>
      <c r="CN187" s="48">
        <v>0</v>
      </c>
      <c r="CO187" s="45" t="str">
        <v>Nothing</v>
      </c>
      <c r="CP187" s="61"/>
      <c r="CQ187" s="45">
        <v>183</v>
      </c>
      <c r="CR187" s="45">
        <v>5.6468873974326037</v>
      </c>
      <c r="CS187" s="45" t="str">
        <v>Invest</v>
      </c>
      <c r="CT187" s="61"/>
      <c r="CU187" s="45">
        <v>183</v>
      </c>
      <c r="CV187" s="45">
        <v>4.2850430306035019</v>
      </c>
      <c r="CW187" s="45" t="str">
        <v>Invest</v>
      </c>
      <c r="CX187" s="61"/>
      <c r="CY187" s="45">
        <v>183</v>
      </c>
      <c r="CZ187" s="45">
        <v>22.74117832441388</v>
      </c>
      <c r="DA187" s="45" t="str">
        <v>Invest</v>
      </c>
      <c r="DU187" s="52"/>
      <c r="DV187" s="50"/>
    </row>
    <row r="188" spans="86:126" ht="23.5">
      <c r="CH188" s="45">
        <v>184</v>
      </c>
      <c r="CI188" s="45">
        <v>0.14447851072780615</v>
      </c>
      <c r="CJ188" s="45" t="str">
        <v>Invest</v>
      </c>
      <c r="CM188" s="45">
        <v>184</v>
      </c>
      <c r="CN188" s="48">
        <v>25.563301828949722</v>
      </c>
      <c r="CO188" s="45" t="str">
        <v>Invest</v>
      </c>
      <c r="CP188" s="61"/>
      <c r="CQ188" s="45">
        <v>184</v>
      </c>
      <c r="CR188" s="45">
        <v>26.942941418938162</v>
      </c>
      <c r="CS188" s="45" t="str">
        <v>Invest</v>
      </c>
      <c r="CT188" s="61"/>
      <c r="CU188" s="45">
        <v>184</v>
      </c>
      <c r="CV188" s="45">
        <v>27.363778990386955</v>
      </c>
      <c r="CW188" s="45" t="str">
        <v>Invest</v>
      </c>
      <c r="CX188" s="61"/>
      <c r="CY188" s="45">
        <v>184</v>
      </c>
      <c r="CZ188" s="45">
        <v>0</v>
      </c>
      <c r="DA188" s="45" t="str">
        <v>Nothing</v>
      </c>
      <c r="DU188" s="52"/>
      <c r="DV188" s="50"/>
    </row>
    <row r="189" spans="86:126" ht="23.5">
      <c r="CH189" s="45">
        <v>185</v>
      </c>
      <c r="CI189" s="45">
        <v>2.7885410667098096</v>
      </c>
      <c r="CJ189" s="45" t="str">
        <v>Invest</v>
      </c>
      <c r="CM189" s="45">
        <v>185</v>
      </c>
      <c r="CN189" s="48">
        <v>0</v>
      </c>
      <c r="CO189" s="45" t="str">
        <v>Nothing</v>
      </c>
      <c r="CP189" s="61"/>
      <c r="CQ189" s="45">
        <v>185</v>
      </c>
      <c r="CR189" s="45">
        <v>21.531877207552874</v>
      </c>
      <c r="CS189" s="45" t="str">
        <v>Invest</v>
      </c>
      <c r="CT189" s="61"/>
      <c r="CU189" s="45">
        <v>185</v>
      </c>
      <c r="CV189" s="45">
        <v>25.843389892404581</v>
      </c>
      <c r="CW189" s="45" t="str">
        <v>Invest</v>
      </c>
      <c r="CX189" s="61"/>
      <c r="CY189" s="45">
        <v>185</v>
      </c>
      <c r="CZ189" s="45">
        <v>2.7817692566193504</v>
      </c>
      <c r="DA189" s="45" t="str">
        <v>Invest</v>
      </c>
      <c r="DU189" s="52"/>
      <c r="DV189" s="50"/>
    </row>
    <row r="190" spans="86:126" ht="23.5">
      <c r="CH190" s="45">
        <v>186</v>
      </c>
      <c r="CI190" s="45">
        <v>24.363047371099295</v>
      </c>
      <c r="CJ190" s="45" t="str">
        <v>Invest</v>
      </c>
      <c r="CM190" s="45">
        <v>186</v>
      </c>
      <c r="CN190" s="48">
        <v>35.493691225334082</v>
      </c>
      <c r="CO190" s="45" t="str">
        <v>Invest</v>
      </c>
      <c r="CP190" s="61"/>
      <c r="CQ190" s="45">
        <v>186</v>
      </c>
      <c r="CR190" s="45">
        <v>50.715864138930662</v>
      </c>
      <c r="CS190" s="45" t="str">
        <v>Invest</v>
      </c>
      <c r="CT190" s="61"/>
      <c r="CU190" s="45">
        <v>186</v>
      </c>
      <c r="CV190" s="45">
        <v>39.509309204585328</v>
      </c>
      <c r="CW190" s="45" t="str">
        <v>Invest</v>
      </c>
      <c r="CX190" s="61"/>
      <c r="CY190" s="45">
        <v>186</v>
      </c>
      <c r="CZ190" s="45">
        <v>36.427862013720777</v>
      </c>
      <c r="DA190" s="45" t="str">
        <v>Invest</v>
      </c>
      <c r="DU190" s="52"/>
      <c r="DV190" s="50"/>
    </row>
    <row r="191" spans="86:126" ht="23.5">
      <c r="CH191" s="45">
        <v>187</v>
      </c>
      <c r="CI191" s="45">
        <v>1.1383211499262611</v>
      </c>
      <c r="CJ191" s="45" t="str">
        <v>Invest</v>
      </c>
      <c r="CM191" s="45">
        <v>187</v>
      </c>
      <c r="CN191" s="48">
        <v>18.474043685295037</v>
      </c>
      <c r="CO191" s="45" t="str">
        <v>Invest</v>
      </c>
      <c r="CP191" s="61"/>
      <c r="CQ191" s="45">
        <v>187</v>
      </c>
      <c r="CR191" s="45">
        <v>43.375900856483995</v>
      </c>
      <c r="CS191" s="45" t="str">
        <v>Invest</v>
      </c>
      <c r="CT191" s="61"/>
      <c r="CU191" s="45">
        <v>187</v>
      </c>
      <c r="CV191" s="45">
        <v>53.799199498263391</v>
      </c>
      <c r="CW191" s="45" t="str">
        <v>Invest</v>
      </c>
      <c r="CX191" s="61"/>
      <c r="CY191" s="45">
        <v>187</v>
      </c>
      <c r="CZ191" s="45">
        <v>14.530774492308781</v>
      </c>
      <c r="DA191" s="45" t="str">
        <v>Invest</v>
      </c>
      <c r="DU191" s="52"/>
      <c r="DV191" s="50"/>
    </row>
    <row r="192" spans="86:126" ht="23.5">
      <c r="CH192" s="45">
        <v>188</v>
      </c>
      <c r="CI192" s="45">
        <v>2.1603456518077762</v>
      </c>
      <c r="CJ192" s="45" t="str">
        <v>Invest</v>
      </c>
      <c r="CM192" s="45">
        <v>188</v>
      </c>
      <c r="CN192" s="48">
        <v>49.845046077729656</v>
      </c>
      <c r="CO192" s="45" t="str">
        <v>Invest</v>
      </c>
      <c r="CP192" s="61"/>
      <c r="CQ192" s="45">
        <v>188</v>
      </c>
      <c r="CR192" s="45">
        <v>1.1328217140560488</v>
      </c>
      <c r="CS192" s="45" t="str">
        <v>Invest</v>
      </c>
      <c r="CT192" s="61"/>
      <c r="CU192" s="45">
        <v>188</v>
      </c>
      <c r="CV192" s="45">
        <v>4.6792938266680082</v>
      </c>
      <c r="CW192" s="45" t="str">
        <v>Invest</v>
      </c>
      <c r="CX192" s="61"/>
      <c r="CY192" s="45">
        <v>188</v>
      </c>
      <c r="CZ192" s="45">
        <v>0</v>
      </c>
      <c r="DA192" s="45" t="str">
        <v>Nothing</v>
      </c>
      <c r="DU192" s="52"/>
      <c r="DV192" s="50"/>
    </row>
    <row r="193" spans="86:126" ht="23.5">
      <c r="CH193" s="45">
        <v>189</v>
      </c>
      <c r="CI193" s="45">
        <v>0</v>
      </c>
      <c r="CJ193" s="45" t="str">
        <v>Nothing</v>
      </c>
      <c r="CM193" s="45">
        <v>189</v>
      </c>
      <c r="CN193" s="48">
        <v>13.9216989661494</v>
      </c>
      <c r="CO193" s="45" t="str">
        <v>Invest</v>
      </c>
      <c r="CP193" s="61"/>
      <c r="CQ193" s="45">
        <v>189</v>
      </c>
      <c r="CR193" s="45">
        <v>0</v>
      </c>
      <c r="CS193" s="45" t="str">
        <v>Nothing</v>
      </c>
      <c r="CT193" s="61"/>
      <c r="CU193" s="45">
        <v>189</v>
      </c>
      <c r="CV193" s="45">
        <v>22.126884182296525</v>
      </c>
      <c r="CW193" s="45" t="str">
        <v>Invest</v>
      </c>
      <c r="CX193" s="61"/>
      <c r="CY193" s="45">
        <v>189</v>
      </c>
      <c r="CZ193" s="45">
        <v>52.456062590272097</v>
      </c>
      <c r="DA193" s="45" t="str">
        <v>Invest</v>
      </c>
      <c r="DU193" s="52"/>
      <c r="DV193" s="50"/>
    </row>
    <row r="194" spans="86:126" ht="23.5">
      <c r="CH194" s="45">
        <v>190</v>
      </c>
      <c r="CI194" s="45">
        <v>5.0281579530428653</v>
      </c>
      <c r="CJ194" s="45" t="str">
        <v>Invest</v>
      </c>
      <c r="CM194" s="45">
        <v>190</v>
      </c>
      <c r="CN194" s="48">
        <v>0</v>
      </c>
      <c r="CO194" s="45" t="str">
        <v>Nothing</v>
      </c>
      <c r="CP194" s="61"/>
      <c r="CQ194" s="45">
        <v>190</v>
      </c>
      <c r="CR194" s="45">
        <v>9.0484454292039374</v>
      </c>
      <c r="CS194" s="45" t="str">
        <v>Invest</v>
      </c>
      <c r="CT194" s="61"/>
      <c r="CU194" s="45">
        <v>190</v>
      </c>
      <c r="CV194" s="45">
        <v>44.125316283045237</v>
      </c>
      <c r="CW194" s="45" t="str">
        <v>Invest</v>
      </c>
      <c r="CX194" s="61"/>
      <c r="CY194" s="45">
        <v>190</v>
      </c>
      <c r="CZ194" s="45">
        <v>47.515852097819533</v>
      </c>
      <c r="DA194" s="45" t="str">
        <v>Invest</v>
      </c>
      <c r="DU194" s="52"/>
      <c r="DV194" s="50"/>
    </row>
    <row r="195" spans="86:126" ht="23.5">
      <c r="CH195" s="45">
        <v>191</v>
      </c>
      <c r="CI195" s="45">
        <v>24.144246071239287</v>
      </c>
      <c r="CJ195" s="45" t="str">
        <v>Invest</v>
      </c>
      <c r="CM195" s="45">
        <v>191</v>
      </c>
      <c r="CN195" s="48">
        <v>60.495724831296364</v>
      </c>
      <c r="CO195" s="45" t="str">
        <v>Invest</v>
      </c>
      <c r="CP195" s="61"/>
      <c r="CQ195" s="45">
        <v>191</v>
      </c>
      <c r="CR195" s="45">
        <v>28.219054034219145</v>
      </c>
      <c r="CS195" s="45" t="str">
        <v>Invest</v>
      </c>
      <c r="CT195" s="61"/>
      <c r="CU195" s="45">
        <v>191</v>
      </c>
      <c r="CV195" s="45">
        <v>6.1926099625068662</v>
      </c>
      <c r="CW195" s="45" t="str">
        <v>Invest</v>
      </c>
      <c r="CX195" s="61"/>
      <c r="CY195" s="45">
        <v>191</v>
      </c>
      <c r="CZ195" s="45">
        <v>27.982054469763511</v>
      </c>
      <c r="DA195" s="45" t="str">
        <v>Invest</v>
      </c>
      <c r="DU195" s="52"/>
      <c r="DV195" s="50"/>
    </row>
    <row r="196" spans="86:126" ht="23.5">
      <c r="CH196" s="45">
        <v>192</v>
      </c>
      <c r="CI196" s="45">
        <v>38.364377187692668</v>
      </c>
      <c r="CJ196" s="45" t="str">
        <v>Invest</v>
      </c>
      <c r="CM196" s="45">
        <v>192</v>
      </c>
      <c r="CN196" s="48">
        <v>3.6903385836752065</v>
      </c>
      <c r="CO196" s="45" t="str">
        <v>Invest</v>
      </c>
      <c r="CP196" s="61"/>
      <c r="CQ196" s="45">
        <v>192</v>
      </c>
      <c r="CR196" s="45">
        <v>0</v>
      </c>
      <c r="CS196" s="45" t="str">
        <v>Nothing</v>
      </c>
      <c r="CT196" s="61"/>
      <c r="CU196" s="45">
        <v>192</v>
      </c>
      <c r="CV196" s="45">
        <v>27.714386491412395</v>
      </c>
      <c r="CW196" s="45" t="str">
        <v>Invest</v>
      </c>
      <c r="CX196" s="61"/>
      <c r="CY196" s="45">
        <v>192</v>
      </c>
      <c r="CZ196" s="45">
        <v>38.443522698523203</v>
      </c>
      <c r="DA196" s="45" t="str">
        <v>Invest</v>
      </c>
      <c r="DU196" s="52"/>
      <c r="DV196" s="50"/>
    </row>
    <row r="197" spans="86:126" ht="23.5">
      <c r="CH197" s="45">
        <v>193</v>
      </c>
      <c r="CI197" s="45">
        <v>14.87880272190753</v>
      </c>
      <c r="CJ197" s="45" t="str">
        <v>Invest</v>
      </c>
      <c r="CM197" s="45">
        <v>193</v>
      </c>
      <c r="CN197" s="48">
        <v>11.822835933534737</v>
      </c>
      <c r="CO197" s="45" t="str">
        <v>Invest</v>
      </c>
      <c r="CP197" s="61"/>
      <c r="CQ197" s="45">
        <v>193</v>
      </c>
      <c r="CR197" s="45">
        <v>20.545172805271974</v>
      </c>
      <c r="CS197" s="45" t="str">
        <v>Invest</v>
      </c>
      <c r="CT197" s="61"/>
      <c r="CU197" s="45">
        <v>193</v>
      </c>
      <c r="CV197" s="45">
        <v>3.2146952866592819</v>
      </c>
      <c r="CW197" s="45" t="str">
        <v>Invest</v>
      </c>
      <c r="CX197" s="61"/>
      <c r="CY197" s="45">
        <v>193</v>
      </c>
      <c r="CZ197" s="45">
        <v>8.8975891092438033</v>
      </c>
      <c r="DA197" s="45" t="str">
        <v>Invest</v>
      </c>
      <c r="DU197" s="52"/>
      <c r="DV197" s="50"/>
    </row>
    <row r="198" spans="86:126" ht="23.5">
      <c r="CH198" s="45">
        <v>194</v>
      </c>
      <c r="CI198" s="45">
        <v>3.7783026658429932</v>
      </c>
      <c r="CJ198" s="45" t="str">
        <v>Invest</v>
      </c>
      <c r="CM198" s="45">
        <v>194</v>
      </c>
      <c r="CN198" s="48">
        <v>0</v>
      </c>
      <c r="CO198" s="45" t="str">
        <v>Nothing</v>
      </c>
      <c r="CP198" s="61"/>
      <c r="CQ198" s="45">
        <v>194</v>
      </c>
      <c r="CR198" s="45">
        <v>11.142391613045893</v>
      </c>
      <c r="CS198" s="45" t="str">
        <v>Invest</v>
      </c>
      <c r="CT198" s="61"/>
      <c r="CU198" s="45">
        <v>194</v>
      </c>
      <c r="CV198" s="45">
        <v>0</v>
      </c>
      <c r="CW198" s="45" t="str">
        <v>Nothing</v>
      </c>
      <c r="CX198" s="61"/>
      <c r="CY198" s="45">
        <v>194</v>
      </c>
      <c r="CZ198" s="45">
        <v>17.632802261427038</v>
      </c>
      <c r="DA198" s="45" t="str">
        <v>Invest</v>
      </c>
      <c r="DU198" s="52"/>
      <c r="DV198" s="50"/>
    </row>
    <row r="199" spans="86:126" ht="23.5">
      <c r="CH199" s="45">
        <v>195</v>
      </c>
      <c r="CI199" s="45">
        <v>38.618013646253502</v>
      </c>
      <c r="CJ199" s="45" t="str">
        <v>Invest</v>
      </c>
      <c r="CM199" s="45">
        <v>195</v>
      </c>
      <c r="CN199" s="48">
        <v>0</v>
      </c>
      <c r="CO199" s="45" t="str">
        <v>Nothing</v>
      </c>
      <c r="CP199" s="61"/>
      <c r="CQ199" s="45">
        <v>195</v>
      </c>
      <c r="CR199" s="45">
        <v>40.187793254249755</v>
      </c>
      <c r="CS199" s="45" t="str">
        <v>Invest</v>
      </c>
      <c r="CT199" s="61"/>
      <c r="CU199" s="45">
        <v>195</v>
      </c>
      <c r="CV199" s="45">
        <v>0.77005971832239339</v>
      </c>
      <c r="CW199" s="45" t="str">
        <v>Invest</v>
      </c>
      <c r="CX199" s="61"/>
      <c r="CY199" s="45">
        <v>195</v>
      </c>
      <c r="CZ199" s="45">
        <v>14.710207223446371</v>
      </c>
      <c r="DA199" s="45" t="str">
        <v>Invest</v>
      </c>
      <c r="DU199" s="52"/>
      <c r="DV199" s="50"/>
    </row>
    <row r="200" spans="86:126" ht="23.5">
      <c r="CH200" s="45">
        <v>196</v>
      </c>
      <c r="CI200" s="45">
        <v>0</v>
      </c>
      <c r="CJ200" s="45" t="str">
        <v>Nothing</v>
      </c>
      <c r="CM200" s="45">
        <v>196</v>
      </c>
      <c r="CN200" s="48">
        <v>19.652494118220297</v>
      </c>
      <c r="CO200" s="45" t="str">
        <v>Invest</v>
      </c>
      <c r="CP200" s="61"/>
      <c r="CQ200" s="45">
        <v>196</v>
      </c>
      <c r="CR200" s="45">
        <v>11.783809676741178</v>
      </c>
      <c r="CS200" s="45" t="str">
        <v>Invest</v>
      </c>
      <c r="CT200" s="61"/>
      <c r="CU200" s="45">
        <v>196</v>
      </c>
      <c r="CV200" s="45">
        <v>6.3935191473116983</v>
      </c>
      <c r="CW200" s="45" t="str">
        <v>Invest</v>
      </c>
      <c r="CX200" s="61"/>
      <c r="CY200" s="45">
        <v>196</v>
      </c>
      <c r="CZ200" s="45">
        <v>20.60077757225703</v>
      </c>
      <c r="DA200" s="45" t="str">
        <v>Invest</v>
      </c>
      <c r="DU200" s="52"/>
      <c r="DV200" s="50"/>
    </row>
    <row r="201" spans="86:126" ht="23.5">
      <c r="CH201" s="45">
        <v>197</v>
      </c>
      <c r="CI201" s="45">
        <v>11.993874166812933</v>
      </c>
      <c r="CJ201" s="45" t="str">
        <v>Invest</v>
      </c>
      <c r="CM201" s="45">
        <v>197</v>
      </c>
      <c r="CN201" s="48">
        <v>31.683651955675799</v>
      </c>
      <c r="CO201" s="45" t="str">
        <v>Invest</v>
      </c>
      <c r="CP201" s="61"/>
      <c r="CQ201" s="45">
        <v>197</v>
      </c>
      <c r="CR201" s="45">
        <v>3.962792461208215</v>
      </c>
      <c r="CS201" s="45" t="str">
        <v>Invest</v>
      </c>
      <c r="CT201" s="61"/>
      <c r="CU201" s="45">
        <v>197</v>
      </c>
      <c r="CV201" s="45">
        <v>7.471941874387845</v>
      </c>
      <c r="CW201" s="45" t="str">
        <v>Invest</v>
      </c>
      <c r="CX201" s="61"/>
      <c r="CY201" s="45">
        <v>197</v>
      </c>
      <c r="CZ201" s="45">
        <v>0</v>
      </c>
      <c r="DA201" s="45" t="str">
        <v>Nothing</v>
      </c>
      <c r="DU201" s="52"/>
      <c r="DV201" s="50"/>
    </row>
    <row r="202" spans="86:126" ht="23.5">
      <c r="CH202" s="45">
        <v>198</v>
      </c>
      <c r="CI202" s="45">
        <v>4.7015171679331704</v>
      </c>
      <c r="CJ202" s="45" t="str">
        <v>Invest</v>
      </c>
      <c r="CM202" s="45">
        <v>198</v>
      </c>
      <c r="CN202" s="48">
        <v>19.222226387702669</v>
      </c>
      <c r="CO202" s="45" t="str">
        <v>Invest</v>
      </c>
      <c r="CP202" s="61"/>
      <c r="CQ202" s="45">
        <v>198</v>
      </c>
      <c r="CR202" s="45">
        <v>0</v>
      </c>
      <c r="CS202" s="45" t="str">
        <v>Nothing</v>
      </c>
      <c r="CT202" s="61"/>
      <c r="CU202" s="45">
        <v>198</v>
      </c>
      <c r="CV202" s="45">
        <v>5.6016636177624139</v>
      </c>
      <c r="CW202" s="45" t="str">
        <v>Invest</v>
      </c>
      <c r="CX202" s="61"/>
      <c r="CY202" s="45">
        <v>198</v>
      </c>
      <c r="CZ202" s="45">
        <v>0</v>
      </c>
      <c r="DA202" s="45" t="str">
        <v>Nothing</v>
      </c>
      <c r="DU202" s="52"/>
      <c r="DV202" s="50"/>
    </row>
    <row r="203" spans="86:126" ht="23.5">
      <c r="CH203" s="45">
        <v>199</v>
      </c>
      <c r="CI203" s="45">
        <v>36.8250939083037</v>
      </c>
      <c r="CJ203" s="45" t="str">
        <v>Invest</v>
      </c>
      <c r="CM203" s="45">
        <v>199</v>
      </c>
      <c r="CN203" s="48">
        <v>0</v>
      </c>
      <c r="CO203" s="45" t="str">
        <v>Nothing</v>
      </c>
      <c r="CP203" s="61"/>
      <c r="CQ203" s="45">
        <v>199</v>
      </c>
      <c r="CR203" s="45">
        <v>0</v>
      </c>
      <c r="CS203" s="45" t="str">
        <v>Nothing</v>
      </c>
      <c r="CT203" s="61"/>
      <c r="CU203" s="45">
        <v>199</v>
      </c>
      <c r="CV203" s="45">
        <v>0</v>
      </c>
      <c r="CW203" s="45" t="str">
        <v>Nothing</v>
      </c>
      <c r="CX203" s="61"/>
      <c r="CY203" s="45">
        <v>199</v>
      </c>
      <c r="CZ203" s="45">
        <v>45.717259275155378</v>
      </c>
      <c r="DA203" s="45" t="str">
        <v>Invest</v>
      </c>
      <c r="DU203" s="52"/>
      <c r="DV203" s="50"/>
    </row>
    <row r="204" spans="86:126" ht="23.5">
      <c r="CH204" s="45">
        <v>200</v>
      </c>
      <c r="CI204" s="45">
        <v>34.609338734630882</v>
      </c>
      <c r="CJ204" s="45" t="str">
        <v>Invest</v>
      </c>
      <c r="CM204" s="45">
        <v>200</v>
      </c>
      <c r="CN204" s="48">
        <v>0</v>
      </c>
      <c r="CO204" s="45" t="str">
        <v>Nothing</v>
      </c>
      <c r="CP204" s="61"/>
      <c r="CQ204" s="45">
        <v>200</v>
      </c>
      <c r="CR204" s="45">
        <v>6.9283045987153216</v>
      </c>
      <c r="CS204" s="45" t="str">
        <v>Invest</v>
      </c>
      <c r="CT204" s="61"/>
      <c r="CU204" s="45">
        <v>200</v>
      </c>
      <c r="CV204" s="45">
        <v>0</v>
      </c>
      <c r="CW204" s="45" t="str">
        <v>Nothing</v>
      </c>
      <c r="CX204" s="61"/>
      <c r="CY204" s="45">
        <v>200</v>
      </c>
      <c r="CZ204" s="45">
        <v>0</v>
      </c>
      <c r="DA204" s="45" t="str">
        <v>Nothing</v>
      </c>
      <c r="DU204" s="52"/>
      <c r="DV204" s="50"/>
    </row>
    <row r="205" spans="86:126" ht="23.5">
      <c r="CH205" s="45">
        <v>201</v>
      </c>
      <c r="CI205" s="45">
        <v>30.89696868838471</v>
      </c>
      <c r="CJ205" s="45" t="str">
        <v>Invest</v>
      </c>
      <c r="CM205" s="45">
        <v>201</v>
      </c>
      <c r="CN205" s="48">
        <v>1.7778885037772696</v>
      </c>
      <c r="CO205" s="45" t="str">
        <v>Invest</v>
      </c>
      <c r="CP205" s="61"/>
      <c r="CQ205" s="45">
        <v>201</v>
      </c>
      <c r="CR205" s="45">
        <v>0</v>
      </c>
      <c r="CS205" s="45" t="str">
        <v>Nothing</v>
      </c>
      <c r="CT205" s="61"/>
      <c r="CU205" s="45">
        <v>201</v>
      </c>
      <c r="CV205" s="45">
        <v>51.726205463840685</v>
      </c>
      <c r="CW205" s="45" t="str">
        <v>Invest</v>
      </c>
      <c r="CX205" s="61"/>
      <c r="CY205" s="45">
        <v>201</v>
      </c>
      <c r="CZ205" s="45">
        <v>4.2016219196956754</v>
      </c>
      <c r="DA205" s="45" t="str">
        <v>Invest</v>
      </c>
      <c r="DU205" s="52"/>
      <c r="DV205" s="50"/>
    </row>
    <row r="206" spans="86:126" ht="23.5">
      <c r="CH206" s="45">
        <v>202</v>
      </c>
      <c r="CI206" s="45">
        <v>6.5785182696459641</v>
      </c>
      <c r="CJ206" s="45" t="str">
        <v>Invest</v>
      </c>
      <c r="CM206" s="45">
        <v>202</v>
      </c>
      <c r="CN206" s="48">
        <v>0</v>
      </c>
      <c r="CO206" s="45" t="str">
        <v>Nothing</v>
      </c>
      <c r="CP206" s="61"/>
      <c r="CQ206" s="45">
        <v>202</v>
      </c>
      <c r="CR206" s="45">
        <v>0</v>
      </c>
      <c r="CS206" s="45" t="str">
        <v>Nothing</v>
      </c>
      <c r="CT206" s="61"/>
      <c r="CU206" s="45">
        <v>202</v>
      </c>
      <c r="CV206" s="45">
        <v>47.591658202887423</v>
      </c>
      <c r="CW206" s="45" t="str">
        <v>Invest</v>
      </c>
      <c r="CX206" s="61"/>
      <c r="CY206" s="45">
        <v>202</v>
      </c>
      <c r="CZ206" s="45">
        <v>3.7307997066037162</v>
      </c>
      <c r="DA206" s="45" t="str">
        <v>Invest</v>
      </c>
      <c r="DU206" s="52"/>
      <c r="DV206" s="50"/>
    </row>
    <row r="207" spans="86:126" ht="23.5">
      <c r="CH207" s="45">
        <v>203</v>
      </c>
      <c r="CI207" s="45">
        <v>0</v>
      </c>
      <c r="CJ207" s="45" t="str">
        <v>Nothing</v>
      </c>
      <c r="CM207" s="45">
        <v>203</v>
      </c>
      <c r="CN207" s="48">
        <v>8.5000399614040987</v>
      </c>
      <c r="CO207" s="45" t="str">
        <v>Invest</v>
      </c>
      <c r="CP207" s="61"/>
      <c r="CQ207" s="45">
        <v>203</v>
      </c>
      <c r="CR207" s="45">
        <v>0</v>
      </c>
      <c r="CS207" s="45" t="str">
        <v>Nothing</v>
      </c>
      <c r="CT207" s="61"/>
      <c r="CU207" s="45">
        <v>203</v>
      </c>
      <c r="CV207" s="45">
        <v>53.282264149300858</v>
      </c>
      <c r="CW207" s="45" t="str">
        <v>Invest</v>
      </c>
      <c r="CX207" s="61"/>
      <c r="CY207" s="45">
        <v>203</v>
      </c>
      <c r="CZ207" s="45">
        <v>21.168370129978925</v>
      </c>
      <c r="DA207" s="45" t="str">
        <v>Invest</v>
      </c>
      <c r="DU207" s="52"/>
      <c r="DV207" s="50"/>
    </row>
    <row r="208" spans="86:126" ht="23.5">
      <c r="CH208" s="45">
        <v>204</v>
      </c>
      <c r="CI208" s="45">
        <v>41.352773623284854</v>
      </c>
      <c r="CJ208" s="45" t="str">
        <v>Invest</v>
      </c>
      <c r="CM208" s="45">
        <v>204</v>
      </c>
      <c r="CN208" s="48">
        <v>9.9704214989396345</v>
      </c>
      <c r="CO208" s="45" t="str">
        <v>Invest</v>
      </c>
      <c r="CP208" s="61"/>
      <c r="CQ208" s="45">
        <v>204</v>
      </c>
      <c r="CR208" s="45">
        <v>0</v>
      </c>
      <c r="CS208" s="45" t="str">
        <v>Nothing</v>
      </c>
      <c r="CT208" s="61"/>
      <c r="CU208" s="45">
        <v>204</v>
      </c>
      <c r="CV208" s="45">
        <v>9.1113341550664533</v>
      </c>
      <c r="CW208" s="45" t="str">
        <v>Invest</v>
      </c>
      <c r="CX208" s="61"/>
      <c r="CY208" s="45">
        <v>204</v>
      </c>
      <c r="CZ208" s="45">
        <v>0</v>
      </c>
      <c r="DA208" s="45" t="str">
        <v>Nothing</v>
      </c>
      <c r="DU208" s="52"/>
      <c r="DV208" s="50"/>
    </row>
    <row r="209" spans="86:126" ht="23.5">
      <c r="CH209" s="45">
        <v>205</v>
      </c>
      <c r="CI209" s="45">
        <v>10.195247600361059</v>
      </c>
      <c r="CJ209" s="45" t="str">
        <v>Invest</v>
      </c>
      <c r="CM209" s="45">
        <v>205</v>
      </c>
      <c r="CN209" s="48">
        <v>14.547689472645441</v>
      </c>
      <c r="CO209" s="45" t="str">
        <v>Invest</v>
      </c>
      <c r="CP209" s="61"/>
      <c r="CQ209" s="45">
        <v>205</v>
      </c>
      <c r="CR209" s="45">
        <v>7.6435376701592439</v>
      </c>
      <c r="CS209" s="45" t="str">
        <v>Invest</v>
      </c>
      <c r="CT209" s="61"/>
      <c r="CU209" s="45">
        <v>205</v>
      </c>
      <c r="CV209" s="45">
        <v>0</v>
      </c>
      <c r="CW209" s="45" t="str">
        <v>Nothing</v>
      </c>
      <c r="CX209" s="61"/>
      <c r="CY209" s="45">
        <v>205</v>
      </c>
      <c r="CZ209" s="45">
        <v>28.742710079438353</v>
      </c>
      <c r="DA209" s="45" t="str">
        <v>Invest</v>
      </c>
      <c r="DU209" s="52"/>
      <c r="DV209" s="50"/>
    </row>
    <row r="210" spans="86:126" ht="23.5">
      <c r="CH210" s="45">
        <v>206</v>
      </c>
      <c r="CI210" s="45">
        <v>17.542012559233662</v>
      </c>
      <c r="CJ210" s="45" t="str">
        <v>Invest</v>
      </c>
      <c r="CM210" s="45">
        <v>206</v>
      </c>
      <c r="CN210" s="48">
        <v>0</v>
      </c>
      <c r="CO210" s="45" t="str">
        <v>Nothing</v>
      </c>
      <c r="CP210" s="61"/>
      <c r="CQ210" s="45">
        <v>206</v>
      </c>
      <c r="CR210" s="45">
        <v>27.728855785235165</v>
      </c>
      <c r="CS210" s="45" t="str">
        <v>Invest</v>
      </c>
      <c r="CT210" s="61"/>
      <c r="CU210" s="45">
        <v>206</v>
      </c>
      <c r="CV210" s="45">
        <v>2.0729897282970349</v>
      </c>
      <c r="CW210" s="45" t="str">
        <v>Invest</v>
      </c>
      <c r="CX210" s="61"/>
      <c r="CY210" s="45">
        <v>206</v>
      </c>
      <c r="CZ210" s="45">
        <v>0</v>
      </c>
      <c r="DA210" s="45" t="str">
        <v>Nothing</v>
      </c>
      <c r="DU210" s="52"/>
      <c r="DV210" s="50"/>
    </row>
    <row r="211" spans="86:126" ht="23.5">
      <c r="CH211" s="45">
        <v>207</v>
      </c>
      <c r="CI211" s="45">
        <v>0</v>
      </c>
      <c r="CJ211" s="45" t="str">
        <v>Nothing</v>
      </c>
      <c r="CM211" s="45">
        <v>207</v>
      </c>
      <c r="CN211" s="48">
        <v>0</v>
      </c>
      <c r="CO211" s="45" t="str">
        <v>Nothing</v>
      </c>
      <c r="CP211" s="61"/>
      <c r="CQ211" s="45">
        <v>207</v>
      </c>
      <c r="CR211" s="45">
        <v>28.743660271242238</v>
      </c>
      <c r="CS211" s="45" t="str">
        <v>Invest</v>
      </c>
      <c r="CT211" s="61"/>
      <c r="CU211" s="45">
        <v>207</v>
      </c>
      <c r="CV211" s="45">
        <v>0</v>
      </c>
      <c r="CW211" s="45" t="str">
        <v>Nothing</v>
      </c>
      <c r="CX211" s="61"/>
      <c r="CY211" s="45">
        <v>207</v>
      </c>
      <c r="CZ211" s="45">
        <v>44.46549758223594</v>
      </c>
      <c r="DA211" s="45" t="str">
        <v>Invest</v>
      </c>
      <c r="DU211" s="52"/>
      <c r="DV211" s="50"/>
    </row>
    <row r="212" spans="86:126" ht="23.5">
      <c r="CH212" s="45">
        <v>208</v>
      </c>
      <c r="CI212" s="45">
        <v>0</v>
      </c>
      <c r="CJ212" s="45" t="str">
        <v>Nothing</v>
      </c>
      <c r="CM212" s="45">
        <v>208</v>
      </c>
      <c r="CN212" s="48">
        <v>18.159113788192723</v>
      </c>
      <c r="CO212" s="45" t="str">
        <v>Invest</v>
      </c>
      <c r="CP212" s="61"/>
      <c r="CQ212" s="45">
        <v>208</v>
      </c>
      <c r="CR212" s="45">
        <v>49.222237540217556</v>
      </c>
      <c r="CS212" s="45" t="str">
        <v>Invest</v>
      </c>
      <c r="CT212" s="61"/>
      <c r="CU212" s="45">
        <v>208</v>
      </c>
      <c r="CV212" s="45">
        <v>20.000369616406445</v>
      </c>
      <c r="CW212" s="45" t="str">
        <v>Invest</v>
      </c>
      <c r="CX212" s="61"/>
      <c r="CY212" s="45">
        <v>208</v>
      </c>
      <c r="CZ212" s="45">
        <v>12.231071369249037</v>
      </c>
      <c r="DA212" s="45" t="str">
        <v>Invest</v>
      </c>
      <c r="DU212" s="52"/>
      <c r="DV212" s="50"/>
    </row>
    <row r="213" spans="86:126" ht="23.5">
      <c r="CH213" s="45">
        <v>209</v>
      </c>
      <c r="CI213" s="45">
        <v>20.539095630145994</v>
      </c>
      <c r="CJ213" s="45" t="str">
        <v>Invest</v>
      </c>
      <c r="CM213" s="45">
        <v>209</v>
      </c>
      <c r="CN213" s="48">
        <v>23.836009260562037</v>
      </c>
      <c r="CO213" s="45" t="str">
        <v>Invest</v>
      </c>
      <c r="CP213" s="61"/>
      <c r="CQ213" s="45">
        <v>209</v>
      </c>
      <c r="CR213" s="45">
        <v>63.487182080804345</v>
      </c>
      <c r="CS213" s="45" t="str">
        <v>Invest</v>
      </c>
      <c r="CT213" s="61"/>
      <c r="CU213" s="45">
        <v>209</v>
      </c>
      <c r="CV213" s="45">
        <v>0</v>
      </c>
      <c r="CW213" s="45" t="str">
        <v>Nothing</v>
      </c>
      <c r="CX213" s="61"/>
      <c r="CY213" s="45">
        <v>209</v>
      </c>
      <c r="CZ213" s="45">
        <v>18.617174615636721</v>
      </c>
      <c r="DA213" s="45" t="str">
        <v>Invest</v>
      </c>
      <c r="DU213" s="52"/>
      <c r="DV213" s="50"/>
    </row>
    <row r="214" spans="86:126" ht="23.5">
      <c r="CH214" s="45">
        <v>210</v>
      </c>
      <c r="CI214" s="45">
        <v>29.867551509178853</v>
      </c>
      <c r="CJ214" s="45" t="str">
        <v>Invest</v>
      </c>
      <c r="CM214" s="45">
        <v>210</v>
      </c>
      <c r="CN214" s="48">
        <v>30.266486564316864</v>
      </c>
      <c r="CO214" s="45" t="str">
        <v>Invest</v>
      </c>
      <c r="CP214" s="61"/>
      <c r="CQ214" s="45">
        <v>210</v>
      </c>
      <c r="CR214" s="45">
        <v>0</v>
      </c>
      <c r="CS214" s="45" t="str">
        <v>Nothing</v>
      </c>
      <c r="CT214" s="61"/>
      <c r="CU214" s="45">
        <v>210</v>
      </c>
      <c r="CV214" s="45">
        <v>8.9491983222754801</v>
      </c>
      <c r="CW214" s="45" t="str">
        <v>Invest</v>
      </c>
      <c r="CX214" s="61"/>
      <c r="CY214" s="45">
        <v>210</v>
      </c>
      <c r="CZ214" s="45">
        <v>3.6048275296188592</v>
      </c>
      <c r="DA214" s="45" t="str">
        <v>Invest</v>
      </c>
      <c r="DU214" s="52"/>
      <c r="DV214" s="50"/>
    </row>
    <row r="215" spans="86:126" ht="23.5">
      <c r="CH215" s="45">
        <v>211</v>
      </c>
      <c r="CI215" s="45">
        <v>0</v>
      </c>
      <c r="CJ215" s="45" t="str">
        <v>Nothing</v>
      </c>
      <c r="CM215" s="45">
        <v>211</v>
      </c>
      <c r="CN215" s="48">
        <v>0</v>
      </c>
      <c r="CO215" s="45" t="str">
        <v>Nothing</v>
      </c>
      <c r="CP215" s="61"/>
      <c r="CQ215" s="45">
        <v>211</v>
      </c>
      <c r="CR215" s="45">
        <v>44.458134748945945</v>
      </c>
      <c r="CS215" s="45" t="str">
        <v>Invest</v>
      </c>
      <c r="CT215" s="61"/>
      <c r="CU215" s="45">
        <v>211</v>
      </c>
      <c r="CV215" s="45">
        <v>5.2266848989990802</v>
      </c>
      <c r="CW215" s="45" t="str">
        <v>Invest</v>
      </c>
      <c r="CX215" s="61"/>
      <c r="CY215" s="45">
        <v>211</v>
      </c>
      <c r="CZ215" s="45">
        <v>0</v>
      </c>
      <c r="DA215" s="45" t="str">
        <v>Nothing</v>
      </c>
      <c r="DU215" s="52"/>
      <c r="DV215" s="50"/>
    </row>
    <row r="216" spans="86:126" ht="23.5">
      <c r="CH216" s="45">
        <v>212</v>
      </c>
      <c r="CI216" s="45">
        <v>0</v>
      </c>
      <c r="CJ216" s="45" t="str">
        <v>Nothing</v>
      </c>
      <c r="CM216" s="45">
        <v>212</v>
      </c>
      <c r="CN216" s="48">
        <v>4.1164156575945796</v>
      </c>
      <c r="CO216" s="45" t="str">
        <v>Invest</v>
      </c>
      <c r="CP216" s="61"/>
      <c r="CQ216" s="45">
        <v>212</v>
      </c>
      <c r="CR216" s="45">
        <v>15.902294149296328</v>
      </c>
      <c r="CS216" s="45" t="str">
        <v>Invest</v>
      </c>
      <c r="CT216" s="61"/>
      <c r="CU216" s="45">
        <v>212</v>
      </c>
      <c r="CV216" s="45">
        <v>5.5915020535055291</v>
      </c>
      <c r="CW216" s="45" t="str">
        <v>Invest</v>
      </c>
      <c r="CX216" s="61"/>
      <c r="CY216" s="45">
        <v>212</v>
      </c>
      <c r="CZ216" s="45">
        <v>28.767893133454194</v>
      </c>
      <c r="DA216" s="45" t="str">
        <v>Invest</v>
      </c>
      <c r="DU216" s="52"/>
      <c r="DV216" s="50"/>
    </row>
    <row r="217" spans="86:126" ht="23.5">
      <c r="CH217" s="45">
        <v>213</v>
      </c>
      <c r="CI217" s="45">
        <v>51.065990062710604</v>
      </c>
      <c r="CJ217" s="45" t="str">
        <v>Invest</v>
      </c>
      <c r="CM217" s="45">
        <v>213</v>
      </c>
      <c r="CN217" s="48">
        <v>0</v>
      </c>
      <c r="CO217" s="45" t="str">
        <v>Nothing</v>
      </c>
      <c r="CP217" s="61"/>
      <c r="CQ217" s="45">
        <v>213</v>
      </c>
      <c r="CR217" s="45">
        <v>7.8866016171296494</v>
      </c>
      <c r="CS217" s="45" t="str">
        <v>Invest</v>
      </c>
      <c r="CT217" s="61"/>
      <c r="CU217" s="45">
        <v>213</v>
      </c>
      <c r="CV217" s="45">
        <v>0</v>
      </c>
      <c r="CW217" s="45" t="str">
        <v>Nothing</v>
      </c>
      <c r="CX217" s="61"/>
      <c r="CY217" s="45">
        <v>213</v>
      </c>
      <c r="CZ217" s="45">
        <v>9.2454956214054729</v>
      </c>
      <c r="DA217" s="45" t="str">
        <v>Invest</v>
      </c>
      <c r="DU217" s="52"/>
      <c r="DV217" s="50"/>
    </row>
    <row r="218" spans="86:126" ht="23.5">
      <c r="CH218" s="45">
        <v>214</v>
      </c>
      <c r="CI218" s="45">
        <v>55.89908234403979</v>
      </c>
      <c r="CJ218" s="45" t="str">
        <v>Invest</v>
      </c>
      <c r="CM218" s="45">
        <v>214</v>
      </c>
      <c r="CN218" s="48">
        <v>3.0122082206209875</v>
      </c>
      <c r="CO218" s="45" t="str">
        <v>Invest</v>
      </c>
      <c r="CP218" s="61"/>
      <c r="CQ218" s="45">
        <v>214</v>
      </c>
      <c r="CR218" s="45">
        <v>21.897215763174405</v>
      </c>
      <c r="CS218" s="45" t="str">
        <v>Invest</v>
      </c>
      <c r="CT218" s="61"/>
      <c r="CU218" s="45">
        <v>214</v>
      </c>
      <c r="CV218" s="45">
        <v>0</v>
      </c>
      <c r="CW218" s="45" t="str">
        <v>Nothing</v>
      </c>
      <c r="CX218" s="61"/>
      <c r="CY218" s="45">
        <v>214</v>
      </c>
      <c r="CZ218" s="45">
        <v>0</v>
      </c>
      <c r="DA218" s="45" t="str">
        <v>Nothing</v>
      </c>
      <c r="DU218" s="52"/>
      <c r="DV218" s="50"/>
    </row>
    <row r="219" spans="86:126" ht="23.5">
      <c r="CH219" s="45">
        <v>215</v>
      </c>
      <c r="CI219" s="45">
        <v>11.183072878625474</v>
      </c>
      <c r="CJ219" s="45" t="str">
        <v>Invest</v>
      </c>
      <c r="CM219" s="45">
        <v>215</v>
      </c>
      <c r="CN219" s="48">
        <v>17.804650113023843</v>
      </c>
      <c r="CO219" s="45" t="str">
        <v>Invest</v>
      </c>
      <c r="CP219" s="61"/>
      <c r="CQ219" s="45">
        <v>215</v>
      </c>
      <c r="CR219" s="45">
        <v>39.054184121796276</v>
      </c>
      <c r="CS219" s="45" t="str">
        <v>Invest</v>
      </c>
      <c r="CT219" s="61"/>
      <c r="CU219" s="45">
        <v>215</v>
      </c>
      <c r="CV219" s="45">
        <v>43.212652024331554</v>
      </c>
      <c r="CW219" s="45" t="str">
        <v>Invest</v>
      </c>
      <c r="CX219" s="61"/>
      <c r="CY219" s="45">
        <v>215</v>
      </c>
      <c r="CZ219" s="45">
        <v>8.5184565495475741</v>
      </c>
      <c r="DA219" s="45" t="str">
        <v>Invest</v>
      </c>
      <c r="DU219" s="52"/>
      <c r="DV219" s="50"/>
    </row>
    <row r="220" spans="86:126" ht="23.5">
      <c r="CH220" s="45">
        <v>216</v>
      </c>
      <c r="CI220" s="45">
        <v>30.950521046196531</v>
      </c>
      <c r="CJ220" s="45" t="str">
        <v>Invest</v>
      </c>
      <c r="CM220" s="45">
        <v>216</v>
      </c>
      <c r="CN220" s="48">
        <v>0.6680122968813702</v>
      </c>
      <c r="CO220" s="45" t="str">
        <v>Invest</v>
      </c>
      <c r="CP220" s="61"/>
      <c r="CQ220" s="45">
        <v>216</v>
      </c>
      <c r="CR220" s="45">
        <v>15.075993011426519</v>
      </c>
      <c r="CS220" s="45" t="str">
        <v>Invest</v>
      </c>
      <c r="CT220" s="61"/>
      <c r="CU220" s="45">
        <v>216</v>
      </c>
      <c r="CV220" s="45">
        <v>44.047009315902713</v>
      </c>
      <c r="CW220" s="45" t="str">
        <v>Invest</v>
      </c>
      <c r="CX220" s="61"/>
      <c r="CY220" s="45">
        <v>216</v>
      </c>
      <c r="CZ220" s="45">
        <v>25.393062043428543</v>
      </c>
      <c r="DA220" s="45" t="str">
        <v>Invest</v>
      </c>
      <c r="DU220" s="52"/>
      <c r="DV220" s="50"/>
    </row>
    <row r="221" spans="86:126" ht="23.5">
      <c r="CH221" s="45">
        <v>217</v>
      </c>
      <c r="CI221" s="45">
        <v>0</v>
      </c>
      <c r="CJ221" s="45" t="str">
        <v>Nothing</v>
      </c>
      <c r="CM221" s="45">
        <v>217</v>
      </c>
      <c r="CN221" s="48">
        <v>2.5054585153904494</v>
      </c>
      <c r="CO221" s="45" t="str">
        <v>Invest</v>
      </c>
      <c r="CP221" s="61"/>
      <c r="CQ221" s="45">
        <v>217</v>
      </c>
      <c r="CR221" s="45">
        <v>0</v>
      </c>
      <c r="CS221" s="45" t="str">
        <v>Nothing</v>
      </c>
      <c r="CT221" s="61"/>
      <c r="CU221" s="45">
        <v>217</v>
      </c>
      <c r="CV221" s="45">
        <v>0</v>
      </c>
      <c r="CW221" s="45" t="str">
        <v>Nothing</v>
      </c>
      <c r="CX221" s="61"/>
      <c r="CY221" s="45">
        <v>217</v>
      </c>
      <c r="CZ221" s="45">
        <v>21.532268859133801</v>
      </c>
      <c r="DA221" s="45" t="str">
        <v>Invest</v>
      </c>
      <c r="DU221" s="52"/>
      <c r="DV221" s="50"/>
    </row>
    <row r="222" spans="86:126" ht="23.5">
      <c r="CH222" s="45">
        <v>218</v>
      </c>
      <c r="CI222" s="45">
        <v>12.836827563583268</v>
      </c>
      <c r="CJ222" s="45" t="str">
        <v>Invest</v>
      </c>
      <c r="CM222" s="45">
        <v>218</v>
      </c>
      <c r="CN222" s="48">
        <v>10.955598020383452</v>
      </c>
      <c r="CO222" s="45" t="str">
        <v>Invest</v>
      </c>
      <c r="CP222" s="61"/>
      <c r="CQ222" s="45">
        <v>218</v>
      </c>
      <c r="CR222" s="45">
        <v>5.1382834332882474</v>
      </c>
      <c r="CS222" s="45" t="str">
        <v>Invest</v>
      </c>
      <c r="CT222" s="61"/>
      <c r="CU222" s="45">
        <v>218</v>
      </c>
      <c r="CV222" s="45">
        <v>0</v>
      </c>
      <c r="CW222" s="45" t="str">
        <v>Nothing</v>
      </c>
      <c r="CX222" s="61"/>
      <c r="CY222" s="45">
        <v>218</v>
      </c>
      <c r="CZ222" s="45">
        <v>0</v>
      </c>
      <c r="DA222" s="45" t="str">
        <v>Nothing</v>
      </c>
      <c r="DU222" s="52"/>
      <c r="DV222" s="50"/>
    </row>
    <row r="223" spans="86:126" ht="23.5">
      <c r="CH223" s="45">
        <v>219</v>
      </c>
      <c r="CI223" s="45">
        <v>8.2322451973498225</v>
      </c>
      <c r="CJ223" s="45" t="str">
        <v>Invest</v>
      </c>
      <c r="CM223" s="45">
        <v>219</v>
      </c>
      <c r="CN223" s="48">
        <v>31.58471471354375</v>
      </c>
      <c r="CO223" s="45" t="str">
        <v>Invest</v>
      </c>
      <c r="CP223" s="61"/>
      <c r="CQ223" s="45">
        <v>219</v>
      </c>
      <c r="CR223" s="45">
        <v>0</v>
      </c>
      <c r="CS223" s="45" t="str">
        <v>Nothing</v>
      </c>
      <c r="CT223" s="61"/>
      <c r="CU223" s="45">
        <v>219</v>
      </c>
      <c r="CV223" s="45">
        <v>3.7383536181457444</v>
      </c>
      <c r="CW223" s="45" t="str">
        <v>Invest</v>
      </c>
      <c r="CX223" s="61"/>
      <c r="CY223" s="45">
        <v>219</v>
      </c>
      <c r="CZ223" s="45">
        <v>22.058797782890025</v>
      </c>
      <c r="DA223" s="45" t="str">
        <v>Invest</v>
      </c>
      <c r="DU223" s="52"/>
      <c r="DV223" s="50"/>
    </row>
    <row r="224" spans="86:126" ht="23.5">
      <c r="CH224" s="45">
        <v>220</v>
      </c>
      <c r="CI224" s="45">
        <v>19.748252653883501</v>
      </c>
      <c r="CJ224" s="45" t="str">
        <v>Invest</v>
      </c>
      <c r="CM224" s="45">
        <v>220</v>
      </c>
      <c r="CN224" s="48">
        <v>51.291614740527926</v>
      </c>
      <c r="CO224" s="45" t="str">
        <v>Invest</v>
      </c>
      <c r="CP224" s="61"/>
      <c r="CQ224" s="45">
        <v>220</v>
      </c>
      <c r="CR224" s="45">
        <v>0</v>
      </c>
      <c r="CS224" s="45" t="str">
        <v>Nothing</v>
      </c>
      <c r="CT224" s="61"/>
      <c r="CU224" s="45">
        <v>220</v>
      </c>
      <c r="CV224" s="45">
        <v>4.8508655180873035</v>
      </c>
      <c r="CW224" s="45" t="str">
        <v>Invest</v>
      </c>
      <c r="CX224" s="61"/>
      <c r="CY224" s="45">
        <v>220</v>
      </c>
      <c r="CZ224" s="45">
        <v>0</v>
      </c>
      <c r="DA224" s="45" t="str">
        <v>Nothing</v>
      </c>
      <c r="DU224" s="52"/>
      <c r="DV224" s="50"/>
    </row>
    <row r="225" spans="86:126" ht="23.5">
      <c r="CH225" s="45">
        <v>221</v>
      </c>
      <c r="CI225" s="45">
        <v>20.462653669481544</v>
      </c>
      <c r="CJ225" s="45" t="str">
        <v>Invest</v>
      </c>
      <c r="CM225" s="45">
        <v>221</v>
      </c>
      <c r="CN225" s="48">
        <v>45.69175081319829</v>
      </c>
      <c r="CO225" s="45" t="str">
        <v>Invest</v>
      </c>
      <c r="CP225" s="61"/>
      <c r="CQ225" s="45">
        <v>221</v>
      </c>
      <c r="CR225" s="45">
        <v>4.2935467348359664</v>
      </c>
      <c r="CS225" s="45" t="str">
        <v>Invest</v>
      </c>
      <c r="CT225" s="61"/>
      <c r="CU225" s="45">
        <v>221</v>
      </c>
      <c r="CV225" s="45">
        <v>35.94616853452338</v>
      </c>
      <c r="CW225" s="45" t="str">
        <v>Invest</v>
      </c>
      <c r="CX225" s="61"/>
      <c r="CY225" s="45">
        <v>221</v>
      </c>
      <c r="CZ225" s="45">
        <v>12.164528422602752</v>
      </c>
      <c r="DA225" s="45" t="str">
        <v>Invest</v>
      </c>
      <c r="DU225" s="52"/>
      <c r="DV225" s="50"/>
    </row>
    <row r="226" spans="86:126" ht="23.5">
      <c r="CH226" s="45">
        <v>222</v>
      </c>
      <c r="CI226" s="45">
        <v>30.364708610541481</v>
      </c>
      <c r="CJ226" s="45" t="str">
        <v>Invest</v>
      </c>
      <c r="CM226" s="45">
        <v>222</v>
      </c>
      <c r="CN226" s="48">
        <v>22.279480059976606</v>
      </c>
      <c r="CO226" s="45" t="str">
        <v>Invest</v>
      </c>
      <c r="CP226" s="61"/>
      <c r="CQ226" s="45">
        <v>222</v>
      </c>
      <c r="CR226" s="45">
        <v>0</v>
      </c>
      <c r="CS226" s="45" t="str">
        <v>Nothing</v>
      </c>
      <c r="CT226" s="61"/>
      <c r="CU226" s="45">
        <v>222</v>
      </c>
      <c r="CV226" s="45">
        <v>50.065102120647602</v>
      </c>
      <c r="CW226" s="45" t="str">
        <v>Invest</v>
      </c>
      <c r="CX226" s="61"/>
      <c r="CY226" s="45">
        <v>222</v>
      </c>
      <c r="CZ226" s="45">
        <v>4.9703366843171715</v>
      </c>
      <c r="DA226" s="45" t="str">
        <v>Invest</v>
      </c>
      <c r="DU226" s="52"/>
      <c r="DV226" s="50"/>
    </row>
    <row r="227" spans="86:126" ht="23.5">
      <c r="CH227" s="45">
        <v>223</v>
      </c>
      <c r="CI227" s="45">
        <v>28.236359502214963</v>
      </c>
      <c r="CJ227" s="45" t="str">
        <v>Invest</v>
      </c>
      <c r="CM227" s="45">
        <v>223</v>
      </c>
      <c r="CN227" s="48">
        <v>26.811311453551902</v>
      </c>
      <c r="CO227" s="45" t="str">
        <v>Invest</v>
      </c>
      <c r="CP227" s="61"/>
      <c r="CQ227" s="45">
        <v>223</v>
      </c>
      <c r="CR227" s="45">
        <v>3.6805056971543344</v>
      </c>
      <c r="CS227" s="45" t="str">
        <v>Invest</v>
      </c>
      <c r="CT227" s="61"/>
      <c r="CU227" s="45">
        <v>223</v>
      </c>
      <c r="CV227" s="45">
        <v>26.820966105655781</v>
      </c>
      <c r="CW227" s="45" t="str">
        <v>Invest</v>
      </c>
      <c r="CX227" s="61"/>
      <c r="CY227" s="45">
        <v>223</v>
      </c>
      <c r="CZ227" s="45">
        <v>0.8030200292509857</v>
      </c>
      <c r="DA227" s="45" t="str">
        <v>Invest</v>
      </c>
      <c r="DU227" s="52"/>
      <c r="DV227" s="50"/>
    </row>
    <row r="228" spans="86:126" ht="23.5">
      <c r="CH228" s="45">
        <v>224</v>
      </c>
      <c r="CI228" s="45">
        <v>32.696813611131645</v>
      </c>
      <c r="CJ228" s="45" t="str">
        <v>Invest</v>
      </c>
      <c r="CM228" s="45">
        <v>224</v>
      </c>
      <c r="CN228" s="48">
        <v>17.835915389940482</v>
      </c>
      <c r="CO228" s="45" t="str">
        <v>Invest</v>
      </c>
      <c r="CP228" s="61"/>
      <c r="CQ228" s="45">
        <v>224</v>
      </c>
      <c r="CR228" s="45">
        <v>0</v>
      </c>
      <c r="CS228" s="45" t="str">
        <v>Nothing</v>
      </c>
      <c r="CT228" s="61"/>
      <c r="CU228" s="45">
        <v>224</v>
      </c>
      <c r="CV228" s="45">
        <v>28.758436796484226</v>
      </c>
      <c r="CW228" s="45" t="str">
        <v>Invest</v>
      </c>
      <c r="CX228" s="61"/>
      <c r="CY228" s="45">
        <v>224</v>
      </c>
      <c r="CZ228" s="45">
        <v>6.7496060581862576</v>
      </c>
      <c r="DA228" s="45" t="str">
        <v>Invest</v>
      </c>
      <c r="DU228" s="52"/>
      <c r="DV228" s="50"/>
    </row>
    <row r="229" spans="86:126" ht="23.5">
      <c r="CH229" s="45">
        <v>225</v>
      </c>
      <c r="CI229" s="45">
        <v>43.063094884886723</v>
      </c>
      <c r="CJ229" s="45" t="str">
        <v>Invest</v>
      </c>
      <c r="CM229" s="45">
        <v>225</v>
      </c>
      <c r="CN229" s="48">
        <v>28.588753057508189</v>
      </c>
      <c r="CO229" s="45" t="str">
        <v>Invest</v>
      </c>
      <c r="CP229" s="61"/>
      <c r="CQ229" s="45">
        <v>225</v>
      </c>
      <c r="CR229" s="45">
        <v>34.122062773717609</v>
      </c>
      <c r="CS229" s="45" t="str">
        <v>Invest</v>
      </c>
      <c r="CT229" s="61"/>
      <c r="CU229" s="45">
        <v>225</v>
      </c>
      <c r="CV229" s="45">
        <v>46.281308300969421</v>
      </c>
      <c r="CW229" s="45" t="str">
        <v>Invest</v>
      </c>
      <c r="CX229" s="61"/>
      <c r="CY229" s="45">
        <v>225</v>
      </c>
      <c r="CZ229" s="45">
        <v>30.775225509716467</v>
      </c>
      <c r="DA229" s="45" t="str">
        <v>Invest</v>
      </c>
      <c r="DU229" s="52"/>
      <c r="DV229" s="50"/>
    </row>
    <row r="230" spans="86:126" ht="23.5">
      <c r="CH230" s="45">
        <v>226</v>
      </c>
      <c r="CI230" s="45">
        <v>26.269729540495518</v>
      </c>
      <c r="CJ230" s="45" t="str">
        <v>Invest</v>
      </c>
      <c r="CM230" s="45">
        <v>226</v>
      </c>
      <c r="CN230" s="48">
        <v>33.537247050072679</v>
      </c>
      <c r="CO230" s="45" t="str">
        <v>Invest</v>
      </c>
      <c r="CP230" s="61"/>
      <c r="CQ230" s="45">
        <v>226</v>
      </c>
      <c r="CR230" s="45">
        <v>50.490331396642475</v>
      </c>
      <c r="CS230" s="45" t="str">
        <v>Invest</v>
      </c>
      <c r="CT230" s="61"/>
      <c r="CU230" s="45">
        <v>226</v>
      </c>
      <c r="CV230" s="45">
        <v>6.2679623559266</v>
      </c>
      <c r="CW230" s="45" t="str">
        <v>Invest</v>
      </c>
      <c r="CX230" s="61"/>
      <c r="CY230" s="45">
        <v>226</v>
      </c>
      <c r="CZ230" s="45">
        <v>0</v>
      </c>
      <c r="DA230" s="45" t="str">
        <v>Nothing</v>
      </c>
      <c r="DU230" s="52"/>
      <c r="DV230" s="50"/>
    </row>
    <row r="231" spans="86:126" ht="23.5">
      <c r="CH231" s="45">
        <v>227</v>
      </c>
      <c r="CI231" s="45">
        <v>12.530780796389379</v>
      </c>
      <c r="CJ231" s="45" t="str">
        <v>Invest</v>
      </c>
      <c r="CM231" s="45">
        <v>227</v>
      </c>
      <c r="CN231" s="48">
        <v>43.895082191016719</v>
      </c>
      <c r="CO231" s="45" t="str">
        <v>Invest</v>
      </c>
      <c r="CP231" s="61"/>
      <c r="CQ231" s="45">
        <v>227</v>
      </c>
      <c r="CR231" s="45">
        <v>36.68940434448244</v>
      </c>
      <c r="CS231" s="45" t="str">
        <v>Invest</v>
      </c>
      <c r="CT231" s="61"/>
      <c r="CU231" s="45">
        <v>227</v>
      </c>
      <c r="CV231" s="45">
        <v>0</v>
      </c>
      <c r="CW231" s="45" t="str">
        <v>Nothing</v>
      </c>
      <c r="CX231" s="61"/>
      <c r="CY231" s="45">
        <v>227</v>
      </c>
      <c r="CZ231" s="45">
        <v>4.253861194621761</v>
      </c>
      <c r="DA231" s="45" t="str">
        <v>Invest</v>
      </c>
      <c r="DU231" s="52"/>
      <c r="DV231" s="50"/>
    </row>
    <row r="232" spans="86:126" ht="23.5">
      <c r="CH232" s="45">
        <v>228</v>
      </c>
      <c r="CI232" s="45">
        <v>0.90433031530730101</v>
      </c>
      <c r="CJ232" s="45" t="str">
        <v>Invest</v>
      </c>
      <c r="CM232" s="45">
        <v>228</v>
      </c>
      <c r="CN232" s="48">
        <v>0</v>
      </c>
      <c r="CO232" s="45" t="str">
        <v>Nothing</v>
      </c>
      <c r="CP232" s="61"/>
      <c r="CQ232" s="45">
        <v>228</v>
      </c>
      <c r="CR232" s="45">
        <v>0</v>
      </c>
      <c r="CS232" s="45" t="str">
        <v>Nothing</v>
      </c>
      <c r="CT232" s="61"/>
      <c r="CU232" s="45">
        <v>228</v>
      </c>
      <c r="CV232" s="45">
        <v>1.7016947689039839</v>
      </c>
      <c r="CW232" s="45" t="str">
        <v>Invest</v>
      </c>
      <c r="CX232" s="61"/>
      <c r="CY232" s="45">
        <v>228</v>
      </c>
      <c r="CZ232" s="45">
        <v>30.887396046852729</v>
      </c>
      <c r="DA232" s="45" t="str">
        <v>Invest</v>
      </c>
      <c r="DU232" s="52"/>
      <c r="DV232" s="50"/>
    </row>
    <row r="233" spans="86:126" ht="23.5">
      <c r="CH233" s="45">
        <v>229</v>
      </c>
      <c r="CI233" s="45">
        <v>39.416803384545709</v>
      </c>
      <c r="CJ233" s="45" t="str">
        <v>Invest</v>
      </c>
      <c r="CM233" s="45">
        <v>229</v>
      </c>
      <c r="CN233" s="48">
        <v>0</v>
      </c>
      <c r="CO233" s="45" t="str">
        <v>Nothing</v>
      </c>
      <c r="CP233" s="61"/>
      <c r="CQ233" s="45">
        <v>229</v>
      </c>
      <c r="CR233" s="45">
        <v>11.980188218423161</v>
      </c>
      <c r="CS233" s="45" t="str">
        <v>Invest</v>
      </c>
      <c r="CT233" s="61"/>
      <c r="CU233" s="45">
        <v>229</v>
      </c>
      <c r="CV233" s="45">
        <v>12.278610496862211</v>
      </c>
      <c r="CW233" s="45" t="str">
        <v>Invest</v>
      </c>
      <c r="CX233" s="61"/>
      <c r="CY233" s="45">
        <v>229</v>
      </c>
      <c r="CZ233" s="45">
        <v>29.854293119582096</v>
      </c>
      <c r="DA233" s="45" t="str">
        <v>Invest</v>
      </c>
      <c r="DU233" s="52"/>
      <c r="DV233" s="50"/>
    </row>
    <row r="234" spans="86:126" ht="23.5">
      <c r="CH234" s="45">
        <v>230</v>
      </c>
      <c r="CI234" s="45">
        <v>0</v>
      </c>
      <c r="CJ234" s="45" t="str">
        <v>Nothing</v>
      </c>
      <c r="CM234" s="45">
        <v>230</v>
      </c>
      <c r="CN234" s="48">
        <v>33.159123836634272</v>
      </c>
      <c r="CO234" s="45" t="str">
        <v>Invest</v>
      </c>
      <c r="CP234" s="61"/>
      <c r="CQ234" s="45">
        <v>230</v>
      </c>
      <c r="CR234" s="45">
        <v>0</v>
      </c>
      <c r="CS234" s="45" t="str">
        <v>Nothing</v>
      </c>
      <c r="CT234" s="61"/>
      <c r="CU234" s="45">
        <v>230</v>
      </c>
      <c r="CV234" s="45">
        <v>29.960151612436256</v>
      </c>
      <c r="CW234" s="45" t="str">
        <v>Invest</v>
      </c>
      <c r="CX234" s="61"/>
      <c r="CY234" s="45">
        <v>230</v>
      </c>
      <c r="CZ234" s="45">
        <v>0</v>
      </c>
      <c r="DA234" s="45" t="str">
        <v>Nothing</v>
      </c>
      <c r="DU234" s="52"/>
      <c r="DV234" s="50"/>
    </row>
    <row r="235" spans="86:126" ht="23.5">
      <c r="CH235" s="45">
        <v>231</v>
      </c>
      <c r="CI235" s="45">
        <v>19.121372247289518</v>
      </c>
      <c r="CJ235" s="45" t="str">
        <v>Invest</v>
      </c>
      <c r="CM235" s="45">
        <v>231</v>
      </c>
      <c r="CN235" s="48">
        <v>1.5114918850524361</v>
      </c>
      <c r="CO235" s="45" t="str">
        <v>Invest</v>
      </c>
      <c r="CP235" s="61"/>
      <c r="CQ235" s="45">
        <v>231</v>
      </c>
      <c r="CR235" s="45">
        <v>0</v>
      </c>
      <c r="CS235" s="45" t="str">
        <v>Nothing</v>
      </c>
      <c r="CT235" s="61"/>
      <c r="CU235" s="45">
        <v>231</v>
      </c>
      <c r="CV235" s="45">
        <v>38.858206496639717</v>
      </c>
      <c r="CW235" s="45" t="str">
        <v>Invest</v>
      </c>
      <c r="CX235" s="61"/>
      <c r="CY235" s="45">
        <v>231</v>
      </c>
      <c r="CZ235" s="45">
        <v>15.943375333376174</v>
      </c>
      <c r="DA235" s="45" t="str">
        <v>Invest</v>
      </c>
      <c r="DU235" s="52"/>
      <c r="DV235" s="50"/>
    </row>
    <row r="236" spans="86:126" ht="23.5">
      <c r="CH236" s="45">
        <v>232</v>
      </c>
      <c r="CI236" s="45">
        <v>44.936009045321079</v>
      </c>
      <c r="CJ236" s="45" t="str">
        <v>Invest</v>
      </c>
      <c r="CM236" s="45">
        <v>232</v>
      </c>
      <c r="CN236" s="48">
        <v>0</v>
      </c>
      <c r="CO236" s="45" t="str">
        <v>Nothing</v>
      </c>
      <c r="CP236" s="61"/>
      <c r="CQ236" s="45">
        <v>232</v>
      </c>
      <c r="CR236" s="45">
        <v>17.70386317163095</v>
      </c>
      <c r="CS236" s="45" t="str">
        <v>Invest</v>
      </c>
      <c r="CT236" s="61"/>
      <c r="CU236" s="45">
        <v>232</v>
      </c>
      <c r="CV236" s="45">
        <v>11.492270723298464</v>
      </c>
      <c r="CW236" s="45" t="str">
        <v>Invest</v>
      </c>
      <c r="CX236" s="61"/>
      <c r="CY236" s="45">
        <v>232</v>
      </c>
      <c r="CZ236" s="45">
        <v>47.92180227368533</v>
      </c>
      <c r="DA236" s="45" t="str">
        <v>Invest</v>
      </c>
      <c r="DU236" s="52"/>
      <c r="DV236" s="50"/>
    </row>
    <row r="237" spans="86:126" ht="23.5">
      <c r="CH237" s="45">
        <v>233</v>
      </c>
      <c r="CI237" s="45">
        <v>7.654927528793066</v>
      </c>
      <c r="CJ237" s="45" t="str">
        <v>Invest</v>
      </c>
      <c r="CM237" s="45">
        <v>233</v>
      </c>
      <c r="CN237" s="48">
        <v>15.655391091498991</v>
      </c>
      <c r="CO237" s="45" t="str">
        <v>Invest</v>
      </c>
      <c r="CP237" s="61"/>
      <c r="CQ237" s="45">
        <v>233</v>
      </c>
      <c r="CR237" s="45">
        <v>8.5404407626495846</v>
      </c>
      <c r="CS237" s="45" t="str">
        <v>Invest</v>
      </c>
      <c r="CT237" s="61"/>
      <c r="CU237" s="45">
        <v>233</v>
      </c>
      <c r="CV237" s="45">
        <v>42.155594284398056</v>
      </c>
      <c r="CW237" s="45" t="str">
        <v>Invest</v>
      </c>
      <c r="CX237" s="61"/>
      <c r="CY237" s="45">
        <v>233</v>
      </c>
      <c r="CZ237" s="45">
        <v>12.303123437122467</v>
      </c>
      <c r="DA237" s="45" t="str">
        <v>Invest</v>
      </c>
      <c r="DU237" s="52"/>
      <c r="DV237" s="50"/>
    </row>
    <row r="238" spans="86:126" ht="23.5">
      <c r="CH238" s="45">
        <v>234</v>
      </c>
      <c r="CI238" s="45">
        <v>0</v>
      </c>
      <c r="CJ238" s="45" t="str">
        <v>Nothing</v>
      </c>
      <c r="CM238" s="45">
        <v>234</v>
      </c>
      <c r="CN238" s="48">
        <v>0</v>
      </c>
      <c r="CO238" s="45" t="str">
        <v>Nothing</v>
      </c>
      <c r="CP238" s="61"/>
      <c r="CQ238" s="45">
        <v>234</v>
      </c>
      <c r="CR238" s="45">
        <v>7.8814127232876707</v>
      </c>
      <c r="CS238" s="45" t="str">
        <v>Invest</v>
      </c>
      <c r="CT238" s="61"/>
      <c r="CU238" s="45">
        <v>234</v>
      </c>
      <c r="CV238" s="45">
        <v>0</v>
      </c>
      <c r="CW238" s="45" t="str">
        <v>Nothing</v>
      </c>
      <c r="CX238" s="61"/>
      <c r="CY238" s="45">
        <v>234</v>
      </c>
      <c r="CZ238" s="45">
        <v>0</v>
      </c>
      <c r="DA238" s="45" t="str">
        <v>Nothing</v>
      </c>
      <c r="DU238" s="52"/>
      <c r="DV238" s="50"/>
    </row>
    <row r="239" spans="86:126" ht="23.5">
      <c r="CH239" s="45">
        <v>235</v>
      </c>
      <c r="CI239" s="45">
        <v>0</v>
      </c>
      <c r="CJ239" s="45" t="str">
        <v>Nothing</v>
      </c>
      <c r="CM239" s="45">
        <v>235</v>
      </c>
      <c r="CN239" s="48">
        <v>19.199075822323497</v>
      </c>
      <c r="CO239" s="45" t="str">
        <v>Invest</v>
      </c>
      <c r="CP239" s="61"/>
      <c r="CQ239" s="45">
        <v>235</v>
      </c>
      <c r="CR239" s="45">
        <v>0</v>
      </c>
      <c r="CS239" s="45" t="str">
        <v>Nothing</v>
      </c>
      <c r="CT239" s="61"/>
      <c r="CU239" s="45">
        <v>235</v>
      </c>
      <c r="CV239" s="45">
        <v>0</v>
      </c>
      <c r="CW239" s="45" t="str">
        <v>Nothing</v>
      </c>
      <c r="CX239" s="61"/>
      <c r="CY239" s="45">
        <v>235</v>
      </c>
      <c r="CZ239" s="45">
        <v>0</v>
      </c>
      <c r="DA239" s="45" t="str">
        <v>Nothing</v>
      </c>
      <c r="DU239" s="52"/>
      <c r="DV239" s="50"/>
    </row>
    <row r="240" spans="86:126" ht="23.5">
      <c r="CH240" s="45">
        <v>236</v>
      </c>
      <c r="CI240" s="45">
        <v>30.017200298243345</v>
      </c>
      <c r="CJ240" s="45" t="str">
        <v>Invest</v>
      </c>
      <c r="CM240" s="45">
        <v>236</v>
      </c>
      <c r="CN240" s="48">
        <v>24.763652483955045</v>
      </c>
      <c r="CO240" s="45" t="str">
        <v>Invest</v>
      </c>
      <c r="CP240" s="61"/>
      <c r="CQ240" s="45">
        <v>236</v>
      </c>
      <c r="CR240" s="45">
        <v>17.385556788682358</v>
      </c>
      <c r="CS240" s="45" t="str">
        <v>Invest</v>
      </c>
      <c r="CT240" s="61"/>
      <c r="CU240" s="45">
        <v>236</v>
      </c>
      <c r="CV240" s="45">
        <v>0</v>
      </c>
      <c r="CW240" s="45" t="str">
        <v>Nothing</v>
      </c>
      <c r="CX240" s="61"/>
      <c r="CY240" s="45">
        <v>236</v>
      </c>
      <c r="CZ240" s="45">
        <v>12.985685208889059</v>
      </c>
      <c r="DA240" s="45" t="str">
        <v>Invest</v>
      </c>
      <c r="DU240" s="52"/>
      <c r="DV240" s="50"/>
    </row>
    <row r="241" spans="86:126" ht="23.5">
      <c r="CH241" s="45">
        <v>237</v>
      </c>
      <c r="CI241" s="45">
        <v>52.749676210850083</v>
      </c>
      <c r="CJ241" s="45" t="str">
        <v>Invest</v>
      </c>
      <c r="CM241" s="45">
        <v>237</v>
      </c>
      <c r="CN241" s="48">
        <v>32.681872148909775</v>
      </c>
      <c r="CO241" s="45" t="str">
        <v>Invest</v>
      </c>
      <c r="CP241" s="61"/>
      <c r="CQ241" s="45">
        <v>237</v>
      </c>
      <c r="CR241" s="45">
        <v>43.395214520243542</v>
      </c>
      <c r="CS241" s="45" t="str">
        <v>Invest</v>
      </c>
      <c r="CT241" s="61"/>
      <c r="CU241" s="45">
        <v>237</v>
      </c>
      <c r="CV241" s="45">
        <v>0</v>
      </c>
      <c r="CW241" s="45" t="str">
        <v>Nothing</v>
      </c>
      <c r="CX241" s="61"/>
      <c r="CY241" s="45">
        <v>237</v>
      </c>
      <c r="CZ241" s="45">
        <v>37.278854858659528</v>
      </c>
      <c r="DA241" s="45" t="str">
        <v>Invest</v>
      </c>
      <c r="DU241" s="52"/>
      <c r="DV241" s="50"/>
    </row>
    <row r="242" spans="86:126" ht="23.5">
      <c r="CH242" s="45">
        <v>238</v>
      </c>
      <c r="CI242" s="45">
        <v>3.9373894490088599</v>
      </c>
      <c r="CJ242" s="45" t="str">
        <v>Invest</v>
      </c>
      <c r="CM242" s="45">
        <v>238</v>
      </c>
      <c r="CN242" s="48">
        <v>7.0736841036834193</v>
      </c>
      <c r="CO242" s="45" t="str">
        <v>Invest</v>
      </c>
      <c r="CP242" s="61"/>
      <c r="CQ242" s="45">
        <v>238</v>
      </c>
      <c r="CR242" s="45">
        <v>14.663828168123967</v>
      </c>
      <c r="CS242" s="45" t="str">
        <v>Invest</v>
      </c>
      <c r="CT242" s="61"/>
      <c r="CU242" s="45">
        <v>238</v>
      </c>
      <c r="CV242" s="45">
        <v>23.748549148624683</v>
      </c>
      <c r="CW242" s="45" t="str">
        <v>Invest</v>
      </c>
      <c r="CX242" s="61"/>
      <c r="CY242" s="45">
        <v>238</v>
      </c>
      <c r="CZ242" s="45">
        <v>0</v>
      </c>
      <c r="DA242" s="45" t="str">
        <v>Nothing</v>
      </c>
      <c r="DU242" s="52"/>
      <c r="DV242" s="50"/>
    </row>
    <row r="243" spans="86:126" ht="23.5">
      <c r="CH243" s="45">
        <v>239</v>
      </c>
      <c r="CI243" s="45">
        <v>13.21456895279506</v>
      </c>
      <c r="CJ243" s="45" t="str">
        <v>Invest</v>
      </c>
      <c r="CM243" s="45">
        <v>239</v>
      </c>
      <c r="CN243" s="48">
        <v>42.569139474906848</v>
      </c>
      <c r="CO243" s="45" t="str">
        <v>Invest</v>
      </c>
      <c r="CP243" s="61"/>
      <c r="CQ243" s="45">
        <v>239</v>
      </c>
      <c r="CR243" s="45">
        <v>26.204265046835094</v>
      </c>
      <c r="CS243" s="45" t="str">
        <v>Invest</v>
      </c>
      <c r="CT243" s="61"/>
      <c r="CU243" s="45">
        <v>239</v>
      </c>
      <c r="CV243" s="45">
        <v>1.0211903703645753</v>
      </c>
      <c r="CW243" s="45" t="str">
        <v>Invest</v>
      </c>
      <c r="CX243" s="61"/>
      <c r="CY243" s="45">
        <v>239</v>
      </c>
      <c r="CZ243" s="45">
        <v>41.677910314633429</v>
      </c>
      <c r="DA243" s="45" t="str">
        <v>Invest</v>
      </c>
      <c r="DU243" s="52"/>
      <c r="DV243" s="50"/>
    </row>
    <row r="244" spans="86:126" ht="23.5">
      <c r="CH244" s="45">
        <v>240</v>
      </c>
      <c r="CI244" s="45">
        <v>26.926429289811992</v>
      </c>
      <c r="CJ244" s="45" t="str">
        <v>Invest</v>
      </c>
      <c r="CM244" s="45">
        <v>240</v>
      </c>
      <c r="CN244" s="48">
        <v>0</v>
      </c>
      <c r="CO244" s="45" t="str">
        <v>Nothing</v>
      </c>
      <c r="CP244" s="61"/>
      <c r="CQ244" s="45">
        <v>240</v>
      </c>
      <c r="CR244" s="45">
        <v>44.55025531335933</v>
      </c>
      <c r="CS244" s="45" t="str">
        <v>Invest</v>
      </c>
      <c r="CT244" s="61"/>
      <c r="CU244" s="45">
        <v>240</v>
      </c>
      <c r="CV244" s="45">
        <v>0</v>
      </c>
      <c r="CW244" s="45" t="str">
        <v>Nothing</v>
      </c>
      <c r="CX244" s="61"/>
      <c r="CY244" s="45">
        <v>240</v>
      </c>
      <c r="CZ244" s="45">
        <v>49.937813316729169</v>
      </c>
      <c r="DA244" s="45" t="str">
        <v>Invest</v>
      </c>
      <c r="DU244" s="52"/>
      <c r="DV244" s="50"/>
    </row>
    <row r="245" spans="86:126" ht="23.5">
      <c r="CH245" s="45">
        <v>241</v>
      </c>
      <c r="CI245" s="45">
        <v>9.3622429079921492</v>
      </c>
      <c r="CJ245" s="45" t="str">
        <v>Invest</v>
      </c>
      <c r="CM245" s="45">
        <v>241</v>
      </c>
      <c r="CN245" s="48">
        <v>16.869372261816338</v>
      </c>
      <c r="CO245" s="45" t="str">
        <v>Invest</v>
      </c>
      <c r="CP245" s="61"/>
      <c r="CQ245" s="45">
        <v>241</v>
      </c>
      <c r="CR245" s="45">
        <v>59.442605881309142</v>
      </c>
      <c r="CS245" s="45" t="str">
        <v>Invest</v>
      </c>
      <c r="CT245" s="61"/>
      <c r="CU245" s="45">
        <v>241</v>
      </c>
      <c r="CV245" s="45">
        <v>20.962608482644182</v>
      </c>
      <c r="CW245" s="45" t="str">
        <v>Invest</v>
      </c>
      <c r="CX245" s="61"/>
      <c r="CY245" s="45">
        <v>241</v>
      </c>
      <c r="CZ245" s="45">
        <v>55.484221001873131</v>
      </c>
      <c r="DA245" s="45" t="str">
        <v>Invest</v>
      </c>
      <c r="DU245" s="52"/>
      <c r="DV245" s="50"/>
    </row>
    <row r="246" spans="86:126" ht="23.5">
      <c r="CH246" s="45">
        <v>242</v>
      </c>
      <c r="CI246" s="45">
        <v>0</v>
      </c>
      <c r="CJ246" s="45" t="str">
        <v>Nothing</v>
      </c>
      <c r="CM246" s="45">
        <v>242</v>
      </c>
      <c r="CN246" s="48">
        <v>6.0126912259827172</v>
      </c>
      <c r="CO246" s="45" t="str">
        <v>Invest</v>
      </c>
      <c r="CP246" s="61"/>
      <c r="CQ246" s="45">
        <v>242</v>
      </c>
      <c r="CR246" s="45">
        <v>15.469306949838376</v>
      </c>
      <c r="CS246" s="45" t="str">
        <v>Invest</v>
      </c>
      <c r="CT246" s="61"/>
      <c r="CU246" s="45">
        <v>242</v>
      </c>
      <c r="CV246" s="45">
        <v>5.7940771830181701</v>
      </c>
      <c r="CW246" s="45" t="str">
        <v>Invest</v>
      </c>
      <c r="CX246" s="61"/>
      <c r="CY246" s="45">
        <v>242</v>
      </c>
      <c r="CZ246" s="45">
        <v>29.890964934455454</v>
      </c>
      <c r="DA246" s="45" t="str">
        <v>Invest</v>
      </c>
      <c r="DU246" s="52"/>
      <c r="DV246" s="50"/>
    </row>
    <row r="247" spans="86:126" ht="23.5">
      <c r="CH247" s="45">
        <v>243</v>
      </c>
      <c r="CI247" s="45">
        <v>11.457724490159528</v>
      </c>
      <c r="CJ247" s="45" t="str">
        <v>Invest</v>
      </c>
      <c r="CM247" s="45">
        <v>243</v>
      </c>
      <c r="CN247" s="48">
        <v>11.984853158925045</v>
      </c>
      <c r="CO247" s="45" t="str">
        <v>Invest</v>
      </c>
      <c r="CP247" s="61"/>
      <c r="CQ247" s="45">
        <v>243</v>
      </c>
      <c r="CR247" s="45">
        <v>14.709688052243685</v>
      </c>
      <c r="CS247" s="45" t="str">
        <v>Invest</v>
      </c>
      <c r="CT247" s="61"/>
      <c r="CU247" s="45">
        <v>243</v>
      </c>
      <c r="CV247" s="45">
        <v>55.198592581964938</v>
      </c>
      <c r="CW247" s="45" t="str">
        <v>Invest</v>
      </c>
      <c r="CX247" s="61"/>
      <c r="CY247" s="45">
        <v>243</v>
      </c>
      <c r="CZ247" s="45">
        <v>12.852856627333034</v>
      </c>
      <c r="DA247" s="45" t="str">
        <v>Invest</v>
      </c>
      <c r="DU247" s="52"/>
      <c r="DV247" s="50"/>
    </row>
    <row r="248" spans="86:126" ht="23.5">
      <c r="CH248" s="45">
        <v>244</v>
      </c>
      <c r="CI248" s="45">
        <v>27.113787484444423</v>
      </c>
      <c r="CJ248" s="45" t="str">
        <v>Invest</v>
      </c>
      <c r="CM248" s="45">
        <v>244</v>
      </c>
      <c r="CN248" s="48">
        <v>10.614512142020562</v>
      </c>
      <c r="CO248" s="45" t="str">
        <v>Invest</v>
      </c>
      <c r="CP248" s="61"/>
      <c r="CQ248" s="45">
        <v>244</v>
      </c>
      <c r="CR248" s="45">
        <v>10.765325356252932</v>
      </c>
      <c r="CS248" s="45" t="str">
        <v>Invest</v>
      </c>
      <c r="CT248" s="61"/>
      <c r="CU248" s="45">
        <v>244</v>
      </c>
      <c r="CV248" s="45">
        <v>12.962346410868973</v>
      </c>
      <c r="CW248" s="45" t="str">
        <v>Invest</v>
      </c>
      <c r="CX248" s="61"/>
      <c r="CY248" s="45">
        <v>244</v>
      </c>
      <c r="CZ248" s="45">
        <v>14.471013230782932</v>
      </c>
      <c r="DA248" s="45" t="str">
        <v>Invest</v>
      </c>
      <c r="DU248" s="52"/>
      <c r="DV248" s="50"/>
    </row>
    <row r="249" spans="86:126" ht="23.5">
      <c r="CH249" s="45">
        <v>245</v>
      </c>
      <c r="CI249" s="45">
        <v>10.996925593089708</v>
      </c>
      <c r="CJ249" s="45" t="str">
        <v>Invest</v>
      </c>
      <c r="CM249" s="45">
        <v>245</v>
      </c>
      <c r="CN249" s="48">
        <v>5.1325052889648646</v>
      </c>
      <c r="CO249" s="45" t="str">
        <v>Invest</v>
      </c>
      <c r="CP249" s="61"/>
      <c r="CQ249" s="45">
        <v>245</v>
      </c>
      <c r="CR249" s="45">
        <v>0</v>
      </c>
      <c r="CS249" s="45" t="str">
        <v>Nothing</v>
      </c>
      <c r="CT249" s="61"/>
      <c r="CU249" s="45">
        <v>245</v>
      </c>
      <c r="CV249" s="45">
        <v>0</v>
      </c>
      <c r="CW249" s="45" t="str">
        <v>Nothing</v>
      </c>
      <c r="CX249" s="61"/>
      <c r="CY249" s="45">
        <v>245</v>
      </c>
      <c r="CZ249" s="45">
        <v>0</v>
      </c>
      <c r="DA249" s="45" t="str">
        <v>Nothing</v>
      </c>
      <c r="DU249" s="52"/>
      <c r="DV249" s="50"/>
    </row>
    <row r="250" spans="86:126" ht="23.5">
      <c r="CH250" s="45">
        <v>246</v>
      </c>
      <c r="CI250" s="45">
        <v>17.791296177444742</v>
      </c>
      <c r="CJ250" s="45" t="str">
        <v>Invest</v>
      </c>
      <c r="CM250" s="45">
        <v>246</v>
      </c>
      <c r="CN250" s="48">
        <v>30.73074983321419</v>
      </c>
      <c r="CO250" s="45" t="str">
        <v>Invest</v>
      </c>
      <c r="CP250" s="61"/>
      <c r="CQ250" s="45">
        <v>246</v>
      </c>
      <c r="CR250" s="45">
        <v>25.948916042360274</v>
      </c>
      <c r="CS250" s="45" t="str">
        <v>Invest</v>
      </c>
      <c r="CT250" s="61"/>
      <c r="CU250" s="45">
        <v>246</v>
      </c>
      <c r="CV250" s="45">
        <v>20.677782086979128</v>
      </c>
      <c r="CW250" s="45" t="str">
        <v>Invest</v>
      </c>
      <c r="CX250" s="61"/>
      <c r="CY250" s="45">
        <v>246</v>
      </c>
      <c r="CZ250" s="45">
        <v>34.717411373352881</v>
      </c>
      <c r="DA250" s="45" t="str">
        <v>Invest</v>
      </c>
      <c r="DU250" s="52"/>
      <c r="DV250" s="50"/>
    </row>
    <row r="251" spans="86:126" ht="23.5">
      <c r="CH251" s="45">
        <v>247</v>
      </c>
      <c r="CI251" s="45">
        <v>0</v>
      </c>
      <c r="CJ251" s="45" t="str">
        <v>Nothing</v>
      </c>
      <c r="CM251" s="45">
        <v>247</v>
      </c>
      <c r="CN251" s="48">
        <v>0</v>
      </c>
      <c r="CO251" s="45" t="str">
        <v>Nothing</v>
      </c>
      <c r="CP251" s="61"/>
      <c r="CQ251" s="45">
        <v>247</v>
      </c>
      <c r="CR251" s="45">
        <v>10.760415838593985</v>
      </c>
      <c r="CS251" s="45" t="str">
        <v>Invest</v>
      </c>
      <c r="CT251" s="61"/>
      <c r="CU251" s="45">
        <v>247</v>
      </c>
      <c r="CV251" s="45">
        <v>51.773120893136181</v>
      </c>
      <c r="CW251" s="45" t="str">
        <v>Invest</v>
      </c>
      <c r="CX251" s="61"/>
      <c r="CY251" s="45">
        <v>247</v>
      </c>
      <c r="CZ251" s="45">
        <v>24.576169403915134</v>
      </c>
      <c r="DA251" s="45" t="str">
        <v>Invest</v>
      </c>
      <c r="DU251" s="52"/>
      <c r="DV251" s="50"/>
    </row>
    <row r="252" spans="86:126" ht="23.5">
      <c r="CH252" s="45">
        <v>248</v>
      </c>
      <c r="CI252" s="45">
        <v>17.939250906359437</v>
      </c>
      <c r="CJ252" s="45" t="str">
        <v>Invest</v>
      </c>
      <c r="CM252" s="45">
        <v>248</v>
      </c>
      <c r="CN252" s="48">
        <v>0</v>
      </c>
      <c r="CO252" s="45" t="str">
        <v>Nothing</v>
      </c>
      <c r="CP252" s="61"/>
      <c r="CQ252" s="45">
        <v>248</v>
      </c>
      <c r="CR252" s="45">
        <v>18.6122965526787</v>
      </c>
      <c r="CS252" s="45" t="str">
        <v>Invest</v>
      </c>
      <c r="CT252" s="61"/>
      <c r="CU252" s="45">
        <v>248</v>
      </c>
      <c r="CV252" s="45">
        <v>0</v>
      </c>
      <c r="CW252" s="45" t="str">
        <v>Nothing</v>
      </c>
      <c r="CX252" s="61"/>
      <c r="CY252" s="45">
        <v>248</v>
      </c>
      <c r="CZ252" s="45">
        <v>16.598017281447891</v>
      </c>
      <c r="DA252" s="45" t="str">
        <v>Invest</v>
      </c>
      <c r="DU252" s="52"/>
      <c r="DV252" s="50"/>
    </row>
    <row r="253" spans="86:126" ht="23.5">
      <c r="CH253" s="45">
        <v>249</v>
      </c>
      <c r="CI253" s="45">
        <v>24.479698920028973</v>
      </c>
      <c r="CJ253" s="45" t="str">
        <v>Invest</v>
      </c>
      <c r="CM253" s="45">
        <v>249</v>
      </c>
      <c r="CN253" s="48">
        <v>9.1254772664401589</v>
      </c>
      <c r="CO253" s="45" t="str">
        <v>Invest</v>
      </c>
      <c r="CP253" s="61"/>
      <c r="CQ253" s="45">
        <v>249</v>
      </c>
      <c r="CR253" s="45">
        <v>0</v>
      </c>
      <c r="CS253" s="45" t="str">
        <v>Nothing</v>
      </c>
      <c r="CT253" s="61"/>
      <c r="CU253" s="45">
        <v>249</v>
      </c>
      <c r="CV253" s="45">
        <v>9.2614451839639251</v>
      </c>
      <c r="CW253" s="45" t="str">
        <v>Invest</v>
      </c>
      <c r="CX253" s="61"/>
      <c r="CY253" s="45">
        <v>249</v>
      </c>
      <c r="CZ253" s="45">
        <v>0</v>
      </c>
      <c r="DA253" s="45" t="str">
        <v>Nothing</v>
      </c>
      <c r="DU253" s="52"/>
      <c r="DV253" s="50"/>
    </row>
    <row r="254" spans="86:126" ht="23.5">
      <c r="CH254" s="45">
        <v>250</v>
      </c>
      <c r="CI254" s="45">
        <v>6.6041135124463146</v>
      </c>
      <c r="CJ254" s="45" t="str">
        <v>Invest</v>
      </c>
      <c r="CM254" s="45">
        <v>250</v>
      </c>
      <c r="CN254" s="48">
        <v>0</v>
      </c>
      <c r="CO254" s="45" t="str">
        <v>Nothing</v>
      </c>
      <c r="CP254" s="61"/>
      <c r="CQ254" s="45">
        <v>250</v>
      </c>
      <c r="CR254" s="45">
        <v>0</v>
      </c>
      <c r="CS254" s="45" t="str">
        <v>Nothing</v>
      </c>
      <c r="CT254" s="61"/>
      <c r="CU254" s="45">
        <v>250</v>
      </c>
      <c r="CV254" s="45">
        <v>2.2195515214800992</v>
      </c>
      <c r="CW254" s="45" t="str">
        <v>Invest</v>
      </c>
      <c r="CX254" s="61"/>
      <c r="CY254" s="45">
        <v>250</v>
      </c>
      <c r="CZ254" s="45">
        <v>7.4206619882707265</v>
      </c>
      <c r="DA254" s="45" t="str">
        <v>Invest</v>
      </c>
      <c r="DU254" s="52"/>
      <c r="DV254" s="50"/>
    </row>
    <row r="255" spans="86:126" ht="23.5">
      <c r="CH255" s="45">
        <v>251</v>
      </c>
      <c r="CI255" s="45">
        <v>39.911177703583732</v>
      </c>
      <c r="CJ255" s="45" t="str">
        <v>Invest</v>
      </c>
      <c r="CM255" s="45">
        <v>251</v>
      </c>
      <c r="CN255" s="48">
        <v>5.6372539452878492</v>
      </c>
      <c r="CO255" s="45" t="str">
        <v>Invest</v>
      </c>
      <c r="CP255" s="61"/>
      <c r="CQ255" s="45">
        <v>251</v>
      </c>
      <c r="CR255" s="45">
        <v>37.173578477520174</v>
      </c>
      <c r="CS255" s="45" t="str">
        <v>Invest</v>
      </c>
      <c r="CT255" s="61"/>
      <c r="CU255" s="45">
        <v>251</v>
      </c>
      <c r="CV255" s="45">
        <v>48.506610204558712</v>
      </c>
      <c r="CW255" s="45" t="str">
        <v>Invest</v>
      </c>
      <c r="CX255" s="61"/>
      <c r="CY255" s="45">
        <v>251</v>
      </c>
      <c r="CZ255" s="45">
        <v>0</v>
      </c>
      <c r="DA255" s="45" t="str">
        <v>Nothing</v>
      </c>
      <c r="DU255" s="52"/>
      <c r="DV255" s="50"/>
    </row>
    <row r="256" spans="86:126" ht="23.5">
      <c r="CH256" s="45">
        <v>252</v>
      </c>
      <c r="CI256" s="45">
        <v>28.64363322879985</v>
      </c>
      <c r="CJ256" s="45" t="str">
        <v>Invest</v>
      </c>
      <c r="CM256" s="45">
        <v>252</v>
      </c>
      <c r="CN256" s="48">
        <v>39.967615932706003</v>
      </c>
      <c r="CO256" s="45" t="str">
        <v>Invest</v>
      </c>
      <c r="CP256" s="61"/>
      <c r="CQ256" s="45">
        <v>252</v>
      </c>
      <c r="CR256" s="45">
        <v>9.550194775235969</v>
      </c>
      <c r="CS256" s="45" t="str">
        <v>Invest</v>
      </c>
      <c r="CT256" s="61"/>
      <c r="CU256" s="45">
        <v>252</v>
      </c>
      <c r="CV256" s="45">
        <v>13.241584562808484</v>
      </c>
      <c r="CW256" s="45" t="str">
        <v>Invest</v>
      </c>
      <c r="CX256" s="61"/>
      <c r="CY256" s="45">
        <v>252</v>
      </c>
      <c r="CZ256" s="45">
        <v>4.0086973308342078</v>
      </c>
      <c r="DA256" s="45" t="str">
        <v>Invest</v>
      </c>
      <c r="DU256" s="52"/>
      <c r="DV256" s="50"/>
    </row>
    <row r="257" spans="86:126" ht="23.5">
      <c r="CH257" s="45">
        <v>253</v>
      </c>
      <c r="CI257" s="45">
        <v>31.607144245655427</v>
      </c>
      <c r="CJ257" s="45" t="str">
        <v>Invest</v>
      </c>
      <c r="CM257" s="45">
        <v>253</v>
      </c>
      <c r="CN257" s="48">
        <v>19.742971158304989</v>
      </c>
      <c r="CO257" s="45" t="str">
        <v>Invest</v>
      </c>
      <c r="CP257" s="61"/>
      <c r="CQ257" s="45">
        <v>253</v>
      </c>
      <c r="CR257" s="45">
        <v>58.107308814661621</v>
      </c>
      <c r="CS257" s="45" t="str">
        <v>Invest</v>
      </c>
      <c r="CT257" s="61"/>
      <c r="CU257" s="45">
        <v>253</v>
      </c>
      <c r="CV257" s="45">
        <v>13.943779640245999</v>
      </c>
      <c r="CW257" s="45" t="str">
        <v>Invest</v>
      </c>
      <c r="CX257" s="61"/>
      <c r="CY257" s="45">
        <v>253</v>
      </c>
      <c r="CZ257" s="45">
        <v>0</v>
      </c>
      <c r="DA257" s="45" t="str">
        <v>Nothing</v>
      </c>
      <c r="DU257" s="52"/>
      <c r="DV257" s="50"/>
    </row>
    <row r="258" spans="86:126" ht="23.5">
      <c r="CH258" s="45">
        <v>254</v>
      </c>
      <c r="CI258" s="45">
        <v>0</v>
      </c>
      <c r="CJ258" s="45" t="str">
        <v>Nothing</v>
      </c>
      <c r="CM258" s="45">
        <v>254</v>
      </c>
      <c r="CN258" s="48">
        <v>59.75843379091571</v>
      </c>
      <c r="CO258" s="45" t="str">
        <v>Invest</v>
      </c>
      <c r="CP258" s="61"/>
      <c r="CQ258" s="45">
        <v>254</v>
      </c>
      <c r="CR258" s="45">
        <v>58.405401608458739</v>
      </c>
      <c r="CS258" s="45" t="str">
        <v>Invest</v>
      </c>
      <c r="CT258" s="61"/>
      <c r="CU258" s="45">
        <v>254</v>
      </c>
      <c r="CV258" s="45">
        <v>1.3210557909710836</v>
      </c>
      <c r="CW258" s="45" t="str">
        <v>Invest</v>
      </c>
      <c r="CX258" s="61"/>
      <c r="CY258" s="45">
        <v>254</v>
      </c>
      <c r="CZ258" s="45">
        <v>28.228642076562203</v>
      </c>
      <c r="DA258" s="45" t="str">
        <v>Invest</v>
      </c>
      <c r="DU258" s="52"/>
      <c r="DV258" s="50"/>
    </row>
    <row r="259" spans="86:126" ht="23.5">
      <c r="CH259" s="45">
        <v>255</v>
      </c>
      <c r="CI259" s="45">
        <v>14.956751660795145</v>
      </c>
      <c r="CJ259" s="45" t="str">
        <v>Invest</v>
      </c>
      <c r="CM259" s="45">
        <v>255</v>
      </c>
      <c r="CN259" s="48">
        <v>16.44860502309108</v>
      </c>
      <c r="CO259" s="45" t="str">
        <v>Invest</v>
      </c>
      <c r="CP259" s="61"/>
      <c r="CQ259" s="45">
        <v>255</v>
      </c>
      <c r="CR259" s="45">
        <v>0</v>
      </c>
      <c r="CS259" s="45" t="str">
        <v>Nothing</v>
      </c>
      <c r="CT259" s="61"/>
      <c r="CU259" s="45">
        <v>255</v>
      </c>
      <c r="CV259" s="45">
        <v>31.108033942350907</v>
      </c>
      <c r="CW259" s="45" t="str">
        <v>Invest</v>
      </c>
      <c r="CX259" s="61"/>
      <c r="CY259" s="45">
        <v>255</v>
      </c>
      <c r="CZ259" s="45">
        <v>0</v>
      </c>
      <c r="DA259" s="45" t="str">
        <v>Nothing</v>
      </c>
      <c r="DU259" s="52"/>
      <c r="DV259" s="50"/>
    </row>
    <row r="260" spans="86:126" ht="23.5">
      <c r="CH260" s="45">
        <v>256</v>
      </c>
      <c r="CI260" s="45">
        <v>12.951630929175323</v>
      </c>
      <c r="CJ260" s="45" t="str">
        <v>Invest</v>
      </c>
      <c r="CM260" s="45">
        <v>256</v>
      </c>
      <c r="CN260" s="48">
        <v>4.7965055148110807</v>
      </c>
      <c r="CO260" s="45" t="str">
        <v>Invest</v>
      </c>
      <c r="CP260" s="61"/>
      <c r="CQ260" s="45">
        <v>256</v>
      </c>
      <c r="CR260" s="45">
        <v>8.7875112310566124</v>
      </c>
      <c r="CS260" s="45" t="str">
        <v>Invest</v>
      </c>
      <c r="CT260" s="61"/>
      <c r="CU260" s="45">
        <v>256</v>
      </c>
      <c r="CV260" s="45">
        <v>44.587962574615489</v>
      </c>
      <c r="CW260" s="45" t="str">
        <v>Invest</v>
      </c>
      <c r="CX260" s="61"/>
      <c r="CY260" s="45">
        <v>256</v>
      </c>
      <c r="CZ260" s="45">
        <v>31.128571613353234</v>
      </c>
      <c r="DA260" s="45" t="str">
        <v>Invest</v>
      </c>
      <c r="DU260" s="52"/>
      <c r="DV260" s="50"/>
    </row>
    <row r="261" spans="86:126" ht="23.5">
      <c r="CH261" s="45">
        <v>257</v>
      </c>
      <c r="CI261" s="45">
        <v>10.92082152320404</v>
      </c>
      <c r="CJ261" s="45" t="str">
        <v>Invest</v>
      </c>
      <c r="CM261" s="45">
        <v>257</v>
      </c>
      <c r="CN261" s="48">
        <v>2.1679913579148575</v>
      </c>
      <c r="CO261" s="45" t="str">
        <v>Invest</v>
      </c>
      <c r="CP261" s="61"/>
      <c r="CQ261" s="45">
        <v>257</v>
      </c>
      <c r="CR261" s="45">
        <v>0</v>
      </c>
      <c r="CS261" s="45" t="str">
        <v>Nothing</v>
      </c>
      <c r="CT261" s="61"/>
      <c r="CU261" s="45">
        <v>257</v>
      </c>
      <c r="CV261" s="45">
        <v>15.402030261453689</v>
      </c>
      <c r="CW261" s="45" t="str">
        <v>Invest</v>
      </c>
      <c r="CX261" s="61"/>
      <c r="CY261" s="45">
        <v>257</v>
      </c>
      <c r="CZ261" s="45">
        <v>2.1270419809463563</v>
      </c>
      <c r="DA261" s="45" t="str">
        <v>Invest</v>
      </c>
      <c r="DU261" s="52"/>
      <c r="DV261" s="50"/>
    </row>
    <row r="262" spans="86:126" ht="23.5">
      <c r="CH262" s="45">
        <v>258</v>
      </c>
      <c r="CI262" s="45">
        <v>1.0119100212185117</v>
      </c>
      <c r="CJ262" s="45" t="str">
        <v>Invest</v>
      </c>
      <c r="CM262" s="45">
        <v>258</v>
      </c>
      <c r="CN262" s="48">
        <v>18.246460845721352</v>
      </c>
      <c r="CO262" s="45" t="str">
        <v>Invest</v>
      </c>
      <c r="CP262" s="61"/>
      <c r="CQ262" s="45">
        <v>258</v>
      </c>
      <c r="CR262" s="45">
        <v>11.654139502874671</v>
      </c>
      <c r="CS262" s="45" t="str">
        <v>Invest</v>
      </c>
      <c r="CT262" s="61"/>
      <c r="CU262" s="45">
        <v>258</v>
      </c>
      <c r="CV262" s="45">
        <v>37.188477666945047</v>
      </c>
      <c r="CW262" s="45" t="str">
        <v>Invest</v>
      </c>
      <c r="CX262" s="61"/>
      <c r="CY262" s="45">
        <v>258</v>
      </c>
      <c r="CZ262" s="45">
        <v>25.441352978626909</v>
      </c>
      <c r="DA262" s="45" t="str">
        <v>Invest</v>
      </c>
      <c r="DU262" s="52"/>
      <c r="DV262" s="50"/>
    </row>
    <row r="263" spans="86:126" ht="23.5">
      <c r="CH263" s="45">
        <v>259</v>
      </c>
      <c r="CI263" s="45">
        <v>0</v>
      </c>
      <c r="CJ263" s="45" t="str">
        <v>Nothing</v>
      </c>
      <c r="CM263" s="45">
        <v>259</v>
      </c>
      <c r="CN263" s="48">
        <v>39.747030500222785</v>
      </c>
      <c r="CO263" s="45" t="str">
        <v>Invest</v>
      </c>
      <c r="CP263" s="61"/>
      <c r="CQ263" s="45">
        <v>259</v>
      </c>
      <c r="CR263" s="45">
        <v>2.0520840528746582</v>
      </c>
      <c r="CS263" s="45" t="str">
        <v>Invest</v>
      </c>
      <c r="CT263" s="61"/>
      <c r="CU263" s="45">
        <v>259</v>
      </c>
      <c r="CV263" s="45">
        <v>11.606570077992689</v>
      </c>
      <c r="CW263" s="45" t="str">
        <v>Invest</v>
      </c>
      <c r="CX263" s="61"/>
      <c r="CY263" s="45">
        <v>259</v>
      </c>
      <c r="CZ263" s="45">
        <v>0</v>
      </c>
      <c r="DA263" s="45" t="str">
        <v>Nothing</v>
      </c>
      <c r="DU263" s="52"/>
      <c r="DV263" s="50"/>
    </row>
    <row r="264" spans="86:126" ht="23.5">
      <c r="CH264" s="45">
        <v>260</v>
      </c>
      <c r="CI264" s="45">
        <v>50.787276717741264</v>
      </c>
      <c r="CJ264" s="45" t="str">
        <v>Invest</v>
      </c>
      <c r="CM264" s="45">
        <v>260</v>
      </c>
      <c r="CN264" s="48">
        <v>26.876849732931547</v>
      </c>
      <c r="CO264" s="45" t="str">
        <v>Invest</v>
      </c>
      <c r="CP264" s="61"/>
      <c r="CQ264" s="45">
        <v>260</v>
      </c>
      <c r="CR264" s="45">
        <v>14.423998769357665</v>
      </c>
      <c r="CS264" s="45" t="str">
        <v>Invest</v>
      </c>
      <c r="CT264" s="61"/>
      <c r="CU264" s="45">
        <v>260</v>
      </c>
      <c r="CV264" s="45">
        <v>50.630380212052245</v>
      </c>
      <c r="CW264" s="45" t="str">
        <v>Invest</v>
      </c>
      <c r="CX264" s="61"/>
      <c r="CY264" s="45">
        <v>260</v>
      </c>
      <c r="CZ264" s="45">
        <v>11.051066927650599</v>
      </c>
      <c r="DA264" s="45" t="str">
        <v>Invest</v>
      </c>
      <c r="DU264" s="52"/>
      <c r="DV264" s="50"/>
    </row>
    <row r="265" spans="86:126" ht="23.5">
      <c r="CH265" s="45">
        <v>261</v>
      </c>
      <c r="CI265" s="45">
        <v>25.94737557045832</v>
      </c>
      <c r="CJ265" s="45" t="str">
        <v>Invest</v>
      </c>
      <c r="CM265" s="45">
        <v>261</v>
      </c>
      <c r="CN265" s="48">
        <v>0</v>
      </c>
      <c r="CO265" s="45" t="str">
        <v>Nothing</v>
      </c>
      <c r="CP265" s="61"/>
      <c r="CQ265" s="45">
        <v>261</v>
      </c>
      <c r="CR265" s="45">
        <v>23.40176936592767</v>
      </c>
      <c r="CS265" s="45" t="str">
        <v>Invest</v>
      </c>
      <c r="CT265" s="61"/>
      <c r="CU265" s="45">
        <v>261</v>
      </c>
      <c r="CV265" s="45">
        <v>18.52626509117313</v>
      </c>
      <c r="CW265" s="45" t="str">
        <v>Invest</v>
      </c>
      <c r="CX265" s="61"/>
      <c r="CY265" s="45">
        <v>261</v>
      </c>
      <c r="CZ265" s="45">
        <v>14.513088426536298</v>
      </c>
      <c r="DA265" s="45" t="str">
        <v>Invest</v>
      </c>
      <c r="DU265" s="52"/>
      <c r="DV265" s="50"/>
    </row>
    <row r="266" spans="86:126" ht="23.5">
      <c r="CH266" s="45">
        <v>262</v>
      </c>
      <c r="CI266" s="45">
        <v>50.533253317115985</v>
      </c>
      <c r="CJ266" s="45" t="str">
        <v>Invest</v>
      </c>
      <c r="CM266" s="45">
        <v>262</v>
      </c>
      <c r="CN266" s="48">
        <v>32.493814705260284</v>
      </c>
      <c r="CO266" s="45" t="str">
        <v>Invest</v>
      </c>
      <c r="CP266" s="61"/>
      <c r="CQ266" s="45">
        <v>262</v>
      </c>
      <c r="CR266" s="45">
        <v>34.0646383925706</v>
      </c>
      <c r="CS266" s="45" t="str">
        <v>Invest</v>
      </c>
      <c r="CT266" s="61"/>
      <c r="CU266" s="45">
        <v>262</v>
      </c>
      <c r="CV266" s="45">
        <v>0</v>
      </c>
      <c r="CW266" s="45" t="str">
        <v>Nothing</v>
      </c>
      <c r="CX266" s="61"/>
      <c r="CY266" s="45">
        <v>262</v>
      </c>
      <c r="CZ266" s="45">
        <v>18.906913907989416</v>
      </c>
      <c r="DA266" s="45" t="str">
        <v>Invest</v>
      </c>
      <c r="DU266" s="52"/>
      <c r="DV266" s="50"/>
    </row>
    <row r="267" spans="86:126" ht="23.5">
      <c r="CH267" s="45">
        <v>263</v>
      </c>
      <c r="CI267" s="45">
        <v>3.0029726036283337</v>
      </c>
      <c r="CJ267" s="45" t="str">
        <v>Invest</v>
      </c>
      <c r="CM267" s="45">
        <v>263</v>
      </c>
      <c r="CN267" s="48">
        <v>18.42300902167532</v>
      </c>
      <c r="CO267" s="45" t="str">
        <v>Invest</v>
      </c>
      <c r="CP267" s="61"/>
      <c r="CQ267" s="45">
        <v>263</v>
      </c>
      <c r="CR267" s="45">
        <v>11.575632750752275</v>
      </c>
      <c r="CS267" s="45" t="str">
        <v>Invest</v>
      </c>
      <c r="CT267" s="61"/>
      <c r="CU267" s="45">
        <v>263</v>
      </c>
      <c r="CV267" s="45">
        <v>17.208946327804565</v>
      </c>
      <c r="CW267" s="45" t="str">
        <v>Invest</v>
      </c>
      <c r="CX267" s="61"/>
      <c r="CY267" s="45">
        <v>263</v>
      </c>
      <c r="CZ267" s="45">
        <v>0</v>
      </c>
      <c r="DA267" s="45" t="str">
        <v>Nothing</v>
      </c>
      <c r="DU267" s="52"/>
      <c r="DV267" s="50"/>
    </row>
    <row r="268" spans="86:126" ht="23.5">
      <c r="CH268" s="45">
        <v>264</v>
      </c>
      <c r="CI268" s="45">
        <v>24.923169164423058</v>
      </c>
      <c r="CJ268" s="45" t="str">
        <v>Invest</v>
      </c>
      <c r="CM268" s="45">
        <v>264</v>
      </c>
      <c r="CN268" s="48">
        <v>31.713753459666044</v>
      </c>
      <c r="CO268" s="45" t="str">
        <v>Invest</v>
      </c>
      <c r="CP268" s="61"/>
      <c r="CQ268" s="45">
        <v>264</v>
      </c>
      <c r="CR268" s="45">
        <v>0.12086317009260483</v>
      </c>
      <c r="CS268" s="45" t="str">
        <v>Invest</v>
      </c>
      <c r="CT268" s="61"/>
      <c r="CU268" s="45">
        <v>264</v>
      </c>
      <c r="CV268" s="45">
        <v>24.410236461064841</v>
      </c>
      <c r="CW268" s="45" t="str">
        <v>Invest</v>
      </c>
      <c r="CX268" s="61"/>
      <c r="CY268" s="45">
        <v>264</v>
      </c>
      <c r="CZ268" s="45">
        <v>1.2223576747064584</v>
      </c>
      <c r="DA268" s="45" t="str">
        <v>Invest</v>
      </c>
      <c r="DU268" s="52"/>
      <c r="DV268" s="50"/>
    </row>
    <row r="269" spans="86:126" ht="23.5">
      <c r="CH269" s="45">
        <v>265</v>
      </c>
      <c r="CI269" s="45">
        <v>0</v>
      </c>
      <c r="CJ269" s="45" t="str">
        <v>Nothing</v>
      </c>
      <c r="CM269" s="45">
        <v>265</v>
      </c>
      <c r="CN269" s="48">
        <v>0</v>
      </c>
      <c r="CO269" s="45" t="str">
        <v>Nothing</v>
      </c>
      <c r="CP269" s="61"/>
      <c r="CQ269" s="45">
        <v>265</v>
      </c>
      <c r="CR269" s="45">
        <v>6.3756455972247021</v>
      </c>
      <c r="CS269" s="45" t="str">
        <v>Invest</v>
      </c>
      <c r="CT269" s="61"/>
      <c r="CU269" s="45">
        <v>265</v>
      </c>
      <c r="CV269" s="45">
        <v>46.514721032057501</v>
      </c>
      <c r="CW269" s="45" t="str">
        <v>Invest</v>
      </c>
      <c r="CX269" s="61"/>
      <c r="CY269" s="45">
        <v>265</v>
      </c>
      <c r="CZ269" s="45">
        <v>32.747768264526243</v>
      </c>
      <c r="DA269" s="45" t="str">
        <v>Invest</v>
      </c>
      <c r="DU269" s="52"/>
      <c r="DV269" s="50"/>
    </row>
    <row r="270" spans="86:126" ht="23.5">
      <c r="CH270" s="45">
        <v>266</v>
      </c>
      <c r="CI270" s="45">
        <v>55.154945447058672</v>
      </c>
      <c r="CJ270" s="45" t="str">
        <v>Invest</v>
      </c>
      <c r="CM270" s="45">
        <v>266</v>
      </c>
      <c r="CN270" s="48">
        <v>17.251022585714143</v>
      </c>
      <c r="CO270" s="45" t="str">
        <v>Invest</v>
      </c>
      <c r="CP270" s="61"/>
      <c r="CQ270" s="45">
        <v>266</v>
      </c>
      <c r="CR270" s="45">
        <v>50.067442882038954</v>
      </c>
      <c r="CS270" s="45" t="str">
        <v>Invest</v>
      </c>
      <c r="CT270" s="61"/>
      <c r="CU270" s="45">
        <v>266</v>
      </c>
      <c r="CV270" s="45">
        <v>28.742456424230127</v>
      </c>
      <c r="CW270" s="45" t="str">
        <v>Invest</v>
      </c>
      <c r="CX270" s="61"/>
      <c r="CY270" s="45">
        <v>266</v>
      </c>
      <c r="CZ270" s="45">
        <v>42.192523694526251</v>
      </c>
      <c r="DA270" s="45" t="str">
        <v>Invest</v>
      </c>
      <c r="DU270" s="52"/>
      <c r="DV270" s="50"/>
    </row>
    <row r="271" spans="86:126" ht="23.5">
      <c r="CH271" s="45">
        <v>267</v>
      </c>
      <c r="CI271" s="45">
        <v>0</v>
      </c>
      <c r="CJ271" s="45" t="str">
        <v>Nothing</v>
      </c>
      <c r="CM271" s="45">
        <v>267</v>
      </c>
      <c r="CN271" s="48">
        <v>0</v>
      </c>
      <c r="CO271" s="45" t="str">
        <v>Nothing</v>
      </c>
      <c r="CP271" s="61"/>
      <c r="CQ271" s="45">
        <v>267</v>
      </c>
      <c r="CR271" s="45">
        <v>1.25628469787992</v>
      </c>
      <c r="CS271" s="45" t="str">
        <v>Invest</v>
      </c>
      <c r="CT271" s="61"/>
      <c r="CU271" s="45">
        <v>267</v>
      </c>
      <c r="CV271" s="45">
        <v>22.477799398565843</v>
      </c>
      <c r="CW271" s="45" t="str">
        <v>Invest</v>
      </c>
      <c r="CX271" s="61"/>
      <c r="CY271" s="45">
        <v>267</v>
      </c>
      <c r="CZ271" s="45">
        <v>0</v>
      </c>
      <c r="DA271" s="45" t="str">
        <v>Nothing</v>
      </c>
      <c r="DU271" s="52"/>
      <c r="DV271" s="50"/>
    </row>
    <row r="272" spans="86:126" ht="23.5">
      <c r="CH272" s="45">
        <v>268</v>
      </c>
      <c r="CI272" s="45">
        <v>49.505284161986026</v>
      </c>
      <c r="CJ272" s="45" t="str">
        <v>Invest</v>
      </c>
      <c r="CM272" s="45">
        <v>268</v>
      </c>
      <c r="CN272" s="48">
        <v>10.422317210263342</v>
      </c>
      <c r="CO272" s="45" t="str">
        <v>Invest</v>
      </c>
      <c r="CP272" s="61"/>
      <c r="CQ272" s="45">
        <v>268</v>
      </c>
      <c r="CR272" s="45">
        <v>0</v>
      </c>
      <c r="CS272" s="45" t="str">
        <v>Nothing</v>
      </c>
      <c r="CT272" s="61"/>
      <c r="CU272" s="45">
        <v>268</v>
      </c>
      <c r="CV272" s="45">
        <v>28.309506795892808</v>
      </c>
      <c r="CW272" s="45" t="str">
        <v>Invest</v>
      </c>
      <c r="CX272" s="61"/>
      <c r="CY272" s="45">
        <v>268</v>
      </c>
      <c r="CZ272" s="45">
        <v>6.3296672005826746</v>
      </c>
      <c r="DA272" s="45" t="str">
        <v>Invest</v>
      </c>
      <c r="DU272" s="52"/>
      <c r="DV272" s="50"/>
    </row>
    <row r="273" spans="86:126" ht="23.5">
      <c r="CH273" s="45">
        <v>269</v>
      </c>
      <c r="CI273" s="45">
        <v>0</v>
      </c>
      <c r="CJ273" s="45" t="str">
        <v>Nothing</v>
      </c>
      <c r="CM273" s="45">
        <v>269</v>
      </c>
      <c r="CN273" s="48">
        <v>25.159793254199041</v>
      </c>
      <c r="CO273" s="45" t="str">
        <v>Invest</v>
      </c>
      <c r="CP273" s="61"/>
      <c r="CQ273" s="45">
        <v>269</v>
      </c>
      <c r="CR273" s="45">
        <v>23.698053140670567</v>
      </c>
      <c r="CS273" s="45" t="str">
        <v>Invest</v>
      </c>
      <c r="CT273" s="61"/>
      <c r="CU273" s="45">
        <v>269</v>
      </c>
      <c r="CV273" s="45">
        <v>0</v>
      </c>
      <c r="CW273" s="45" t="str">
        <v>Nothing</v>
      </c>
      <c r="CX273" s="61"/>
      <c r="CY273" s="45">
        <v>269</v>
      </c>
      <c r="CZ273" s="45">
        <v>31.593522600130026</v>
      </c>
      <c r="DA273" s="45" t="str">
        <v>Invest</v>
      </c>
      <c r="DU273" s="52"/>
      <c r="DV273" s="50"/>
    </row>
    <row r="274" spans="86:126" ht="23.5">
      <c r="CH274" s="45">
        <v>270</v>
      </c>
      <c r="CI274" s="45">
        <v>26.593595810564644</v>
      </c>
      <c r="CJ274" s="45" t="str">
        <v>Invest</v>
      </c>
      <c r="CM274" s="45">
        <v>270</v>
      </c>
      <c r="CN274" s="48">
        <v>0</v>
      </c>
      <c r="CO274" s="45" t="str">
        <v>Nothing</v>
      </c>
      <c r="CP274" s="61"/>
      <c r="CQ274" s="45">
        <v>270</v>
      </c>
      <c r="CR274" s="45">
        <v>44.070866469567058</v>
      </c>
      <c r="CS274" s="45" t="str">
        <v>Invest</v>
      </c>
      <c r="CT274" s="61"/>
      <c r="CU274" s="45">
        <v>270</v>
      </c>
      <c r="CV274" s="45">
        <v>39.658393378413827</v>
      </c>
      <c r="CW274" s="45" t="str">
        <v>Invest</v>
      </c>
      <c r="CX274" s="61"/>
      <c r="CY274" s="45">
        <v>270</v>
      </c>
      <c r="CZ274" s="45">
        <v>0</v>
      </c>
      <c r="DA274" s="45" t="str">
        <v>Nothing</v>
      </c>
      <c r="DU274" s="52"/>
      <c r="DV274" s="50"/>
    </row>
    <row r="275" spans="86:126" ht="23.5">
      <c r="CH275" s="45">
        <v>271</v>
      </c>
      <c r="CI275" s="45">
        <v>0</v>
      </c>
      <c r="CJ275" s="45" t="str">
        <v>Nothing</v>
      </c>
      <c r="CM275" s="45">
        <v>271</v>
      </c>
      <c r="CN275" s="48">
        <v>23.302074949847341</v>
      </c>
      <c r="CO275" s="45" t="str">
        <v>Invest</v>
      </c>
      <c r="CP275" s="61"/>
      <c r="CQ275" s="45">
        <v>271</v>
      </c>
      <c r="CR275" s="45">
        <v>0</v>
      </c>
      <c r="CS275" s="45" t="str">
        <v>Nothing</v>
      </c>
      <c r="CT275" s="61"/>
      <c r="CU275" s="45">
        <v>271</v>
      </c>
      <c r="CV275" s="45">
        <v>0</v>
      </c>
      <c r="CW275" s="45" t="str">
        <v>Nothing</v>
      </c>
      <c r="CX275" s="61"/>
      <c r="CY275" s="45">
        <v>271</v>
      </c>
      <c r="CZ275" s="45">
        <v>0</v>
      </c>
      <c r="DA275" s="45" t="str">
        <v>Nothing</v>
      </c>
      <c r="DU275" s="52"/>
      <c r="DV275" s="50"/>
    </row>
    <row r="276" spans="86:126" ht="23.5">
      <c r="CH276" s="45">
        <v>272</v>
      </c>
      <c r="CI276" s="45">
        <v>0</v>
      </c>
      <c r="CJ276" s="45" t="str">
        <v>Nothing</v>
      </c>
      <c r="CM276" s="45">
        <v>272</v>
      </c>
      <c r="CN276" s="48">
        <v>0</v>
      </c>
      <c r="CO276" s="45" t="str">
        <v>Nothing</v>
      </c>
      <c r="CP276" s="61"/>
      <c r="CQ276" s="45">
        <v>272</v>
      </c>
      <c r="CR276" s="45">
        <v>0</v>
      </c>
      <c r="CS276" s="45" t="str">
        <v>Nothing</v>
      </c>
      <c r="CT276" s="61"/>
      <c r="CU276" s="45">
        <v>272</v>
      </c>
      <c r="CV276" s="45">
        <v>8.1141140964186782</v>
      </c>
      <c r="CW276" s="45" t="str">
        <v>Invest</v>
      </c>
      <c r="CX276" s="61"/>
      <c r="CY276" s="45">
        <v>272</v>
      </c>
      <c r="CZ276" s="45">
        <v>21.698888859320597</v>
      </c>
      <c r="DA276" s="45" t="str">
        <v>Invest</v>
      </c>
      <c r="DU276" s="52"/>
      <c r="DV276" s="50"/>
    </row>
    <row r="277" spans="86:126" ht="23.5">
      <c r="CH277" s="45">
        <v>273</v>
      </c>
      <c r="CI277" s="45">
        <v>0</v>
      </c>
      <c r="CJ277" s="45" t="str">
        <v>Nothing</v>
      </c>
      <c r="CM277" s="45">
        <v>273</v>
      </c>
      <c r="CN277" s="48">
        <v>30.692729816978755</v>
      </c>
      <c r="CO277" s="45" t="str">
        <v>Invest</v>
      </c>
      <c r="CP277" s="61"/>
      <c r="CQ277" s="45">
        <v>273</v>
      </c>
      <c r="CR277" s="45">
        <v>32.870306623029769</v>
      </c>
      <c r="CS277" s="45" t="str">
        <v>Invest</v>
      </c>
      <c r="CT277" s="61"/>
      <c r="CU277" s="45">
        <v>273</v>
      </c>
      <c r="CV277" s="45">
        <v>54.649134616464558</v>
      </c>
      <c r="CW277" s="45" t="str">
        <v>Invest</v>
      </c>
      <c r="CX277" s="61"/>
      <c r="CY277" s="45">
        <v>273</v>
      </c>
      <c r="CZ277" s="45">
        <v>24.415351932621611</v>
      </c>
      <c r="DA277" s="45" t="str">
        <v>Invest</v>
      </c>
      <c r="DU277" s="52"/>
      <c r="DV277" s="50"/>
    </row>
    <row r="278" spans="86:126" ht="23.5">
      <c r="CH278" s="45">
        <v>274</v>
      </c>
      <c r="CI278" s="45">
        <v>54.62647133965875</v>
      </c>
      <c r="CJ278" s="45" t="str">
        <v>Invest</v>
      </c>
      <c r="CM278" s="45">
        <v>274</v>
      </c>
      <c r="CN278" s="48">
        <v>5.8929950235324764</v>
      </c>
      <c r="CO278" s="45" t="str">
        <v>Invest</v>
      </c>
      <c r="CP278" s="61"/>
      <c r="CQ278" s="45">
        <v>274</v>
      </c>
      <c r="CR278" s="45">
        <v>0</v>
      </c>
      <c r="CS278" s="45" t="str">
        <v>Nothing</v>
      </c>
      <c r="CT278" s="61"/>
      <c r="CU278" s="45">
        <v>274</v>
      </c>
      <c r="CV278" s="45">
        <v>0</v>
      </c>
      <c r="CW278" s="45" t="str">
        <v>Nothing</v>
      </c>
      <c r="CX278" s="61"/>
      <c r="CY278" s="45">
        <v>274</v>
      </c>
      <c r="CZ278" s="45">
        <v>0</v>
      </c>
      <c r="DA278" s="45" t="str">
        <v>Nothing</v>
      </c>
      <c r="DU278" s="52"/>
      <c r="DV278" s="50"/>
    </row>
    <row r="279" spans="86:126" ht="23.5">
      <c r="CH279" s="45">
        <v>275</v>
      </c>
      <c r="CI279" s="45">
        <v>26.459454021700953</v>
      </c>
      <c r="CJ279" s="45" t="str">
        <v>Invest</v>
      </c>
      <c r="CM279" s="45">
        <v>275</v>
      </c>
      <c r="CN279" s="48">
        <v>11.438766250093828</v>
      </c>
      <c r="CO279" s="45" t="str">
        <v>Invest</v>
      </c>
      <c r="CP279" s="61"/>
      <c r="CQ279" s="45">
        <v>275</v>
      </c>
      <c r="CR279" s="45">
        <v>0</v>
      </c>
      <c r="CS279" s="45" t="str">
        <v>Nothing</v>
      </c>
      <c r="CT279" s="61"/>
      <c r="CU279" s="45">
        <v>275</v>
      </c>
      <c r="CV279" s="45">
        <v>22.891347441922761</v>
      </c>
      <c r="CW279" s="45" t="str">
        <v>Invest</v>
      </c>
      <c r="CX279" s="61"/>
      <c r="CY279" s="45">
        <v>275</v>
      </c>
      <c r="CZ279" s="45">
        <v>3.0276160529203802</v>
      </c>
      <c r="DA279" s="45" t="str">
        <v>Invest</v>
      </c>
      <c r="DU279" s="52"/>
      <c r="DV279" s="50"/>
    </row>
    <row r="280" spans="86:126" ht="23.5">
      <c r="CH280" s="45">
        <v>276</v>
      </c>
      <c r="CI280" s="45">
        <v>25.804142569632511</v>
      </c>
      <c r="CJ280" s="45" t="str">
        <v>Invest</v>
      </c>
      <c r="CM280" s="45">
        <v>276</v>
      </c>
      <c r="CN280" s="48">
        <v>0</v>
      </c>
      <c r="CO280" s="45" t="str">
        <v>Nothing</v>
      </c>
      <c r="CP280" s="61"/>
      <c r="CQ280" s="45">
        <v>276</v>
      </c>
      <c r="CR280" s="45">
        <v>39.541687661436541</v>
      </c>
      <c r="CS280" s="45" t="str">
        <v>Invest</v>
      </c>
      <c r="CT280" s="61"/>
      <c r="CU280" s="45">
        <v>276</v>
      </c>
      <c r="CV280" s="45">
        <v>21.327972820485812</v>
      </c>
      <c r="CW280" s="45" t="str">
        <v>Invest</v>
      </c>
      <c r="CX280" s="61"/>
      <c r="CY280" s="45">
        <v>276</v>
      </c>
      <c r="CZ280" s="45">
        <v>10.845590930201473</v>
      </c>
      <c r="DA280" s="45" t="str">
        <v>Invest</v>
      </c>
      <c r="DU280" s="52"/>
      <c r="DV280" s="50"/>
    </row>
    <row r="281" spans="86:126" ht="23.5">
      <c r="CH281" s="45">
        <v>277</v>
      </c>
      <c r="CI281" s="45">
        <v>12.417499714586766</v>
      </c>
      <c r="CJ281" s="45" t="str">
        <v>Invest</v>
      </c>
      <c r="CM281" s="45">
        <v>277</v>
      </c>
      <c r="CN281" s="48">
        <v>0</v>
      </c>
      <c r="CO281" s="45" t="str">
        <v>Nothing</v>
      </c>
      <c r="CP281" s="61"/>
      <c r="CQ281" s="45">
        <v>277</v>
      </c>
      <c r="CR281" s="45">
        <v>1.8574609900951256</v>
      </c>
      <c r="CS281" s="45" t="str">
        <v>Invest</v>
      </c>
      <c r="CT281" s="61"/>
      <c r="CU281" s="45">
        <v>277</v>
      </c>
      <c r="CV281" s="45">
        <v>11.541938067944269</v>
      </c>
      <c r="CW281" s="45" t="str">
        <v>Invest</v>
      </c>
      <c r="CX281" s="61"/>
      <c r="CY281" s="45">
        <v>277</v>
      </c>
      <c r="CZ281" s="45">
        <v>0</v>
      </c>
      <c r="DA281" s="45" t="str">
        <v>Nothing</v>
      </c>
      <c r="DU281" s="52"/>
      <c r="DV281" s="50"/>
    </row>
    <row r="282" spans="86:126" ht="23.5">
      <c r="CH282" s="45">
        <v>278</v>
      </c>
      <c r="CI282" s="45">
        <v>58.790855439544032</v>
      </c>
      <c r="CJ282" s="45" t="str">
        <v>Invest</v>
      </c>
      <c r="CM282" s="45">
        <v>278</v>
      </c>
      <c r="CN282" s="48">
        <v>0</v>
      </c>
      <c r="CO282" s="45" t="str">
        <v>Nothing</v>
      </c>
      <c r="CP282" s="61"/>
      <c r="CQ282" s="45">
        <v>278</v>
      </c>
      <c r="CR282" s="45">
        <v>19.578726690993044</v>
      </c>
      <c r="CS282" s="45" t="str">
        <v>Invest</v>
      </c>
      <c r="CT282" s="61"/>
      <c r="CU282" s="45">
        <v>278</v>
      </c>
      <c r="CV282" s="45">
        <v>0</v>
      </c>
      <c r="CW282" s="45" t="str">
        <v>Nothing</v>
      </c>
      <c r="CX282" s="61"/>
      <c r="CY282" s="45">
        <v>278</v>
      </c>
      <c r="CZ282" s="45">
        <v>0</v>
      </c>
      <c r="DA282" s="45" t="str">
        <v>Nothing</v>
      </c>
      <c r="DU282" s="52"/>
      <c r="DV282" s="50"/>
    </row>
    <row r="283" spans="86:126" ht="23.5">
      <c r="CH283" s="45">
        <v>279</v>
      </c>
      <c r="CI283" s="45">
        <v>0</v>
      </c>
      <c r="CJ283" s="45" t="str">
        <v>Nothing</v>
      </c>
      <c r="CM283" s="45">
        <v>279</v>
      </c>
      <c r="CN283" s="48">
        <v>0</v>
      </c>
      <c r="CO283" s="45" t="str">
        <v>Nothing</v>
      </c>
      <c r="CP283" s="61"/>
      <c r="CQ283" s="45">
        <v>279</v>
      </c>
      <c r="CR283" s="45">
        <v>34.167336903290291</v>
      </c>
      <c r="CS283" s="45" t="str">
        <v>Invest</v>
      </c>
      <c r="CT283" s="61"/>
      <c r="CU283" s="45">
        <v>279</v>
      </c>
      <c r="CV283" s="45">
        <v>1.2272025006809635</v>
      </c>
      <c r="CW283" s="45" t="str">
        <v>Invest</v>
      </c>
      <c r="CX283" s="61"/>
      <c r="CY283" s="45">
        <v>279</v>
      </c>
      <c r="CZ283" s="45">
        <v>0</v>
      </c>
      <c r="DA283" s="45" t="str">
        <v>Nothing</v>
      </c>
      <c r="DU283" s="52"/>
      <c r="DV283" s="50"/>
    </row>
    <row r="284" spans="86:126" ht="23.5">
      <c r="CH284" s="45">
        <v>280</v>
      </c>
      <c r="CI284" s="45">
        <v>0</v>
      </c>
      <c r="CJ284" s="45" t="str">
        <v>Nothing</v>
      </c>
      <c r="CM284" s="45">
        <v>280</v>
      </c>
      <c r="CN284" s="48">
        <v>0</v>
      </c>
      <c r="CO284" s="45" t="str">
        <v>Nothing</v>
      </c>
      <c r="CP284" s="61"/>
      <c r="CQ284" s="45">
        <v>280</v>
      </c>
      <c r="CR284" s="45">
        <v>46.39757671311849</v>
      </c>
      <c r="CS284" s="45" t="str">
        <v>Invest</v>
      </c>
      <c r="CT284" s="61"/>
      <c r="CU284" s="45">
        <v>280</v>
      </c>
      <c r="CV284" s="45">
        <v>22.943882871053283</v>
      </c>
      <c r="CW284" s="45" t="str">
        <v>Invest</v>
      </c>
      <c r="CX284" s="61"/>
      <c r="CY284" s="45">
        <v>280</v>
      </c>
      <c r="CZ284" s="45">
        <v>5.159271545682742</v>
      </c>
      <c r="DA284" s="45" t="str">
        <v>Invest</v>
      </c>
      <c r="DU284" s="52"/>
      <c r="DV284" s="50"/>
    </row>
    <row r="285" spans="86:126" ht="23.5">
      <c r="CH285" s="45">
        <v>281</v>
      </c>
      <c r="CI285" s="45">
        <v>0</v>
      </c>
      <c r="CJ285" s="45" t="str">
        <v>Nothing</v>
      </c>
      <c r="CM285" s="45">
        <v>281</v>
      </c>
      <c r="CN285" s="48">
        <v>51.552849399045989</v>
      </c>
      <c r="CO285" s="45" t="str">
        <v>Invest</v>
      </c>
      <c r="CP285" s="61"/>
      <c r="CQ285" s="45">
        <v>281</v>
      </c>
      <c r="CR285" s="45">
        <v>26.086535917895418</v>
      </c>
      <c r="CS285" s="45" t="str">
        <v>Invest</v>
      </c>
      <c r="CT285" s="61"/>
      <c r="CU285" s="45">
        <v>281</v>
      </c>
      <c r="CV285" s="45">
        <v>0</v>
      </c>
      <c r="CW285" s="45" t="str">
        <v>Nothing</v>
      </c>
      <c r="CX285" s="61"/>
      <c r="CY285" s="45">
        <v>281</v>
      </c>
      <c r="CZ285" s="45">
        <v>14.422697794135857</v>
      </c>
      <c r="DA285" s="45" t="str">
        <v>Invest</v>
      </c>
      <c r="DU285" s="52"/>
      <c r="DV285" s="50"/>
    </row>
    <row r="286" spans="86:126" ht="23.5">
      <c r="CH286" s="45">
        <v>282</v>
      </c>
      <c r="CI286" s="45">
        <v>1.7031854479895152</v>
      </c>
      <c r="CJ286" s="45" t="str">
        <v>Invest</v>
      </c>
      <c r="CM286" s="45">
        <v>282</v>
      </c>
      <c r="CN286" s="48">
        <v>0</v>
      </c>
      <c r="CO286" s="45" t="str">
        <v>Nothing</v>
      </c>
      <c r="CP286" s="61"/>
      <c r="CQ286" s="45">
        <v>282</v>
      </c>
      <c r="CR286" s="45">
        <v>0</v>
      </c>
      <c r="CS286" s="45" t="str">
        <v>Nothing</v>
      </c>
      <c r="CT286" s="61"/>
      <c r="CU286" s="45">
        <v>282</v>
      </c>
      <c r="CV286" s="45">
        <v>2.0038586692925264</v>
      </c>
      <c r="CW286" s="45" t="str">
        <v>Invest</v>
      </c>
      <c r="CX286" s="61"/>
      <c r="CY286" s="45">
        <v>282</v>
      </c>
      <c r="CZ286" s="45">
        <v>53.396032930106323</v>
      </c>
      <c r="DA286" s="45" t="str">
        <v>Invest</v>
      </c>
      <c r="DU286" s="52"/>
      <c r="DV286" s="50"/>
    </row>
    <row r="287" spans="86:126" ht="23.5">
      <c r="CH287" s="45">
        <v>283</v>
      </c>
      <c r="CI287" s="45">
        <v>8.1138306974293251</v>
      </c>
      <c r="CJ287" s="45" t="str">
        <v>Invest</v>
      </c>
      <c r="CM287" s="45">
        <v>283</v>
      </c>
      <c r="CN287" s="48">
        <v>29.003060084624469</v>
      </c>
      <c r="CO287" s="45" t="str">
        <v>Invest</v>
      </c>
      <c r="CP287" s="61"/>
      <c r="CQ287" s="45">
        <v>283</v>
      </c>
      <c r="CR287" s="45">
        <v>11.015649638923698</v>
      </c>
      <c r="CS287" s="45" t="str">
        <v>Invest</v>
      </c>
      <c r="CT287" s="61"/>
      <c r="CU287" s="45">
        <v>283</v>
      </c>
      <c r="CV287" s="45">
        <v>56.907476423669607</v>
      </c>
      <c r="CW287" s="45" t="str">
        <v>Invest</v>
      </c>
      <c r="CX287" s="61"/>
      <c r="CY287" s="45">
        <v>283</v>
      </c>
      <c r="CZ287" s="45">
        <v>24.024699990573765</v>
      </c>
      <c r="DA287" s="45" t="str">
        <v>Invest</v>
      </c>
      <c r="DU287" s="52"/>
      <c r="DV287" s="50"/>
    </row>
    <row r="288" spans="86:126" ht="23.5">
      <c r="CH288" s="45">
        <v>284</v>
      </c>
      <c r="CI288" s="45">
        <v>23.975304456894385</v>
      </c>
      <c r="CJ288" s="45" t="str">
        <v>Invest</v>
      </c>
      <c r="CM288" s="45">
        <v>284</v>
      </c>
      <c r="CN288" s="48">
        <v>7.6984647307581859</v>
      </c>
      <c r="CO288" s="45" t="str">
        <v>Invest</v>
      </c>
      <c r="CP288" s="61"/>
      <c r="CQ288" s="45">
        <v>284</v>
      </c>
      <c r="CR288" s="45">
        <v>0</v>
      </c>
      <c r="CS288" s="45" t="str">
        <v>Nothing</v>
      </c>
      <c r="CT288" s="61"/>
      <c r="CU288" s="45">
        <v>284</v>
      </c>
      <c r="CV288" s="45">
        <v>22.594065413182207</v>
      </c>
      <c r="CW288" s="45" t="str">
        <v>Invest</v>
      </c>
      <c r="CX288" s="61"/>
      <c r="CY288" s="45">
        <v>284</v>
      </c>
      <c r="CZ288" s="45">
        <v>0.12011470209230168</v>
      </c>
      <c r="DA288" s="45" t="str">
        <v>Invest</v>
      </c>
      <c r="DU288" s="52"/>
      <c r="DV288" s="50"/>
    </row>
    <row r="289" spans="86:126" ht="23.5">
      <c r="CH289" s="45">
        <v>285</v>
      </c>
      <c r="CI289" s="45">
        <v>26.699091031331129</v>
      </c>
      <c r="CJ289" s="45" t="str">
        <v>Invest</v>
      </c>
      <c r="CM289" s="45">
        <v>285</v>
      </c>
      <c r="CN289" s="48">
        <v>13.293763906778706</v>
      </c>
      <c r="CO289" s="45" t="str">
        <v>Invest</v>
      </c>
      <c r="CP289" s="61"/>
      <c r="CQ289" s="45">
        <v>285</v>
      </c>
      <c r="CR289" s="45">
        <v>11.10482225878965</v>
      </c>
      <c r="CS289" s="45" t="str">
        <v>Invest</v>
      </c>
      <c r="CT289" s="61"/>
      <c r="CU289" s="45">
        <v>285</v>
      </c>
      <c r="CV289" s="45">
        <v>40.025440993443986</v>
      </c>
      <c r="CW289" s="45" t="str">
        <v>Invest</v>
      </c>
      <c r="CX289" s="61"/>
      <c r="CY289" s="45">
        <v>285</v>
      </c>
      <c r="CZ289" s="45">
        <v>0</v>
      </c>
      <c r="DA289" s="45" t="str">
        <v>Nothing</v>
      </c>
      <c r="DU289" s="52"/>
      <c r="DV289" s="50"/>
    </row>
    <row r="290" spans="86:126" ht="23.5">
      <c r="CH290" s="45">
        <v>286</v>
      </c>
      <c r="CI290" s="45">
        <v>47.502213063976114</v>
      </c>
      <c r="CJ290" s="45" t="str">
        <v>Invest</v>
      </c>
      <c r="CM290" s="45">
        <v>286</v>
      </c>
      <c r="CN290" s="48">
        <v>23.508083834367213</v>
      </c>
      <c r="CO290" s="45" t="str">
        <v>Invest</v>
      </c>
      <c r="CP290" s="61"/>
      <c r="CQ290" s="45">
        <v>286</v>
      </c>
      <c r="CR290" s="45">
        <v>16.106689983932071</v>
      </c>
      <c r="CS290" s="45" t="str">
        <v>Invest</v>
      </c>
      <c r="CT290" s="61"/>
      <c r="CU290" s="45">
        <v>286</v>
      </c>
      <c r="CV290" s="45">
        <v>28.218575279734306</v>
      </c>
      <c r="CW290" s="45" t="str">
        <v>Invest</v>
      </c>
      <c r="CX290" s="61"/>
      <c r="CY290" s="45">
        <v>286</v>
      </c>
      <c r="CZ290" s="45">
        <v>0</v>
      </c>
      <c r="DA290" s="45" t="str">
        <v>Nothing</v>
      </c>
      <c r="DU290" s="52"/>
      <c r="DV290" s="50"/>
    </row>
    <row r="291" spans="86:126" ht="23.5">
      <c r="CH291" s="45">
        <v>287</v>
      </c>
      <c r="CI291" s="45">
        <v>9.1667435971752518</v>
      </c>
      <c r="CJ291" s="45" t="str">
        <v>Invest</v>
      </c>
      <c r="CM291" s="45">
        <v>287</v>
      </c>
      <c r="CN291" s="48">
        <v>28.049523595763759</v>
      </c>
      <c r="CO291" s="45" t="str">
        <v>Invest</v>
      </c>
      <c r="CP291" s="61"/>
      <c r="CQ291" s="45">
        <v>287</v>
      </c>
      <c r="CR291" s="45">
        <v>0</v>
      </c>
      <c r="CS291" s="45" t="str">
        <v>Nothing</v>
      </c>
      <c r="CT291" s="61"/>
      <c r="CU291" s="45">
        <v>287</v>
      </c>
      <c r="CV291" s="45">
        <v>18.917844737900491</v>
      </c>
      <c r="CW291" s="45" t="str">
        <v>Invest</v>
      </c>
      <c r="CX291" s="61"/>
      <c r="CY291" s="45">
        <v>287</v>
      </c>
      <c r="CZ291" s="45">
        <v>42.635512770448187</v>
      </c>
      <c r="DA291" s="45" t="str">
        <v>Invest</v>
      </c>
      <c r="DU291" s="52"/>
      <c r="DV291" s="50"/>
    </row>
    <row r="292" spans="86:126" ht="23.5">
      <c r="CH292" s="45">
        <v>288</v>
      </c>
      <c r="CI292" s="45">
        <v>0</v>
      </c>
      <c r="CJ292" s="45" t="str">
        <v>Nothing</v>
      </c>
      <c r="CM292" s="45">
        <v>288</v>
      </c>
      <c r="CN292" s="48">
        <v>0</v>
      </c>
      <c r="CO292" s="45" t="str">
        <v>Nothing</v>
      </c>
      <c r="CP292" s="61"/>
      <c r="CQ292" s="45">
        <v>288</v>
      </c>
      <c r="CR292" s="45">
        <v>0</v>
      </c>
      <c r="CS292" s="45" t="str">
        <v>Nothing</v>
      </c>
      <c r="CT292" s="61"/>
      <c r="CU292" s="45">
        <v>288</v>
      </c>
      <c r="CV292" s="45">
        <v>6.5380407964237772</v>
      </c>
      <c r="CW292" s="45" t="str">
        <v>Invest</v>
      </c>
      <c r="CX292" s="61"/>
      <c r="CY292" s="45">
        <v>288</v>
      </c>
      <c r="CZ292" s="45">
        <v>13.976296638043319</v>
      </c>
      <c r="DA292" s="45" t="str">
        <v>Invest</v>
      </c>
      <c r="DU292" s="52"/>
      <c r="DV292" s="50"/>
    </row>
    <row r="293" spans="86:126" ht="23.5">
      <c r="CH293" s="45">
        <v>289</v>
      </c>
      <c r="CI293" s="45">
        <v>0</v>
      </c>
      <c r="CJ293" s="45" t="str">
        <v>Nothing</v>
      </c>
      <c r="CM293" s="45">
        <v>289</v>
      </c>
      <c r="CN293" s="48">
        <v>6.9054864738707549</v>
      </c>
      <c r="CO293" s="45" t="str">
        <v>Invest</v>
      </c>
      <c r="CP293" s="61"/>
      <c r="CQ293" s="45">
        <v>289</v>
      </c>
      <c r="CR293" s="45">
        <v>47.850194216921807</v>
      </c>
      <c r="CS293" s="45" t="str">
        <v>Invest</v>
      </c>
      <c r="CT293" s="61"/>
      <c r="CU293" s="45">
        <v>289</v>
      </c>
      <c r="CV293" s="45">
        <v>28.709098528355987</v>
      </c>
      <c r="CW293" s="45" t="str">
        <v>Invest</v>
      </c>
      <c r="CX293" s="61"/>
      <c r="CY293" s="45">
        <v>289</v>
      </c>
      <c r="CZ293" s="45">
        <v>19.093926141882761</v>
      </c>
      <c r="DA293" s="45" t="str">
        <v>Invest</v>
      </c>
      <c r="DU293" s="52"/>
      <c r="DV293" s="50"/>
    </row>
    <row r="294" spans="86:126" ht="23.5">
      <c r="CH294" s="45">
        <v>290</v>
      </c>
      <c r="CI294" s="45">
        <v>28.299396793114063</v>
      </c>
      <c r="CJ294" s="45" t="str">
        <v>Invest</v>
      </c>
      <c r="CM294" s="45">
        <v>290</v>
      </c>
      <c r="CN294" s="48">
        <v>44.1252334011728</v>
      </c>
      <c r="CO294" s="45" t="str">
        <v>Invest</v>
      </c>
      <c r="CP294" s="61"/>
      <c r="CQ294" s="45">
        <v>290</v>
      </c>
      <c r="CR294" s="45">
        <v>0</v>
      </c>
      <c r="CS294" s="45" t="str">
        <v>Nothing</v>
      </c>
      <c r="CT294" s="61"/>
      <c r="CU294" s="45">
        <v>290</v>
      </c>
      <c r="CV294" s="45">
        <v>35.39766007774719</v>
      </c>
      <c r="CW294" s="45" t="str">
        <v>Invest</v>
      </c>
      <c r="CX294" s="61"/>
      <c r="CY294" s="45">
        <v>290</v>
      </c>
      <c r="CZ294" s="45">
        <v>0</v>
      </c>
      <c r="DA294" s="45" t="str">
        <v>Nothing</v>
      </c>
      <c r="DU294" s="52"/>
      <c r="DV294" s="50"/>
    </row>
    <row r="295" spans="86:126" ht="23.5">
      <c r="CH295" s="45">
        <v>291</v>
      </c>
      <c r="CI295" s="45">
        <v>36.640976503267794</v>
      </c>
      <c r="CJ295" s="45" t="str">
        <v>Invest</v>
      </c>
      <c r="CM295" s="45">
        <v>291</v>
      </c>
      <c r="CN295" s="48">
        <v>0</v>
      </c>
      <c r="CO295" s="45" t="str">
        <v>Nothing</v>
      </c>
      <c r="CP295" s="61"/>
      <c r="CQ295" s="45">
        <v>291</v>
      </c>
      <c r="CR295" s="45">
        <v>0</v>
      </c>
      <c r="CS295" s="45" t="str">
        <v>Nothing</v>
      </c>
      <c r="CT295" s="61"/>
      <c r="CU295" s="45">
        <v>291</v>
      </c>
      <c r="CV295" s="45">
        <v>1.515055696541399</v>
      </c>
      <c r="CW295" s="45" t="str">
        <v>Invest</v>
      </c>
      <c r="CX295" s="61"/>
      <c r="CY295" s="45">
        <v>291</v>
      </c>
      <c r="CZ295" s="45">
        <v>7.0428100511708003</v>
      </c>
      <c r="DA295" s="45" t="str">
        <v>Invest</v>
      </c>
      <c r="DU295" s="52"/>
      <c r="DV295" s="50"/>
    </row>
    <row r="296" spans="86:126" ht="23.5">
      <c r="CH296" s="45">
        <v>292</v>
      </c>
      <c r="CI296" s="45">
        <v>10.719566321094902</v>
      </c>
      <c r="CJ296" s="45" t="str">
        <v>Invest</v>
      </c>
      <c r="CM296" s="45">
        <v>292</v>
      </c>
      <c r="CN296" s="48">
        <v>10.577829841458161</v>
      </c>
      <c r="CO296" s="45" t="str">
        <v>Invest</v>
      </c>
      <c r="CP296" s="61"/>
      <c r="CQ296" s="45">
        <v>292</v>
      </c>
      <c r="CR296" s="45">
        <v>0</v>
      </c>
      <c r="CS296" s="45" t="str">
        <v>Nothing</v>
      </c>
      <c r="CT296" s="61"/>
      <c r="CU296" s="45">
        <v>292</v>
      </c>
      <c r="CV296" s="45">
        <v>22.335416364290239</v>
      </c>
      <c r="CW296" s="45" t="str">
        <v>Invest</v>
      </c>
      <c r="CX296" s="61"/>
      <c r="CY296" s="45">
        <v>292</v>
      </c>
      <c r="CZ296" s="45">
        <v>0</v>
      </c>
      <c r="DA296" s="45" t="str">
        <v>Nothing</v>
      </c>
      <c r="DU296" s="52"/>
      <c r="DV296" s="50"/>
    </row>
    <row r="297" spans="86:126" ht="23.5">
      <c r="CH297" s="45">
        <v>293</v>
      </c>
      <c r="CI297" s="45">
        <v>13.140662290376264</v>
      </c>
      <c r="CJ297" s="45" t="str">
        <v>Invest</v>
      </c>
      <c r="CM297" s="45">
        <v>293</v>
      </c>
      <c r="CN297" s="48">
        <v>0</v>
      </c>
      <c r="CO297" s="45" t="str">
        <v>Nothing</v>
      </c>
      <c r="CP297" s="61"/>
      <c r="CQ297" s="45">
        <v>293</v>
      </c>
      <c r="CR297" s="45">
        <v>46.214492507877367</v>
      </c>
      <c r="CS297" s="45" t="str">
        <v>Invest</v>
      </c>
      <c r="CT297" s="61"/>
      <c r="CU297" s="45">
        <v>293</v>
      </c>
      <c r="CV297" s="45">
        <v>51.228696821009414</v>
      </c>
      <c r="CW297" s="45" t="str">
        <v>Invest</v>
      </c>
      <c r="CX297" s="61"/>
      <c r="CY297" s="45">
        <v>293</v>
      </c>
      <c r="CZ297" s="45">
        <v>2.9422126662290857</v>
      </c>
      <c r="DA297" s="45" t="str">
        <v>Invest</v>
      </c>
      <c r="DU297" s="52"/>
      <c r="DV297" s="50"/>
    </row>
    <row r="298" spans="86:126" ht="23.5">
      <c r="CH298" s="45">
        <v>294</v>
      </c>
      <c r="CI298" s="45">
        <v>35.03160046139886</v>
      </c>
      <c r="CJ298" s="45" t="str">
        <v>Invest</v>
      </c>
      <c r="CM298" s="45">
        <v>294</v>
      </c>
      <c r="CN298" s="48">
        <v>0</v>
      </c>
      <c r="CO298" s="45" t="str">
        <v>Nothing</v>
      </c>
      <c r="CP298" s="61"/>
      <c r="CQ298" s="45">
        <v>294</v>
      </c>
      <c r="CR298" s="45">
        <v>34.764397786101739</v>
      </c>
      <c r="CS298" s="45" t="str">
        <v>Invest</v>
      </c>
      <c r="CT298" s="61"/>
      <c r="CU298" s="45">
        <v>294</v>
      </c>
      <c r="CV298" s="45">
        <v>15.740710622368454</v>
      </c>
      <c r="CW298" s="45" t="str">
        <v>Invest</v>
      </c>
      <c r="CX298" s="61"/>
      <c r="CY298" s="45">
        <v>294</v>
      </c>
      <c r="CZ298" s="45">
        <v>0</v>
      </c>
      <c r="DA298" s="45" t="str">
        <v>Nothing</v>
      </c>
      <c r="DU298" s="52"/>
      <c r="DV298" s="50"/>
    </row>
    <row r="299" spans="86:126" ht="23.5">
      <c r="CH299" s="45">
        <v>295</v>
      </c>
      <c r="CI299" s="45">
        <v>0</v>
      </c>
      <c r="CJ299" s="45" t="str">
        <v>Nothing</v>
      </c>
      <c r="CM299" s="45">
        <v>295</v>
      </c>
      <c r="CN299" s="48">
        <v>19.130820837790132</v>
      </c>
      <c r="CO299" s="45" t="str">
        <v>Invest</v>
      </c>
      <c r="CP299" s="61"/>
      <c r="CQ299" s="45">
        <v>295</v>
      </c>
      <c r="CR299" s="45">
        <v>8.4755799449770244</v>
      </c>
      <c r="CS299" s="45" t="str">
        <v>Invest</v>
      </c>
      <c r="CT299" s="61"/>
      <c r="CU299" s="45">
        <v>295</v>
      </c>
      <c r="CV299" s="45">
        <v>12.123268984980873</v>
      </c>
      <c r="CW299" s="45" t="str">
        <v>Invest</v>
      </c>
      <c r="CX299" s="61"/>
      <c r="CY299" s="45">
        <v>295</v>
      </c>
      <c r="CZ299" s="45">
        <v>26.086781605681914</v>
      </c>
      <c r="DA299" s="45" t="str">
        <v>Invest</v>
      </c>
      <c r="DU299" s="52"/>
      <c r="DV299" s="50"/>
    </row>
    <row r="300" spans="86:126" ht="23.5">
      <c r="CH300" s="45">
        <v>296</v>
      </c>
      <c r="CI300" s="45">
        <v>34.506262045173585</v>
      </c>
      <c r="CJ300" s="45" t="str">
        <v>Invest</v>
      </c>
      <c r="CM300" s="45">
        <v>296</v>
      </c>
      <c r="CN300" s="48">
        <v>9.1192463565288051</v>
      </c>
      <c r="CO300" s="45" t="str">
        <v>Invest</v>
      </c>
      <c r="CP300" s="61"/>
      <c r="CQ300" s="45">
        <v>296</v>
      </c>
      <c r="CR300" s="45">
        <v>40.101925107175965</v>
      </c>
      <c r="CS300" s="45" t="str">
        <v>Invest</v>
      </c>
      <c r="CT300" s="61"/>
      <c r="CU300" s="45">
        <v>296</v>
      </c>
      <c r="CV300" s="45">
        <v>9.3045595697981618</v>
      </c>
      <c r="CW300" s="45" t="str">
        <v>Invest</v>
      </c>
      <c r="CX300" s="61"/>
      <c r="CY300" s="45">
        <v>296</v>
      </c>
      <c r="CZ300" s="45">
        <v>0</v>
      </c>
      <c r="DA300" s="45" t="str">
        <v>Nothing</v>
      </c>
      <c r="DU300" s="52"/>
      <c r="DV300" s="50"/>
    </row>
    <row r="301" spans="86:126" ht="23.5">
      <c r="CH301" s="45">
        <v>297</v>
      </c>
      <c r="CI301" s="45">
        <v>36.718317343580942</v>
      </c>
      <c r="CJ301" s="45" t="str">
        <v>Invest</v>
      </c>
      <c r="CM301" s="45">
        <v>297</v>
      </c>
      <c r="CN301" s="48">
        <v>5.8838217887267161</v>
      </c>
      <c r="CO301" s="45" t="str">
        <v>Invest</v>
      </c>
      <c r="CP301" s="61"/>
      <c r="CQ301" s="45">
        <v>297</v>
      </c>
      <c r="CR301" s="45">
        <v>1.6218333266497122</v>
      </c>
      <c r="CS301" s="45" t="str">
        <v>Invest</v>
      </c>
      <c r="CT301" s="61"/>
      <c r="CU301" s="45">
        <v>297</v>
      </c>
      <c r="CV301" s="45">
        <v>3.08992629087194</v>
      </c>
      <c r="CW301" s="45" t="str">
        <v>Invest</v>
      </c>
      <c r="CX301" s="61"/>
      <c r="CY301" s="45">
        <v>297</v>
      </c>
      <c r="CZ301" s="45">
        <v>0</v>
      </c>
      <c r="DA301" s="45" t="str">
        <v>Nothing</v>
      </c>
      <c r="DU301" s="52"/>
      <c r="DV301" s="50"/>
    </row>
    <row r="302" spans="86:126" ht="23.5">
      <c r="CH302" s="45">
        <v>298</v>
      </c>
      <c r="CI302" s="45">
        <v>0</v>
      </c>
      <c r="CJ302" s="45" t="str">
        <v>Nothing</v>
      </c>
      <c r="CM302" s="45">
        <v>298</v>
      </c>
      <c r="CN302" s="48">
        <v>42.838512603893335</v>
      </c>
      <c r="CO302" s="45" t="str">
        <v>Invest</v>
      </c>
      <c r="CP302" s="61"/>
      <c r="CQ302" s="45">
        <v>298</v>
      </c>
      <c r="CR302" s="45">
        <v>0</v>
      </c>
      <c r="CS302" s="45" t="str">
        <v>Nothing</v>
      </c>
      <c r="CT302" s="61"/>
      <c r="CU302" s="45">
        <v>298</v>
      </c>
      <c r="CV302" s="45">
        <v>40.520296251073773</v>
      </c>
      <c r="CW302" s="45" t="str">
        <v>Invest</v>
      </c>
      <c r="CX302" s="61"/>
      <c r="CY302" s="45">
        <v>298</v>
      </c>
      <c r="CZ302" s="45">
        <v>0</v>
      </c>
      <c r="DA302" s="45" t="str">
        <v>Nothing</v>
      </c>
      <c r="DU302" s="52"/>
      <c r="DV302" s="50"/>
    </row>
    <row r="303" spans="86:126" ht="23.5">
      <c r="CH303" s="45">
        <v>299</v>
      </c>
      <c r="CI303" s="45">
        <v>14.541477481905462</v>
      </c>
      <c r="CJ303" s="45" t="str">
        <v>Invest</v>
      </c>
      <c r="CM303" s="45">
        <v>299</v>
      </c>
      <c r="CN303" s="48">
        <v>15.376431027876016</v>
      </c>
      <c r="CO303" s="45" t="str">
        <v>Invest</v>
      </c>
      <c r="CP303" s="61"/>
      <c r="CQ303" s="45">
        <v>299</v>
      </c>
      <c r="CR303" s="45">
        <v>6.220089722989055</v>
      </c>
      <c r="CS303" s="45" t="str">
        <v>Invest</v>
      </c>
      <c r="CT303" s="61"/>
      <c r="CU303" s="45">
        <v>299</v>
      </c>
      <c r="CV303" s="45">
        <v>0</v>
      </c>
      <c r="CW303" s="45" t="str">
        <v>Nothing</v>
      </c>
      <c r="CX303" s="61"/>
      <c r="CY303" s="45">
        <v>299</v>
      </c>
      <c r="CZ303" s="45">
        <v>39.961911476802172</v>
      </c>
      <c r="DA303" s="45" t="str">
        <v>Invest</v>
      </c>
      <c r="DU303" s="52"/>
      <c r="DV303" s="50"/>
    </row>
    <row r="304" spans="86:126" ht="23.5">
      <c r="CH304" s="45">
        <v>300</v>
      </c>
      <c r="CI304" s="45">
        <v>0</v>
      </c>
      <c r="CJ304" s="45" t="str">
        <v>Nothing</v>
      </c>
      <c r="CM304" s="45">
        <v>300</v>
      </c>
      <c r="CN304" s="48">
        <v>1.8090260682413373</v>
      </c>
      <c r="CO304" s="45" t="str">
        <v>Invest</v>
      </c>
      <c r="CP304" s="61"/>
      <c r="CQ304" s="45">
        <v>300</v>
      </c>
      <c r="CR304" s="45">
        <v>13.456341149263377</v>
      </c>
      <c r="CS304" s="45" t="str">
        <v>Invest</v>
      </c>
      <c r="CT304" s="61"/>
      <c r="CU304" s="45">
        <v>300</v>
      </c>
      <c r="CV304" s="45">
        <v>22.780514121905973</v>
      </c>
      <c r="CW304" s="45" t="str">
        <v>Invest</v>
      </c>
      <c r="CX304" s="61"/>
      <c r="CY304" s="45">
        <v>300</v>
      </c>
      <c r="CZ304" s="45">
        <v>28.676209657342866</v>
      </c>
      <c r="DA304" s="45" t="str">
        <v>Invest</v>
      </c>
      <c r="DU304" s="52"/>
      <c r="DV304" s="50"/>
    </row>
    <row r="305" spans="86:126" ht="23.5">
      <c r="CH305" s="45">
        <v>301</v>
      </c>
      <c r="CI305" s="45">
        <v>16.885196774827918</v>
      </c>
      <c r="CJ305" s="45" t="str">
        <v>Invest</v>
      </c>
      <c r="CM305" s="45">
        <v>301</v>
      </c>
      <c r="CN305" s="48">
        <v>0</v>
      </c>
      <c r="CO305" s="45" t="str">
        <v>Nothing</v>
      </c>
      <c r="CP305" s="61"/>
      <c r="CQ305" s="45">
        <v>301</v>
      </c>
      <c r="CR305" s="45">
        <v>24.841308204391495</v>
      </c>
      <c r="CS305" s="45" t="str">
        <v>Invest</v>
      </c>
      <c r="CT305" s="61"/>
      <c r="CU305" s="45">
        <v>301</v>
      </c>
      <c r="CV305" s="45">
        <v>18.959468865054987</v>
      </c>
      <c r="CW305" s="45" t="str">
        <v>Invest</v>
      </c>
      <c r="CX305" s="61"/>
      <c r="CY305" s="45">
        <v>301</v>
      </c>
      <c r="CZ305" s="45">
        <v>0</v>
      </c>
      <c r="DA305" s="45" t="str">
        <v>Nothing</v>
      </c>
      <c r="DU305" s="52"/>
      <c r="DV305" s="50"/>
    </row>
    <row r="306" spans="86:126" ht="23.5">
      <c r="CH306" s="45">
        <v>302</v>
      </c>
      <c r="CI306" s="45">
        <v>10.052168465484126</v>
      </c>
      <c r="CJ306" s="45" t="str">
        <v>Invest</v>
      </c>
      <c r="CM306" s="45">
        <v>302</v>
      </c>
      <c r="CN306" s="48">
        <v>3.8217552541606707</v>
      </c>
      <c r="CO306" s="45" t="str">
        <v>Invest</v>
      </c>
      <c r="CP306" s="61"/>
      <c r="CQ306" s="45">
        <v>302</v>
      </c>
      <c r="CR306" s="45">
        <v>0</v>
      </c>
      <c r="CS306" s="45" t="str">
        <v>Nothing</v>
      </c>
      <c r="CT306" s="61"/>
      <c r="CU306" s="45">
        <v>302</v>
      </c>
      <c r="CV306" s="45">
        <v>0</v>
      </c>
      <c r="CW306" s="45" t="str">
        <v>Nothing</v>
      </c>
      <c r="CX306" s="61"/>
      <c r="CY306" s="45">
        <v>302</v>
      </c>
      <c r="CZ306" s="45">
        <v>23.900301964638039</v>
      </c>
      <c r="DA306" s="45" t="str">
        <v>Invest</v>
      </c>
      <c r="DU306" s="52"/>
      <c r="DV306" s="50"/>
    </row>
    <row r="307" spans="86:126" ht="23.5">
      <c r="CH307" s="45">
        <v>303</v>
      </c>
      <c r="CI307" s="45">
        <v>0</v>
      </c>
      <c r="CJ307" s="45" t="str">
        <v>Nothing</v>
      </c>
      <c r="CM307" s="45">
        <v>303</v>
      </c>
      <c r="CN307" s="48">
        <v>22.03399238071291</v>
      </c>
      <c r="CO307" s="45" t="str">
        <v>Invest</v>
      </c>
      <c r="CP307" s="61"/>
      <c r="CQ307" s="45">
        <v>303</v>
      </c>
      <c r="CR307" s="45">
        <v>1.5665827763742328</v>
      </c>
      <c r="CS307" s="45" t="str">
        <v>Invest</v>
      </c>
      <c r="CT307" s="61"/>
      <c r="CU307" s="45">
        <v>303</v>
      </c>
      <c r="CV307" s="45">
        <v>0</v>
      </c>
      <c r="CW307" s="45" t="str">
        <v>Nothing</v>
      </c>
      <c r="CX307" s="61"/>
      <c r="CY307" s="45">
        <v>303</v>
      </c>
      <c r="CZ307" s="45">
        <v>60.352250938513265</v>
      </c>
      <c r="DA307" s="45" t="str">
        <v>Invest</v>
      </c>
      <c r="DU307" s="52"/>
      <c r="DV307" s="50"/>
    </row>
    <row r="308" spans="86:126" ht="23.5">
      <c r="CH308" s="45">
        <v>304</v>
      </c>
      <c r="CI308" s="45">
        <v>27.175659236738682</v>
      </c>
      <c r="CJ308" s="45" t="str">
        <v>Invest</v>
      </c>
      <c r="CM308" s="45">
        <v>304</v>
      </c>
      <c r="CN308" s="48">
        <v>0</v>
      </c>
      <c r="CO308" s="45" t="str">
        <v>Nothing</v>
      </c>
      <c r="CP308" s="61"/>
      <c r="CQ308" s="45">
        <v>304</v>
      </c>
      <c r="CR308" s="45">
        <v>0.30720069662378435</v>
      </c>
      <c r="CS308" s="45" t="str">
        <v>Invest</v>
      </c>
      <c r="CT308" s="61"/>
      <c r="CU308" s="45">
        <v>304</v>
      </c>
      <c r="CV308" s="45">
        <v>33.527836690272679</v>
      </c>
      <c r="CW308" s="45" t="str">
        <v>Invest</v>
      </c>
      <c r="CX308" s="61"/>
      <c r="CY308" s="45">
        <v>304</v>
      </c>
      <c r="CZ308" s="45">
        <v>0</v>
      </c>
      <c r="DA308" s="45" t="str">
        <v>Nothing</v>
      </c>
      <c r="DU308" s="52"/>
      <c r="DV308" s="50"/>
    </row>
    <row r="309" spans="86:126" ht="23.5">
      <c r="CH309" s="45">
        <v>305</v>
      </c>
      <c r="CI309" s="45">
        <v>35.754983017113325</v>
      </c>
      <c r="CJ309" s="45" t="str">
        <v>Invest</v>
      </c>
      <c r="CM309" s="45">
        <v>305</v>
      </c>
      <c r="CN309" s="48">
        <v>20.450287225772328</v>
      </c>
      <c r="CO309" s="45" t="str">
        <v>Invest</v>
      </c>
      <c r="CP309" s="61"/>
      <c r="CQ309" s="45">
        <v>305</v>
      </c>
      <c r="CR309" s="45">
        <v>20.086902429725164</v>
      </c>
      <c r="CS309" s="45" t="str">
        <v>Invest</v>
      </c>
      <c r="CT309" s="61"/>
      <c r="CU309" s="45">
        <v>305</v>
      </c>
      <c r="CV309" s="45">
        <v>40.144168325166362</v>
      </c>
      <c r="CW309" s="45" t="str">
        <v>Invest</v>
      </c>
      <c r="CX309" s="61"/>
      <c r="CY309" s="45">
        <v>305</v>
      </c>
      <c r="CZ309" s="45">
        <v>0</v>
      </c>
      <c r="DA309" s="45" t="str">
        <v>Nothing</v>
      </c>
      <c r="DU309" s="52"/>
      <c r="DV309" s="50"/>
    </row>
    <row r="310" spans="86:126" ht="23.5">
      <c r="CH310" s="45">
        <v>306</v>
      </c>
      <c r="CI310" s="45">
        <v>0</v>
      </c>
      <c r="CJ310" s="45" t="str">
        <v>Nothing</v>
      </c>
      <c r="CM310" s="45">
        <v>306</v>
      </c>
      <c r="CN310" s="48">
        <v>0</v>
      </c>
      <c r="CO310" s="45" t="str">
        <v>Nothing</v>
      </c>
      <c r="CP310" s="61"/>
      <c r="CQ310" s="45">
        <v>306</v>
      </c>
      <c r="CR310" s="45">
        <v>51.609498996174679</v>
      </c>
      <c r="CS310" s="45" t="str">
        <v>Invest</v>
      </c>
      <c r="CT310" s="61"/>
      <c r="CU310" s="45">
        <v>306</v>
      </c>
      <c r="CV310" s="45">
        <v>43.549513067237093</v>
      </c>
      <c r="CW310" s="45" t="str">
        <v>Invest</v>
      </c>
      <c r="CX310" s="61"/>
      <c r="CY310" s="45">
        <v>306</v>
      </c>
      <c r="CZ310" s="45">
        <v>7.681027704648093</v>
      </c>
      <c r="DA310" s="45" t="str">
        <v>Invest</v>
      </c>
      <c r="DU310" s="52"/>
      <c r="DV310" s="50"/>
    </row>
    <row r="311" spans="86:126" ht="23.5">
      <c r="CH311" s="45">
        <v>307</v>
      </c>
      <c r="CI311" s="45">
        <v>42.118853609429877</v>
      </c>
      <c r="CJ311" s="45" t="str">
        <v>Invest</v>
      </c>
      <c r="CM311" s="45">
        <v>307</v>
      </c>
      <c r="CN311" s="48">
        <v>1.403135007327327</v>
      </c>
      <c r="CO311" s="45" t="str">
        <v>Invest</v>
      </c>
      <c r="CP311" s="61"/>
      <c r="CQ311" s="45">
        <v>307</v>
      </c>
      <c r="CR311" s="45">
        <v>0</v>
      </c>
      <c r="CS311" s="45" t="str">
        <v>Nothing</v>
      </c>
      <c r="CT311" s="61"/>
      <c r="CU311" s="45">
        <v>307</v>
      </c>
      <c r="CV311" s="45">
        <v>23.714656155741459</v>
      </c>
      <c r="CW311" s="45" t="str">
        <v>Invest</v>
      </c>
      <c r="CX311" s="61"/>
      <c r="CY311" s="45">
        <v>307</v>
      </c>
      <c r="CZ311" s="45">
        <v>0</v>
      </c>
      <c r="DA311" s="45" t="str">
        <v>Nothing</v>
      </c>
      <c r="DU311" s="52"/>
      <c r="DV311" s="50"/>
    </row>
    <row r="312" spans="86:126" ht="23.5">
      <c r="CH312" s="45">
        <v>308</v>
      </c>
      <c r="CI312" s="45">
        <v>0</v>
      </c>
      <c r="CJ312" s="45" t="str">
        <v>Nothing</v>
      </c>
      <c r="CM312" s="45">
        <v>308</v>
      </c>
      <c r="CN312" s="48">
        <v>0</v>
      </c>
      <c r="CO312" s="45" t="str">
        <v>Nothing</v>
      </c>
      <c r="CP312" s="61"/>
      <c r="CQ312" s="45">
        <v>308</v>
      </c>
      <c r="CR312" s="45">
        <v>0</v>
      </c>
      <c r="CS312" s="45" t="str">
        <v>Nothing</v>
      </c>
      <c r="CT312" s="61"/>
      <c r="CU312" s="45">
        <v>308</v>
      </c>
      <c r="CV312" s="45">
        <v>0</v>
      </c>
      <c r="CW312" s="45" t="str">
        <v>Nothing</v>
      </c>
      <c r="CX312" s="61"/>
      <c r="CY312" s="45">
        <v>308</v>
      </c>
      <c r="CZ312" s="45">
        <v>28.871528363985497</v>
      </c>
      <c r="DA312" s="45" t="str">
        <v>Invest</v>
      </c>
      <c r="DU312" s="52"/>
      <c r="DV312" s="50"/>
    </row>
    <row r="313" spans="86:126" ht="23.5">
      <c r="CH313" s="45">
        <v>309</v>
      </c>
      <c r="CI313" s="45">
        <v>24.48047003900831</v>
      </c>
      <c r="CJ313" s="45" t="str">
        <v>Invest</v>
      </c>
      <c r="CM313" s="45">
        <v>309</v>
      </c>
      <c r="CN313" s="48">
        <v>0</v>
      </c>
      <c r="CO313" s="45" t="str">
        <v>Nothing</v>
      </c>
      <c r="CP313" s="61"/>
      <c r="CQ313" s="45">
        <v>309</v>
      </c>
      <c r="CR313" s="45">
        <v>0</v>
      </c>
      <c r="CS313" s="45" t="str">
        <v>Nothing</v>
      </c>
      <c r="CT313" s="61"/>
      <c r="CU313" s="45">
        <v>309</v>
      </c>
      <c r="CV313" s="45">
        <v>53.198534050659632</v>
      </c>
      <c r="CW313" s="45" t="str">
        <v>Invest</v>
      </c>
      <c r="CX313" s="61"/>
      <c r="CY313" s="45">
        <v>309</v>
      </c>
      <c r="CZ313" s="45">
        <v>0</v>
      </c>
      <c r="DA313" s="45" t="str">
        <v>Nothing</v>
      </c>
      <c r="DU313" s="52"/>
      <c r="DV313" s="50"/>
    </row>
    <row r="314" spans="86:126" ht="23.5">
      <c r="CH314" s="45">
        <v>310</v>
      </c>
      <c r="CI314" s="45">
        <v>34.334576630178034</v>
      </c>
      <c r="CJ314" s="45" t="str">
        <v>Invest</v>
      </c>
      <c r="CM314" s="45">
        <v>310</v>
      </c>
      <c r="CN314" s="48">
        <v>34.809589387698914</v>
      </c>
      <c r="CO314" s="45" t="str">
        <v>Invest</v>
      </c>
      <c r="CP314" s="61"/>
      <c r="CQ314" s="45">
        <v>310</v>
      </c>
      <c r="CR314" s="45">
        <v>22.749683312258931</v>
      </c>
      <c r="CS314" s="45" t="str">
        <v>Invest</v>
      </c>
      <c r="CT314" s="61"/>
      <c r="CU314" s="45">
        <v>310</v>
      </c>
      <c r="CV314" s="45">
        <v>30.847090067903927</v>
      </c>
      <c r="CW314" s="45" t="str">
        <v>Invest</v>
      </c>
      <c r="CX314" s="61"/>
      <c r="CY314" s="45">
        <v>310</v>
      </c>
      <c r="CZ314" s="45">
        <v>0</v>
      </c>
      <c r="DA314" s="45" t="str">
        <v>Nothing</v>
      </c>
      <c r="DU314" s="52"/>
      <c r="DV314" s="50"/>
    </row>
    <row r="315" spans="86:126" ht="23.5">
      <c r="CH315" s="45">
        <v>311</v>
      </c>
      <c r="CI315" s="45">
        <v>0</v>
      </c>
      <c r="CJ315" s="45" t="str">
        <v>Nothing</v>
      </c>
      <c r="CM315" s="45">
        <v>311</v>
      </c>
      <c r="CN315" s="48">
        <v>0</v>
      </c>
      <c r="CO315" s="45" t="str">
        <v>Nothing</v>
      </c>
      <c r="CP315" s="61"/>
      <c r="CQ315" s="45">
        <v>311</v>
      </c>
      <c r="CR315" s="45">
        <v>48.463259398921458</v>
      </c>
      <c r="CS315" s="45" t="str">
        <v>Invest</v>
      </c>
      <c r="CT315" s="61"/>
      <c r="CU315" s="45">
        <v>311</v>
      </c>
      <c r="CV315" s="45">
        <v>0</v>
      </c>
      <c r="CW315" s="45" t="str">
        <v>Nothing</v>
      </c>
      <c r="CX315" s="61"/>
      <c r="CY315" s="45">
        <v>311</v>
      </c>
      <c r="CZ315" s="45">
        <v>0</v>
      </c>
      <c r="DA315" s="45" t="str">
        <v>Nothing</v>
      </c>
      <c r="DU315" s="52"/>
      <c r="DV315" s="50"/>
    </row>
    <row r="316" spans="86:126" ht="23.5">
      <c r="CH316" s="45">
        <v>312</v>
      </c>
      <c r="CI316" s="45">
        <v>0</v>
      </c>
      <c r="CJ316" s="45" t="str">
        <v>Nothing</v>
      </c>
      <c r="CM316" s="45">
        <v>312</v>
      </c>
      <c r="CN316" s="48">
        <v>2.0562905509990639</v>
      </c>
      <c r="CO316" s="45" t="str">
        <v>Invest</v>
      </c>
      <c r="CP316" s="61"/>
      <c r="CQ316" s="45">
        <v>312</v>
      </c>
      <c r="CR316" s="45">
        <v>23.743153080261372</v>
      </c>
      <c r="CS316" s="45" t="str">
        <v>Invest</v>
      </c>
      <c r="CT316" s="61"/>
      <c r="CU316" s="45">
        <v>312</v>
      </c>
      <c r="CV316" s="45">
        <v>21.990940568667931</v>
      </c>
      <c r="CW316" s="45" t="str">
        <v>Invest</v>
      </c>
      <c r="CX316" s="61"/>
      <c r="CY316" s="45">
        <v>312</v>
      </c>
      <c r="CZ316" s="45">
        <v>29.796211953247138</v>
      </c>
      <c r="DA316" s="45" t="str">
        <v>Invest</v>
      </c>
      <c r="DU316" s="52"/>
      <c r="DV316" s="50"/>
    </row>
    <row r="317" spans="86:126" ht="23.5">
      <c r="CH317" s="45">
        <v>313</v>
      </c>
      <c r="CI317" s="45">
        <v>5.5674645841665118</v>
      </c>
      <c r="CJ317" s="45" t="str">
        <v>Invest</v>
      </c>
      <c r="CM317" s="45">
        <v>313</v>
      </c>
      <c r="CN317" s="48">
        <v>2.688061050067688</v>
      </c>
      <c r="CO317" s="45" t="str">
        <v>Invest</v>
      </c>
      <c r="CP317" s="61"/>
      <c r="CQ317" s="45">
        <v>313</v>
      </c>
      <c r="CR317" s="45">
        <v>7.2184042807582784</v>
      </c>
      <c r="CS317" s="45" t="str">
        <v>Invest</v>
      </c>
      <c r="CT317" s="61"/>
      <c r="CU317" s="45">
        <v>313</v>
      </c>
      <c r="CV317" s="45">
        <v>0</v>
      </c>
      <c r="CW317" s="45" t="str">
        <v>Nothing</v>
      </c>
      <c r="CX317" s="61"/>
      <c r="CY317" s="45">
        <v>313</v>
      </c>
      <c r="CZ317" s="45">
        <v>11.44869205063222</v>
      </c>
      <c r="DA317" s="45" t="str">
        <v>Invest</v>
      </c>
      <c r="DU317" s="52"/>
      <c r="DV317" s="50"/>
    </row>
    <row r="318" spans="86:126" ht="23.5">
      <c r="CH318" s="45">
        <v>314</v>
      </c>
      <c r="CI318" s="45">
        <v>33.870778460924512</v>
      </c>
      <c r="CJ318" s="45" t="str">
        <v>Invest</v>
      </c>
      <c r="CM318" s="45">
        <v>314</v>
      </c>
      <c r="CN318" s="48">
        <v>34.70308293366584</v>
      </c>
      <c r="CO318" s="45" t="str">
        <v>Invest</v>
      </c>
      <c r="CP318" s="61"/>
      <c r="CQ318" s="45">
        <v>314</v>
      </c>
      <c r="CR318" s="45">
        <v>40.731459672303522</v>
      </c>
      <c r="CS318" s="45" t="str">
        <v>Invest</v>
      </c>
      <c r="CT318" s="61"/>
      <c r="CU318" s="45">
        <v>314</v>
      </c>
      <c r="CV318" s="45">
        <v>18.896762969965234</v>
      </c>
      <c r="CW318" s="45" t="str">
        <v>Invest</v>
      </c>
      <c r="CX318" s="61"/>
      <c r="CY318" s="45">
        <v>314</v>
      </c>
      <c r="CZ318" s="45">
        <v>35.018618913451171</v>
      </c>
      <c r="DA318" s="45" t="str">
        <v>Invest</v>
      </c>
      <c r="DU318" s="52"/>
      <c r="DV318" s="50"/>
    </row>
    <row r="319" spans="86:126" ht="23.5">
      <c r="CH319" s="45">
        <v>315</v>
      </c>
      <c r="CI319" s="45">
        <v>19.116790696650309</v>
      </c>
      <c r="CJ319" s="45" t="str">
        <v>Invest</v>
      </c>
      <c r="CM319" s="45">
        <v>315</v>
      </c>
      <c r="CN319" s="48">
        <v>51.580666655122606</v>
      </c>
      <c r="CO319" s="45" t="str">
        <v>Invest</v>
      </c>
      <c r="CP319" s="61"/>
      <c r="CQ319" s="45">
        <v>315</v>
      </c>
      <c r="CR319" s="45">
        <v>13.094977113768666</v>
      </c>
      <c r="CS319" s="45" t="str">
        <v>Invest</v>
      </c>
      <c r="CT319" s="61"/>
      <c r="CU319" s="45">
        <v>315</v>
      </c>
      <c r="CV319" s="45">
        <v>13.027130363429725</v>
      </c>
      <c r="CW319" s="45" t="str">
        <v>Invest</v>
      </c>
      <c r="CX319" s="61"/>
      <c r="CY319" s="45">
        <v>315</v>
      </c>
      <c r="CZ319" s="45">
        <v>2.8979163669270767</v>
      </c>
      <c r="DA319" s="45" t="str">
        <v>Invest</v>
      </c>
      <c r="DU319" s="52"/>
      <c r="DV319" s="50"/>
    </row>
    <row r="320" spans="86:126" ht="23.5">
      <c r="CH320" s="45">
        <v>316</v>
      </c>
      <c r="CI320" s="45">
        <v>9.4025618300418206</v>
      </c>
      <c r="CJ320" s="45" t="str">
        <v>Invest</v>
      </c>
      <c r="CM320" s="45">
        <v>316</v>
      </c>
      <c r="CN320" s="48">
        <v>29.562641094835993</v>
      </c>
      <c r="CO320" s="45" t="str">
        <v>Invest</v>
      </c>
      <c r="CP320" s="61"/>
      <c r="CQ320" s="45">
        <v>316</v>
      </c>
      <c r="CR320" s="45">
        <v>0</v>
      </c>
      <c r="CS320" s="45" t="str">
        <v>Nothing</v>
      </c>
      <c r="CT320" s="61"/>
      <c r="CU320" s="45">
        <v>316</v>
      </c>
      <c r="CV320" s="45">
        <v>0</v>
      </c>
      <c r="CW320" s="45" t="str">
        <v>Nothing</v>
      </c>
      <c r="CX320" s="61"/>
      <c r="CY320" s="45">
        <v>316</v>
      </c>
      <c r="CZ320" s="45">
        <v>49.997647893936822</v>
      </c>
      <c r="DA320" s="45" t="str">
        <v>Invest</v>
      </c>
      <c r="DU320" s="52"/>
      <c r="DV320" s="50"/>
    </row>
    <row r="321" spans="86:126" ht="23.5">
      <c r="CH321" s="45">
        <v>317</v>
      </c>
      <c r="CI321" s="45">
        <v>16.926194234966516</v>
      </c>
      <c r="CJ321" s="45" t="str">
        <v>Invest</v>
      </c>
      <c r="CM321" s="45">
        <v>317</v>
      </c>
      <c r="CN321" s="48">
        <v>39.49097334556842</v>
      </c>
      <c r="CO321" s="45" t="str">
        <v>Invest</v>
      </c>
      <c r="CP321" s="61"/>
      <c r="CQ321" s="45">
        <v>317</v>
      </c>
      <c r="CR321" s="45">
        <v>33.063693420779941</v>
      </c>
      <c r="CS321" s="45" t="str">
        <v>Invest</v>
      </c>
      <c r="CT321" s="61"/>
      <c r="CU321" s="45">
        <v>317</v>
      </c>
      <c r="CV321" s="45">
        <v>1.2864798497045662</v>
      </c>
      <c r="CW321" s="45" t="str">
        <v>Invest</v>
      </c>
      <c r="CX321" s="61"/>
      <c r="CY321" s="45">
        <v>317</v>
      </c>
      <c r="CZ321" s="45">
        <v>0</v>
      </c>
      <c r="DA321" s="45" t="str">
        <v>Nothing</v>
      </c>
      <c r="DU321" s="52"/>
      <c r="DV321" s="50"/>
    </row>
    <row r="322" spans="86:126" ht="23.5">
      <c r="CH322" s="45">
        <v>318</v>
      </c>
      <c r="CI322" s="45">
        <v>19.037539736806941</v>
      </c>
      <c r="CJ322" s="45" t="str">
        <v>Invest</v>
      </c>
      <c r="CM322" s="45">
        <v>318</v>
      </c>
      <c r="CN322" s="48">
        <v>0</v>
      </c>
      <c r="CO322" s="45" t="str">
        <v>Nothing</v>
      </c>
      <c r="CP322" s="61"/>
      <c r="CQ322" s="45">
        <v>318</v>
      </c>
      <c r="CR322" s="45">
        <v>0</v>
      </c>
      <c r="CS322" s="45" t="str">
        <v>Nothing</v>
      </c>
      <c r="CT322" s="61"/>
      <c r="CU322" s="45">
        <v>318</v>
      </c>
      <c r="CV322" s="45">
        <v>45.103845960943467</v>
      </c>
      <c r="CW322" s="45" t="str">
        <v>Invest</v>
      </c>
      <c r="CX322" s="61"/>
      <c r="CY322" s="45">
        <v>318</v>
      </c>
      <c r="CZ322" s="45">
        <v>20.017500905434158</v>
      </c>
      <c r="DA322" s="45" t="str">
        <v>Invest</v>
      </c>
      <c r="DU322" s="52"/>
      <c r="DV322" s="50"/>
    </row>
    <row r="323" spans="86:126" ht="23.5">
      <c r="CH323" s="45">
        <v>319</v>
      </c>
      <c r="CI323" s="45">
        <v>0</v>
      </c>
      <c r="CJ323" s="45" t="str">
        <v>Nothing</v>
      </c>
      <c r="CM323" s="45">
        <v>319</v>
      </c>
      <c r="CN323" s="48">
        <v>15.07230546410479</v>
      </c>
      <c r="CO323" s="45" t="str">
        <v>Invest</v>
      </c>
      <c r="CP323" s="61"/>
      <c r="CQ323" s="45">
        <v>319</v>
      </c>
      <c r="CR323" s="45">
        <v>0</v>
      </c>
      <c r="CS323" s="45" t="str">
        <v>Nothing</v>
      </c>
      <c r="CT323" s="61"/>
      <c r="CU323" s="45">
        <v>319</v>
      </c>
      <c r="CV323" s="45">
        <v>28.888493750171293</v>
      </c>
      <c r="CW323" s="45" t="str">
        <v>Invest</v>
      </c>
      <c r="CX323" s="61"/>
      <c r="CY323" s="45">
        <v>319</v>
      </c>
      <c r="CZ323" s="45">
        <v>19.096945113758395</v>
      </c>
      <c r="DA323" s="45" t="str">
        <v>Invest</v>
      </c>
      <c r="DU323" s="52"/>
      <c r="DV323" s="50"/>
    </row>
    <row r="324" spans="86:126" ht="23.5">
      <c r="CH324" s="45">
        <v>320</v>
      </c>
      <c r="CI324" s="45">
        <v>22.142968350921461</v>
      </c>
      <c r="CJ324" s="45" t="str">
        <v>Invest</v>
      </c>
      <c r="CM324" s="45">
        <v>320</v>
      </c>
      <c r="CN324" s="48">
        <v>9.9166099926068494</v>
      </c>
      <c r="CO324" s="45" t="str">
        <v>Invest</v>
      </c>
      <c r="CP324" s="61"/>
      <c r="CQ324" s="45">
        <v>320</v>
      </c>
      <c r="CR324" s="45">
        <v>18.180745293043017</v>
      </c>
      <c r="CS324" s="45" t="str">
        <v>Invest</v>
      </c>
      <c r="CT324" s="61"/>
      <c r="CU324" s="45">
        <v>320</v>
      </c>
      <c r="CV324" s="45">
        <v>7.8875091881820598</v>
      </c>
      <c r="CW324" s="45" t="str">
        <v>Invest</v>
      </c>
      <c r="CX324" s="61"/>
      <c r="CY324" s="45">
        <v>320</v>
      </c>
      <c r="CZ324" s="45">
        <v>27.490007245431002</v>
      </c>
      <c r="DA324" s="45" t="str">
        <v>Invest</v>
      </c>
      <c r="DU324" s="52"/>
      <c r="DV324" s="50"/>
    </row>
    <row r="325" spans="86:126" ht="23.5">
      <c r="CH325" s="45">
        <v>321</v>
      </c>
      <c r="CI325" s="45">
        <v>0</v>
      </c>
      <c r="CJ325" s="45" t="str">
        <v>Nothing</v>
      </c>
      <c r="CM325" s="45">
        <v>321</v>
      </c>
      <c r="CN325" s="48">
        <v>15.039183834041342</v>
      </c>
      <c r="CO325" s="45" t="str">
        <v>Invest</v>
      </c>
      <c r="CP325" s="61"/>
      <c r="CQ325" s="45">
        <v>321</v>
      </c>
      <c r="CR325" s="45">
        <v>29.015460446047356</v>
      </c>
      <c r="CS325" s="45" t="str">
        <v>Invest</v>
      </c>
      <c r="CT325" s="61"/>
      <c r="CU325" s="45">
        <v>321</v>
      </c>
      <c r="CV325" s="45">
        <v>0</v>
      </c>
      <c r="CW325" s="45" t="str">
        <v>Nothing</v>
      </c>
      <c r="CX325" s="61"/>
      <c r="CY325" s="45">
        <v>321</v>
      </c>
      <c r="CZ325" s="45">
        <v>32.613786746254647</v>
      </c>
      <c r="DA325" s="45" t="str">
        <v>Invest</v>
      </c>
      <c r="DU325" s="52"/>
      <c r="DV325" s="50"/>
    </row>
    <row r="326" spans="86:126" ht="23.5">
      <c r="CH326" s="45">
        <v>322</v>
      </c>
      <c r="CI326" s="45">
        <v>4.3103832772646307</v>
      </c>
      <c r="CJ326" s="45" t="str">
        <v>Invest</v>
      </c>
      <c r="CM326" s="45">
        <v>322</v>
      </c>
      <c r="CN326" s="48">
        <v>14.765789911306619</v>
      </c>
      <c r="CO326" s="45" t="str">
        <v>Invest</v>
      </c>
      <c r="CP326" s="61"/>
      <c r="CQ326" s="45">
        <v>322</v>
      </c>
      <c r="CR326" s="45">
        <v>0</v>
      </c>
      <c r="CS326" s="45" t="str">
        <v>Nothing</v>
      </c>
      <c r="CT326" s="61"/>
      <c r="CU326" s="45">
        <v>322</v>
      </c>
      <c r="CV326" s="45">
        <v>33.221700310512581</v>
      </c>
      <c r="CW326" s="45" t="str">
        <v>Invest</v>
      </c>
      <c r="CX326" s="61"/>
      <c r="CY326" s="45">
        <v>322</v>
      </c>
      <c r="CZ326" s="45">
        <v>26.501737319753101</v>
      </c>
      <c r="DA326" s="45" t="str">
        <v>Invest</v>
      </c>
      <c r="DU326" s="52"/>
      <c r="DV326" s="50"/>
    </row>
    <row r="327" spans="86:126" ht="23.5">
      <c r="CH327" s="45">
        <v>323</v>
      </c>
      <c r="CI327" s="45">
        <v>42.786360305310396</v>
      </c>
      <c r="CJ327" s="45" t="str">
        <v>Invest</v>
      </c>
      <c r="CM327" s="45">
        <v>323</v>
      </c>
      <c r="CN327" s="48">
        <v>13.39674785855868</v>
      </c>
      <c r="CO327" s="45" t="str">
        <v>Invest</v>
      </c>
      <c r="CP327" s="61"/>
      <c r="CQ327" s="45">
        <v>323</v>
      </c>
      <c r="CR327" s="45">
        <v>0</v>
      </c>
      <c r="CS327" s="45" t="str">
        <v>Nothing</v>
      </c>
      <c r="CT327" s="61"/>
      <c r="CU327" s="45">
        <v>323</v>
      </c>
      <c r="CV327" s="45">
        <v>24.635058360230044</v>
      </c>
      <c r="CW327" s="45" t="str">
        <v>Invest</v>
      </c>
      <c r="CX327" s="61"/>
      <c r="CY327" s="45">
        <v>323</v>
      </c>
      <c r="CZ327" s="45">
        <v>36.113983574761612</v>
      </c>
      <c r="DA327" s="45" t="str">
        <v>Invest</v>
      </c>
      <c r="DU327" s="52"/>
      <c r="DV327" s="50"/>
    </row>
    <row r="328" spans="86:126" ht="23.5">
      <c r="CH328" s="45">
        <v>324</v>
      </c>
      <c r="CI328" s="45">
        <v>11.2615346316146</v>
      </c>
      <c r="CJ328" s="45" t="str">
        <v>Invest</v>
      </c>
      <c r="CM328" s="45">
        <v>324</v>
      </c>
      <c r="CN328" s="48">
        <v>0</v>
      </c>
      <c r="CO328" s="45" t="str">
        <v>Nothing</v>
      </c>
      <c r="CP328" s="61"/>
      <c r="CQ328" s="45">
        <v>324</v>
      </c>
      <c r="CR328" s="45">
        <v>0</v>
      </c>
      <c r="CS328" s="45" t="str">
        <v>Nothing</v>
      </c>
      <c r="CT328" s="61"/>
      <c r="CU328" s="45">
        <v>324</v>
      </c>
      <c r="CV328" s="45">
        <v>0</v>
      </c>
      <c r="CW328" s="45" t="str">
        <v>Nothing</v>
      </c>
      <c r="CX328" s="61"/>
      <c r="CY328" s="45">
        <v>324</v>
      </c>
      <c r="CZ328" s="45">
        <v>40.626281998901135</v>
      </c>
      <c r="DA328" s="45" t="str">
        <v>Invest</v>
      </c>
      <c r="DU328" s="52"/>
      <c r="DV328" s="50"/>
    </row>
    <row r="329" spans="86:126" ht="23.5">
      <c r="CH329" s="45">
        <v>325</v>
      </c>
      <c r="CI329" s="45">
        <v>23.24267937231221</v>
      </c>
      <c r="CJ329" s="45" t="str">
        <v>Invest</v>
      </c>
      <c r="CM329" s="45">
        <v>325</v>
      </c>
      <c r="CN329" s="48">
        <v>0</v>
      </c>
      <c r="CO329" s="45" t="str">
        <v>Nothing</v>
      </c>
      <c r="CP329" s="61"/>
      <c r="CQ329" s="45">
        <v>325</v>
      </c>
      <c r="CR329" s="45">
        <v>0</v>
      </c>
      <c r="CS329" s="45" t="str">
        <v>Nothing</v>
      </c>
      <c r="CT329" s="61"/>
      <c r="CU329" s="45">
        <v>325</v>
      </c>
      <c r="CV329" s="45">
        <v>38.601129723889322</v>
      </c>
      <c r="CW329" s="45" t="str">
        <v>Invest</v>
      </c>
      <c r="CX329" s="61"/>
      <c r="CY329" s="45">
        <v>325</v>
      </c>
      <c r="CZ329" s="45">
        <v>2.303488950138795</v>
      </c>
      <c r="DA329" s="45" t="str">
        <v>Invest</v>
      </c>
      <c r="DU329" s="52"/>
      <c r="DV329" s="50"/>
    </row>
    <row r="330" spans="86:126" ht="23.5">
      <c r="CH330" s="45">
        <v>326</v>
      </c>
      <c r="CI330" s="45">
        <v>5.9566703337977707</v>
      </c>
      <c r="CJ330" s="45" t="str">
        <v>Invest</v>
      </c>
      <c r="CM330" s="45">
        <v>326</v>
      </c>
      <c r="CN330" s="48">
        <v>21.322076635921398</v>
      </c>
      <c r="CO330" s="45" t="str">
        <v>Invest</v>
      </c>
      <c r="CP330" s="61"/>
      <c r="CQ330" s="45">
        <v>326</v>
      </c>
      <c r="CR330" s="45">
        <v>0</v>
      </c>
      <c r="CS330" s="45" t="str">
        <v>Nothing</v>
      </c>
      <c r="CT330" s="61"/>
      <c r="CU330" s="45">
        <v>326</v>
      </c>
      <c r="CV330" s="45">
        <v>34.317548461540255</v>
      </c>
      <c r="CW330" s="45" t="str">
        <v>Invest</v>
      </c>
      <c r="CX330" s="61"/>
      <c r="CY330" s="45">
        <v>326</v>
      </c>
      <c r="CZ330" s="45">
        <v>26.650613474296463</v>
      </c>
      <c r="DA330" s="45" t="str">
        <v>Invest</v>
      </c>
      <c r="DU330" s="52"/>
      <c r="DV330" s="50"/>
    </row>
    <row r="331" spans="86:126" ht="23.5">
      <c r="CH331" s="45">
        <v>327</v>
      </c>
      <c r="CI331" s="45">
        <v>21.326386750284122</v>
      </c>
      <c r="CJ331" s="45" t="str">
        <v>Invest</v>
      </c>
      <c r="CM331" s="45">
        <v>327</v>
      </c>
      <c r="CN331" s="48">
        <v>9.4393638947212164</v>
      </c>
      <c r="CO331" s="45" t="str">
        <v>Invest</v>
      </c>
      <c r="CP331" s="61"/>
      <c r="CQ331" s="45">
        <v>327</v>
      </c>
      <c r="CR331" s="45">
        <v>0</v>
      </c>
      <c r="CS331" s="45" t="str">
        <v>Nothing</v>
      </c>
      <c r="CT331" s="61"/>
      <c r="CU331" s="45">
        <v>327</v>
      </c>
      <c r="CV331" s="45">
        <v>26.666952889089025</v>
      </c>
      <c r="CW331" s="45" t="str">
        <v>Invest</v>
      </c>
      <c r="CX331" s="61"/>
      <c r="CY331" s="45">
        <v>327</v>
      </c>
      <c r="CZ331" s="45">
        <v>0</v>
      </c>
      <c r="DA331" s="45" t="str">
        <v>Nothing</v>
      </c>
      <c r="DU331" s="52"/>
      <c r="DV331" s="50"/>
    </row>
    <row r="332" spans="86:126" ht="23.5">
      <c r="CH332" s="45">
        <v>328</v>
      </c>
      <c r="CI332" s="45">
        <v>22.813549784147447</v>
      </c>
      <c r="CJ332" s="45" t="str">
        <v>Invest</v>
      </c>
      <c r="CM332" s="45">
        <v>328</v>
      </c>
      <c r="CN332" s="48">
        <v>49.849485222358666</v>
      </c>
      <c r="CO332" s="45" t="str">
        <v>Invest</v>
      </c>
      <c r="CP332" s="61"/>
      <c r="CQ332" s="45">
        <v>328</v>
      </c>
      <c r="CR332" s="45">
        <v>25.494929981094884</v>
      </c>
      <c r="CS332" s="45" t="str">
        <v>Invest</v>
      </c>
      <c r="CT332" s="61"/>
      <c r="CU332" s="45">
        <v>328</v>
      </c>
      <c r="CV332" s="45">
        <v>45.568341384412768</v>
      </c>
      <c r="CW332" s="45" t="str">
        <v>Invest</v>
      </c>
      <c r="CX332" s="61"/>
      <c r="CY332" s="45">
        <v>328</v>
      </c>
      <c r="CZ332" s="45">
        <v>0</v>
      </c>
      <c r="DA332" s="45" t="str">
        <v>Nothing</v>
      </c>
      <c r="DU332" s="52"/>
      <c r="DV332" s="50"/>
    </row>
    <row r="333" spans="86:126" ht="23.5">
      <c r="CH333" s="45">
        <v>329</v>
      </c>
      <c r="CI333" s="45">
        <v>0</v>
      </c>
      <c r="CJ333" s="45" t="str">
        <v>Nothing</v>
      </c>
      <c r="CM333" s="45">
        <v>329</v>
      </c>
      <c r="CN333" s="48">
        <v>0</v>
      </c>
      <c r="CO333" s="45" t="str">
        <v>Nothing</v>
      </c>
      <c r="CP333" s="61"/>
      <c r="CQ333" s="45">
        <v>329</v>
      </c>
      <c r="CR333" s="45">
        <v>31.755274480596007</v>
      </c>
      <c r="CS333" s="45" t="str">
        <v>Invest</v>
      </c>
      <c r="CT333" s="61"/>
      <c r="CU333" s="45">
        <v>329</v>
      </c>
      <c r="CV333" s="45">
        <v>23.180644597569191</v>
      </c>
      <c r="CW333" s="45" t="str">
        <v>Invest</v>
      </c>
      <c r="CX333" s="61"/>
      <c r="CY333" s="45">
        <v>329</v>
      </c>
      <c r="CZ333" s="45">
        <v>6.0233863216613024</v>
      </c>
      <c r="DA333" s="45" t="str">
        <v>Invest</v>
      </c>
      <c r="DU333" s="52"/>
      <c r="DV333" s="50"/>
    </row>
    <row r="334" spans="86:126" ht="23.5">
      <c r="CH334" s="45">
        <v>330</v>
      </c>
      <c r="CI334" s="45">
        <v>19.60074042555274</v>
      </c>
      <c r="CJ334" s="45" t="str">
        <v>Invest</v>
      </c>
      <c r="CM334" s="45">
        <v>330</v>
      </c>
      <c r="CN334" s="48">
        <v>26.112967175092844</v>
      </c>
      <c r="CO334" s="45" t="str">
        <v>Invest</v>
      </c>
      <c r="CP334" s="61"/>
      <c r="CQ334" s="45">
        <v>330</v>
      </c>
      <c r="CR334" s="45">
        <v>0</v>
      </c>
      <c r="CS334" s="45" t="str">
        <v>Nothing</v>
      </c>
      <c r="CT334" s="61"/>
      <c r="CU334" s="45">
        <v>330</v>
      </c>
      <c r="CV334" s="45">
        <v>19.19096297343556</v>
      </c>
      <c r="CW334" s="45" t="str">
        <v>Invest</v>
      </c>
      <c r="CX334" s="61"/>
      <c r="CY334" s="45">
        <v>330</v>
      </c>
      <c r="CZ334" s="45">
        <v>37.105762097144002</v>
      </c>
      <c r="DA334" s="45" t="str">
        <v>Invest</v>
      </c>
      <c r="DU334" s="52"/>
      <c r="DV334" s="50"/>
    </row>
    <row r="335" spans="86:126" ht="23.5">
      <c r="CH335" s="45">
        <v>331</v>
      </c>
      <c r="CI335" s="45">
        <v>0</v>
      </c>
      <c r="CJ335" s="45" t="str">
        <v>Nothing</v>
      </c>
      <c r="CM335" s="45">
        <v>331</v>
      </c>
      <c r="CN335" s="48">
        <v>0</v>
      </c>
      <c r="CO335" s="45" t="str">
        <v>Nothing</v>
      </c>
      <c r="CP335" s="61"/>
      <c r="CQ335" s="45">
        <v>331</v>
      </c>
      <c r="CR335" s="45">
        <v>31.999165838995044</v>
      </c>
      <c r="CS335" s="45" t="str">
        <v>Invest</v>
      </c>
      <c r="CT335" s="61"/>
      <c r="CU335" s="45">
        <v>331</v>
      </c>
      <c r="CV335" s="45">
        <v>14.622947129118977</v>
      </c>
      <c r="CW335" s="45" t="str">
        <v>Invest</v>
      </c>
      <c r="CX335" s="61"/>
      <c r="CY335" s="45">
        <v>331</v>
      </c>
      <c r="CZ335" s="45">
        <v>30.770039663955544</v>
      </c>
      <c r="DA335" s="45" t="str">
        <v>Invest</v>
      </c>
      <c r="DU335" s="52"/>
      <c r="DV335" s="50"/>
    </row>
    <row r="336" spans="86:126" ht="23.5">
      <c r="CH336" s="45">
        <v>332</v>
      </c>
      <c r="CI336" s="45">
        <v>18.406307628303178</v>
      </c>
      <c r="CJ336" s="45" t="str">
        <v>Invest</v>
      </c>
      <c r="CM336" s="45">
        <v>332</v>
      </c>
      <c r="CN336" s="48">
        <v>30.943247538849562</v>
      </c>
      <c r="CO336" s="45" t="str">
        <v>Invest</v>
      </c>
      <c r="CP336" s="61"/>
      <c r="CQ336" s="45">
        <v>332</v>
      </c>
      <c r="CR336" s="45">
        <v>0</v>
      </c>
      <c r="CS336" s="45" t="str">
        <v>Nothing</v>
      </c>
      <c r="CT336" s="61"/>
      <c r="CU336" s="45">
        <v>332</v>
      </c>
      <c r="CV336" s="45">
        <v>45.408417562551001</v>
      </c>
      <c r="CW336" s="45" t="str">
        <v>Invest</v>
      </c>
      <c r="CX336" s="61"/>
      <c r="CY336" s="45">
        <v>332</v>
      </c>
      <c r="CZ336" s="45">
        <v>16.15841243088132</v>
      </c>
      <c r="DA336" s="45" t="str">
        <v>Invest</v>
      </c>
      <c r="DU336" s="52"/>
      <c r="DV336" s="50"/>
    </row>
    <row r="337" spans="86:126" ht="23.5">
      <c r="CH337" s="45">
        <v>333</v>
      </c>
      <c r="CI337" s="45">
        <v>44.648562336220692</v>
      </c>
      <c r="CJ337" s="45" t="str">
        <v>Invest</v>
      </c>
      <c r="CM337" s="45">
        <v>333</v>
      </c>
      <c r="CN337" s="48">
        <v>18.809183926755779</v>
      </c>
      <c r="CO337" s="45" t="str">
        <v>Invest</v>
      </c>
      <c r="CP337" s="61"/>
      <c r="CQ337" s="45">
        <v>333</v>
      </c>
      <c r="CR337" s="45">
        <v>3.7689864411691705</v>
      </c>
      <c r="CS337" s="45" t="str">
        <v>Invest</v>
      </c>
      <c r="CT337" s="61"/>
      <c r="CU337" s="45">
        <v>333</v>
      </c>
      <c r="CV337" s="45">
        <v>52.685401246267297</v>
      </c>
      <c r="CW337" s="45" t="str">
        <v>Invest</v>
      </c>
      <c r="CX337" s="61"/>
      <c r="CY337" s="45">
        <v>333</v>
      </c>
      <c r="CZ337" s="45">
        <v>48.174890983934588</v>
      </c>
      <c r="DA337" s="45" t="str">
        <v>Invest</v>
      </c>
      <c r="DU337" s="52"/>
      <c r="DV337" s="50"/>
    </row>
    <row r="338" spans="86:126" ht="23.5">
      <c r="CH338" s="45">
        <v>334</v>
      </c>
      <c r="CI338" s="45">
        <v>0</v>
      </c>
      <c r="CJ338" s="45" t="str">
        <v>Nothing</v>
      </c>
      <c r="CM338" s="45">
        <v>334</v>
      </c>
      <c r="CN338" s="48">
        <v>8.3207775677651945</v>
      </c>
      <c r="CO338" s="45" t="str">
        <v>Invest</v>
      </c>
      <c r="CP338" s="61"/>
      <c r="CQ338" s="45">
        <v>334</v>
      </c>
      <c r="CR338" s="45">
        <v>42.655691250693145</v>
      </c>
      <c r="CS338" s="45" t="str">
        <v>Invest</v>
      </c>
      <c r="CT338" s="61"/>
      <c r="CU338" s="45">
        <v>334</v>
      </c>
      <c r="CV338" s="45">
        <v>53.184892027689223</v>
      </c>
      <c r="CW338" s="45" t="str">
        <v>Invest</v>
      </c>
      <c r="CX338" s="61"/>
      <c r="CY338" s="45">
        <v>334</v>
      </c>
      <c r="CZ338" s="45">
        <v>11.679410939724676</v>
      </c>
      <c r="DA338" s="45" t="str">
        <v>Invest</v>
      </c>
      <c r="DU338" s="52"/>
      <c r="DV338" s="50"/>
    </row>
    <row r="339" spans="86:126" ht="23.5">
      <c r="CH339" s="45">
        <v>335</v>
      </c>
      <c r="CI339" s="45">
        <v>23.523315799039217</v>
      </c>
      <c r="CJ339" s="45" t="str">
        <v>Invest</v>
      </c>
      <c r="CM339" s="45">
        <v>335</v>
      </c>
      <c r="CN339" s="48">
        <v>0</v>
      </c>
      <c r="CO339" s="45" t="str">
        <v>Nothing</v>
      </c>
      <c r="CP339" s="61"/>
      <c r="CQ339" s="45">
        <v>335</v>
      </c>
      <c r="CR339" s="45">
        <v>9.9295634798294827</v>
      </c>
      <c r="CS339" s="45" t="str">
        <v>Invest</v>
      </c>
      <c r="CT339" s="61"/>
      <c r="CU339" s="45">
        <v>335</v>
      </c>
      <c r="CV339" s="45">
        <v>34.939359607633541</v>
      </c>
      <c r="CW339" s="45" t="str">
        <v>Invest</v>
      </c>
      <c r="CX339" s="61"/>
      <c r="CY339" s="45">
        <v>335</v>
      </c>
      <c r="CZ339" s="45">
        <v>24.329068231207575</v>
      </c>
      <c r="DA339" s="45" t="str">
        <v>Invest</v>
      </c>
      <c r="DU339" s="52"/>
      <c r="DV339" s="50"/>
    </row>
    <row r="340" spans="86:126" ht="23.5">
      <c r="CH340" s="45">
        <v>336</v>
      </c>
      <c r="CI340" s="45">
        <v>31.816833490062713</v>
      </c>
      <c r="CJ340" s="45" t="str">
        <v>Invest</v>
      </c>
      <c r="CM340" s="45">
        <v>336</v>
      </c>
      <c r="CN340" s="48">
        <v>0</v>
      </c>
      <c r="CO340" s="45" t="str">
        <v>Nothing</v>
      </c>
      <c r="CP340" s="61"/>
      <c r="CQ340" s="45">
        <v>336</v>
      </c>
      <c r="CR340" s="45">
        <v>0</v>
      </c>
      <c r="CS340" s="45" t="str">
        <v>Nothing</v>
      </c>
      <c r="CT340" s="61"/>
      <c r="CU340" s="45">
        <v>336</v>
      </c>
      <c r="CV340" s="45">
        <v>0</v>
      </c>
      <c r="CW340" s="45" t="str">
        <v>Nothing</v>
      </c>
      <c r="CX340" s="61"/>
      <c r="CY340" s="45">
        <v>336</v>
      </c>
      <c r="CZ340" s="45">
        <v>12.710910460661193</v>
      </c>
      <c r="DA340" s="45" t="str">
        <v>Invest</v>
      </c>
      <c r="DU340" s="52"/>
      <c r="DV340" s="50"/>
    </row>
    <row r="341" spans="86:126" ht="23.5">
      <c r="CH341" s="45">
        <v>337</v>
      </c>
      <c r="CI341" s="45">
        <v>0</v>
      </c>
      <c r="CJ341" s="45" t="str">
        <v>Nothing</v>
      </c>
      <c r="CM341" s="45">
        <v>337</v>
      </c>
      <c r="CN341" s="48">
        <v>18.641877593204008</v>
      </c>
      <c r="CO341" s="45" t="str">
        <v>Invest</v>
      </c>
      <c r="CP341" s="61"/>
      <c r="CQ341" s="45">
        <v>337</v>
      </c>
      <c r="CR341" s="45">
        <v>0.19123967082881421</v>
      </c>
      <c r="CS341" s="45" t="str">
        <v>Invest</v>
      </c>
      <c r="CT341" s="61"/>
      <c r="CU341" s="45">
        <v>337</v>
      </c>
      <c r="CV341" s="45">
        <v>38.310376208901531</v>
      </c>
      <c r="CW341" s="45" t="str">
        <v>Invest</v>
      </c>
      <c r="CX341" s="61"/>
      <c r="CY341" s="45">
        <v>337</v>
      </c>
      <c r="CZ341" s="45">
        <v>27.557100475375258</v>
      </c>
      <c r="DA341" s="45" t="str">
        <v>Invest</v>
      </c>
      <c r="DU341" s="52"/>
      <c r="DV341" s="50"/>
    </row>
    <row r="342" spans="86:126" ht="23.5">
      <c r="CH342" s="45">
        <v>338</v>
      </c>
      <c r="CI342" s="45">
        <v>0</v>
      </c>
      <c r="CJ342" s="45" t="str">
        <v>Nothing</v>
      </c>
      <c r="CM342" s="45">
        <v>338</v>
      </c>
      <c r="CN342" s="48">
        <v>0</v>
      </c>
      <c r="CO342" s="45" t="str">
        <v>Nothing</v>
      </c>
      <c r="CP342" s="61"/>
      <c r="CQ342" s="45">
        <v>338</v>
      </c>
      <c r="CR342" s="45">
        <v>7.747582046098211</v>
      </c>
      <c r="CS342" s="45" t="str">
        <v>Invest</v>
      </c>
      <c r="CT342" s="61"/>
      <c r="CU342" s="45">
        <v>338</v>
      </c>
      <c r="CV342" s="45">
        <v>2.9555217677661076</v>
      </c>
      <c r="CW342" s="45" t="str">
        <v>Invest</v>
      </c>
      <c r="CX342" s="61"/>
      <c r="CY342" s="45">
        <v>338</v>
      </c>
      <c r="CZ342" s="45">
        <v>0</v>
      </c>
      <c r="DA342" s="45" t="str">
        <v>Nothing</v>
      </c>
      <c r="DU342" s="52"/>
      <c r="DV342" s="50"/>
    </row>
    <row r="343" spans="86:126" ht="23.5">
      <c r="CH343" s="45">
        <v>339</v>
      </c>
      <c r="CI343" s="45">
        <v>9.0723613806184922</v>
      </c>
      <c r="CJ343" s="45" t="str">
        <v>Invest</v>
      </c>
      <c r="CM343" s="45">
        <v>339</v>
      </c>
      <c r="CN343" s="48">
        <v>0</v>
      </c>
      <c r="CO343" s="45" t="str">
        <v>Nothing</v>
      </c>
      <c r="CP343" s="61"/>
      <c r="CQ343" s="45">
        <v>339</v>
      </c>
      <c r="CR343" s="45">
        <v>45.668081142292642</v>
      </c>
      <c r="CS343" s="45" t="str">
        <v>Invest</v>
      </c>
      <c r="CT343" s="61"/>
      <c r="CU343" s="45">
        <v>339</v>
      </c>
      <c r="CV343" s="45">
        <v>33.644287424681139</v>
      </c>
      <c r="CW343" s="45" t="str">
        <v>Invest</v>
      </c>
      <c r="CX343" s="61"/>
      <c r="CY343" s="45">
        <v>339</v>
      </c>
      <c r="CZ343" s="45">
        <v>0</v>
      </c>
      <c r="DA343" s="45" t="str">
        <v>Nothing</v>
      </c>
      <c r="DU343" s="52"/>
      <c r="DV343" s="50"/>
    </row>
    <row r="344" spans="86:126" ht="23.5">
      <c r="CH344" s="45">
        <v>340</v>
      </c>
      <c r="CI344" s="45">
        <v>50.767818230721382</v>
      </c>
      <c r="CJ344" s="45" t="str">
        <v>Invest</v>
      </c>
      <c r="CM344" s="45">
        <v>340</v>
      </c>
      <c r="CN344" s="48">
        <v>0</v>
      </c>
      <c r="CO344" s="45" t="str">
        <v>Nothing</v>
      </c>
      <c r="CP344" s="61"/>
      <c r="CQ344" s="45">
        <v>340</v>
      </c>
      <c r="CR344" s="45">
        <v>33.689165434989413</v>
      </c>
      <c r="CS344" s="45" t="str">
        <v>Invest</v>
      </c>
      <c r="CT344" s="61"/>
      <c r="CU344" s="45">
        <v>340</v>
      </c>
      <c r="CV344" s="45">
        <v>39.449818048713681</v>
      </c>
      <c r="CW344" s="45" t="str">
        <v>Invest</v>
      </c>
      <c r="CX344" s="61"/>
      <c r="CY344" s="45">
        <v>340</v>
      </c>
      <c r="CZ344" s="45">
        <v>0</v>
      </c>
      <c r="DA344" s="45" t="str">
        <v>Nothing</v>
      </c>
      <c r="DU344" s="52"/>
      <c r="DV344" s="50"/>
    </row>
    <row r="345" spans="86:126" ht="23.5">
      <c r="CH345" s="45">
        <v>341</v>
      </c>
      <c r="CI345" s="45">
        <v>45.028975036694952</v>
      </c>
      <c r="CJ345" s="45" t="str">
        <v>Invest</v>
      </c>
      <c r="CM345" s="45">
        <v>341</v>
      </c>
      <c r="CN345" s="48">
        <v>24.193363651079338</v>
      </c>
      <c r="CO345" s="45" t="str">
        <v>Invest</v>
      </c>
      <c r="CP345" s="61"/>
      <c r="CQ345" s="45">
        <v>341</v>
      </c>
      <c r="CR345" s="45">
        <v>2.5564476046342772</v>
      </c>
      <c r="CS345" s="45" t="str">
        <v>Invest</v>
      </c>
      <c r="CT345" s="61"/>
      <c r="CU345" s="45">
        <v>341</v>
      </c>
      <c r="CV345" s="45">
        <v>0</v>
      </c>
      <c r="CW345" s="45" t="str">
        <v>Nothing</v>
      </c>
      <c r="CX345" s="61"/>
      <c r="CY345" s="45">
        <v>341</v>
      </c>
      <c r="CZ345" s="45">
        <v>19.869084383421505</v>
      </c>
      <c r="DA345" s="45" t="str">
        <v>Invest</v>
      </c>
      <c r="DU345" s="52"/>
      <c r="DV345" s="50"/>
    </row>
    <row r="346" spans="86:126" ht="23.5">
      <c r="CH346" s="45">
        <v>342</v>
      </c>
      <c r="CI346" s="45">
        <v>31.861016148817328</v>
      </c>
      <c r="CJ346" s="45" t="str">
        <v>Invest</v>
      </c>
      <c r="CM346" s="45">
        <v>342</v>
      </c>
      <c r="CN346" s="48">
        <v>15.176919557439938</v>
      </c>
      <c r="CO346" s="45" t="str">
        <v>Invest</v>
      </c>
      <c r="CP346" s="61"/>
      <c r="CQ346" s="45">
        <v>342</v>
      </c>
      <c r="CR346" s="45">
        <v>0</v>
      </c>
      <c r="CS346" s="45" t="str">
        <v>Nothing</v>
      </c>
      <c r="CT346" s="61"/>
      <c r="CU346" s="45">
        <v>342</v>
      </c>
      <c r="CV346" s="45">
        <v>25.697414041820267</v>
      </c>
      <c r="CW346" s="45" t="str">
        <v>Invest</v>
      </c>
      <c r="CX346" s="61"/>
      <c r="CY346" s="45">
        <v>342</v>
      </c>
      <c r="CZ346" s="45">
        <v>0</v>
      </c>
      <c r="DA346" s="45" t="str">
        <v>Nothing</v>
      </c>
      <c r="DU346" s="52"/>
      <c r="DV346" s="50"/>
    </row>
    <row r="347" spans="86:126" ht="23.5">
      <c r="CH347" s="45">
        <v>343</v>
      </c>
      <c r="CI347" s="45">
        <v>6.0491241196857608</v>
      </c>
      <c r="CJ347" s="45" t="str">
        <v>Invest</v>
      </c>
      <c r="CM347" s="45">
        <v>343</v>
      </c>
      <c r="CN347" s="48">
        <v>6.805573040483516</v>
      </c>
      <c r="CO347" s="45" t="str">
        <v>Invest</v>
      </c>
      <c r="CP347" s="61"/>
      <c r="CQ347" s="45">
        <v>343</v>
      </c>
      <c r="CR347" s="45">
        <v>20.921692852991239</v>
      </c>
      <c r="CS347" s="45" t="str">
        <v>Invest</v>
      </c>
      <c r="CT347" s="61"/>
      <c r="CU347" s="45">
        <v>343</v>
      </c>
      <c r="CV347" s="45">
        <v>14.716230905088274</v>
      </c>
      <c r="CW347" s="45" t="str">
        <v>Invest</v>
      </c>
      <c r="CX347" s="61"/>
      <c r="CY347" s="45">
        <v>343</v>
      </c>
      <c r="CZ347" s="45">
        <v>5.6053428398191301</v>
      </c>
      <c r="DA347" s="45" t="str">
        <v>Invest</v>
      </c>
      <c r="DU347" s="52"/>
      <c r="DV347" s="50"/>
    </row>
    <row r="348" spans="86:126" ht="23.5">
      <c r="CH348" s="45">
        <v>344</v>
      </c>
      <c r="CI348" s="45">
        <v>2.7545383398244851</v>
      </c>
      <c r="CJ348" s="45" t="str">
        <v>Invest</v>
      </c>
      <c r="CM348" s="45">
        <v>344</v>
      </c>
      <c r="CN348" s="48">
        <v>47.493679694866429</v>
      </c>
      <c r="CO348" s="45" t="str">
        <v>Invest</v>
      </c>
      <c r="CP348" s="61"/>
      <c r="CQ348" s="45">
        <v>344</v>
      </c>
      <c r="CR348" s="45">
        <v>0</v>
      </c>
      <c r="CS348" s="45" t="str">
        <v>Nothing</v>
      </c>
      <c r="CT348" s="61"/>
      <c r="CU348" s="45">
        <v>344</v>
      </c>
      <c r="CV348" s="45">
        <v>26.218214059730307</v>
      </c>
      <c r="CW348" s="45" t="str">
        <v>Invest</v>
      </c>
      <c r="CX348" s="61"/>
      <c r="CY348" s="45">
        <v>344</v>
      </c>
      <c r="CZ348" s="45">
        <v>13.198106234328108</v>
      </c>
      <c r="DA348" s="45" t="str">
        <v>Invest</v>
      </c>
      <c r="DU348" s="52"/>
      <c r="DV348" s="50"/>
    </row>
    <row r="349" spans="86:126" ht="23.5">
      <c r="CH349" s="45">
        <v>345</v>
      </c>
      <c r="CI349" s="45">
        <v>19.202694285608018</v>
      </c>
      <c r="CJ349" s="45" t="str">
        <v>Invest</v>
      </c>
      <c r="CM349" s="45">
        <v>345</v>
      </c>
      <c r="CN349" s="48">
        <v>26.280376475833673</v>
      </c>
      <c r="CO349" s="45" t="str">
        <v>Invest</v>
      </c>
      <c r="CP349" s="61"/>
      <c r="CQ349" s="45">
        <v>345</v>
      </c>
      <c r="CR349" s="45">
        <v>29.994479193139728</v>
      </c>
      <c r="CS349" s="45" t="str">
        <v>Invest</v>
      </c>
      <c r="CT349" s="61"/>
      <c r="CU349" s="45">
        <v>345</v>
      </c>
      <c r="CV349" s="45">
        <v>65.626583445367899</v>
      </c>
      <c r="CW349" s="45" t="str">
        <v>Invest</v>
      </c>
      <c r="CX349" s="61"/>
      <c r="CY349" s="45">
        <v>345</v>
      </c>
      <c r="CZ349" s="45">
        <v>35.536332150648839</v>
      </c>
      <c r="DA349" s="45" t="str">
        <v>Invest</v>
      </c>
      <c r="DU349" s="52"/>
      <c r="DV349" s="50"/>
    </row>
    <row r="350" spans="86:126" ht="23.5">
      <c r="CH350" s="45">
        <v>346</v>
      </c>
      <c r="CI350" s="45">
        <v>0</v>
      </c>
      <c r="CJ350" s="45" t="str">
        <v>Nothing</v>
      </c>
      <c r="CM350" s="45">
        <v>346</v>
      </c>
      <c r="CN350" s="48">
        <v>57.773449239731889</v>
      </c>
      <c r="CO350" s="45" t="str">
        <v>Invest</v>
      </c>
      <c r="CP350" s="61"/>
      <c r="CQ350" s="45">
        <v>346</v>
      </c>
      <c r="CR350" s="45">
        <v>50.637187139933197</v>
      </c>
      <c r="CS350" s="45" t="str">
        <v>Invest</v>
      </c>
      <c r="CT350" s="61"/>
      <c r="CU350" s="45">
        <v>346</v>
      </c>
      <c r="CV350" s="45">
        <v>5.4024601770996306</v>
      </c>
      <c r="CW350" s="45" t="str">
        <v>Invest</v>
      </c>
      <c r="CX350" s="61"/>
      <c r="CY350" s="45">
        <v>346</v>
      </c>
      <c r="CZ350" s="45">
        <v>0</v>
      </c>
      <c r="DA350" s="45" t="str">
        <v>Nothing</v>
      </c>
      <c r="DU350" s="52"/>
      <c r="DV350" s="50"/>
    </row>
    <row r="351" spans="86:126" ht="23.5">
      <c r="CH351" s="45">
        <v>347</v>
      </c>
      <c r="CI351" s="45">
        <v>38.590645798214886</v>
      </c>
      <c r="CJ351" s="45" t="str">
        <v>Invest</v>
      </c>
      <c r="CM351" s="45">
        <v>347</v>
      </c>
      <c r="CN351" s="48">
        <v>0</v>
      </c>
      <c r="CO351" s="45" t="str">
        <v>Nothing</v>
      </c>
      <c r="CP351" s="61"/>
      <c r="CQ351" s="45">
        <v>347</v>
      </c>
      <c r="CR351" s="45">
        <v>16.08835397259951</v>
      </c>
      <c r="CS351" s="45" t="str">
        <v>Invest</v>
      </c>
      <c r="CT351" s="61"/>
      <c r="CU351" s="45">
        <v>347</v>
      </c>
      <c r="CV351" s="45">
        <v>47.214325881195826</v>
      </c>
      <c r="CW351" s="45" t="str">
        <v>Invest</v>
      </c>
      <c r="CX351" s="61"/>
      <c r="CY351" s="45">
        <v>347</v>
      </c>
      <c r="CZ351" s="45">
        <v>27.824782933639952</v>
      </c>
      <c r="DA351" s="45" t="str">
        <v>Invest</v>
      </c>
      <c r="DU351" s="52"/>
      <c r="DV351" s="50"/>
    </row>
    <row r="352" spans="86:126" ht="23.5">
      <c r="CH352" s="45">
        <v>348</v>
      </c>
      <c r="CI352" s="45">
        <v>13.60247790728371</v>
      </c>
      <c r="CJ352" s="45" t="str">
        <v>Invest</v>
      </c>
      <c r="CM352" s="45">
        <v>348</v>
      </c>
      <c r="CN352" s="48">
        <v>15.867235100500913</v>
      </c>
      <c r="CO352" s="45" t="str">
        <v>Invest</v>
      </c>
      <c r="CP352" s="61"/>
      <c r="CQ352" s="45">
        <v>348</v>
      </c>
      <c r="CR352" s="45">
        <v>5.1874357982147181</v>
      </c>
      <c r="CS352" s="45" t="str">
        <v>Invest</v>
      </c>
      <c r="CT352" s="61"/>
      <c r="CU352" s="45">
        <v>348</v>
      </c>
      <c r="CV352" s="45">
        <v>8.7304315121377982</v>
      </c>
      <c r="CW352" s="45" t="str">
        <v>Invest</v>
      </c>
      <c r="CX352" s="61"/>
      <c r="CY352" s="45">
        <v>348</v>
      </c>
      <c r="CZ352" s="45">
        <v>23.053974903463228</v>
      </c>
      <c r="DA352" s="45" t="str">
        <v>Invest</v>
      </c>
      <c r="DU352" s="52"/>
      <c r="DV352" s="50"/>
    </row>
    <row r="353" spans="86:126" ht="23.5">
      <c r="CH353" s="45">
        <v>349</v>
      </c>
      <c r="CI353" s="45">
        <v>4.0381166063883249</v>
      </c>
      <c r="CJ353" s="45" t="str">
        <v>Invest</v>
      </c>
      <c r="CM353" s="45">
        <v>349</v>
      </c>
      <c r="CN353" s="48">
        <v>38.200023281525191</v>
      </c>
      <c r="CO353" s="45" t="str">
        <v>Invest</v>
      </c>
      <c r="CP353" s="61"/>
      <c r="CQ353" s="45">
        <v>349</v>
      </c>
      <c r="CR353" s="45">
        <v>33.01937998173667</v>
      </c>
      <c r="CS353" s="45" t="str">
        <v>Invest</v>
      </c>
      <c r="CT353" s="61"/>
      <c r="CU353" s="45">
        <v>349</v>
      </c>
      <c r="CV353" s="45">
        <v>0</v>
      </c>
      <c r="CW353" s="45" t="str">
        <v>Nothing</v>
      </c>
      <c r="CX353" s="61"/>
      <c r="CY353" s="45">
        <v>349</v>
      </c>
      <c r="CZ353" s="45">
        <v>29.888741862926274</v>
      </c>
      <c r="DA353" s="45" t="str">
        <v>Invest</v>
      </c>
      <c r="DU353" s="52"/>
      <c r="DV353" s="50"/>
    </row>
    <row r="354" spans="86:126" ht="23.5">
      <c r="CH354" s="45">
        <v>350</v>
      </c>
      <c r="CI354" s="45">
        <v>7.345102296546024</v>
      </c>
      <c r="CJ354" s="45" t="str">
        <v>Invest</v>
      </c>
      <c r="CM354" s="45">
        <v>350</v>
      </c>
      <c r="CN354" s="48">
        <v>0</v>
      </c>
      <c r="CO354" s="45" t="str">
        <v>Nothing</v>
      </c>
      <c r="CP354" s="61"/>
      <c r="CQ354" s="45">
        <v>350</v>
      </c>
      <c r="CR354" s="45">
        <v>0</v>
      </c>
      <c r="CS354" s="45" t="str">
        <v>Nothing</v>
      </c>
      <c r="CT354" s="61"/>
      <c r="CU354" s="45">
        <v>350</v>
      </c>
      <c r="CV354" s="45">
        <v>15.214495525731561</v>
      </c>
      <c r="CW354" s="45" t="str">
        <v>Invest</v>
      </c>
      <c r="CX354" s="61"/>
      <c r="CY354" s="45">
        <v>350</v>
      </c>
      <c r="CZ354" s="45">
        <v>25.640774147497265</v>
      </c>
      <c r="DA354" s="45" t="str">
        <v>Invest</v>
      </c>
      <c r="DU354" s="52"/>
      <c r="DV354" s="50"/>
    </row>
    <row r="355" spans="86:126" ht="23.5">
      <c r="CH355" s="45">
        <v>351</v>
      </c>
      <c r="CI355" s="45">
        <v>0</v>
      </c>
      <c r="CJ355" s="45" t="str">
        <v>Nothing</v>
      </c>
      <c r="CM355" s="45">
        <v>351</v>
      </c>
      <c r="CN355" s="48">
        <v>0</v>
      </c>
      <c r="CO355" s="45" t="str">
        <v>Nothing</v>
      </c>
      <c r="CP355" s="61"/>
      <c r="CQ355" s="45">
        <v>351</v>
      </c>
      <c r="CR355" s="45">
        <v>25.579817762510224</v>
      </c>
      <c r="CS355" s="45" t="str">
        <v>Invest</v>
      </c>
      <c r="CT355" s="61"/>
      <c r="CU355" s="45">
        <v>351</v>
      </c>
      <c r="CV355" s="45">
        <v>37.483703175752368</v>
      </c>
      <c r="CW355" s="45" t="str">
        <v>Invest</v>
      </c>
      <c r="CX355" s="61"/>
      <c r="CY355" s="45">
        <v>351</v>
      </c>
      <c r="CZ355" s="45">
        <v>33.094318760183235</v>
      </c>
      <c r="DA355" s="45" t="str">
        <v>Invest</v>
      </c>
      <c r="DU355" s="52"/>
      <c r="DV355" s="50"/>
    </row>
    <row r="356" spans="86:126" ht="23.5">
      <c r="CH356" s="45">
        <v>352</v>
      </c>
      <c r="CI356" s="45">
        <v>13.994058850645697</v>
      </c>
      <c r="CJ356" s="45" t="str">
        <v>Invest</v>
      </c>
      <c r="CM356" s="45">
        <v>352</v>
      </c>
      <c r="CN356" s="48">
        <v>0</v>
      </c>
      <c r="CO356" s="45" t="str">
        <v>Nothing</v>
      </c>
      <c r="CP356" s="61"/>
      <c r="CQ356" s="45">
        <v>352</v>
      </c>
      <c r="CR356" s="45">
        <v>10.182427431785714</v>
      </c>
      <c r="CS356" s="45" t="str">
        <v>Invest</v>
      </c>
      <c r="CT356" s="61"/>
      <c r="CU356" s="45">
        <v>352</v>
      </c>
      <c r="CV356" s="45">
        <v>0</v>
      </c>
      <c r="CW356" s="45" t="str">
        <v>Nothing</v>
      </c>
      <c r="CX356" s="61"/>
      <c r="CY356" s="45">
        <v>352</v>
      </c>
      <c r="CZ356" s="45">
        <v>37.486115142512766</v>
      </c>
      <c r="DA356" s="45" t="str">
        <v>Invest</v>
      </c>
      <c r="DU356" s="52"/>
      <c r="DV356" s="50"/>
    </row>
    <row r="357" spans="86:126" ht="23.5">
      <c r="CH357" s="45">
        <v>353</v>
      </c>
      <c r="CI357" s="45">
        <v>7.4821900850197842</v>
      </c>
      <c r="CJ357" s="45" t="str">
        <v>Invest</v>
      </c>
      <c r="CM357" s="45">
        <v>353</v>
      </c>
      <c r="CN357" s="48">
        <v>0</v>
      </c>
      <c r="CO357" s="45" t="str">
        <v>Nothing</v>
      </c>
      <c r="CP357" s="61"/>
      <c r="CQ357" s="45">
        <v>353</v>
      </c>
      <c r="CR357" s="45">
        <v>0</v>
      </c>
      <c r="CS357" s="45" t="str">
        <v>Nothing</v>
      </c>
      <c r="CT357" s="61"/>
      <c r="CU357" s="45">
        <v>353</v>
      </c>
      <c r="CV357" s="45">
        <v>37.771101695700693</v>
      </c>
      <c r="CW357" s="45" t="str">
        <v>Invest</v>
      </c>
      <c r="CX357" s="61"/>
      <c r="CY357" s="45">
        <v>353</v>
      </c>
      <c r="CZ357" s="45">
        <v>16.34510253023301</v>
      </c>
      <c r="DA357" s="45" t="str">
        <v>Invest</v>
      </c>
      <c r="DU357" s="52"/>
      <c r="DV357" s="50"/>
    </row>
    <row r="358" spans="86:126" ht="23.5">
      <c r="CH358" s="45">
        <v>354</v>
      </c>
      <c r="CI358" s="45">
        <v>7.5433761129048484</v>
      </c>
      <c r="CJ358" s="45" t="str">
        <v>Invest</v>
      </c>
      <c r="CM358" s="45">
        <v>354</v>
      </c>
      <c r="CN358" s="48">
        <v>13.347666597101714</v>
      </c>
      <c r="CO358" s="45" t="str">
        <v>Invest</v>
      </c>
      <c r="CP358" s="61"/>
      <c r="CQ358" s="45">
        <v>354</v>
      </c>
      <c r="CR358" s="45">
        <v>0</v>
      </c>
      <c r="CS358" s="45" t="str">
        <v>Nothing</v>
      </c>
      <c r="CT358" s="61"/>
      <c r="CU358" s="45">
        <v>354</v>
      </c>
      <c r="CV358" s="45">
        <v>17.116005043172073</v>
      </c>
      <c r="CW358" s="45" t="str">
        <v>Invest</v>
      </c>
      <c r="CX358" s="61"/>
      <c r="CY358" s="45">
        <v>354</v>
      </c>
      <c r="CZ358" s="45">
        <v>44.639291054318811</v>
      </c>
      <c r="DA358" s="45" t="str">
        <v>Invest</v>
      </c>
      <c r="DU358" s="52"/>
      <c r="DV358" s="50"/>
    </row>
    <row r="359" spans="86:126" ht="23.5">
      <c r="CH359" s="45">
        <v>355</v>
      </c>
      <c r="CI359" s="45">
        <v>3.1591752411221918E-2</v>
      </c>
      <c r="CJ359" s="45" t="str">
        <v>Invest</v>
      </c>
      <c r="CM359" s="45">
        <v>355</v>
      </c>
      <c r="CN359" s="48">
        <v>38.525766028158102</v>
      </c>
      <c r="CO359" s="45" t="str">
        <v>Invest</v>
      </c>
      <c r="CP359" s="61"/>
      <c r="CQ359" s="45">
        <v>355</v>
      </c>
      <c r="CR359" s="45">
        <v>0</v>
      </c>
      <c r="CS359" s="45" t="str">
        <v>Nothing</v>
      </c>
      <c r="CT359" s="61"/>
      <c r="CU359" s="45">
        <v>355</v>
      </c>
      <c r="CV359" s="45">
        <v>22.994995944431629</v>
      </c>
      <c r="CW359" s="45" t="str">
        <v>Invest</v>
      </c>
      <c r="CX359" s="61"/>
      <c r="CY359" s="45">
        <v>355</v>
      </c>
      <c r="CZ359" s="45">
        <v>26.257768999261401</v>
      </c>
      <c r="DA359" s="45" t="str">
        <v>Invest</v>
      </c>
      <c r="DU359" s="52"/>
      <c r="DV359" s="50"/>
    </row>
    <row r="360" spans="86:126" ht="23.5">
      <c r="CH360" s="45">
        <v>356</v>
      </c>
      <c r="CI360" s="45">
        <v>36.726648298674689</v>
      </c>
      <c r="CJ360" s="45" t="str">
        <v>Invest</v>
      </c>
      <c r="CM360" s="45">
        <v>356</v>
      </c>
      <c r="CN360" s="48">
        <v>0</v>
      </c>
      <c r="CO360" s="45" t="str">
        <v>Nothing</v>
      </c>
      <c r="CP360" s="61"/>
      <c r="CQ360" s="45">
        <v>356</v>
      </c>
      <c r="CR360" s="45">
        <v>34.791083305619722</v>
      </c>
      <c r="CS360" s="45" t="str">
        <v>Invest</v>
      </c>
      <c r="CT360" s="61"/>
      <c r="CU360" s="45">
        <v>356</v>
      </c>
      <c r="CV360" s="45">
        <v>5.6085838713916463</v>
      </c>
      <c r="CW360" s="45" t="str">
        <v>Invest</v>
      </c>
      <c r="CX360" s="61"/>
      <c r="CY360" s="45">
        <v>356</v>
      </c>
      <c r="CZ360" s="45">
        <v>41.222841879594249</v>
      </c>
      <c r="DA360" s="45" t="str">
        <v>Invest</v>
      </c>
      <c r="DU360" s="52"/>
      <c r="DV360" s="50"/>
    </row>
    <row r="361" spans="86:126" ht="23.5">
      <c r="CH361" s="45">
        <v>357</v>
      </c>
      <c r="CI361" s="45">
        <v>0</v>
      </c>
      <c r="CJ361" s="45" t="str">
        <v>Nothing</v>
      </c>
      <c r="CM361" s="45">
        <v>357</v>
      </c>
      <c r="CN361" s="48">
        <v>50.005808963707992</v>
      </c>
      <c r="CO361" s="45" t="str">
        <v>Invest</v>
      </c>
      <c r="CP361" s="61"/>
      <c r="CQ361" s="45">
        <v>357</v>
      </c>
      <c r="CR361" s="45">
        <v>22.640827538827562</v>
      </c>
      <c r="CS361" s="45" t="str">
        <v>Invest</v>
      </c>
      <c r="CT361" s="61"/>
      <c r="CU361" s="45">
        <v>357</v>
      </c>
      <c r="CV361" s="45">
        <v>12.81005887239127</v>
      </c>
      <c r="CW361" s="45" t="str">
        <v>Invest</v>
      </c>
      <c r="CX361" s="61"/>
      <c r="CY361" s="45">
        <v>357</v>
      </c>
      <c r="CZ361" s="45">
        <v>0</v>
      </c>
      <c r="DA361" s="45" t="str">
        <v>Nothing</v>
      </c>
      <c r="DU361" s="52"/>
      <c r="DV361" s="50"/>
    </row>
    <row r="362" spans="86:126" ht="23.5">
      <c r="CH362" s="45">
        <v>358</v>
      </c>
      <c r="CI362" s="45">
        <v>0</v>
      </c>
      <c r="CJ362" s="45" t="str">
        <v>Nothing</v>
      </c>
      <c r="CM362" s="45">
        <v>358</v>
      </c>
      <c r="CN362" s="48">
        <v>29.345253125459681</v>
      </c>
      <c r="CO362" s="45" t="str">
        <v>Invest</v>
      </c>
      <c r="CP362" s="61"/>
      <c r="CQ362" s="45">
        <v>358</v>
      </c>
      <c r="CR362" s="45">
        <v>13.278062602281018</v>
      </c>
      <c r="CS362" s="45" t="str">
        <v>Invest</v>
      </c>
      <c r="CT362" s="61"/>
      <c r="CU362" s="45">
        <v>358</v>
      </c>
      <c r="CV362" s="45">
        <v>46.478016372661799</v>
      </c>
      <c r="CW362" s="45" t="str">
        <v>Invest</v>
      </c>
      <c r="CX362" s="61"/>
      <c r="CY362" s="45">
        <v>358</v>
      </c>
      <c r="CZ362" s="45">
        <v>0</v>
      </c>
      <c r="DA362" s="45" t="str">
        <v>Nothing</v>
      </c>
      <c r="DU362" s="52"/>
      <c r="DV362" s="50"/>
    </row>
    <row r="363" spans="86:126" ht="23.5">
      <c r="CH363" s="45">
        <v>359</v>
      </c>
      <c r="CI363" s="45">
        <v>60.613044403862311</v>
      </c>
      <c r="CJ363" s="45" t="str">
        <v>Invest</v>
      </c>
      <c r="CM363" s="45">
        <v>359</v>
      </c>
      <c r="CN363" s="48">
        <v>11.165399888019373</v>
      </c>
      <c r="CO363" s="45" t="str">
        <v>Invest</v>
      </c>
      <c r="CP363" s="61"/>
      <c r="CQ363" s="45">
        <v>359</v>
      </c>
      <c r="CR363" s="45">
        <v>5.5980809672454477</v>
      </c>
      <c r="CS363" s="45" t="str">
        <v>Invest</v>
      </c>
      <c r="CT363" s="61"/>
      <c r="CU363" s="45">
        <v>359</v>
      </c>
      <c r="CV363" s="45">
        <v>32.60867263080106</v>
      </c>
      <c r="CW363" s="45" t="str">
        <v>Invest</v>
      </c>
      <c r="CX363" s="61"/>
      <c r="CY363" s="45">
        <v>359</v>
      </c>
      <c r="CZ363" s="45">
        <v>5.3919554245908898</v>
      </c>
      <c r="DA363" s="45" t="str">
        <v>Invest</v>
      </c>
      <c r="DU363" s="52"/>
      <c r="DV363" s="50"/>
    </row>
    <row r="364" spans="86:126" ht="23.5">
      <c r="CH364" s="45">
        <v>360</v>
      </c>
      <c r="CI364" s="45">
        <v>12.729396505530378</v>
      </c>
      <c r="CJ364" s="45" t="str">
        <v>Invest</v>
      </c>
      <c r="CM364" s="45">
        <v>360</v>
      </c>
      <c r="CN364" s="48">
        <v>31.963641368609977</v>
      </c>
      <c r="CO364" s="45" t="str">
        <v>Invest</v>
      </c>
      <c r="CP364" s="61"/>
      <c r="CQ364" s="45">
        <v>360</v>
      </c>
      <c r="CR364" s="45">
        <v>15.342517188138263</v>
      </c>
      <c r="CS364" s="45" t="str">
        <v>Invest</v>
      </c>
      <c r="CT364" s="61"/>
      <c r="CU364" s="45">
        <v>360</v>
      </c>
      <c r="CV364" s="45">
        <v>20.142035483507037</v>
      </c>
      <c r="CW364" s="45" t="str">
        <v>Invest</v>
      </c>
      <c r="CX364" s="61"/>
      <c r="CY364" s="45">
        <v>360</v>
      </c>
      <c r="CZ364" s="45">
        <v>32.950379397507575</v>
      </c>
      <c r="DA364" s="45" t="str">
        <v>Invest</v>
      </c>
      <c r="DU364" s="52"/>
      <c r="DV364" s="50"/>
    </row>
    <row r="365" spans="86:126" ht="23.5">
      <c r="CH365" s="45">
        <v>361</v>
      </c>
      <c r="CI365" s="45">
        <v>21.042301745270407</v>
      </c>
      <c r="CJ365" s="45" t="str">
        <v>Invest</v>
      </c>
      <c r="CM365" s="45">
        <v>361</v>
      </c>
      <c r="CN365" s="48">
        <v>26.06934327720883</v>
      </c>
      <c r="CO365" s="45" t="str">
        <v>Invest</v>
      </c>
      <c r="CP365" s="61"/>
      <c r="CQ365" s="45">
        <v>361</v>
      </c>
      <c r="CR365" s="45">
        <v>40.87956374331884</v>
      </c>
      <c r="CS365" s="45" t="str">
        <v>Invest</v>
      </c>
      <c r="CT365" s="61"/>
      <c r="CU365" s="45">
        <v>361</v>
      </c>
      <c r="CV365" s="45">
        <v>21.742287925069128</v>
      </c>
      <c r="CW365" s="45" t="str">
        <v>Invest</v>
      </c>
      <c r="CX365" s="61"/>
      <c r="CY365" s="45">
        <v>361</v>
      </c>
      <c r="CZ365" s="45">
        <v>42.36310847617905</v>
      </c>
      <c r="DA365" s="45" t="str">
        <v>Invest</v>
      </c>
      <c r="DU365" s="52"/>
      <c r="DV365" s="50"/>
    </row>
    <row r="366" spans="86:126" ht="23.5">
      <c r="CH366" s="45">
        <v>362</v>
      </c>
      <c r="CI366" s="45">
        <v>3.2086390321548524</v>
      </c>
      <c r="CJ366" s="45" t="str">
        <v>Invest</v>
      </c>
      <c r="CM366" s="45">
        <v>362</v>
      </c>
      <c r="CN366" s="48">
        <v>60.766517660012411</v>
      </c>
      <c r="CO366" s="45" t="str">
        <v>Invest</v>
      </c>
      <c r="CP366" s="61"/>
      <c r="CQ366" s="45">
        <v>362</v>
      </c>
      <c r="CR366" s="45">
        <v>52.249883387345065</v>
      </c>
      <c r="CS366" s="45" t="str">
        <v>Invest</v>
      </c>
      <c r="CT366" s="61"/>
      <c r="CU366" s="45">
        <v>362</v>
      </c>
      <c r="CV366" s="45">
        <v>18.813295865785733</v>
      </c>
      <c r="CW366" s="45" t="str">
        <v>Invest</v>
      </c>
      <c r="CX366" s="61"/>
      <c r="CY366" s="45">
        <v>362</v>
      </c>
      <c r="CZ366" s="45">
        <v>0</v>
      </c>
      <c r="DA366" s="45" t="str">
        <v>Nothing</v>
      </c>
      <c r="DU366" s="52"/>
      <c r="DV366" s="50"/>
    </row>
    <row r="367" spans="86:126" ht="23.5">
      <c r="CH367" s="45">
        <v>363</v>
      </c>
      <c r="CI367" s="45">
        <v>0</v>
      </c>
      <c r="CJ367" s="45" t="str">
        <v>Nothing</v>
      </c>
      <c r="CM367" s="45">
        <v>363</v>
      </c>
      <c r="CN367" s="48">
        <v>26.48363319421539</v>
      </c>
      <c r="CO367" s="45" t="str">
        <v>Invest</v>
      </c>
      <c r="CP367" s="61"/>
      <c r="CQ367" s="45">
        <v>363</v>
      </c>
      <c r="CR367" s="45">
        <v>24.693340313819984</v>
      </c>
      <c r="CS367" s="45" t="str">
        <v>Invest</v>
      </c>
      <c r="CT367" s="61"/>
      <c r="CU367" s="45">
        <v>363</v>
      </c>
      <c r="CV367" s="45">
        <v>21.257844825467373</v>
      </c>
      <c r="CW367" s="45" t="str">
        <v>Invest</v>
      </c>
      <c r="CX367" s="61"/>
      <c r="CY367" s="45">
        <v>363</v>
      </c>
      <c r="CZ367" s="45">
        <v>42.855966802585051</v>
      </c>
      <c r="DA367" s="45" t="str">
        <v>Invest</v>
      </c>
      <c r="DU367" s="52"/>
      <c r="DV367" s="50"/>
    </row>
    <row r="368" spans="86:126" ht="23.5">
      <c r="CH368" s="45">
        <v>364</v>
      </c>
      <c r="CI368" s="45">
        <v>3.4315518296178826</v>
      </c>
      <c r="CJ368" s="45" t="str">
        <v>Invest</v>
      </c>
      <c r="CM368" s="45">
        <v>364</v>
      </c>
      <c r="CN368" s="48">
        <v>23.582725369197036</v>
      </c>
      <c r="CO368" s="45" t="str">
        <v>Invest</v>
      </c>
      <c r="CP368" s="61"/>
      <c r="CQ368" s="45">
        <v>364</v>
      </c>
      <c r="CR368" s="45">
        <v>6.9539721055653452</v>
      </c>
      <c r="CS368" s="45" t="str">
        <v>Invest</v>
      </c>
      <c r="CT368" s="61"/>
      <c r="CU368" s="45">
        <v>364</v>
      </c>
      <c r="CV368" s="45">
        <v>0</v>
      </c>
      <c r="CW368" s="45" t="str">
        <v>Nothing</v>
      </c>
      <c r="CX368" s="61"/>
      <c r="CY368" s="45">
        <v>364</v>
      </c>
      <c r="CZ368" s="45">
        <v>45.597482508355981</v>
      </c>
      <c r="DA368" s="45" t="str">
        <v>Invest</v>
      </c>
      <c r="DU368" s="52"/>
      <c r="DV368" s="50"/>
    </row>
    <row r="369" spans="86:126" ht="23.5">
      <c r="CH369" s="45">
        <v>365</v>
      </c>
      <c r="CI369" s="45">
        <v>17.007419116294663</v>
      </c>
      <c r="CJ369" s="45" t="str">
        <v>Invest</v>
      </c>
      <c r="CM369" s="45">
        <v>365</v>
      </c>
      <c r="CN369" s="48">
        <v>0</v>
      </c>
      <c r="CO369" s="45" t="str">
        <v>Nothing</v>
      </c>
      <c r="CP369" s="61"/>
      <c r="CQ369" s="45">
        <v>365</v>
      </c>
      <c r="CR369" s="45">
        <v>26.403803680733745</v>
      </c>
      <c r="CS369" s="45" t="str">
        <v>Invest</v>
      </c>
      <c r="CT369" s="61"/>
      <c r="CU369" s="45">
        <v>365</v>
      </c>
      <c r="CV369" s="45">
        <v>45.745802179840688</v>
      </c>
      <c r="CW369" s="45" t="str">
        <v>Invest</v>
      </c>
      <c r="CX369" s="61"/>
      <c r="CY369" s="45">
        <v>365</v>
      </c>
      <c r="CZ369" s="45">
        <v>0</v>
      </c>
      <c r="DA369" s="45" t="str">
        <v>Nothing</v>
      </c>
      <c r="DU369" s="52"/>
      <c r="DV369" s="50"/>
    </row>
    <row r="370" spans="86:126" ht="23.5">
      <c r="CH370" s="45">
        <v>366</v>
      </c>
      <c r="CI370" s="45">
        <v>0</v>
      </c>
      <c r="CJ370" s="45" t="str">
        <v>Nothing</v>
      </c>
      <c r="CM370" s="45">
        <v>366</v>
      </c>
      <c r="CN370" s="48">
        <v>42.697784334328361</v>
      </c>
      <c r="CO370" s="45" t="str">
        <v>Invest</v>
      </c>
      <c r="CP370" s="61"/>
      <c r="CQ370" s="45">
        <v>366</v>
      </c>
      <c r="CR370" s="45">
        <v>10.544888635047155</v>
      </c>
      <c r="CS370" s="45" t="str">
        <v>Invest</v>
      </c>
      <c r="CT370" s="61"/>
      <c r="CU370" s="45">
        <v>366</v>
      </c>
      <c r="CV370" s="45">
        <v>0</v>
      </c>
      <c r="CW370" s="45" t="str">
        <v>Nothing</v>
      </c>
      <c r="CX370" s="61"/>
      <c r="CY370" s="45">
        <v>366</v>
      </c>
      <c r="CZ370" s="45">
        <v>38.981089565641938</v>
      </c>
      <c r="DA370" s="45" t="str">
        <v>Invest</v>
      </c>
      <c r="DU370" s="52"/>
      <c r="DV370" s="50"/>
    </row>
    <row r="371" spans="86:126" ht="23.5">
      <c r="CH371" s="45">
        <v>367</v>
      </c>
      <c r="CI371" s="45">
        <v>16.615891862612113</v>
      </c>
      <c r="CJ371" s="45" t="str">
        <v>Invest</v>
      </c>
      <c r="CM371" s="45">
        <v>367</v>
      </c>
      <c r="CN371" s="48">
        <v>39.969677930709111</v>
      </c>
      <c r="CO371" s="45" t="str">
        <v>Invest</v>
      </c>
      <c r="CP371" s="61"/>
      <c r="CQ371" s="45">
        <v>367</v>
      </c>
      <c r="CR371" s="45">
        <v>29.869906684575888</v>
      </c>
      <c r="CS371" s="45" t="str">
        <v>Invest</v>
      </c>
      <c r="CT371" s="61"/>
      <c r="CU371" s="45">
        <v>367</v>
      </c>
      <c r="CV371" s="45">
        <v>20.239373528203824</v>
      </c>
      <c r="CW371" s="45" t="str">
        <v>Invest</v>
      </c>
      <c r="CX371" s="61"/>
      <c r="CY371" s="45">
        <v>367</v>
      </c>
      <c r="CZ371" s="45">
        <v>6.258791786540824</v>
      </c>
      <c r="DA371" s="45" t="str">
        <v>Invest</v>
      </c>
      <c r="DU371" s="52"/>
      <c r="DV371" s="50"/>
    </row>
    <row r="372" spans="86:126" ht="23.5">
      <c r="CH372" s="45">
        <v>368</v>
      </c>
      <c r="CI372" s="45">
        <v>28.695503534248559</v>
      </c>
      <c r="CJ372" s="45" t="str">
        <v>Invest</v>
      </c>
      <c r="CM372" s="45">
        <v>368</v>
      </c>
      <c r="CN372" s="48">
        <v>0</v>
      </c>
      <c r="CO372" s="45" t="str">
        <v>Nothing</v>
      </c>
      <c r="CP372" s="61"/>
      <c r="CQ372" s="45">
        <v>368</v>
      </c>
      <c r="CR372" s="45">
        <v>26.675417272906039</v>
      </c>
      <c r="CS372" s="45" t="str">
        <v>Invest</v>
      </c>
      <c r="CT372" s="61"/>
      <c r="CU372" s="45">
        <v>368</v>
      </c>
      <c r="CV372" s="45">
        <v>10.983204821371197</v>
      </c>
      <c r="CW372" s="45" t="str">
        <v>Invest</v>
      </c>
      <c r="CX372" s="61"/>
      <c r="CY372" s="45">
        <v>368</v>
      </c>
      <c r="CZ372" s="45">
        <v>3.4929362980191918</v>
      </c>
      <c r="DA372" s="45" t="str">
        <v>Invest</v>
      </c>
      <c r="DU372" s="52"/>
      <c r="DV372" s="50"/>
    </row>
    <row r="373" spans="86:126" ht="23.5">
      <c r="CH373" s="45">
        <v>369</v>
      </c>
      <c r="CI373" s="45">
        <v>7.632180437110053</v>
      </c>
      <c r="CJ373" s="45" t="str">
        <v>Invest</v>
      </c>
      <c r="CM373" s="45">
        <v>369</v>
      </c>
      <c r="CN373" s="48">
        <v>50.55846784407926</v>
      </c>
      <c r="CO373" s="45" t="str">
        <v>Invest</v>
      </c>
      <c r="CP373" s="61"/>
      <c r="CQ373" s="45">
        <v>369</v>
      </c>
      <c r="CR373" s="45">
        <v>37.068560169537861</v>
      </c>
      <c r="CS373" s="45" t="str">
        <v>Invest</v>
      </c>
      <c r="CT373" s="61"/>
      <c r="CU373" s="45">
        <v>369</v>
      </c>
      <c r="CV373" s="45">
        <v>0</v>
      </c>
      <c r="CW373" s="45" t="str">
        <v>Nothing</v>
      </c>
      <c r="CX373" s="61"/>
      <c r="CY373" s="45">
        <v>369</v>
      </c>
      <c r="CZ373" s="45">
        <v>0</v>
      </c>
      <c r="DA373" s="45" t="str">
        <v>Nothing</v>
      </c>
      <c r="DU373" s="52"/>
      <c r="DV373" s="50"/>
    </row>
    <row r="374" spans="86:126" ht="23.5">
      <c r="CH374" s="45">
        <v>370</v>
      </c>
      <c r="CI374" s="45">
        <v>14.862453105952426</v>
      </c>
      <c r="CJ374" s="45" t="str">
        <v>Invest</v>
      </c>
      <c r="CM374" s="45">
        <v>370</v>
      </c>
      <c r="CN374" s="48">
        <v>3.2318947347335278</v>
      </c>
      <c r="CO374" s="45" t="str">
        <v>Invest</v>
      </c>
      <c r="CP374" s="61"/>
      <c r="CQ374" s="45">
        <v>370</v>
      </c>
      <c r="CR374" s="45">
        <v>42.998731179406882</v>
      </c>
      <c r="CS374" s="45" t="str">
        <v>Invest</v>
      </c>
      <c r="CT374" s="61"/>
      <c r="CU374" s="45">
        <v>370</v>
      </c>
      <c r="CV374" s="45">
        <v>3.217075122476114</v>
      </c>
      <c r="CW374" s="45" t="str">
        <v>Invest</v>
      </c>
      <c r="CX374" s="61"/>
      <c r="CY374" s="45">
        <v>370</v>
      </c>
      <c r="CZ374" s="45">
        <v>21.735996924242787</v>
      </c>
      <c r="DA374" s="45" t="str">
        <v>Invest</v>
      </c>
      <c r="DU374" s="52"/>
      <c r="DV374" s="50"/>
    </row>
    <row r="375" spans="86:126" ht="23.5">
      <c r="CH375" s="45">
        <v>371</v>
      </c>
      <c r="CI375" s="45">
        <v>12.800066307268057</v>
      </c>
      <c r="CJ375" s="45" t="str">
        <v>Invest</v>
      </c>
      <c r="CM375" s="45">
        <v>371</v>
      </c>
      <c r="CN375" s="48">
        <v>1.8254975489535337</v>
      </c>
      <c r="CO375" s="45" t="str">
        <v>Invest</v>
      </c>
      <c r="CP375" s="61"/>
      <c r="CQ375" s="45">
        <v>371</v>
      </c>
      <c r="CR375" s="45">
        <v>8.4038486319994661</v>
      </c>
      <c r="CS375" s="45" t="str">
        <v>Invest</v>
      </c>
      <c r="CT375" s="61"/>
      <c r="CU375" s="45">
        <v>371</v>
      </c>
      <c r="CV375" s="45">
        <v>48.370064129951558</v>
      </c>
      <c r="CW375" s="45" t="str">
        <v>Invest</v>
      </c>
      <c r="CX375" s="61"/>
      <c r="CY375" s="45">
        <v>371</v>
      </c>
      <c r="CZ375" s="45">
        <v>26.04005365689466</v>
      </c>
      <c r="DA375" s="45" t="str">
        <v>Invest</v>
      </c>
      <c r="DU375" s="52"/>
      <c r="DV375" s="50"/>
    </row>
    <row r="376" spans="86:126" ht="23.5">
      <c r="CH376" s="45">
        <v>372</v>
      </c>
      <c r="CI376" s="45">
        <v>46.180313210250006</v>
      </c>
      <c r="CJ376" s="45" t="str">
        <v>Invest</v>
      </c>
      <c r="CM376" s="45">
        <v>372</v>
      </c>
      <c r="CN376" s="48">
        <v>0</v>
      </c>
      <c r="CO376" s="45" t="str">
        <v>Nothing</v>
      </c>
      <c r="CP376" s="61"/>
      <c r="CQ376" s="45">
        <v>372</v>
      </c>
      <c r="CR376" s="45">
        <v>11.784283386804368</v>
      </c>
      <c r="CS376" s="45" t="str">
        <v>Invest</v>
      </c>
      <c r="CT376" s="61"/>
      <c r="CU376" s="45">
        <v>372</v>
      </c>
      <c r="CV376" s="45">
        <v>37.160289581400207</v>
      </c>
      <c r="CW376" s="45" t="str">
        <v>Invest</v>
      </c>
      <c r="CX376" s="61"/>
      <c r="CY376" s="45">
        <v>372</v>
      </c>
      <c r="CZ376" s="45">
        <v>0</v>
      </c>
      <c r="DA376" s="45" t="str">
        <v>Nothing</v>
      </c>
      <c r="DU376" s="52"/>
      <c r="DV376" s="50"/>
    </row>
    <row r="377" spans="86:126" ht="23.5">
      <c r="CH377" s="45">
        <v>373</v>
      </c>
      <c r="CI377" s="45">
        <v>18.199266940029169</v>
      </c>
      <c r="CJ377" s="45" t="str">
        <v>Invest</v>
      </c>
      <c r="CM377" s="45">
        <v>373</v>
      </c>
      <c r="CN377" s="48">
        <v>3.8479139077806153</v>
      </c>
      <c r="CO377" s="45" t="str">
        <v>Invest</v>
      </c>
      <c r="CP377" s="61"/>
      <c r="CQ377" s="45">
        <v>373</v>
      </c>
      <c r="CR377" s="45">
        <v>0</v>
      </c>
      <c r="CS377" s="45" t="str">
        <v>Nothing</v>
      </c>
      <c r="CT377" s="61"/>
      <c r="CU377" s="45">
        <v>373</v>
      </c>
      <c r="CV377" s="45">
        <v>0</v>
      </c>
      <c r="CW377" s="45" t="str">
        <v>Nothing</v>
      </c>
      <c r="CX377" s="61"/>
      <c r="CY377" s="45">
        <v>373</v>
      </c>
      <c r="CZ377" s="45">
        <v>0</v>
      </c>
      <c r="DA377" s="45" t="str">
        <v>Nothing</v>
      </c>
      <c r="DU377" s="52"/>
      <c r="DV377" s="50"/>
    </row>
    <row r="378" spans="86:126" ht="23.5">
      <c r="CH378" s="45">
        <v>374</v>
      </c>
      <c r="CI378" s="45">
        <v>41.641005060430381</v>
      </c>
      <c r="CJ378" s="45" t="str">
        <v>Invest</v>
      </c>
      <c r="CM378" s="45">
        <v>374</v>
      </c>
      <c r="CN378" s="48">
        <v>0</v>
      </c>
      <c r="CO378" s="45" t="str">
        <v>Nothing</v>
      </c>
      <c r="CP378" s="61"/>
      <c r="CQ378" s="45">
        <v>374</v>
      </c>
      <c r="CR378" s="45">
        <v>0</v>
      </c>
      <c r="CS378" s="45" t="str">
        <v>Nothing</v>
      </c>
      <c r="CT378" s="61"/>
      <c r="CU378" s="45">
        <v>374</v>
      </c>
      <c r="CV378" s="45">
        <v>0</v>
      </c>
      <c r="CW378" s="45" t="str">
        <v>Nothing</v>
      </c>
      <c r="CX378" s="61"/>
      <c r="CY378" s="45">
        <v>374</v>
      </c>
      <c r="CZ378" s="45">
        <v>13.261811449655227</v>
      </c>
      <c r="DA378" s="45" t="str">
        <v>Invest</v>
      </c>
      <c r="DU378" s="52"/>
      <c r="DV378" s="50"/>
    </row>
    <row r="379" spans="86:126" ht="23.5">
      <c r="CH379" s="45">
        <v>375</v>
      </c>
      <c r="CI379" s="45">
        <v>36.252187988175464</v>
      </c>
      <c r="CJ379" s="45" t="str">
        <v>Invest</v>
      </c>
      <c r="CM379" s="45">
        <v>375</v>
      </c>
      <c r="CN379" s="48">
        <v>8.3617461343762223</v>
      </c>
      <c r="CO379" s="45" t="str">
        <v>Invest</v>
      </c>
      <c r="CP379" s="61"/>
      <c r="CQ379" s="45">
        <v>375</v>
      </c>
      <c r="CR379" s="45">
        <v>34.001449042077923</v>
      </c>
      <c r="CS379" s="45" t="str">
        <v>Invest</v>
      </c>
      <c r="CT379" s="61"/>
      <c r="CU379" s="45">
        <v>375</v>
      </c>
      <c r="CV379" s="45">
        <v>0</v>
      </c>
      <c r="CW379" s="45" t="str">
        <v>Nothing</v>
      </c>
      <c r="CX379" s="61"/>
      <c r="CY379" s="45">
        <v>375</v>
      </c>
      <c r="CZ379" s="45">
        <v>2.0737704891106361</v>
      </c>
      <c r="DA379" s="45" t="str">
        <v>Invest</v>
      </c>
      <c r="DU379" s="52"/>
      <c r="DV379" s="50"/>
    </row>
    <row r="380" spans="86:126" ht="23.5">
      <c r="CH380" s="45">
        <v>376</v>
      </c>
      <c r="CI380" s="45">
        <v>0</v>
      </c>
      <c r="CJ380" s="45" t="str">
        <v>Nothing</v>
      </c>
      <c r="CM380" s="45">
        <v>376</v>
      </c>
      <c r="CN380" s="48">
        <v>0</v>
      </c>
      <c r="CO380" s="45" t="str">
        <v>Nothing</v>
      </c>
      <c r="CP380" s="61"/>
      <c r="CQ380" s="45">
        <v>376</v>
      </c>
      <c r="CR380" s="45">
        <v>0</v>
      </c>
      <c r="CS380" s="45" t="str">
        <v>Nothing</v>
      </c>
      <c r="CT380" s="61"/>
      <c r="CU380" s="45">
        <v>376</v>
      </c>
      <c r="CV380" s="45">
        <v>6.592127485818331</v>
      </c>
      <c r="CW380" s="45" t="str">
        <v>Invest</v>
      </c>
      <c r="CX380" s="61"/>
      <c r="CY380" s="45">
        <v>376</v>
      </c>
      <c r="CZ380" s="45">
        <v>0</v>
      </c>
      <c r="DA380" s="45" t="str">
        <v>Nothing</v>
      </c>
      <c r="DU380" s="52"/>
      <c r="DV380" s="50"/>
    </row>
    <row r="381" spans="86:126" ht="23.5">
      <c r="CH381" s="45">
        <v>377</v>
      </c>
      <c r="CI381" s="45">
        <v>0</v>
      </c>
      <c r="CJ381" s="45" t="str">
        <v>Nothing</v>
      </c>
      <c r="CM381" s="45">
        <v>377</v>
      </c>
      <c r="CN381" s="48">
        <v>7.0295540829702396</v>
      </c>
      <c r="CO381" s="45" t="str">
        <v>Invest</v>
      </c>
      <c r="CP381" s="61"/>
      <c r="CQ381" s="45">
        <v>377</v>
      </c>
      <c r="CR381" s="45">
        <v>7.0715001256067582</v>
      </c>
      <c r="CS381" s="45" t="str">
        <v>Invest</v>
      </c>
      <c r="CT381" s="61"/>
      <c r="CU381" s="45">
        <v>377</v>
      </c>
      <c r="CV381" s="45">
        <v>4.3241520959186452</v>
      </c>
      <c r="CW381" s="45" t="str">
        <v>Invest</v>
      </c>
      <c r="CX381" s="61"/>
      <c r="CY381" s="45">
        <v>377</v>
      </c>
      <c r="CZ381" s="45">
        <v>48.744940182840963</v>
      </c>
      <c r="DA381" s="45" t="str">
        <v>Invest</v>
      </c>
      <c r="DU381" s="52"/>
      <c r="DV381" s="50"/>
    </row>
    <row r="382" spans="86:126" ht="23.5">
      <c r="CH382" s="45">
        <v>378</v>
      </c>
      <c r="CI382" s="45">
        <v>8.643044030551648</v>
      </c>
      <c r="CJ382" s="45" t="str">
        <v>Invest</v>
      </c>
      <c r="CM382" s="45">
        <v>378</v>
      </c>
      <c r="CN382" s="48">
        <v>11.180686140985856</v>
      </c>
      <c r="CO382" s="45" t="str">
        <v>Invest</v>
      </c>
      <c r="CP382" s="61"/>
      <c r="CQ382" s="45">
        <v>378</v>
      </c>
      <c r="CR382" s="45">
        <v>0</v>
      </c>
      <c r="CS382" s="45" t="str">
        <v>Nothing</v>
      </c>
      <c r="CT382" s="61"/>
      <c r="CU382" s="45">
        <v>378</v>
      </c>
      <c r="CV382" s="45">
        <v>28.560084013158527</v>
      </c>
      <c r="CW382" s="45" t="str">
        <v>Invest</v>
      </c>
      <c r="CX382" s="61"/>
      <c r="CY382" s="45">
        <v>378</v>
      </c>
      <c r="CZ382" s="45">
        <v>0</v>
      </c>
      <c r="DA382" s="45" t="str">
        <v>Nothing</v>
      </c>
      <c r="DU382" s="52"/>
      <c r="DV382" s="50"/>
    </row>
    <row r="383" spans="86:126" ht="23.5">
      <c r="CH383" s="45">
        <v>379</v>
      </c>
      <c r="CI383" s="45">
        <v>17.266947108724711</v>
      </c>
      <c r="CJ383" s="45" t="str">
        <v>Invest</v>
      </c>
      <c r="CM383" s="45">
        <v>379</v>
      </c>
      <c r="CN383" s="48">
        <v>38.116346978675082</v>
      </c>
      <c r="CO383" s="45" t="str">
        <v>Invest</v>
      </c>
      <c r="CP383" s="61"/>
      <c r="CQ383" s="45">
        <v>379</v>
      </c>
      <c r="CR383" s="45">
        <v>27.50071541235808</v>
      </c>
      <c r="CS383" s="45" t="str">
        <v>Invest</v>
      </c>
      <c r="CT383" s="61"/>
      <c r="CU383" s="45">
        <v>379</v>
      </c>
      <c r="CV383" s="45">
        <v>0</v>
      </c>
      <c r="CW383" s="45" t="str">
        <v>Nothing</v>
      </c>
      <c r="CX383" s="61"/>
      <c r="CY383" s="45">
        <v>379</v>
      </c>
      <c r="CZ383" s="45">
        <v>37.108815110157671</v>
      </c>
      <c r="DA383" s="45" t="str">
        <v>Invest</v>
      </c>
      <c r="DU383" s="52"/>
      <c r="DV383" s="50"/>
    </row>
    <row r="384" spans="86:126" ht="23.5">
      <c r="CH384" s="45">
        <v>380</v>
      </c>
      <c r="CI384" s="45">
        <v>0</v>
      </c>
      <c r="CJ384" s="45" t="str">
        <v>Nothing</v>
      </c>
      <c r="CM384" s="45">
        <v>380</v>
      </c>
      <c r="CN384" s="48">
        <v>0</v>
      </c>
      <c r="CO384" s="45" t="str">
        <v>Nothing</v>
      </c>
      <c r="CP384" s="61"/>
      <c r="CQ384" s="45">
        <v>380</v>
      </c>
      <c r="CR384" s="45">
        <v>3.5360660008182165</v>
      </c>
      <c r="CS384" s="45" t="str">
        <v>Invest</v>
      </c>
      <c r="CT384" s="61"/>
      <c r="CU384" s="45">
        <v>380</v>
      </c>
      <c r="CV384" s="45">
        <v>27.560514196180769</v>
      </c>
      <c r="CW384" s="45" t="str">
        <v>Invest</v>
      </c>
      <c r="CX384" s="61"/>
      <c r="CY384" s="45">
        <v>380</v>
      </c>
      <c r="CZ384" s="45">
        <v>55.707111969613031</v>
      </c>
      <c r="DA384" s="45" t="str">
        <v>Invest</v>
      </c>
      <c r="DU384" s="52"/>
      <c r="DV384" s="50"/>
    </row>
    <row r="385" spans="86:126" ht="23.5">
      <c r="CH385" s="45">
        <v>381</v>
      </c>
      <c r="CI385" s="45">
        <v>0</v>
      </c>
      <c r="CJ385" s="45" t="str">
        <v>Nothing</v>
      </c>
      <c r="CM385" s="45">
        <v>381</v>
      </c>
      <c r="CN385" s="48">
        <v>2.2028951350244412</v>
      </c>
      <c r="CO385" s="45" t="str">
        <v>Invest</v>
      </c>
      <c r="CP385" s="61"/>
      <c r="CQ385" s="45">
        <v>381</v>
      </c>
      <c r="CR385" s="45">
        <v>9.6475173603843913</v>
      </c>
      <c r="CS385" s="45" t="str">
        <v>Invest</v>
      </c>
      <c r="CT385" s="61"/>
      <c r="CU385" s="45">
        <v>381</v>
      </c>
      <c r="CV385" s="45">
        <v>7.8965803589343757</v>
      </c>
      <c r="CW385" s="45" t="str">
        <v>Invest</v>
      </c>
      <c r="CX385" s="61"/>
      <c r="CY385" s="45">
        <v>381</v>
      </c>
      <c r="CZ385" s="45">
        <v>8.868115636335947</v>
      </c>
      <c r="DA385" s="45" t="str">
        <v>Invest</v>
      </c>
      <c r="DU385" s="52"/>
      <c r="DV385" s="50"/>
    </row>
    <row r="386" spans="86:126" ht="23.5">
      <c r="CH386" s="45">
        <v>382</v>
      </c>
      <c r="CI386" s="45">
        <v>1.3446571875942386</v>
      </c>
      <c r="CJ386" s="45" t="str">
        <v>Invest</v>
      </c>
      <c r="CM386" s="45">
        <v>382</v>
      </c>
      <c r="CN386" s="48">
        <v>26.491003348262566</v>
      </c>
      <c r="CO386" s="45" t="str">
        <v>Invest</v>
      </c>
      <c r="CP386" s="61"/>
      <c r="CQ386" s="45">
        <v>382</v>
      </c>
      <c r="CR386" s="45">
        <v>32.473338572504709</v>
      </c>
      <c r="CS386" s="45" t="str">
        <v>Invest</v>
      </c>
      <c r="CT386" s="61"/>
      <c r="CU386" s="45">
        <v>382</v>
      </c>
      <c r="CV386" s="45">
        <v>0</v>
      </c>
      <c r="CW386" s="45" t="str">
        <v>Nothing</v>
      </c>
      <c r="CX386" s="61"/>
      <c r="CY386" s="45">
        <v>382</v>
      </c>
      <c r="CZ386" s="45">
        <v>0</v>
      </c>
      <c r="DA386" s="45" t="str">
        <v>Nothing</v>
      </c>
      <c r="DU386" s="52"/>
      <c r="DV386" s="50"/>
    </row>
    <row r="387" spans="86:126" ht="23.5">
      <c r="CH387" s="45">
        <v>383</v>
      </c>
      <c r="CI387" s="45">
        <v>35.598565428013792</v>
      </c>
      <c r="CJ387" s="45" t="str">
        <v>Invest</v>
      </c>
      <c r="CM387" s="45">
        <v>383</v>
      </c>
      <c r="CN387" s="48">
        <v>0</v>
      </c>
      <c r="CO387" s="45" t="str">
        <v>Nothing</v>
      </c>
      <c r="CP387" s="61"/>
      <c r="CQ387" s="45">
        <v>383</v>
      </c>
      <c r="CR387" s="45">
        <v>38.579449222536368</v>
      </c>
      <c r="CS387" s="45" t="str">
        <v>Invest</v>
      </c>
      <c r="CT387" s="61"/>
      <c r="CU387" s="45">
        <v>383</v>
      </c>
      <c r="CV387" s="45">
        <v>17.620074632840815</v>
      </c>
      <c r="CW387" s="45" t="str">
        <v>Invest</v>
      </c>
      <c r="CX387" s="61"/>
      <c r="CY387" s="45">
        <v>383</v>
      </c>
      <c r="CZ387" s="45">
        <v>37.89907662545189</v>
      </c>
      <c r="DA387" s="45" t="str">
        <v>Invest</v>
      </c>
      <c r="DU387" s="52"/>
      <c r="DV387" s="50"/>
    </row>
    <row r="388" spans="86:126" ht="23.5">
      <c r="CH388" s="45">
        <v>384</v>
      </c>
      <c r="CI388" s="45">
        <v>55.157315961278904</v>
      </c>
      <c r="CJ388" s="45" t="str">
        <v>Invest</v>
      </c>
      <c r="CM388" s="45">
        <v>384</v>
      </c>
      <c r="CN388" s="48">
        <v>4.0558672254760797</v>
      </c>
      <c r="CO388" s="45" t="str">
        <v>Invest</v>
      </c>
      <c r="CP388" s="61"/>
      <c r="CQ388" s="45">
        <v>384</v>
      </c>
      <c r="CR388" s="45">
        <v>41.39346033156999</v>
      </c>
      <c r="CS388" s="45" t="str">
        <v>Invest</v>
      </c>
      <c r="CT388" s="61"/>
      <c r="CU388" s="45">
        <v>384</v>
      </c>
      <c r="CV388" s="45">
        <v>10.692848031733009</v>
      </c>
      <c r="CW388" s="45" t="str">
        <v>Invest</v>
      </c>
      <c r="CX388" s="61"/>
      <c r="CY388" s="45">
        <v>384</v>
      </c>
      <c r="CZ388" s="45">
        <v>25.468270589232709</v>
      </c>
      <c r="DA388" s="45" t="str">
        <v>Invest</v>
      </c>
      <c r="DU388" s="52"/>
      <c r="DV388" s="50"/>
    </row>
    <row r="389" spans="86:126" ht="23.5">
      <c r="CH389" s="45">
        <v>385</v>
      </c>
      <c r="CI389" s="45">
        <v>0</v>
      </c>
      <c r="CJ389" s="45" t="str">
        <v>Nothing</v>
      </c>
      <c r="CM389" s="45">
        <v>385</v>
      </c>
      <c r="CN389" s="48">
        <v>0</v>
      </c>
      <c r="CO389" s="45" t="str">
        <v>Nothing</v>
      </c>
      <c r="CP389" s="61"/>
      <c r="CQ389" s="45">
        <v>385</v>
      </c>
      <c r="CR389" s="45">
        <v>0.9314842245965913</v>
      </c>
      <c r="CS389" s="45" t="str">
        <v>Invest</v>
      </c>
      <c r="CT389" s="61"/>
      <c r="CU389" s="45">
        <v>385</v>
      </c>
      <c r="CV389" s="45">
        <v>3.3068387284392067</v>
      </c>
      <c r="CW389" s="45" t="str">
        <v>Invest</v>
      </c>
      <c r="CX389" s="61"/>
      <c r="CY389" s="45">
        <v>385</v>
      </c>
      <c r="CZ389" s="45">
        <v>20.286346468676395</v>
      </c>
      <c r="DA389" s="45" t="str">
        <v>Invest</v>
      </c>
      <c r="DU389" s="52"/>
      <c r="DV389" s="50"/>
    </row>
    <row r="390" spans="86:126" ht="23.5">
      <c r="CH390" s="45">
        <v>386</v>
      </c>
      <c r="CI390" s="45">
        <v>6.3675274235386281</v>
      </c>
      <c r="CJ390" s="45" t="str">
        <v>Invest</v>
      </c>
      <c r="CM390" s="45">
        <v>386</v>
      </c>
      <c r="CN390" s="48">
        <v>25.041354141799001</v>
      </c>
      <c r="CO390" s="45" t="str">
        <v>Invest</v>
      </c>
      <c r="CP390" s="61"/>
      <c r="CQ390" s="45">
        <v>386</v>
      </c>
      <c r="CR390" s="45">
        <v>37.657848842323183</v>
      </c>
      <c r="CS390" s="45" t="str">
        <v>Invest</v>
      </c>
      <c r="CT390" s="61"/>
      <c r="CU390" s="45">
        <v>386</v>
      </c>
      <c r="CV390" s="45">
        <v>44.905226262601289</v>
      </c>
      <c r="CW390" s="45" t="str">
        <v>Invest</v>
      </c>
      <c r="CX390" s="61"/>
      <c r="CY390" s="45">
        <v>386</v>
      </c>
      <c r="CZ390" s="45">
        <v>31.62038926548172</v>
      </c>
      <c r="DA390" s="45" t="str">
        <v>Invest</v>
      </c>
      <c r="DU390" s="52"/>
      <c r="DV390" s="50"/>
    </row>
    <row r="391" spans="86:126" ht="23.5">
      <c r="CH391" s="45">
        <v>387</v>
      </c>
      <c r="CI391" s="45">
        <v>15.201588779897882</v>
      </c>
      <c r="CJ391" s="45" t="str">
        <v>Invest</v>
      </c>
      <c r="CM391" s="45">
        <v>387</v>
      </c>
      <c r="CN391" s="48">
        <v>21.119386725718194</v>
      </c>
      <c r="CO391" s="45" t="str">
        <v>Invest</v>
      </c>
      <c r="CP391" s="61"/>
      <c r="CQ391" s="45">
        <v>387</v>
      </c>
      <c r="CR391" s="45">
        <v>0</v>
      </c>
      <c r="CS391" s="45" t="str">
        <v>Nothing</v>
      </c>
      <c r="CT391" s="61"/>
      <c r="CU391" s="45">
        <v>387</v>
      </c>
      <c r="CV391" s="45">
        <v>17.03198655386926</v>
      </c>
      <c r="CW391" s="45" t="str">
        <v>Invest</v>
      </c>
      <c r="CX391" s="61"/>
      <c r="CY391" s="45">
        <v>387</v>
      </c>
      <c r="CZ391" s="45">
        <v>11.446150077285765</v>
      </c>
      <c r="DA391" s="45" t="str">
        <v>Invest</v>
      </c>
      <c r="DU391" s="52"/>
      <c r="DV391" s="50"/>
    </row>
    <row r="392" spans="86:126" ht="23.5">
      <c r="CH392" s="45">
        <v>388</v>
      </c>
      <c r="CI392" s="45">
        <v>21.309829121062695</v>
      </c>
      <c r="CJ392" s="45" t="str">
        <v>Invest</v>
      </c>
      <c r="CM392" s="45">
        <v>388</v>
      </c>
      <c r="CN392" s="48">
        <v>28.66452326361695</v>
      </c>
      <c r="CO392" s="45" t="str">
        <v>Invest</v>
      </c>
      <c r="CP392" s="61"/>
      <c r="CQ392" s="45">
        <v>388</v>
      </c>
      <c r="CR392" s="45">
        <v>57.820906052102316</v>
      </c>
      <c r="CS392" s="45" t="str">
        <v>Invest</v>
      </c>
      <c r="CT392" s="61"/>
      <c r="CU392" s="45">
        <v>388</v>
      </c>
      <c r="CV392" s="45">
        <v>0</v>
      </c>
      <c r="CW392" s="45" t="str">
        <v>Nothing</v>
      </c>
      <c r="CX392" s="61"/>
      <c r="CY392" s="45">
        <v>388</v>
      </c>
      <c r="CZ392" s="45">
        <v>7.7403167605757766</v>
      </c>
      <c r="DA392" s="45" t="str">
        <v>Invest</v>
      </c>
      <c r="DU392" s="52"/>
      <c r="DV392" s="50"/>
    </row>
    <row r="393" spans="86:126" ht="23.5">
      <c r="CH393" s="45">
        <v>389</v>
      </c>
      <c r="CI393" s="45">
        <v>37.564011808335465</v>
      </c>
      <c r="CJ393" s="45" t="str">
        <v>Invest</v>
      </c>
      <c r="CM393" s="45">
        <v>389</v>
      </c>
      <c r="CN393" s="48">
        <v>21.323017166946197</v>
      </c>
      <c r="CO393" s="45" t="str">
        <v>Invest</v>
      </c>
      <c r="CP393" s="61"/>
      <c r="CQ393" s="45">
        <v>389</v>
      </c>
      <c r="CR393" s="45">
        <v>43.20204103384313</v>
      </c>
      <c r="CS393" s="45" t="str">
        <v>Invest</v>
      </c>
      <c r="CT393" s="61"/>
      <c r="CU393" s="45">
        <v>389</v>
      </c>
      <c r="CV393" s="45">
        <v>19.420374317996913</v>
      </c>
      <c r="CW393" s="45" t="str">
        <v>Invest</v>
      </c>
      <c r="CX393" s="61"/>
      <c r="CY393" s="45">
        <v>389</v>
      </c>
      <c r="CZ393" s="45">
        <v>27.821012939909892</v>
      </c>
      <c r="DA393" s="45" t="str">
        <v>Invest</v>
      </c>
      <c r="DU393" s="52"/>
      <c r="DV393" s="50"/>
    </row>
    <row r="394" spans="86:126" ht="23.5">
      <c r="CH394" s="45">
        <v>390</v>
      </c>
      <c r="CI394" s="45">
        <v>2.5956259661497167</v>
      </c>
      <c r="CJ394" s="45" t="str">
        <v>Invest</v>
      </c>
      <c r="CM394" s="45">
        <v>390</v>
      </c>
      <c r="CN394" s="48">
        <v>39.279200456935286</v>
      </c>
      <c r="CO394" s="45" t="str">
        <v>Invest</v>
      </c>
      <c r="CP394" s="61"/>
      <c r="CQ394" s="45">
        <v>390</v>
      </c>
      <c r="CR394" s="45">
        <v>12.688082563266843</v>
      </c>
      <c r="CS394" s="45" t="str">
        <v>Invest</v>
      </c>
      <c r="CT394" s="61"/>
      <c r="CU394" s="45">
        <v>390</v>
      </c>
      <c r="CV394" s="45">
        <v>36.676533449100958</v>
      </c>
      <c r="CW394" s="45" t="str">
        <v>Invest</v>
      </c>
      <c r="CX394" s="61"/>
      <c r="CY394" s="45">
        <v>390</v>
      </c>
      <c r="CZ394" s="45">
        <v>0</v>
      </c>
      <c r="DA394" s="45" t="str">
        <v>Nothing</v>
      </c>
      <c r="DU394" s="52"/>
      <c r="DV394" s="50"/>
    </row>
    <row r="395" spans="86:126" ht="23.5">
      <c r="CH395" s="45">
        <v>391</v>
      </c>
      <c r="CI395" s="45">
        <v>0</v>
      </c>
      <c r="CJ395" s="45" t="str">
        <v>Nothing</v>
      </c>
      <c r="CM395" s="45">
        <v>391</v>
      </c>
      <c r="CN395" s="48">
        <v>0</v>
      </c>
      <c r="CO395" s="45" t="str">
        <v>Nothing</v>
      </c>
      <c r="CP395" s="61"/>
      <c r="CQ395" s="45">
        <v>391</v>
      </c>
      <c r="CR395" s="45">
        <v>28.441552982926943</v>
      </c>
      <c r="CS395" s="45" t="str">
        <v>Invest</v>
      </c>
      <c r="CT395" s="61"/>
      <c r="CU395" s="45">
        <v>391</v>
      </c>
      <c r="CV395" s="45">
        <v>36.972903385336608</v>
      </c>
      <c r="CW395" s="45" t="str">
        <v>Invest</v>
      </c>
      <c r="CX395" s="61"/>
      <c r="CY395" s="45">
        <v>391</v>
      </c>
      <c r="CZ395" s="45">
        <v>37.526497738437314</v>
      </c>
      <c r="DA395" s="45" t="str">
        <v>Invest</v>
      </c>
      <c r="DU395" s="52"/>
      <c r="DV395" s="50"/>
    </row>
    <row r="396" spans="86:126" ht="23.5">
      <c r="CH396" s="45">
        <v>392</v>
      </c>
      <c r="CI396" s="45">
        <v>37.755947976199884</v>
      </c>
      <c r="CJ396" s="45" t="str">
        <v>Invest</v>
      </c>
      <c r="CM396" s="45">
        <v>392</v>
      </c>
      <c r="CN396" s="48">
        <v>23.008547937276184</v>
      </c>
      <c r="CO396" s="45" t="str">
        <v>Invest</v>
      </c>
      <c r="CP396" s="61"/>
      <c r="CQ396" s="45">
        <v>392</v>
      </c>
      <c r="CR396" s="45">
        <v>17.184101348403104</v>
      </c>
      <c r="CS396" s="45" t="str">
        <v>Invest</v>
      </c>
      <c r="CT396" s="61"/>
      <c r="CU396" s="45">
        <v>392</v>
      </c>
      <c r="CV396" s="45">
        <v>0</v>
      </c>
      <c r="CW396" s="45" t="str">
        <v>Nothing</v>
      </c>
      <c r="CX396" s="61"/>
      <c r="CY396" s="45">
        <v>392</v>
      </c>
      <c r="CZ396" s="45">
        <v>32.918146197231636</v>
      </c>
      <c r="DA396" s="45" t="str">
        <v>Invest</v>
      </c>
      <c r="DU396" s="52"/>
      <c r="DV396" s="50"/>
    </row>
    <row r="397" spans="86:126" ht="23.5">
      <c r="CH397" s="45">
        <v>393</v>
      </c>
      <c r="CI397" s="45">
        <v>26.789317234577844</v>
      </c>
      <c r="CJ397" s="45" t="str">
        <v>Invest</v>
      </c>
      <c r="CM397" s="45">
        <v>393</v>
      </c>
      <c r="CN397" s="48">
        <v>46.268652164088792</v>
      </c>
      <c r="CO397" s="45" t="str">
        <v>Invest</v>
      </c>
      <c r="CP397" s="61"/>
      <c r="CQ397" s="45">
        <v>393</v>
      </c>
      <c r="CR397" s="45">
        <v>0</v>
      </c>
      <c r="CS397" s="45" t="str">
        <v>Nothing</v>
      </c>
      <c r="CT397" s="61"/>
      <c r="CU397" s="45">
        <v>393</v>
      </c>
      <c r="CV397" s="45">
        <v>7.0616095854540379</v>
      </c>
      <c r="CW397" s="45" t="str">
        <v>Invest</v>
      </c>
      <c r="CX397" s="61"/>
      <c r="CY397" s="45">
        <v>393</v>
      </c>
      <c r="CZ397" s="45">
        <v>29.549844785918037</v>
      </c>
      <c r="DA397" s="45" t="str">
        <v>Invest</v>
      </c>
      <c r="DU397" s="52"/>
      <c r="DV397" s="50"/>
    </row>
    <row r="398" spans="86:126" ht="23.5">
      <c r="CH398" s="45">
        <v>394</v>
      </c>
      <c r="CI398" s="45">
        <v>2.9357137126091537</v>
      </c>
      <c r="CJ398" s="45" t="str">
        <v>Invest</v>
      </c>
      <c r="CM398" s="45">
        <v>394</v>
      </c>
      <c r="CN398" s="48">
        <v>2.6496709230064539</v>
      </c>
      <c r="CO398" s="45" t="str">
        <v>Invest</v>
      </c>
      <c r="CP398" s="61"/>
      <c r="CQ398" s="45">
        <v>394</v>
      </c>
      <c r="CR398" s="45">
        <v>24.425409981242076</v>
      </c>
      <c r="CS398" s="45" t="str">
        <v>Invest</v>
      </c>
      <c r="CT398" s="61"/>
      <c r="CU398" s="45">
        <v>394</v>
      </c>
      <c r="CV398" s="45">
        <v>0</v>
      </c>
      <c r="CW398" s="45" t="str">
        <v>Nothing</v>
      </c>
      <c r="CX398" s="61"/>
      <c r="CY398" s="45">
        <v>394</v>
      </c>
      <c r="CZ398" s="45">
        <v>27.84619415208342</v>
      </c>
      <c r="DA398" s="45" t="str">
        <v>Invest</v>
      </c>
      <c r="DU398" s="52"/>
      <c r="DV398" s="50"/>
    </row>
    <row r="399" spans="86:126" ht="23.5">
      <c r="CH399" s="45">
        <v>395</v>
      </c>
      <c r="CI399" s="45">
        <v>0</v>
      </c>
      <c r="CJ399" s="45" t="str">
        <v>Nothing</v>
      </c>
      <c r="CM399" s="45">
        <v>395</v>
      </c>
      <c r="CN399" s="48">
        <v>37.698869252369335</v>
      </c>
      <c r="CO399" s="45" t="str">
        <v>Invest</v>
      </c>
      <c r="CP399" s="61"/>
      <c r="CQ399" s="45">
        <v>395</v>
      </c>
      <c r="CR399" s="45">
        <v>20.8017994392753</v>
      </c>
      <c r="CS399" s="45" t="str">
        <v>Invest</v>
      </c>
      <c r="CT399" s="61"/>
      <c r="CU399" s="45">
        <v>395</v>
      </c>
      <c r="CV399" s="45">
        <v>6.5369394910709353</v>
      </c>
      <c r="CW399" s="45" t="str">
        <v>Invest</v>
      </c>
      <c r="CX399" s="61"/>
      <c r="CY399" s="45">
        <v>395</v>
      </c>
      <c r="CZ399" s="45">
        <v>32.288654343385218</v>
      </c>
      <c r="DA399" s="45" t="str">
        <v>Invest</v>
      </c>
      <c r="DU399" s="52"/>
      <c r="DV399" s="50"/>
    </row>
    <row r="400" spans="86:126" ht="23.5">
      <c r="CH400" s="45">
        <v>396</v>
      </c>
      <c r="CI400" s="45">
        <v>23.623804873177161</v>
      </c>
      <c r="CJ400" s="45" t="str">
        <v>Invest</v>
      </c>
      <c r="CM400" s="45">
        <v>396</v>
      </c>
      <c r="CN400" s="48">
        <v>35.2332661176832</v>
      </c>
      <c r="CO400" s="45" t="str">
        <v>Invest</v>
      </c>
      <c r="CP400" s="61"/>
      <c r="CQ400" s="45">
        <v>396</v>
      </c>
      <c r="CR400" s="45">
        <v>0</v>
      </c>
      <c r="CS400" s="45" t="str">
        <v>Nothing</v>
      </c>
      <c r="CT400" s="61"/>
      <c r="CU400" s="45">
        <v>396</v>
      </c>
      <c r="CV400" s="45">
        <v>8.0136200406017828</v>
      </c>
      <c r="CW400" s="45" t="str">
        <v>Invest</v>
      </c>
      <c r="CX400" s="61"/>
      <c r="CY400" s="45">
        <v>396</v>
      </c>
      <c r="CZ400" s="45">
        <v>7.3214351392997656</v>
      </c>
      <c r="DA400" s="45" t="str">
        <v>Invest</v>
      </c>
      <c r="DU400" s="52"/>
      <c r="DV400" s="50"/>
    </row>
    <row r="401" spans="86:126" ht="23.5">
      <c r="CH401" s="45">
        <v>397</v>
      </c>
      <c r="CI401" s="45">
        <v>33.108310044979063</v>
      </c>
      <c r="CJ401" s="45" t="str">
        <v>Invest</v>
      </c>
      <c r="CM401" s="45">
        <v>397</v>
      </c>
      <c r="CN401" s="48">
        <v>29.380664069680336</v>
      </c>
      <c r="CO401" s="45" t="str">
        <v>Invest</v>
      </c>
      <c r="CP401" s="61"/>
      <c r="CQ401" s="45">
        <v>397</v>
      </c>
      <c r="CR401" s="45">
        <v>17.634111165562093</v>
      </c>
      <c r="CS401" s="45" t="str">
        <v>Invest</v>
      </c>
      <c r="CT401" s="61"/>
      <c r="CU401" s="45">
        <v>397</v>
      </c>
      <c r="CV401" s="45">
        <v>10.980496578178983</v>
      </c>
      <c r="CW401" s="45" t="str">
        <v>Invest</v>
      </c>
      <c r="CX401" s="61"/>
      <c r="CY401" s="45">
        <v>397</v>
      </c>
      <c r="CZ401" s="45">
        <v>3.7819659371578069</v>
      </c>
      <c r="DA401" s="45" t="str">
        <v>Invest</v>
      </c>
      <c r="DU401" s="52"/>
      <c r="DV401" s="50"/>
    </row>
    <row r="402" spans="86:126" ht="23.5">
      <c r="CH402" s="45">
        <v>398</v>
      </c>
      <c r="CI402" s="45">
        <v>0</v>
      </c>
      <c r="CJ402" s="45" t="str">
        <v>Nothing</v>
      </c>
      <c r="CM402" s="45">
        <v>398</v>
      </c>
      <c r="CN402" s="48">
        <v>0</v>
      </c>
      <c r="CO402" s="45" t="str">
        <v>Nothing</v>
      </c>
      <c r="CP402" s="61"/>
      <c r="CQ402" s="45">
        <v>398</v>
      </c>
      <c r="CR402" s="45">
        <v>0</v>
      </c>
      <c r="CS402" s="45" t="str">
        <v>Nothing</v>
      </c>
      <c r="CT402" s="61"/>
      <c r="CU402" s="45">
        <v>398</v>
      </c>
      <c r="CV402" s="45">
        <v>0</v>
      </c>
      <c r="CW402" s="45" t="str">
        <v>Nothing</v>
      </c>
      <c r="CX402" s="61"/>
      <c r="CY402" s="45">
        <v>398</v>
      </c>
      <c r="CZ402" s="45">
        <v>7.1287656073850183</v>
      </c>
      <c r="DA402" s="45" t="str">
        <v>Invest</v>
      </c>
      <c r="DU402" s="52"/>
      <c r="DV402" s="50"/>
    </row>
    <row r="403" spans="86:126" ht="23.5">
      <c r="CH403" s="45">
        <v>399</v>
      </c>
      <c r="CI403" s="45">
        <v>48.464752453634574</v>
      </c>
      <c r="CJ403" s="45" t="str">
        <v>Invest</v>
      </c>
      <c r="CM403" s="45">
        <v>399</v>
      </c>
      <c r="CN403" s="48">
        <v>5.0694780446697472</v>
      </c>
      <c r="CO403" s="45" t="str">
        <v>Invest</v>
      </c>
      <c r="CP403" s="61"/>
      <c r="CQ403" s="45">
        <v>399</v>
      </c>
      <c r="CR403" s="45">
        <v>22.887010883296909</v>
      </c>
      <c r="CS403" s="45" t="str">
        <v>Invest</v>
      </c>
      <c r="CT403" s="61"/>
      <c r="CU403" s="45">
        <v>399</v>
      </c>
      <c r="CV403" s="45">
        <v>34.401033832146766</v>
      </c>
      <c r="CW403" s="45" t="str">
        <v>Invest</v>
      </c>
      <c r="CX403" s="61"/>
      <c r="CY403" s="45">
        <v>399</v>
      </c>
      <c r="CZ403" s="45">
        <v>7.3253260304127661</v>
      </c>
      <c r="DA403" s="45" t="str">
        <v>Invest</v>
      </c>
      <c r="DU403" s="52"/>
      <c r="DV403" s="50"/>
    </row>
    <row r="404" spans="86:126" ht="23.5">
      <c r="CH404" s="45">
        <v>400</v>
      </c>
      <c r="CI404" s="45">
        <v>0</v>
      </c>
      <c r="CJ404" s="45" t="str">
        <v>Nothing</v>
      </c>
      <c r="CM404" s="45">
        <v>400</v>
      </c>
      <c r="CN404" s="48">
        <v>4.5636523480822682</v>
      </c>
      <c r="CO404" s="45" t="str">
        <v>Invest</v>
      </c>
      <c r="CP404" s="61"/>
      <c r="CQ404" s="45">
        <v>400</v>
      </c>
      <c r="CR404" s="45">
        <v>0.93836792921755574</v>
      </c>
      <c r="CS404" s="45" t="str">
        <v>Invest</v>
      </c>
      <c r="CT404" s="61"/>
      <c r="CU404" s="45">
        <v>400</v>
      </c>
      <c r="CV404" s="45">
        <v>13.223036790376316</v>
      </c>
      <c r="CW404" s="45" t="str">
        <v>Invest</v>
      </c>
      <c r="CX404" s="61"/>
      <c r="CY404" s="45">
        <v>400</v>
      </c>
      <c r="CZ404" s="45">
        <v>34.373006846892778</v>
      </c>
      <c r="DA404" s="45" t="str">
        <v>Invest</v>
      </c>
      <c r="DU404" s="52"/>
      <c r="DV404" s="50"/>
    </row>
    <row r="405" spans="86:126" ht="23.5">
      <c r="CH405" s="45">
        <v>401</v>
      </c>
      <c r="CI405" s="45">
        <v>0</v>
      </c>
      <c r="CJ405" s="45" t="str">
        <v>Nothing</v>
      </c>
      <c r="CM405" s="45">
        <v>401</v>
      </c>
      <c r="CN405" s="48">
        <v>0</v>
      </c>
      <c r="CO405" s="45" t="str">
        <v>Nothing</v>
      </c>
      <c r="CP405" s="61"/>
      <c r="CQ405" s="45">
        <v>401</v>
      </c>
      <c r="CR405" s="45">
        <v>10.154507518101244</v>
      </c>
      <c r="CS405" s="45" t="str">
        <v>Invest</v>
      </c>
      <c r="CT405" s="61"/>
      <c r="CU405" s="45">
        <v>401</v>
      </c>
      <c r="CV405" s="45">
        <v>0</v>
      </c>
      <c r="CW405" s="45" t="str">
        <v>Nothing</v>
      </c>
      <c r="CX405" s="61"/>
      <c r="CY405" s="45">
        <v>401</v>
      </c>
      <c r="CZ405" s="45">
        <v>0</v>
      </c>
      <c r="DA405" s="45" t="str">
        <v>Nothing</v>
      </c>
      <c r="DU405" s="52"/>
      <c r="DV405" s="50"/>
    </row>
    <row r="406" spans="86:126" ht="23.5">
      <c r="CH406" s="45">
        <v>402</v>
      </c>
      <c r="CI406" s="45">
        <v>0</v>
      </c>
      <c r="CJ406" s="45" t="str">
        <v>Nothing</v>
      </c>
      <c r="CM406" s="45">
        <v>402</v>
      </c>
      <c r="CN406" s="48">
        <v>5.9099834168835939</v>
      </c>
      <c r="CO406" s="45" t="str">
        <v>Invest</v>
      </c>
      <c r="CP406" s="61"/>
      <c r="CQ406" s="45">
        <v>402</v>
      </c>
      <c r="CR406" s="45">
        <v>9.3318796240771427</v>
      </c>
      <c r="CS406" s="45" t="str">
        <v>Invest</v>
      </c>
      <c r="CT406" s="61"/>
      <c r="CU406" s="45">
        <v>402</v>
      </c>
      <c r="CV406" s="45">
        <v>45.328557756694593</v>
      </c>
      <c r="CW406" s="45" t="str">
        <v>Invest</v>
      </c>
      <c r="CX406" s="61"/>
      <c r="CY406" s="45">
        <v>402</v>
      </c>
      <c r="CZ406" s="45">
        <v>14.357613622987689</v>
      </c>
      <c r="DA406" s="45" t="str">
        <v>Invest</v>
      </c>
      <c r="DU406" s="52"/>
      <c r="DV406" s="50"/>
    </row>
    <row r="407" spans="86:126" ht="23.5">
      <c r="CH407" s="45">
        <v>403</v>
      </c>
      <c r="CI407" s="45">
        <v>20.614340902595217</v>
      </c>
      <c r="CJ407" s="45" t="str">
        <v>Invest</v>
      </c>
      <c r="CM407" s="45">
        <v>403</v>
      </c>
      <c r="CN407" s="48">
        <v>0</v>
      </c>
      <c r="CO407" s="45" t="str">
        <v>Nothing</v>
      </c>
      <c r="CP407" s="61"/>
      <c r="CQ407" s="45">
        <v>403</v>
      </c>
      <c r="CR407" s="45">
        <v>27.106570054330426</v>
      </c>
      <c r="CS407" s="45" t="str">
        <v>Invest</v>
      </c>
      <c r="CT407" s="61"/>
      <c r="CU407" s="45">
        <v>403</v>
      </c>
      <c r="CV407" s="45">
        <v>0</v>
      </c>
      <c r="CW407" s="45" t="str">
        <v>Nothing</v>
      </c>
      <c r="CX407" s="61"/>
      <c r="CY407" s="45">
        <v>403</v>
      </c>
      <c r="CZ407" s="45">
        <v>0</v>
      </c>
      <c r="DA407" s="45" t="str">
        <v>Nothing</v>
      </c>
      <c r="DU407" s="52"/>
      <c r="DV407" s="50"/>
    </row>
    <row r="408" spans="86:126" ht="23.5">
      <c r="CH408" s="45">
        <v>404</v>
      </c>
      <c r="CI408" s="45">
        <v>0</v>
      </c>
      <c r="CJ408" s="45" t="str">
        <v>Nothing</v>
      </c>
      <c r="CM408" s="45">
        <v>404</v>
      </c>
      <c r="CN408" s="48">
        <v>36.153201460334849</v>
      </c>
      <c r="CO408" s="45" t="str">
        <v>Invest</v>
      </c>
      <c r="CP408" s="61"/>
      <c r="CQ408" s="45">
        <v>404</v>
      </c>
      <c r="CR408" s="45">
        <v>6.0234966536024146</v>
      </c>
      <c r="CS408" s="45" t="str">
        <v>Invest</v>
      </c>
      <c r="CT408" s="61"/>
      <c r="CU408" s="45">
        <v>404</v>
      </c>
      <c r="CV408" s="45">
        <v>23.637746084929979</v>
      </c>
      <c r="CW408" s="45" t="str">
        <v>Invest</v>
      </c>
      <c r="CX408" s="61"/>
      <c r="CY408" s="45">
        <v>404</v>
      </c>
      <c r="CZ408" s="45">
        <v>6.9348339738033129</v>
      </c>
      <c r="DA408" s="45" t="str">
        <v>Invest</v>
      </c>
      <c r="DU408" s="52"/>
      <c r="DV408" s="50"/>
    </row>
    <row r="409" spans="86:126" ht="23.5">
      <c r="CH409" s="45">
        <v>405</v>
      </c>
      <c r="CI409" s="45">
        <v>0</v>
      </c>
      <c r="CJ409" s="45" t="str">
        <v>Nothing</v>
      </c>
      <c r="CM409" s="45">
        <v>405</v>
      </c>
      <c r="CN409" s="48">
        <v>20.518582948114123</v>
      </c>
      <c r="CO409" s="45" t="str">
        <v>Invest</v>
      </c>
      <c r="CP409" s="61"/>
      <c r="CQ409" s="45">
        <v>405</v>
      </c>
      <c r="CR409" s="45">
        <v>8.3934793446611415</v>
      </c>
      <c r="CS409" s="45" t="str">
        <v>Invest</v>
      </c>
      <c r="CT409" s="61"/>
      <c r="CU409" s="45">
        <v>405</v>
      </c>
      <c r="CV409" s="45">
        <v>5.1506177356807843</v>
      </c>
      <c r="CW409" s="45" t="str">
        <v>Invest</v>
      </c>
      <c r="CX409" s="61"/>
      <c r="CY409" s="45">
        <v>405</v>
      </c>
      <c r="CZ409" s="45">
        <v>44.544740584009091</v>
      </c>
      <c r="DA409" s="45" t="str">
        <v>Invest</v>
      </c>
      <c r="DU409" s="52"/>
      <c r="DV409" s="50"/>
    </row>
    <row r="410" spans="86:126" ht="23.5">
      <c r="CH410" s="45">
        <v>406</v>
      </c>
      <c r="CI410" s="45">
        <v>15.015504738337899</v>
      </c>
      <c r="CJ410" s="45" t="str">
        <v>Invest</v>
      </c>
      <c r="CM410" s="45">
        <v>406</v>
      </c>
      <c r="CN410" s="48">
        <v>39.34558051505465</v>
      </c>
      <c r="CO410" s="45" t="str">
        <v>Invest</v>
      </c>
      <c r="CP410" s="61"/>
      <c r="CQ410" s="45">
        <v>406</v>
      </c>
      <c r="CR410" s="45">
        <v>0</v>
      </c>
      <c r="CS410" s="45" t="str">
        <v>Nothing</v>
      </c>
      <c r="CT410" s="61"/>
      <c r="CU410" s="45">
        <v>406</v>
      </c>
      <c r="CV410" s="45">
        <v>8.2328456474090963</v>
      </c>
      <c r="CW410" s="45" t="str">
        <v>Invest</v>
      </c>
      <c r="CX410" s="61"/>
      <c r="CY410" s="45">
        <v>406</v>
      </c>
      <c r="CZ410" s="45">
        <v>2.8729423752325385</v>
      </c>
      <c r="DA410" s="45" t="str">
        <v>Invest</v>
      </c>
      <c r="DU410" s="52"/>
      <c r="DV410" s="50"/>
    </row>
    <row r="411" spans="86:126" ht="23.5">
      <c r="CH411" s="45">
        <v>407</v>
      </c>
      <c r="CI411" s="45">
        <v>8.4301146063653505</v>
      </c>
      <c r="CJ411" s="45" t="str">
        <v>Invest</v>
      </c>
      <c r="CM411" s="45">
        <v>407</v>
      </c>
      <c r="CN411" s="48">
        <v>26.25939795751605</v>
      </c>
      <c r="CO411" s="45" t="str">
        <v>Invest</v>
      </c>
      <c r="CP411" s="61"/>
      <c r="CQ411" s="45">
        <v>407</v>
      </c>
      <c r="CR411" s="45">
        <v>0</v>
      </c>
      <c r="CS411" s="45" t="str">
        <v>Nothing</v>
      </c>
      <c r="CT411" s="61"/>
      <c r="CU411" s="45">
        <v>407</v>
      </c>
      <c r="CV411" s="45">
        <v>1.909193588368149</v>
      </c>
      <c r="CW411" s="45" t="str">
        <v>Invest</v>
      </c>
      <c r="CX411" s="61"/>
      <c r="CY411" s="45">
        <v>407</v>
      </c>
      <c r="CZ411" s="45">
        <v>10.3320802579961</v>
      </c>
      <c r="DA411" s="45" t="str">
        <v>Invest</v>
      </c>
      <c r="DU411" s="52"/>
      <c r="DV411" s="50"/>
    </row>
    <row r="412" spans="86:126" ht="23.5">
      <c r="CH412" s="45">
        <v>408</v>
      </c>
      <c r="CI412" s="45">
        <v>15.690435170820937</v>
      </c>
      <c r="CJ412" s="45" t="str">
        <v>Invest</v>
      </c>
      <c r="CM412" s="45">
        <v>408</v>
      </c>
      <c r="CN412" s="48">
        <v>25.941447379654527</v>
      </c>
      <c r="CO412" s="45" t="str">
        <v>Invest</v>
      </c>
      <c r="CP412" s="61"/>
      <c r="CQ412" s="45">
        <v>408</v>
      </c>
      <c r="CR412" s="45">
        <v>0</v>
      </c>
      <c r="CS412" s="45" t="str">
        <v>Nothing</v>
      </c>
      <c r="CT412" s="61"/>
      <c r="CU412" s="45">
        <v>408</v>
      </c>
      <c r="CV412" s="45">
        <v>38.199194711967067</v>
      </c>
      <c r="CW412" s="45" t="str">
        <v>Invest</v>
      </c>
      <c r="CX412" s="61"/>
      <c r="CY412" s="45">
        <v>408</v>
      </c>
      <c r="CZ412" s="45">
        <v>8.8804576771194164</v>
      </c>
      <c r="DA412" s="45" t="str">
        <v>Invest</v>
      </c>
      <c r="DU412" s="52"/>
      <c r="DV412" s="50"/>
    </row>
    <row r="413" spans="86:126" ht="23.5">
      <c r="CH413" s="45">
        <v>409</v>
      </c>
      <c r="CI413" s="45">
        <v>33.896253542104304</v>
      </c>
      <c r="CJ413" s="45" t="str">
        <v>Invest</v>
      </c>
      <c r="CM413" s="45">
        <v>409</v>
      </c>
      <c r="CN413" s="48">
        <v>0</v>
      </c>
      <c r="CO413" s="45" t="str">
        <v>Nothing</v>
      </c>
      <c r="CP413" s="61"/>
      <c r="CQ413" s="45">
        <v>409</v>
      </c>
      <c r="CR413" s="45">
        <v>44.007057919776031</v>
      </c>
      <c r="CS413" s="45" t="str">
        <v>Invest</v>
      </c>
      <c r="CT413" s="61"/>
      <c r="CU413" s="45">
        <v>409</v>
      </c>
      <c r="CV413" s="45">
        <v>46.533005575717397</v>
      </c>
      <c r="CW413" s="45" t="str">
        <v>Invest</v>
      </c>
      <c r="CX413" s="61"/>
      <c r="CY413" s="45">
        <v>409</v>
      </c>
      <c r="CZ413" s="45">
        <v>47.823217877666934</v>
      </c>
      <c r="DA413" s="45" t="str">
        <v>Invest</v>
      </c>
      <c r="DU413" s="52"/>
      <c r="DV413" s="50"/>
    </row>
    <row r="414" spans="86:126" ht="23.5">
      <c r="CH414" s="45">
        <v>410</v>
      </c>
      <c r="CI414" s="45">
        <v>11.559976673217399</v>
      </c>
      <c r="CJ414" s="45" t="str">
        <v>Invest</v>
      </c>
      <c r="CM414" s="45">
        <v>410</v>
      </c>
      <c r="CN414" s="48">
        <v>0</v>
      </c>
      <c r="CO414" s="45" t="str">
        <v>Nothing</v>
      </c>
      <c r="CP414" s="61"/>
      <c r="CQ414" s="45">
        <v>410</v>
      </c>
      <c r="CR414" s="45">
        <v>9.6431391838956184</v>
      </c>
      <c r="CS414" s="45" t="str">
        <v>Invest</v>
      </c>
      <c r="CT414" s="61"/>
      <c r="CU414" s="45">
        <v>410</v>
      </c>
      <c r="CV414" s="45">
        <v>16.897547620177104</v>
      </c>
      <c r="CW414" s="45" t="str">
        <v>Invest</v>
      </c>
      <c r="CX414" s="61"/>
      <c r="CY414" s="45">
        <v>410</v>
      </c>
      <c r="CZ414" s="45">
        <v>6.995048985977057</v>
      </c>
      <c r="DA414" s="45" t="str">
        <v>Invest</v>
      </c>
      <c r="DU414" s="52"/>
      <c r="DV414" s="50"/>
    </row>
    <row r="415" spans="86:126" ht="23.5">
      <c r="CH415" s="45">
        <v>411</v>
      </c>
      <c r="CI415" s="45">
        <v>0</v>
      </c>
      <c r="CJ415" s="45" t="str">
        <v>Nothing</v>
      </c>
      <c r="CM415" s="45">
        <v>411</v>
      </c>
      <c r="CN415" s="48">
        <v>0</v>
      </c>
      <c r="CO415" s="45" t="str">
        <v>Nothing</v>
      </c>
      <c r="CP415" s="61"/>
      <c r="CQ415" s="45">
        <v>411</v>
      </c>
      <c r="CR415" s="45">
        <v>0</v>
      </c>
      <c r="CS415" s="45" t="str">
        <v>Nothing</v>
      </c>
      <c r="CT415" s="61"/>
      <c r="CU415" s="45">
        <v>411</v>
      </c>
      <c r="CV415" s="45">
        <v>0</v>
      </c>
      <c r="CW415" s="45" t="str">
        <v>Nothing</v>
      </c>
      <c r="CX415" s="61"/>
      <c r="CY415" s="45">
        <v>411</v>
      </c>
      <c r="CZ415" s="45">
        <v>17.069539579240818</v>
      </c>
      <c r="DA415" s="45" t="str">
        <v>Invest</v>
      </c>
      <c r="DU415" s="52"/>
      <c r="DV415" s="50"/>
    </row>
    <row r="416" spans="86:126" ht="23.5">
      <c r="CH416" s="45">
        <v>412</v>
      </c>
      <c r="CI416" s="45">
        <v>20.952192566053363</v>
      </c>
      <c r="CJ416" s="45" t="str">
        <v>Invest</v>
      </c>
      <c r="CM416" s="45">
        <v>412</v>
      </c>
      <c r="CN416" s="48">
        <v>0</v>
      </c>
      <c r="CO416" s="45" t="str">
        <v>Nothing</v>
      </c>
      <c r="CP416" s="61"/>
      <c r="CQ416" s="45">
        <v>412</v>
      </c>
      <c r="CR416" s="45">
        <v>0</v>
      </c>
      <c r="CS416" s="45" t="str">
        <v>Nothing</v>
      </c>
      <c r="CT416" s="61"/>
      <c r="CU416" s="45">
        <v>412</v>
      </c>
      <c r="CV416" s="45">
        <v>14.66544340327046</v>
      </c>
      <c r="CW416" s="45" t="str">
        <v>Invest</v>
      </c>
      <c r="CX416" s="61"/>
      <c r="CY416" s="45">
        <v>412</v>
      </c>
      <c r="CZ416" s="45">
        <v>12.491129562984614</v>
      </c>
      <c r="DA416" s="45" t="str">
        <v>Invest</v>
      </c>
      <c r="DU416" s="52"/>
      <c r="DV416" s="50"/>
    </row>
    <row r="417" spans="86:126" ht="23.5">
      <c r="CH417" s="45">
        <v>413</v>
      </c>
      <c r="CI417" s="45">
        <v>53.800349208593765</v>
      </c>
      <c r="CJ417" s="45" t="str">
        <v>Invest</v>
      </c>
      <c r="CM417" s="45">
        <v>413</v>
      </c>
      <c r="CN417" s="48">
        <v>12.43113555665404</v>
      </c>
      <c r="CO417" s="45" t="str">
        <v>Invest</v>
      </c>
      <c r="CP417" s="61"/>
      <c r="CQ417" s="45">
        <v>413</v>
      </c>
      <c r="CR417" s="45">
        <v>0</v>
      </c>
      <c r="CS417" s="45" t="str">
        <v>Nothing</v>
      </c>
      <c r="CT417" s="61"/>
      <c r="CU417" s="45">
        <v>413</v>
      </c>
      <c r="CV417" s="45">
        <v>2.3784706212108553</v>
      </c>
      <c r="CW417" s="45" t="str">
        <v>Invest</v>
      </c>
      <c r="CX417" s="61"/>
      <c r="CY417" s="45">
        <v>413</v>
      </c>
      <c r="CZ417" s="45">
        <v>28.601922150794309</v>
      </c>
      <c r="DA417" s="45" t="str">
        <v>Invest</v>
      </c>
      <c r="DU417" s="52"/>
      <c r="DV417" s="50"/>
    </row>
    <row r="418" spans="86:126" ht="23.5">
      <c r="CH418" s="45">
        <v>414</v>
      </c>
      <c r="CI418" s="45">
        <v>0</v>
      </c>
      <c r="CJ418" s="45" t="str">
        <v>Nothing</v>
      </c>
      <c r="CM418" s="45">
        <v>414</v>
      </c>
      <c r="CN418" s="48">
        <v>6.9000569517660022</v>
      </c>
      <c r="CO418" s="45" t="str">
        <v>Invest</v>
      </c>
      <c r="CP418" s="61"/>
      <c r="CQ418" s="45">
        <v>414</v>
      </c>
      <c r="CR418" s="45">
        <v>0</v>
      </c>
      <c r="CS418" s="45" t="str">
        <v>Nothing</v>
      </c>
      <c r="CT418" s="61"/>
      <c r="CU418" s="45">
        <v>414</v>
      </c>
      <c r="CV418" s="45">
        <v>5.0790724252639645</v>
      </c>
      <c r="CW418" s="45" t="str">
        <v>Invest</v>
      </c>
      <c r="CX418" s="61"/>
      <c r="CY418" s="45">
        <v>414</v>
      </c>
      <c r="CZ418" s="45">
        <v>43.37264503447669</v>
      </c>
      <c r="DA418" s="45" t="str">
        <v>Invest</v>
      </c>
      <c r="DU418" s="52"/>
      <c r="DV418" s="50"/>
    </row>
    <row r="419" spans="86:126" ht="23.5">
      <c r="CH419" s="45">
        <v>415</v>
      </c>
      <c r="CI419" s="45">
        <v>41.432747175261305</v>
      </c>
      <c r="CJ419" s="45" t="str">
        <v>Invest</v>
      </c>
      <c r="CM419" s="45">
        <v>415</v>
      </c>
      <c r="CN419" s="48">
        <v>0</v>
      </c>
      <c r="CO419" s="45" t="str">
        <v>Nothing</v>
      </c>
      <c r="CP419" s="61"/>
      <c r="CQ419" s="45">
        <v>415</v>
      </c>
      <c r="CR419" s="45">
        <v>15.408580956901522</v>
      </c>
      <c r="CS419" s="45" t="str">
        <v>Invest</v>
      </c>
      <c r="CT419" s="61"/>
      <c r="CU419" s="45">
        <v>415</v>
      </c>
      <c r="CV419" s="45">
        <v>31.82023108616189</v>
      </c>
      <c r="CW419" s="45" t="str">
        <v>Invest</v>
      </c>
      <c r="CX419" s="61"/>
      <c r="CY419" s="45">
        <v>415</v>
      </c>
      <c r="CZ419" s="45">
        <v>0</v>
      </c>
      <c r="DA419" s="45" t="str">
        <v>Nothing</v>
      </c>
      <c r="DU419" s="52"/>
      <c r="DV419" s="50"/>
    </row>
    <row r="420" spans="86:126" ht="23.5">
      <c r="CH420" s="45">
        <v>416</v>
      </c>
      <c r="CI420" s="45">
        <v>52.377340038716504</v>
      </c>
      <c r="CJ420" s="45" t="str">
        <v>Invest</v>
      </c>
      <c r="CM420" s="45">
        <v>416</v>
      </c>
      <c r="CN420" s="48">
        <v>0</v>
      </c>
      <c r="CO420" s="45" t="str">
        <v>Nothing</v>
      </c>
      <c r="CP420" s="61"/>
      <c r="CQ420" s="45">
        <v>416</v>
      </c>
      <c r="CR420" s="45">
        <v>0</v>
      </c>
      <c r="CS420" s="45" t="str">
        <v>Nothing</v>
      </c>
      <c r="CT420" s="61"/>
      <c r="CU420" s="45">
        <v>416</v>
      </c>
      <c r="CV420" s="45">
        <v>0</v>
      </c>
      <c r="CW420" s="45" t="str">
        <v>Nothing</v>
      </c>
      <c r="CX420" s="61"/>
      <c r="CY420" s="45">
        <v>416</v>
      </c>
      <c r="CZ420" s="45">
        <v>20.360822717126286</v>
      </c>
      <c r="DA420" s="45" t="str">
        <v>Invest</v>
      </c>
      <c r="DU420" s="52"/>
      <c r="DV420" s="50"/>
    </row>
    <row r="421" spans="86:126" ht="23.5">
      <c r="CH421" s="45">
        <v>417</v>
      </c>
      <c r="CI421" s="45">
        <v>17.826995684994994</v>
      </c>
      <c r="CJ421" s="45" t="str">
        <v>Invest</v>
      </c>
      <c r="CM421" s="45">
        <v>417</v>
      </c>
      <c r="CN421" s="48">
        <v>0</v>
      </c>
      <c r="CO421" s="45" t="str">
        <v>Nothing</v>
      </c>
      <c r="CP421" s="61"/>
      <c r="CQ421" s="45">
        <v>417</v>
      </c>
      <c r="CR421" s="45">
        <v>0</v>
      </c>
      <c r="CS421" s="45" t="str">
        <v>Nothing</v>
      </c>
      <c r="CT421" s="61"/>
      <c r="CU421" s="45">
        <v>417</v>
      </c>
      <c r="CV421" s="45">
        <v>15.141720570803853</v>
      </c>
      <c r="CW421" s="45" t="str">
        <v>Invest</v>
      </c>
      <c r="CX421" s="61"/>
      <c r="CY421" s="45">
        <v>417</v>
      </c>
      <c r="CZ421" s="45">
        <v>0</v>
      </c>
      <c r="DA421" s="45" t="str">
        <v>Nothing</v>
      </c>
      <c r="DU421" s="52"/>
      <c r="DV421" s="50"/>
    </row>
    <row r="422" spans="86:126" ht="23.5">
      <c r="CH422" s="45">
        <v>418</v>
      </c>
      <c r="CI422" s="45">
        <v>0</v>
      </c>
      <c r="CJ422" s="45" t="str">
        <v>Nothing</v>
      </c>
      <c r="CM422" s="45">
        <v>418</v>
      </c>
      <c r="CN422" s="48">
        <v>9.9644636757071225</v>
      </c>
      <c r="CO422" s="45" t="str">
        <v>Invest</v>
      </c>
      <c r="CP422" s="61"/>
      <c r="CQ422" s="45">
        <v>418</v>
      </c>
      <c r="CR422" s="45">
        <v>23.200092706731553</v>
      </c>
      <c r="CS422" s="45" t="str">
        <v>Invest</v>
      </c>
      <c r="CT422" s="61"/>
      <c r="CU422" s="45">
        <v>418</v>
      </c>
      <c r="CV422" s="45">
        <v>35.736038037972747</v>
      </c>
      <c r="CW422" s="45" t="str">
        <v>Invest</v>
      </c>
      <c r="CX422" s="61"/>
      <c r="CY422" s="45">
        <v>418</v>
      </c>
      <c r="CZ422" s="45">
        <v>0</v>
      </c>
      <c r="DA422" s="45" t="str">
        <v>Nothing</v>
      </c>
      <c r="DU422" s="52"/>
      <c r="DV422" s="50"/>
    </row>
    <row r="423" spans="86:126" ht="23.5">
      <c r="CH423" s="45">
        <v>419</v>
      </c>
      <c r="CI423" s="45">
        <v>0</v>
      </c>
      <c r="CJ423" s="45" t="str">
        <v>Nothing</v>
      </c>
      <c r="CM423" s="45">
        <v>419</v>
      </c>
      <c r="CN423" s="48">
        <v>0</v>
      </c>
      <c r="CO423" s="45" t="str">
        <v>Nothing</v>
      </c>
      <c r="CP423" s="61"/>
      <c r="CQ423" s="45">
        <v>419</v>
      </c>
      <c r="CR423" s="45">
        <v>0</v>
      </c>
      <c r="CS423" s="45" t="str">
        <v>Nothing</v>
      </c>
      <c r="CT423" s="61"/>
      <c r="CU423" s="45">
        <v>419</v>
      </c>
      <c r="CV423" s="45">
        <v>30.674459580209067</v>
      </c>
      <c r="CW423" s="45" t="str">
        <v>Invest</v>
      </c>
      <c r="CX423" s="61"/>
      <c r="CY423" s="45">
        <v>419</v>
      </c>
      <c r="CZ423" s="45">
        <v>22.75892052563394</v>
      </c>
      <c r="DA423" s="45" t="str">
        <v>Invest</v>
      </c>
      <c r="DU423" s="52"/>
      <c r="DV423" s="50"/>
    </row>
    <row r="424" spans="86:126" ht="23.5">
      <c r="CH424" s="45">
        <v>420</v>
      </c>
      <c r="CI424" s="45">
        <v>0</v>
      </c>
      <c r="CJ424" s="45" t="str">
        <v>Nothing</v>
      </c>
      <c r="CM424" s="45">
        <v>420</v>
      </c>
      <c r="CN424" s="48">
        <v>0</v>
      </c>
      <c r="CO424" s="45" t="str">
        <v>Nothing</v>
      </c>
      <c r="CP424" s="61"/>
      <c r="CQ424" s="45">
        <v>420</v>
      </c>
      <c r="CR424" s="45">
        <v>17.641437643825547</v>
      </c>
      <c r="CS424" s="45" t="str">
        <v>Invest</v>
      </c>
      <c r="CT424" s="61"/>
      <c r="CU424" s="45">
        <v>420</v>
      </c>
      <c r="CV424" s="45">
        <v>11.934994981995114</v>
      </c>
      <c r="CW424" s="45" t="str">
        <v>Invest</v>
      </c>
      <c r="CX424" s="61"/>
      <c r="CY424" s="45">
        <v>420</v>
      </c>
      <c r="CZ424" s="45">
        <v>43.096187408324681</v>
      </c>
      <c r="DA424" s="45" t="str">
        <v>Invest</v>
      </c>
      <c r="DU424" s="52"/>
      <c r="DV424" s="50"/>
    </row>
    <row r="425" spans="86:126" ht="23.5">
      <c r="CH425" s="45">
        <v>421</v>
      </c>
      <c r="CI425" s="45">
        <v>5.0963900390278027</v>
      </c>
      <c r="CJ425" s="45" t="str">
        <v>Invest</v>
      </c>
      <c r="CM425" s="45">
        <v>421</v>
      </c>
      <c r="CN425" s="48">
        <v>0.553792552181541</v>
      </c>
      <c r="CO425" s="45" t="str">
        <v>Invest</v>
      </c>
      <c r="CP425" s="61"/>
      <c r="CQ425" s="45">
        <v>421</v>
      </c>
      <c r="CR425" s="45">
        <v>31.606483710222665</v>
      </c>
      <c r="CS425" s="45" t="str">
        <v>Invest</v>
      </c>
      <c r="CT425" s="61"/>
      <c r="CU425" s="45">
        <v>421</v>
      </c>
      <c r="CV425" s="45">
        <v>0</v>
      </c>
      <c r="CW425" s="45" t="str">
        <v>Nothing</v>
      </c>
      <c r="CX425" s="61"/>
      <c r="CY425" s="45">
        <v>421</v>
      </c>
      <c r="CZ425" s="45">
        <v>0</v>
      </c>
      <c r="DA425" s="45" t="str">
        <v>Nothing</v>
      </c>
      <c r="DU425" s="52"/>
      <c r="DV425" s="50"/>
    </row>
    <row r="426" spans="86:126" ht="23.5">
      <c r="CH426" s="45">
        <v>422</v>
      </c>
      <c r="CI426" s="45">
        <v>0</v>
      </c>
      <c r="CJ426" s="45" t="str">
        <v>Nothing</v>
      </c>
      <c r="CM426" s="45">
        <v>422</v>
      </c>
      <c r="CN426" s="48">
        <v>21.578642534662563</v>
      </c>
      <c r="CO426" s="45" t="str">
        <v>Invest</v>
      </c>
      <c r="CP426" s="61"/>
      <c r="CQ426" s="45">
        <v>422</v>
      </c>
      <c r="CR426" s="45">
        <v>26.664911416432936</v>
      </c>
      <c r="CS426" s="45" t="str">
        <v>Invest</v>
      </c>
      <c r="CT426" s="61"/>
      <c r="CU426" s="45">
        <v>422</v>
      </c>
      <c r="CV426" s="45">
        <v>24.337354815764158</v>
      </c>
      <c r="CW426" s="45" t="str">
        <v>Invest</v>
      </c>
      <c r="CX426" s="61"/>
      <c r="CY426" s="45">
        <v>422</v>
      </c>
      <c r="CZ426" s="45">
        <v>0</v>
      </c>
      <c r="DA426" s="45" t="str">
        <v>Nothing</v>
      </c>
      <c r="DU426" s="52"/>
      <c r="DV426" s="50"/>
    </row>
    <row r="427" spans="86:126" ht="23.5">
      <c r="CH427" s="45">
        <v>423</v>
      </c>
      <c r="CI427" s="45">
        <v>10.90383311941293</v>
      </c>
      <c r="CJ427" s="45" t="str">
        <v>Invest</v>
      </c>
      <c r="CM427" s="45">
        <v>423</v>
      </c>
      <c r="CN427" s="48">
        <v>0</v>
      </c>
      <c r="CO427" s="45" t="str">
        <v>Nothing</v>
      </c>
      <c r="CP427" s="61"/>
      <c r="CQ427" s="45">
        <v>423</v>
      </c>
      <c r="CR427" s="45">
        <v>0</v>
      </c>
      <c r="CS427" s="45" t="str">
        <v>Nothing</v>
      </c>
      <c r="CT427" s="61"/>
      <c r="CU427" s="45">
        <v>423</v>
      </c>
      <c r="CV427" s="45">
        <v>38.714708004906285</v>
      </c>
      <c r="CW427" s="45" t="str">
        <v>Invest</v>
      </c>
      <c r="CX427" s="61"/>
      <c r="CY427" s="45">
        <v>423</v>
      </c>
      <c r="CZ427" s="45">
        <v>34.523414004332892</v>
      </c>
      <c r="DA427" s="45" t="str">
        <v>Invest</v>
      </c>
      <c r="DU427" s="52"/>
      <c r="DV427" s="50"/>
    </row>
    <row r="428" spans="86:126" ht="23.5">
      <c r="CH428" s="45">
        <v>424</v>
      </c>
      <c r="CI428" s="45">
        <v>46.332979244786614</v>
      </c>
      <c r="CJ428" s="45" t="str">
        <v>Invest</v>
      </c>
      <c r="CM428" s="45">
        <v>424</v>
      </c>
      <c r="CN428" s="48">
        <v>1.1989903906888308</v>
      </c>
      <c r="CO428" s="45" t="str">
        <v>Invest</v>
      </c>
      <c r="CP428" s="61"/>
      <c r="CQ428" s="45">
        <v>424</v>
      </c>
      <c r="CR428" s="45">
        <v>34.535894752614659</v>
      </c>
      <c r="CS428" s="45" t="str">
        <v>Invest</v>
      </c>
      <c r="CT428" s="61"/>
      <c r="CU428" s="45">
        <v>424</v>
      </c>
      <c r="CV428" s="45">
        <v>0</v>
      </c>
      <c r="CW428" s="45" t="str">
        <v>Nothing</v>
      </c>
      <c r="CX428" s="61"/>
      <c r="CY428" s="45">
        <v>424</v>
      </c>
      <c r="CZ428" s="45">
        <v>0</v>
      </c>
      <c r="DA428" s="45" t="str">
        <v>Nothing</v>
      </c>
      <c r="DU428" s="52"/>
      <c r="DV428" s="50"/>
    </row>
    <row r="429" spans="86:126" ht="23.5">
      <c r="CH429" s="45">
        <v>425</v>
      </c>
      <c r="CI429" s="45">
        <v>31.383952360556222</v>
      </c>
      <c r="CJ429" s="45" t="str">
        <v>Invest</v>
      </c>
      <c r="CM429" s="45">
        <v>425</v>
      </c>
      <c r="CN429" s="48">
        <v>7.094819347448202</v>
      </c>
      <c r="CO429" s="45" t="str">
        <v>Invest</v>
      </c>
      <c r="CP429" s="61"/>
      <c r="CQ429" s="45">
        <v>425</v>
      </c>
      <c r="CR429" s="45">
        <v>3.3495617024099964</v>
      </c>
      <c r="CS429" s="45" t="str">
        <v>Invest</v>
      </c>
      <c r="CT429" s="61"/>
      <c r="CU429" s="45">
        <v>425</v>
      </c>
      <c r="CV429" s="45">
        <v>0</v>
      </c>
      <c r="CW429" s="45" t="str">
        <v>Nothing</v>
      </c>
      <c r="CX429" s="61"/>
      <c r="CY429" s="45">
        <v>425</v>
      </c>
      <c r="CZ429" s="45">
        <v>1.342784087292836</v>
      </c>
      <c r="DA429" s="45" t="str">
        <v>Invest</v>
      </c>
      <c r="DU429" s="52"/>
      <c r="DV429" s="50"/>
    </row>
    <row r="430" spans="86:126" ht="23.5">
      <c r="CH430" s="45">
        <v>426</v>
      </c>
      <c r="CI430" s="45">
        <v>0</v>
      </c>
      <c r="CJ430" s="45" t="str">
        <v>Nothing</v>
      </c>
      <c r="CM430" s="45">
        <v>426</v>
      </c>
      <c r="CN430" s="48">
        <v>0</v>
      </c>
      <c r="CO430" s="45" t="str">
        <v>Nothing</v>
      </c>
      <c r="CP430" s="61"/>
      <c r="CQ430" s="45">
        <v>426</v>
      </c>
      <c r="CR430" s="45">
        <v>17.513024407277797</v>
      </c>
      <c r="CS430" s="45" t="str">
        <v>Invest</v>
      </c>
      <c r="CT430" s="61"/>
      <c r="CU430" s="45">
        <v>426</v>
      </c>
      <c r="CV430" s="45">
        <v>11.592038687281578</v>
      </c>
      <c r="CW430" s="45" t="str">
        <v>Invest</v>
      </c>
      <c r="CX430" s="61"/>
      <c r="CY430" s="45">
        <v>426</v>
      </c>
      <c r="CZ430" s="45">
        <v>9.2169044410231109</v>
      </c>
      <c r="DA430" s="45" t="str">
        <v>Invest</v>
      </c>
      <c r="DU430" s="52"/>
      <c r="DV430" s="50"/>
    </row>
    <row r="431" spans="86:126" ht="23.5">
      <c r="CH431" s="45">
        <v>427</v>
      </c>
      <c r="CI431" s="45">
        <v>0</v>
      </c>
      <c r="CJ431" s="45" t="str">
        <v>Nothing</v>
      </c>
      <c r="CM431" s="45">
        <v>427</v>
      </c>
      <c r="CN431" s="48">
        <v>1.1399769352738272</v>
      </c>
      <c r="CO431" s="45" t="str">
        <v>Invest</v>
      </c>
      <c r="CP431" s="61"/>
      <c r="CQ431" s="45">
        <v>427</v>
      </c>
      <c r="CR431" s="45">
        <v>9.4419175351292708</v>
      </c>
      <c r="CS431" s="45" t="str">
        <v>Invest</v>
      </c>
      <c r="CT431" s="61"/>
      <c r="CU431" s="45">
        <v>427</v>
      </c>
      <c r="CV431" s="45">
        <v>0</v>
      </c>
      <c r="CW431" s="45" t="str">
        <v>Nothing</v>
      </c>
      <c r="CX431" s="61"/>
      <c r="CY431" s="45">
        <v>427</v>
      </c>
      <c r="CZ431" s="45">
        <v>2.5662877974488847</v>
      </c>
      <c r="DA431" s="45" t="str">
        <v>Invest</v>
      </c>
      <c r="DU431" s="52"/>
      <c r="DV431" s="50"/>
    </row>
    <row r="432" spans="86:126" ht="23.5">
      <c r="CH432" s="45">
        <v>428</v>
      </c>
      <c r="CI432" s="45">
        <v>16.624959367161097</v>
      </c>
      <c r="CJ432" s="45" t="str">
        <v>Invest</v>
      </c>
      <c r="CM432" s="45">
        <v>428</v>
      </c>
      <c r="CN432" s="48">
        <v>0</v>
      </c>
      <c r="CO432" s="45" t="str">
        <v>Nothing</v>
      </c>
      <c r="CP432" s="61"/>
      <c r="CQ432" s="45">
        <v>428</v>
      </c>
      <c r="CR432" s="45">
        <v>8.8728348610388466</v>
      </c>
      <c r="CS432" s="45" t="str">
        <v>Invest</v>
      </c>
      <c r="CT432" s="61"/>
      <c r="CU432" s="45">
        <v>428</v>
      </c>
      <c r="CV432" s="45">
        <v>0.37169547276611503</v>
      </c>
      <c r="CW432" s="45" t="str">
        <v>Invest</v>
      </c>
      <c r="CX432" s="61"/>
      <c r="CY432" s="45">
        <v>428</v>
      </c>
      <c r="CZ432" s="45">
        <v>0</v>
      </c>
      <c r="DA432" s="45" t="str">
        <v>Nothing</v>
      </c>
      <c r="DU432" s="52"/>
      <c r="DV432" s="50"/>
    </row>
    <row r="433" spans="86:126" ht="23.5">
      <c r="CH433" s="45">
        <v>429</v>
      </c>
      <c r="CI433" s="45">
        <v>36.576067632971345</v>
      </c>
      <c r="CJ433" s="45" t="str">
        <v>Invest</v>
      </c>
      <c r="CM433" s="45">
        <v>429</v>
      </c>
      <c r="CN433" s="48">
        <v>38.951438582480954</v>
      </c>
      <c r="CO433" s="45" t="str">
        <v>Invest</v>
      </c>
      <c r="CP433" s="61"/>
      <c r="CQ433" s="45">
        <v>429</v>
      </c>
      <c r="CR433" s="45">
        <v>7.0501514219143822</v>
      </c>
      <c r="CS433" s="45" t="str">
        <v>Invest</v>
      </c>
      <c r="CT433" s="61"/>
      <c r="CU433" s="45">
        <v>429</v>
      </c>
      <c r="CV433" s="45">
        <v>0</v>
      </c>
      <c r="CW433" s="45" t="str">
        <v>Nothing</v>
      </c>
      <c r="CX433" s="61"/>
      <c r="CY433" s="45">
        <v>429</v>
      </c>
      <c r="CZ433" s="45">
        <v>34.771282883898941</v>
      </c>
      <c r="DA433" s="45" t="str">
        <v>Invest</v>
      </c>
      <c r="DU433" s="52"/>
      <c r="DV433" s="50"/>
    </row>
    <row r="434" spans="86:126" ht="23.5">
      <c r="CH434" s="45">
        <v>430</v>
      </c>
      <c r="CI434" s="45">
        <v>0</v>
      </c>
      <c r="CJ434" s="45" t="str">
        <v>Nothing</v>
      </c>
      <c r="CM434" s="45">
        <v>430</v>
      </c>
      <c r="CN434" s="48">
        <v>16.805663775198305</v>
      </c>
      <c r="CO434" s="45" t="str">
        <v>Invest</v>
      </c>
      <c r="CP434" s="61"/>
      <c r="CQ434" s="45">
        <v>430</v>
      </c>
      <c r="CR434" s="45">
        <v>23.428527702241201</v>
      </c>
      <c r="CS434" s="45" t="str">
        <v>Invest</v>
      </c>
      <c r="CT434" s="61"/>
      <c r="CU434" s="45">
        <v>430</v>
      </c>
      <c r="CV434" s="45">
        <v>0</v>
      </c>
      <c r="CW434" s="45" t="str">
        <v>Nothing</v>
      </c>
      <c r="CX434" s="61"/>
      <c r="CY434" s="45">
        <v>430</v>
      </c>
      <c r="CZ434" s="45">
        <v>17.336958675097232</v>
      </c>
      <c r="DA434" s="45" t="str">
        <v>Invest</v>
      </c>
      <c r="DU434" s="52"/>
      <c r="DV434" s="50"/>
    </row>
    <row r="435" spans="86:126" ht="23.5">
      <c r="CH435" s="45">
        <v>431</v>
      </c>
      <c r="CI435" s="45">
        <v>10.003500053386563</v>
      </c>
      <c r="CJ435" s="45" t="str">
        <v>Invest</v>
      </c>
      <c r="CM435" s="45">
        <v>431</v>
      </c>
      <c r="CN435" s="48">
        <v>34.905488795283837</v>
      </c>
      <c r="CO435" s="45" t="str">
        <v>Invest</v>
      </c>
      <c r="CP435" s="61"/>
      <c r="CQ435" s="45">
        <v>431</v>
      </c>
      <c r="CR435" s="45">
        <v>6.6665642618303522</v>
      </c>
      <c r="CS435" s="45" t="str">
        <v>Invest</v>
      </c>
      <c r="CT435" s="61"/>
      <c r="CU435" s="45">
        <v>431</v>
      </c>
      <c r="CV435" s="45">
        <v>29.458249793630184</v>
      </c>
      <c r="CW435" s="45" t="str">
        <v>Invest</v>
      </c>
      <c r="CX435" s="61"/>
      <c r="CY435" s="45">
        <v>431</v>
      </c>
      <c r="CZ435" s="45">
        <v>20.752810016026697</v>
      </c>
      <c r="DA435" s="45" t="str">
        <v>Invest</v>
      </c>
      <c r="DU435" s="52"/>
      <c r="DV435" s="50"/>
    </row>
    <row r="436" spans="86:126" ht="23.5">
      <c r="CH436" s="45">
        <v>432</v>
      </c>
      <c r="CI436" s="45">
        <v>38.482636439811408</v>
      </c>
      <c r="CJ436" s="45" t="str">
        <v>Invest</v>
      </c>
      <c r="CM436" s="45">
        <v>432</v>
      </c>
      <c r="CN436" s="48">
        <v>5.6306123312081446</v>
      </c>
      <c r="CO436" s="45" t="str">
        <v>Invest</v>
      </c>
      <c r="CP436" s="61"/>
      <c r="CQ436" s="45">
        <v>432</v>
      </c>
      <c r="CR436" s="45">
        <v>33.685027593444389</v>
      </c>
      <c r="CS436" s="45" t="str">
        <v>Invest</v>
      </c>
      <c r="CT436" s="61"/>
      <c r="CU436" s="45">
        <v>432</v>
      </c>
      <c r="CV436" s="45">
        <v>0</v>
      </c>
      <c r="CW436" s="45" t="str">
        <v>Nothing</v>
      </c>
      <c r="CX436" s="61"/>
      <c r="CY436" s="45">
        <v>432</v>
      </c>
      <c r="CZ436" s="45">
        <v>3.7806930089821051</v>
      </c>
      <c r="DA436" s="45" t="str">
        <v>Invest</v>
      </c>
      <c r="DU436" s="52"/>
      <c r="DV436" s="50"/>
    </row>
    <row r="437" spans="86:126" ht="23.5">
      <c r="CH437" s="45">
        <v>433</v>
      </c>
      <c r="CI437" s="45">
        <v>24.233711991615706</v>
      </c>
      <c r="CJ437" s="45" t="str">
        <v>Invest</v>
      </c>
      <c r="CM437" s="45">
        <v>433</v>
      </c>
      <c r="CN437" s="48">
        <v>0</v>
      </c>
      <c r="CO437" s="45" t="str">
        <v>Nothing</v>
      </c>
      <c r="CP437" s="61"/>
      <c r="CQ437" s="45">
        <v>433</v>
      </c>
      <c r="CR437" s="45">
        <v>35.14656258868046</v>
      </c>
      <c r="CS437" s="45" t="str">
        <v>Invest</v>
      </c>
      <c r="CT437" s="61"/>
      <c r="CU437" s="45">
        <v>433</v>
      </c>
      <c r="CV437" s="45">
        <v>33.777527605100424</v>
      </c>
      <c r="CW437" s="45" t="str">
        <v>Invest</v>
      </c>
      <c r="CX437" s="61"/>
      <c r="CY437" s="45">
        <v>433</v>
      </c>
      <c r="CZ437" s="45">
        <v>0</v>
      </c>
      <c r="DA437" s="45" t="str">
        <v>Nothing</v>
      </c>
      <c r="DU437" s="52"/>
      <c r="DV437" s="50"/>
    </row>
    <row r="438" spans="86:126" ht="23.5">
      <c r="CH438" s="45">
        <v>434</v>
      </c>
      <c r="CI438" s="45">
        <v>15.51567486532597</v>
      </c>
      <c r="CJ438" s="45" t="str">
        <v>Invest</v>
      </c>
      <c r="CM438" s="45">
        <v>434</v>
      </c>
      <c r="CN438" s="48">
        <v>0</v>
      </c>
      <c r="CO438" s="45" t="str">
        <v>Nothing</v>
      </c>
      <c r="CP438" s="61"/>
      <c r="CQ438" s="45">
        <v>434</v>
      </c>
      <c r="CR438" s="45">
        <v>0</v>
      </c>
      <c r="CS438" s="45" t="str">
        <v>Nothing</v>
      </c>
      <c r="CT438" s="61"/>
      <c r="CU438" s="45">
        <v>434</v>
      </c>
      <c r="CV438" s="45">
        <v>34.966762884263197</v>
      </c>
      <c r="CW438" s="45" t="str">
        <v>Invest</v>
      </c>
      <c r="CX438" s="61"/>
      <c r="CY438" s="45">
        <v>434</v>
      </c>
      <c r="CZ438" s="45">
        <v>0</v>
      </c>
      <c r="DA438" s="45" t="str">
        <v>Nothing</v>
      </c>
      <c r="DU438" s="52"/>
      <c r="DV438" s="50"/>
    </row>
    <row r="439" spans="86:126" ht="23.5">
      <c r="CH439" s="45">
        <v>435</v>
      </c>
      <c r="CI439" s="45">
        <v>16.53603119141583</v>
      </c>
      <c r="CJ439" s="45" t="str">
        <v>Invest</v>
      </c>
      <c r="CM439" s="45">
        <v>435</v>
      </c>
      <c r="CN439" s="48">
        <v>49.083147530014926</v>
      </c>
      <c r="CO439" s="45" t="str">
        <v>Invest</v>
      </c>
      <c r="CP439" s="61"/>
      <c r="CQ439" s="45">
        <v>435</v>
      </c>
      <c r="CR439" s="45">
        <v>2.6468631781277701</v>
      </c>
      <c r="CS439" s="45" t="str">
        <v>Invest</v>
      </c>
      <c r="CT439" s="61"/>
      <c r="CU439" s="45">
        <v>435</v>
      </c>
      <c r="CV439" s="45">
        <v>26.7800242815416</v>
      </c>
      <c r="CW439" s="45" t="str">
        <v>Invest</v>
      </c>
      <c r="CX439" s="61"/>
      <c r="CY439" s="45">
        <v>435</v>
      </c>
      <c r="CZ439" s="45">
        <v>38.871270057359808</v>
      </c>
      <c r="DA439" s="45" t="str">
        <v>Invest</v>
      </c>
      <c r="DU439" s="52"/>
      <c r="DV439" s="50"/>
    </row>
    <row r="440" spans="86:126" ht="23.5">
      <c r="CH440" s="45">
        <v>436</v>
      </c>
      <c r="CI440" s="45">
        <v>0</v>
      </c>
      <c r="CJ440" s="45" t="str">
        <v>Nothing</v>
      </c>
      <c r="CM440" s="45">
        <v>436</v>
      </c>
      <c r="CN440" s="48">
        <v>0</v>
      </c>
      <c r="CO440" s="45" t="str">
        <v>Nothing</v>
      </c>
      <c r="CP440" s="61"/>
      <c r="CQ440" s="45">
        <v>436</v>
      </c>
      <c r="CR440" s="45">
        <v>12.903117323361322</v>
      </c>
      <c r="CS440" s="45" t="str">
        <v>Invest</v>
      </c>
      <c r="CT440" s="61"/>
      <c r="CU440" s="45">
        <v>436</v>
      </c>
      <c r="CV440" s="45">
        <v>39.013275043862905</v>
      </c>
      <c r="CW440" s="45" t="str">
        <v>Invest</v>
      </c>
      <c r="CX440" s="61"/>
      <c r="CY440" s="45">
        <v>436</v>
      </c>
      <c r="CZ440" s="45">
        <v>0</v>
      </c>
      <c r="DA440" s="45" t="str">
        <v>Nothing</v>
      </c>
      <c r="DU440" s="52"/>
      <c r="DV440" s="50"/>
    </row>
    <row r="441" spans="86:126" ht="23.5">
      <c r="CH441" s="45">
        <v>437</v>
      </c>
      <c r="CI441" s="45">
        <v>0</v>
      </c>
      <c r="CJ441" s="45" t="str">
        <v>Nothing</v>
      </c>
      <c r="CM441" s="45">
        <v>437</v>
      </c>
      <c r="CN441" s="48">
        <v>0</v>
      </c>
      <c r="CO441" s="45" t="str">
        <v>Nothing</v>
      </c>
      <c r="CP441" s="61"/>
      <c r="CQ441" s="45">
        <v>437</v>
      </c>
      <c r="CR441" s="45">
        <v>0</v>
      </c>
      <c r="CS441" s="45" t="str">
        <v>Nothing</v>
      </c>
      <c r="CT441" s="61"/>
      <c r="CU441" s="45">
        <v>437</v>
      </c>
      <c r="CV441" s="45">
        <v>7.2097043265394198</v>
      </c>
      <c r="CW441" s="45" t="str">
        <v>Invest</v>
      </c>
      <c r="CX441" s="61"/>
      <c r="CY441" s="45">
        <v>437</v>
      </c>
      <c r="CZ441" s="45">
        <v>16.976150793818988</v>
      </c>
      <c r="DA441" s="45" t="str">
        <v>Invest</v>
      </c>
      <c r="DU441" s="52"/>
      <c r="DV441" s="50"/>
    </row>
    <row r="442" spans="86:126" ht="23.5">
      <c r="CH442" s="45">
        <v>438</v>
      </c>
      <c r="CI442" s="45">
        <v>27.344440192313044</v>
      </c>
      <c r="CJ442" s="45" t="str">
        <v>Invest</v>
      </c>
      <c r="CM442" s="45">
        <v>438</v>
      </c>
      <c r="CN442" s="48">
        <v>42.714884593139537</v>
      </c>
      <c r="CO442" s="45" t="str">
        <v>Invest</v>
      </c>
      <c r="CP442" s="61"/>
      <c r="CQ442" s="45">
        <v>438</v>
      </c>
      <c r="CR442" s="45">
        <v>3.6076391427182855</v>
      </c>
      <c r="CS442" s="45" t="str">
        <v>Invest</v>
      </c>
      <c r="CT442" s="61"/>
      <c r="CU442" s="45">
        <v>438</v>
      </c>
      <c r="CV442" s="45">
        <v>15.659807177585968</v>
      </c>
      <c r="CW442" s="45" t="str">
        <v>Invest</v>
      </c>
      <c r="CX442" s="61"/>
      <c r="CY442" s="45">
        <v>438</v>
      </c>
      <c r="CZ442" s="45">
        <v>28.409262457795762</v>
      </c>
      <c r="DA442" s="45" t="str">
        <v>Invest</v>
      </c>
      <c r="DU442" s="52"/>
      <c r="DV442" s="50"/>
    </row>
    <row r="443" spans="86:126" ht="23.5">
      <c r="CH443" s="45">
        <v>439</v>
      </c>
      <c r="CI443" s="45">
        <v>8.7052438123416565</v>
      </c>
      <c r="CJ443" s="45" t="str">
        <v>Invest</v>
      </c>
      <c r="CM443" s="45">
        <v>439</v>
      </c>
      <c r="CN443" s="48">
        <v>20.142757622095843</v>
      </c>
      <c r="CO443" s="45" t="str">
        <v>Invest</v>
      </c>
      <c r="CP443" s="61"/>
      <c r="CQ443" s="45">
        <v>439</v>
      </c>
      <c r="CR443" s="45">
        <v>23.405158828109208</v>
      </c>
      <c r="CS443" s="45" t="str">
        <v>Invest</v>
      </c>
      <c r="CT443" s="61"/>
      <c r="CU443" s="45">
        <v>439</v>
      </c>
      <c r="CV443" s="45">
        <v>33.209207934063123</v>
      </c>
      <c r="CW443" s="45" t="str">
        <v>Invest</v>
      </c>
      <c r="CX443" s="61"/>
      <c r="CY443" s="45">
        <v>439</v>
      </c>
      <c r="CZ443" s="45">
        <v>4.613450078054421</v>
      </c>
      <c r="DA443" s="45" t="str">
        <v>Invest</v>
      </c>
      <c r="DU443" s="52"/>
      <c r="DV443" s="50"/>
    </row>
    <row r="444" spans="86:126" ht="23.5">
      <c r="CH444" s="45">
        <v>440</v>
      </c>
      <c r="CI444" s="45">
        <v>10.889920629557491</v>
      </c>
      <c r="CJ444" s="45" t="str">
        <v>Invest</v>
      </c>
      <c r="CM444" s="45">
        <v>440</v>
      </c>
      <c r="CN444" s="48">
        <v>26.128749162282841</v>
      </c>
      <c r="CO444" s="45" t="str">
        <v>Invest</v>
      </c>
      <c r="CP444" s="61"/>
      <c r="CQ444" s="45">
        <v>440</v>
      </c>
      <c r="CR444" s="45">
        <v>0</v>
      </c>
      <c r="CS444" s="45" t="str">
        <v>Nothing</v>
      </c>
      <c r="CT444" s="61"/>
      <c r="CU444" s="45">
        <v>440</v>
      </c>
      <c r="CV444" s="45">
        <v>18.081128176088818</v>
      </c>
      <c r="CW444" s="45" t="str">
        <v>Invest</v>
      </c>
      <c r="CX444" s="61"/>
      <c r="CY444" s="45">
        <v>440</v>
      </c>
      <c r="CZ444" s="45">
        <v>18.035138491377598</v>
      </c>
      <c r="DA444" s="45" t="str">
        <v>Invest</v>
      </c>
      <c r="DU444" s="52"/>
      <c r="DV444" s="50"/>
    </row>
    <row r="445" spans="86:126" ht="23.5">
      <c r="CH445" s="45">
        <v>441</v>
      </c>
      <c r="CI445" s="45">
        <v>11.906132723280713</v>
      </c>
      <c r="CJ445" s="45" t="str">
        <v>Invest</v>
      </c>
      <c r="CM445" s="45">
        <v>441</v>
      </c>
      <c r="CN445" s="48">
        <v>24.47838994158186</v>
      </c>
      <c r="CO445" s="45" t="str">
        <v>Invest</v>
      </c>
      <c r="CP445" s="61"/>
      <c r="CQ445" s="45">
        <v>441</v>
      </c>
      <c r="CR445" s="45">
        <v>28.384770500665176</v>
      </c>
      <c r="CS445" s="45" t="str">
        <v>Invest</v>
      </c>
      <c r="CT445" s="61"/>
      <c r="CU445" s="45">
        <v>441</v>
      </c>
      <c r="CV445" s="45">
        <v>0</v>
      </c>
      <c r="CW445" s="45" t="str">
        <v>Nothing</v>
      </c>
      <c r="CX445" s="61"/>
      <c r="CY445" s="45">
        <v>441</v>
      </c>
      <c r="CZ445" s="45">
        <v>3.7432252008001536</v>
      </c>
      <c r="DA445" s="45" t="str">
        <v>Invest</v>
      </c>
      <c r="DU445" s="52"/>
      <c r="DV445" s="50"/>
    </row>
    <row r="446" spans="86:126" ht="23.5">
      <c r="CH446" s="45">
        <v>442</v>
      </c>
      <c r="CI446" s="45">
        <v>2.7537197690359339</v>
      </c>
      <c r="CJ446" s="45" t="str">
        <v>Invest</v>
      </c>
      <c r="CM446" s="45">
        <v>442</v>
      </c>
      <c r="CN446" s="48">
        <v>0</v>
      </c>
      <c r="CO446" s="45" t="str">
        <v>Nothing</v>
      </c>
      <c r="CP446" s="61"/>
      <c r="CQ446" s="45">
        <v>442</v>
      </c>
      <c r="CR446" s="45">
        <v>16.369172058020862</v>
      </c>
      <c r="CS446" s="45" t="str">
        <v>Invest</v>
      </c>
      <c r="CT446" s="61"/>
      <c r="CU446" s="45">
        <v>442</v>
      </c>
      <c r="CV446" s="45">
        <v>17.842339205149386</v>
      </c>
      <c r="CW446" s="45" t="str">
        <v>Invest</v>
      </c>
      <c r="CX446" s="61"/>
      <c r="CY446" s="45">
        <v>442</v>
      </c>
      <c r="CZ446" s="45">
        <v>49.259727046094916</v>
      </c>
      <c r="DA446" s="45" t="str">
        <v>Invest</v>
      </c>
      <c r="DU446" s="52"/>
      <c r="DV446" s="50"/>
    </row>
    <row r="447" spans="86:126" ht="23.5">
      <c r="CH447" s="45">
        <v>443</v>
      </c>
      <c r="CI447" s="45">
        <v>22.985865849390791</v>
      </c>
      <c r="CJ447" s="45" t="str">
        <v>Invest</v>
      </c>
      <c r="CM447" s="45">
        <v>443</v>
      </c>
      <c r="CN447" s="48">
        <v>0</v>
      </c>
      <c r="CO447" s="45" t="str">
        <v>Nothing</v>
      </c>
      <c r="CP447" s="61"/>
      <c r="CQ447" s="45">
        <v>443</v>
      </c>
      <c r="CR447" s="45">
        <v>0</v>
      </c>
      <c r="CS447" s="45" t="str">
        <v>Nothing</v>
      </c>
      <c r="CT447" s="61"/>
      <c r="CU447" s="45">
        <v>443</v>
      </c>
      <c r="CV447" s="45">
        <v>58.853674629438807</v>
      </c>
      <c r="CW447" s="45" t="str">
        <v>Invest</v>
      </c>
      <c r="CX447" s="61"/>
      <c r="CY447" s="45">
        <v>443</v>
      </c>
      <c r="CZ447" s="45">
        <v>0</v>
      </c>
      <c r="DA447" s="45" t="str">
        <v>Nothing</v>
      </c>
      <c r="DU447" s="52"/>
      <c r="DV447" s="50"/>
    </row>
    <row r="448" spans="86:126" ht="23.5">
      <c r="CH448" s="45">
        <v>444</v>
      </c>
      <c r="CI448" s="45">
        <v>0</v>
      </c>
      <c r="CJ448" s="45" t="str">
        <v>Nothing</v>
      </c>
      <c r="CM448" s="45">
        <v>444</v>
      </c>
      <c r="CN448" s="48">
        <v>28.602709838675359</v>
      </c>
      <c r="CO448" s="45" t="str">
        <v>Invest</v>
      </c>
      <c r="CP448" s="61"/>
      <c r="CQ448" s="45">
        <v>444</v>
      </c>
      <c r="CR448" s="45">
        <v>0</v>
      </c>
      <c r="CS448" s="45" t="str">
        <v>Nothing</v>
      </c>
      <c r="CT448" s="61"/>
      <c r="CU448" s="45">
        <v>444</v>
      </c>
      <c r="CV448" s="45">
        <v>6.5859116452624553</v>
      </c>
      <c r="CW448" s="45" t="str">
        <v>Invest</v>
      </c>
      <c r="CX448" s="61"/>
      <c r="CY448" s="45">
        <v>444</v>
      </c>
      <c r="CZ448" s="45">
        <v>0</v>
      </c>
      <c r="DA448" s="45" t="str">
        <v>Nothing</v>
      </c>
      <c r="DU448" s="52"/>
      <c r="DV448" s="50"/>
    </row>
    <row r="449" spans="86:126" ht="23.5">
      <c r="CH449" s="45">
        <v>445</v>
      </c>
      <c r="CI449" s="45">
        <v>35.463719400037085</v>
      </c>
      <c r="CJ449" s="45" t="str">
        <v>Invest</v>
      </c>
      <c r="CM449" s="45">
        <v>445</v>
      </c>
      <c r="CN449" s="48">
        <v>6.9647283442560521</v>
      </c>
      <c r="CO449" s="45" t="str">
        <v>Invest</v>
      </c>
      <c r="CP449" s="61"/>
      <c r="CQ449" s="45">
        <v>445</v>
      </c>
      <c r="CR449" s="45">
        <v>17.531619772423028</v>
      </c>
      <c r="CS449" s="45" t="str">
        <v>Invest</v>
      </c>
      <c r="CT449" s="61"/>
      <c r="CU449" s="45">
        <v>445</v>
      </c>
      <c r="CV449" s="45">
        <v>36.765840407303884</v>
      </c>
      <c r="CW449" s="45" t="str">
        <v>Invest</v>
      </c>
      <c r="CX449" s="61"/>
      <c r="CY449" s="45">
        <v>445</v>
      </c>
      <c r="CZ449" s="45">
        <v>4.3790121831891842</v>
      </c>
      <c r="DA449" s="45" t="str">
        <v>Invest</v>
      </c>
      <c r="DU449" s="52"/>
      <c r="DV449" s="50"/>
    </row>
    <row r="450" spans="86:126" ht="23.5">
      <c r="CH450" s="45">
        <v>446</v>
      </c>
      <c r="CI450" s="45">
        <v>36.866756072032338</v>
      </c>
      <c r="CJ450" s="45" t="str">
        <v>Invest</v>
      </c>
      <c r="CM450" s="45">
        <v>446</v>
      </c>
      <c r="CN450" s="48">
        <v>13.462117107259967</v>
      </c>
      <c r="CO450" s="45" t="str">
        <v>Invest</v>
      </c>
      <c r="CP450" s="61"/>
      <c r="CQ450" s="45">
        <v>446</v>
      </c>
      <c r="CR450" s="45">
        <v>27.678039256235305</v>
      </c>
      <c r="CS450" s="45" t="str">
        <v>Invest</v>
      </c>
      <c r="CT450" s="61"/>
      <c r="CU450" s="45">
        <v>446</v>
      </c>
      <c r="CV450" s="45">
        <v>48.382304114600167</v>
      </c>
      <c r="CW450" s="45" t="str">
        <v>Invest</v>
      </c>
      <c r="CX450" s="61"/>
      <c r="CY450" s="45">
        <v>446</v>
      </c>
      <c r="CZ450" s="45">
        <v>0</v>
      </c>
      <c r="DA450" s="45" t="str">
        <v>Nothing</v>
      </c>
      <c r="DU450" s="52"/>
      <c r="DV450" s="50"/>
    </row>
    <row r="451" spans="86:126" ht="23.5">
      <c r="CH451" s="45">
        <v>447</v>
      </c>
      <c r="CI451" s="45">
        <v>60.829778515289355</v>
      </c>
      <c r="CJ451" s="45" t="str">
        <v>Invest</v>
      </c>
      <c r="CM451" s="45">
        <v>447</v>
      </c>
      <c r="CN451" s="48">
        <v>0</v>
      </c>
      <c r="CO451" s="45" t="str">
        <v>Nothing</v>
      </c>
      <c r="CP451" s="61"/>
      <c r="CQ451" s="45">
        <v>447</v>
      </c>
      <c r="CR451" s="45">
        <v>12.28519362513722</v>
      </c>
      <c r="CS451" s="45" t="str">
        <v>Invest</v>
      </c>
      <c r="CT451" s="61"/>
      <c r="CU451" s="45">
        <v>447</v>
      </c>
      <c r="CV451" s="45">
        <v>16.08287297084274</v>
      </c>
      <c r="CW451" s="45" t="str">
        <v>Invest</v>
      </c>
      <c r="CX451" s="61"/>
      <c r="CY451" s="45">
        <v>447</v>
      </c>
      <c r="CZ451" s="45">
        <v>0</v>
      </c>
      <c r="DA451" s="45" t="str">
        <v>Nothing</v>
      </c>
      <c r="DU451" s="52"/>
      <c r="DV451" s="50"/>
    </row>
    <row r="452" spans="86:126" ht="23.5">
      <c r="CH452" s="45">
        <v>448</v>
      </c>
      <c r="CI452" s="45">
        <v>5.378114114519434</v>
      </c>
      <c r="CJ452" s="45" t="str">
        <v>Invest</v>
      </c>
      <c r="CM452" s="45">
        <v>448</v>
      </c>
      <c r="CN452" s="48">
        <v>0</v>
      </c>
      <c r="CO452" s="45" t="str">
        <v>Nothing</v>
      </c>
      <c r="CP452" s="61"/>
      <c r="CQ452" s="45">
        <v>448</v>
      </c>
      <c r="CR452" s="45">
        <v>20.418673381398001</v>
      </c>
      <c r="CS452" s="45" t="str">
        <v>Invest</v>
      </c>
      <c r="CT452" s="61"/>
      <c r="CU452" s="45">
        <v>448</v>
      </c>
      <c r="CV452" s="45">
        <v>32.883062715121469</v>
      </c>
      <c r="CW452" s="45" t="str">
        <v>Invest</v>
      </c>
      <c r="CX452" s="61"/>
      <c r="CY452" s="45">
        <v>448</v>
      </c>
      <c r="CZ452" s="45">
        <v>8.5664214663951732</v>
      </c>
      <c r="DA452" s="45" t="str">
        <v>Invest</v>
      </c>
      <c r="DU452" s="52"/>
      <c r="DV452" s="50"/>
    </row>
    <row r="453" spans="86:126" ht="23.5">
      <c r="CH453" s="45">
        <v>449</v>
      </c>
      <c r="CI453" s="45">
        <v>0</v>
      </c>
      <c r="CJ453" s="45" t="str">
        <v>Nothing</v>
      </c>
      <c r="CM453" s="45">
        <v>449</v>
      </c>
      <c r="CN453" s="48">
        <v>15.726428996096349</v>
      </c>
      <c r="CO453" s="45" t="str">
        <v>Invest</v>
      </c>
      <c r="CP453" s="61"/>
      <c r="CQ453" s="45">
        <v>449</v>
      </c>
      <c r="CR453" s="45">
        <v>0</v>
      </c>
      <c r="CS453" s="45" t="str">
        <v>Nothing</v>
      </c>
      <c r="CT453" s="61"/>
      <c r="CU453" s="45">
        <v>449</v>
      </c>
      <c r="CV453" s="45">
        <v>19.037667699190699</v>
      </c>
      <c r="CW453" s="45" t="str">
        <v>Invest</v>
      </c>
      <c r="CX453" s="61"/>
      <c r="CY453" s="45">
        <v>449</v>
      </c>
      <c r="CZ453" s="45">
        <v>4.3194315082043957</v>
      </c>
      <c r="DA453" s="45" t="str">
        <v>Invest</v>
      </c>
      <c r="DU453" s="52"/>
      <c r="DV453" s="50"/>
    </row>
    <row r="454" spans="86:126" ht="23.5">
      <c r="CH454" s="45">
        <v>450</v>
      </c>
      <c r="CI454" s="45">
        <v>0</v>
      </c>
      <c r="CJ454" s="45" t="str">
        <v>Nothing</v>
      </c>
      <c r="CM454" s="45">
        <v>450</v>
      </c>
      <c r="CN454" s="48">
        <v>0</v>
      </c>
      <c r="CO454" s="45" t="str">
        <v>Nothing</v>
      </c>
      <c r="CP454" s="61"/>
      <c r="CQ454" s="45">
        <v>450</v>
      </c>
      <c r="CR454" s="45">
        <v>0</v>
      </c>
      <c r="CS454" s="45" t="str">
        <v>Nothing</v>
      </c>
      <c r="CT454" s="61"/>
      <c r="CU454" s="45">
        <v>450</v>
      </c>
      <c r="CV454" s="45">
        <v>36.25521488311562</v>
      </c>
      <c r="CW454" s="45" t="str">
        <v>Invest</v>
      </c>
      <c r="CX454" s="61"/>
      <c r="CY454" s="45">
        <v>450</v>
      </c>
      <c r="CZ454" s="45">
        <v>0</v>
      </c>
      <c r="DA454" s="45" t="str">
        <v>Nothing</v>
      </c>
      <c r="DU454" s="52"/>
      <c r="DV454" s="50"/>
    </row>
    <row r="455" spans="86:126" ht="23.5">
      <c r="CH455" s="45">
        <v>451</v>
      </c>
      <c r="CI455" s="45">
        <v>17.778141055818899</v>
      </c>
      <c r="CJ455" s="45" t="str">
        <v>Invest</v>
      </c>
      <c r="CM455" s="45">
        <v>451</v>
      </c>
      <c r="CN455" s="48">
        <v>37.544646826156281</v>
      </c>
      <c r="CO455" s="45" t="str">
        <v>Invest</v>
      </c>
      <c r="CP455" s="61"/>
      <c r="CQ455" s="45">
        <v>451</v>
      </c>
      <c r="CR455" s="45">
        <v>42.843684511106858</v>
      </c>
      <c r="CS455" s="45" t="str">
        <v>Invest</v>
      </c>
      <c r="CT455" s="61"/>
      <c r="CU455" s="45">
        <v>451</v>
      </c>
      <c r="CV455" s="45">
        <v>45.498639131417974</v>
      </c>
      <c r="CW455" s="45" t="str">
        <v>Invest</v>
      </c>
      <c r="CX455" s="61"/>
      <c r="CY455" s="45">
        <v>451</v>
      </c>
      <c r="CZ455" s="45">
        <v>0.62864632821108835</v>
      </c>
      <c r="DA455" s="45" t="str">
        <v>Invest</v>
      </c>
      <c r="DU455" s="52"/>
      <c r="DV455" s="50"/>
    </row>
    <row r="456" spans="86:126" ht="23.5">
      <c r="CH456" s="45">
        <v>452</v>
      </c>
      <c r="CI456" s="45">
        <v>23.114404040731159</v>
      </c>
      <c r="CJ456" s="45" t="str">
        <v>Invest</v>
      </c>
      <c r="CM456" s="45">
        <v>452</v>
      </c>
      <c r="CN456" s="48">
        <v>0</v>
      </c>
      <c r="CO456" s="45" t="str">
        <v>Nothing</v>
      </c>
      <c r="CP456" s="61"/>
      <c r="CQ456" s="45">
        <v>452</v>
      </c>
      <c r="CR456" s="45">
        <v>0</v>
      </c>
      <c r="CS456" s="45" t="str">
        <v>Nothing</v>
      </c>
      <c r="CT456" s="61"/>
      <c r="CU456" s="45">
        <v>452</v>
      </c>
      <c r="CV456" s="45">
        <v>18.334755006798119</v>
      </c>
      <c r="CW456" s="45" t="str">
        <v>Invest</v>
      </c>
      <c r="CX456" s="61"/>
      <c r="CY456" s="45">
        <v>452</v>
      </c>
      <c r="CZ456" s="45">
        <v>0</v>
      </c>
      <c r="DA456" s="45" t="str">
        <v>Nothing</v>
      </c>
      <c r="DU456" s="52"/>
      <c r="DV456" s="50"/>
    </row>
    <row r="457" spans="86:126" ht="23.5">
      <c r="CH457" s="45">
        <v>453</v>
      </c>
      <c r="CI457" s="45">
        <v>30.357013073164346</v>
      </c>
      <c r="CJ457" s="45" t="str">
        <v>Invest</v>
      </c>
      <c r="CM457" s="45">
        <v>453</v>
      </c>
      <c r="CN457" s="48">
        <v>0</v>
      </c>
      <c r="CO457" s="45" t="str">
        <v>Nothing</v>
      </c>
      <c r="CP457" s="61"/>
      <c r="CQ457" s="45">
        <v>453</v>
      </c>
      <c r="CR457" s="45">
        <v>19.421314338571612</v>
      </c>
      <c r="CS457" s="45" t="str">
        <v>Invest</v>
      </c>
      <c r="CT457" s="61"/>
      <c r="CU457" s="45">
        <v>453</v>
      </c>
      <c r="CV457" s="45">
        <v>18.327988510527199</v>
      </c>
      <c r="CW457" s="45" t="str">
        <v>Invest</v>
      </c>
      <c r="CX457" s="61"/>
      <c r="CY457" s="45">
        <v>453</v>
      </c>
      <c r="CZ457" s="45">
        <v>7.0931630193434394</v>
      </c>
      <c r="DA457" s="45" t="str">
        <v>Invest</v>
      </c>
      <c r="DU457" s="52"/>
      <c r="DV457" s="50"/>
    </row>
    <row r="458" spans="86:126" ht="23.5">
      <c r="CH458" s="45">
        <v>454</v>
      </c>
      <c r="CI458" s="45">
        <v>18.3539286842176</v>
      </c>
      <c r="CJ458" s="45" t="str">
        <v>Invest</v>
      </c>
      <c r="CM458" s="45">
        <v>454</v>
      </c>
      <c r="CN458" s="48">
        <v>35.694254083207952</v>
      </c>
      <c r="CO458" s="45" t="str">
        <v>Invest</v>
      </c>
      <c r="CP458" s="61"/>
      <c r="CQ458" s="45">
        <v>454</v>
      </c>
      <c r="CR458" s="45">
        <v>17.681996441812128</v>
      </c>
      <c r="CS458" s="45" t="str">
        <v>Invest</v>
      </c>
      <c r="CT458" s="61"/>
      <c r="CU458" s="45">
        <v>454</v>
      </c>
      <c r="CV458" s="45">
        <v>26.375398005926503</v>
      </c>
      <c r="CW458" s="45" t="str">
        <v>Invest</v>
      </c>
      <c r="CX458" s="61"/>
      <c r="CY458" s="45">
        <v>454</v>
      </c>
      <c r="CZ458" s="45">
        <v>10.539806097097642</v>
      </c>
      <c r="DA458" s="45" t="str">
        <v>Invest</v>
      </c>
      <c r="DU458" s="52"/>
      <c r="DV458" s="50"/>
    </row>
    <row r="459" spans="86:126" ht="23.5">
      <c r="CH459" s="45">
        <v>455</v>
      </c>
      <c r="CI459" s="45">
        <v>13.816292678399059</v>
      </c>
      <c r="CJ459" s="45" t="str">
        <v>Invest</v>
      </c>
      <c r="CM459" s="45">
        <v>455</v>
      </c>
      <c r="CN459" s="48">
        <v>46.189160456564743</v>
      </c>
      <c r="CO459" s="45" t="str">
        <v>Invest</v>
      </c>
      <c r="CP459" s="61"/>
      <c r="CQ459" s="45">
        <v>455</v>
      </c>
      <c r="CR459" s="45">
        <v>5.1250466118602027</v>
      </c>
      <c r="CS459" s="45" t="str">
        <v>Invest</v>
      </c>
      <c r="CT459" s="61"/>
      <c r="CU459" s="45">
        <v>455</v>
      </c>
      <c r="CV459" s="45">
        <v>0</v>
      </c>
      <c r="CW459" s="45" t="str">
        <v>Nothing</v>
      </c>
      <c r="CX459" s="61"/>
      <c r="CY459" s="45">
        <v>455</v>
      </c>
      <c r="CZ459" s="45">
        <v>30.093395459271942</v>
      </c>
      <c r="DA459" s="45" t="str">
        <v>Invest</v>
      </c>
      <c r="DU459" s="52"/>
      <c r="DV459" s="50"/>
    </row>
    <row r="460" spans="86:126" ht="23.5">
      <c r="CH460" s="45">
        <v>456</v>
      </c>
      <c r="CI460" s="45">
        <v>13.223571260060227</v>
      </c>
      <c r="CJ460" s="45" t="str">
        <v>Invest</v>
      </c>
      <c r="CM460" s="45">
        <v>456</v>
      </c>
      <c r="CN460" s="48">
        <v>0</v>
      </c>
      <c r="CO460" s="45" t="str">
        <v>Nothing</v>
      </c>
      <c r="CP460" s="61"/>
      <c r="CQ460" s="45">
        <v>456</v>
      </c>
      <c r="CR460" s="45">
        <v>0</v>
      </c>
      <c r="CS460" s="45" t="str">
        <v>Nothing</v>
      </c>
      <c r="CT460" s="61"/>
      <c r="CU460" s="45">
        <v>456</v>
      </c>
      <c r="CV460" s="45">
        <v>0</v>
      </c>
      <c r="CW460" s="45" t="str">
        <v>Nothing</v>
      </c>
      <c r="CX460" s="61"/>
      <c r="CY460" s="45">
        <v>456</v>
      </c>
      <c r="CZ460" s="45">
        <v>1.6765922705105067</v>
      </c>
      <c r="DA460" s="45" t="str">
        <v>Invest</v>
      </c>
      <c r="DU460" s="52"/>
      <c r="DV460" s="50"/>
    </row>
    <row r="461" spans="86:126" ht="23.5">
      <c r="CH461" s="45">
        <v>457</v>
      </c>
      <c r="CI461" s="45">
        <v>6.8585060572317609</v>
      </c>
      <c r="CJ461" s="45" t="str">
        <v>Invest</v>
      </c>
      <c r="CM461" s="45">
        <v>457</v>
      </c>
      <c r="CN461" s="48">
        <v>43.853972466556698</v>
      </c>
      <c r="CO461" s="45" t="str">
        <v>Invest</v>
      </c>
      <c r="CP461" s="61"/>
      <c r="CQ461" s="45">
        <v>457</v>
      </c>
      <c r="CR461" s="45">
        <v>40.013858898026257</v>
      </c>
      <c r="CS461" s="45" t="str">
        <v>Invest</v>
      </c>
      <c r="CT461" s="61"/>
      <c r="CU461" s="45">
        <v>457</v>
      </c>
      <c r="CV461" s="45">
        <v>19.514709998562171</v>
      </c>
      <c r="CW461" s="45" t="str">
        <v>Invest</v>
      </c>
      <c r="CX461" s="61"/>
      <c r="CY461" s="45">
        <v>457</v>
      </c>
      <c r="CZ461" s="45">
        <v>2.6404156502906488</v>
      </c>
      <c r="DA461" s="45" t="str">
        <v>Invest</v>
      </c>
      <c r="DU461" s="52"/>
      <c r="DV461" s="50"/>
    </row>
    <row r="462" spans="86:126" ht="23.5">
      <c r="CH462" s="45">
        <v>458</v>
      </c>
      <c r="CI462" s="45">
        <v>0</v>
      </c>
      <c r="CJ462" s="45" t="str">
        <v>Nothing</v>
      </c>
      <c r="CM462" s="45">
        <v>458</v>
      </c>
      <c r="CN462" s="48">
        <v>24.328232974810845</v>
      </c>
      <c r="CO462" s="45" t="str">
        <v>Invest</v>
      </c>
      <c r="CP462" s="61"/>
      <c r="CQ462" s="45">
        <v>458</v>
      </c>
      <c r="CR462" s="45">
        <v>49.478650577803336</v>
      </c>
      <c r="CS462" s="45" t="str">
        <v>Invest</v>
      </c>
      <c r="CT462" s="61"/>
      <c r="CU462" s="45">
        <v>458</v>
      </c>
      <c r="CV462" s="45">
        <v>20.890332703788218</v>
      </c>
      <c r="CW462" s="45" t="str">
        <v>Invest</v>
      </c>
      <c r="CX462" s="61"/>
      <c r="CY462" s="45">
        <v>458</v>
      </c>
      <c r="CZ462" s="45">
        <v>19.789720604064648</v>
      </c>
      <c r="DA462" s="45" t="str">
        <v>Invest</v>
      </c>
      <c r="DU462" s="52"/>
      <c r="DV462" s="50"/>
    </row>
    <row r="463" spans="86:126" ht="23.5">
      <c r="CH463" s="45">
        <v>459</v>
      </c>
      <c r="CI463" s="45">
        <v>26.647373621143469</v>
      </c>
      <c r="CJ463" s="45" t="str">
        <v>Invest</v>
      </c>
      <c r="CM463" s="45">
        <v>459</v>
      </c>
      <c r="CN463" s="48">
        <v>43.35950266668867</v>
      </c>
      <c r="CO463" s="45" t="str">
        <v>Invest</v>
      </c>
      <c r="CP463" s="61"/>
      <c r="CQ463" s="45">
        <v>459</v>
      </c>
      <c r="CR463" s="45">
        <v>14.17269255319945</v>
      </c>
      <c r="CS463" s="45" t="str">
        <v>Invest</v>
      </c>
      <c r="CT463" s="61"/>
      <c r="CU463" s="45">
        <v>459</v>
      </c>
      <c r="CV463" s="45">
        <v>36.372268191885745</v>
      </c>
      <c r="CW463" s="45" t="str">
        <v>Invest</v>
      </c>
      <c r="CX463" s="61"/>
      <c r="CY463" s="45">
        <v>459</v>
      </c>
      <c r="CZ463" s="45">
        <v>4.7134406051414457</v>
      </c>
      <c r="DA463" s="45" t="str">
        <v>Invest</v>
      </c>
      <c r="DU463" s="52"/>
      <c r="DV463" s="50"/>
    </row>
    <row r="464" spans="86:126" ht="23.5">
      <c r="CH464" s="45">
        <v>460</v>
      </c>
      <c r="CI464" s="45">
        <v>7.3372728661237705</v>
      </c>
      <c r="CJ464" s="45" t="str">
        <v>Invest</v>
      </c>
      <c r="CM464" s="45">
        <v>460</v>
      </c>
      <c r="CN464" s="48">
        <v>0</v>
      </c>
      <c r="CO464" s="45" t="str">
        <v>Nothing</v>
      </c>
      <c r="CP464" s="61"/>
      <c r="CQ464" s="45">
        <v>460</v>
      </c>
      <c r="CR464" s="45">
        <v>45.144958873153556</v>
      </c>
      <c r="CS464" s="45" t="str">
        <v>Invest</v>
      </c>
      <c r="CT464" s="61"/>
      <c r="CU464" s="45">
        <v>460</v>
      </c>
      <c r="CV464" s="45">
        <v>29.983853041030834</v>
      </c>
      <c r="CW464" s="45" t="str">
        <v>Invest</v>
      </c>
      <c r="CX464" s="61"/>
      <c r="CY464" s="45">
        <v>460</v>
      </c>
      <c r="CZ464" s="45">
        <v>0</v>
      </c>
      <c r="DA464" s="45" t="str">
        <v>Nothing</v>
      </c>
      <c r="DU464" s="52"/>
      <c r="DV464" s="50"/>
    </row>
    <row r="465" spans="86:126" ht="23.5">
      <c r="CH465" s="45">
        <v>461</v>
      </c>
      <c r="CI465" s="45">
        <v>9.2355996100809072</v>
      </c>
      <c r="CJ465" s="45" t="str">
        <v>Invest</v>
      </c>
      <c r="CM465" s="45">
        <v>461</v>
      </c>
      <c r="CN465" s="48">
        <v>59.040799416669628</v>
      </c>
      <c r="CO465" s="45" t="str">
        <v>Invest</v>
      </c>
      <c r="CP465" s="61"/>
      <c r="CQ465" s="45">
        <v>461</v>
      </c>
      <c r="CR465" s="45">
        <v>18.969565285087324</v>
      </c>
      <c r="CS465" s="45" t="str">
        <v>Invest</v>
      </c>
      <c r="CT465" s="61"/>
      <c r="CU465" s="45">
        <v>461</v>
      </c>
      <c r="CV465" s="45">
        <v>9.5656260221644018</v>
      </c>
      <c r="CW465" s="45" t="str">
        <v>Invest</v>
      </c>
      <c r="CX465" s="61"/>
      <c r="CY465" s="45">
        <v>461</v>
      </c>
      <c r="CZ465" s="45">
        <v>32.287375488825099</v>
      </c>
      <c r="DA465" s="45" t="str">
        <v>Invest</v>
      </c>
      <c r="DU465" s="52"/>
      <c r="DV465" s="50"/>
    </row>
    <row r="466" spans="86:126" ht="23.5">
      <c r="CH466" s="45">
        <v>462</v>
      </c>
      <c r="CI466" s="45">
        <v>15.290739613738513</v>
      </c>
      <c r="CJ466" s="45" t="str">
        <v>Invest</v>
      </c>
      <c r="CM466" s="45">
        <v>462</v>
      </c>
      <c r="CN466" s="48">
        <v>21.887128941502766</v>
      </c>
      <c r="CO466" s="45" t="str">
        <v>Invest</v>
      </c>
      <c r="CP466" s="61"/>
      <c r="CQ466" s="45">
        <v>462</v>
      </c>
      <c r="CR466" s="45">
        <v>16.660824924986436</v>
      </c>
      <c r="CS466" s="45" t="str">
        <v>Invest</v>
      </c>
      <c r="CT466" s="61"/>
      <c r="CU466" s="45">
        <v>462</v>
      </c>
      <c r="CV466" s="45">
        <v>2.5471046685260106</v>
      </c>
      <c r="CW466" s="45" t="str">
        <v>Invest</v>
      </c>
      <c r="CX466" s="61"/>
      <c r="CY466" s="45">
        <v>462</v>
      </c>
      <c r="CZ466" s="45">
        <v>19.713420670014767</v>
      </c>
      <c r="DA466" s="45" t="str">
        <v>Invest</v>
      </c>
      <c r="DU466" s="52"/>
      <c r="DV466" s="50"/>
    </row>
    <row r="467" spans="86:126" ht="23.5">
      <c r="CH467" s="45">
        <v>463</v>
      </c>
      <c r="CI467" s="45">
        <v>38.517020957107476</v>
      </c>
      <c r="CJ467" s="45" t="str">
        <v>Invest</v>
      </c>
      <c r="CM467" s="45">
        <v>463</v>
      </c>
      <c r="CN467" s="48">
        <v>35.600673735367423</v>
      </c>
      <c r="CO467" s="45" t="str">
        <v>Invest</v>
      </c>
      <c r="CP467" s="61"/>
      <c r="CQ467" s="45">
        <v>463</v>
      </c>
      <c r="CR467" s="45">
        <v>2.84612455044409</v>
      </c>
      <c r="CS467" s="45" t="str">
        <v>Invest</v>
      </c>
      <c r="CT467" s="61"/>
      <c r="CU467" s="45">
        <v>463</v>
      </c>
      <c r="CV467" s="45">
        <v>0</v>
      </c>
      <c r="CW467" s="45" t="str">
        <v>Nothing</v>
      </c>
      <c r="CX467" s="61"/>
      <c r="CY467" s="45">
        <v>463</v>
      </c>
      <c r="CZ467" s="45">
        <v>24.079630035041372</v>
      </c>
      <c r="DA467" s="45" t="str">
        <v>Invest</v>
      </c>
      <c r="DU467" s="52"/>
      <c r="DV467" s="50"/>
    </row>
    <row r="468" spans="86:126" ht="23.5">
      <c r="CH468" s="45">
        <v>464</v>
      </c>
      <c r="CI468" s="45">
        <v>33.699614976163261</v>
      </c>
      <c r="CJ468" s="45" t="str">
        <v>Invest</v>
      </c>
      <c r="CM468" s="45">
        <v>464</v>
      </c>
      <c r="CN468" s="48">
        <v>0</v>
      </c>
      <c r="CO468" s="45" t="str">
        <v>Nothing</v>
      </c>
      <c r="CP468" s="61"/>
      <c r="CQ468" s="45">
        <v>464</v>
      </c>
      <c r="CR468" s="45">
        <v>30.124547761269298</v>
      </c>
      <c r="CS468" s="45" t="str">
        <v>Invest</v>
      </c>
      <c r="CT468" s="61"/>
      <c r="CU468" s="45">
        <v>464</v>
      </c>
      <c r="CV468" s="45">
        <v>9.4017328918548362</v>
      </c>
      <c r="CW468" s="45" t="str">
        <v>Invest</v>
      </c>
      <c r="CX468" s="61"/>
      <c r="CY468" s="45">
        <v>464</v>
      </c>
      <c r="CZ468" s="45">
        <v>0</v>
      </c>
      <c r="DA468" s="45" t="str">
        <v>Nothing</v>
      </c>
      <c r="DU468" s="52"/>
      <c r="DV468" s="50"/>
    </row>
    <row r="469" spans="86:126" ht="23.5">
      <c r="CH469" s="45">
        <v>465</v>
      </c>
      <c r="CI469" s="45">
        <v>27.726530896824087</v>
      </c>
      <c r="CJ469" s="45" t="str">
        <v>Invest</v>
      </c>
      <c r="CM469" s="45">
        <v>465</v>
      </c>
      <c r="CN469" s="48">
        <v>4.9050907661369507</v>
      </c>
      <c r="CO469" s="45" t="str">
        <v>Invest</v>
      </c>
      <c r="CP469" s="61"/>
      <c r="CQ469" s="45">
        <v>465</v>
      </c>
      <c r="CR469" s="45">
        <v>50.821865078738831</v>
      </c>
      <c r="CS469" s="45" t="str">
        <v>Invest</v>
      </c>
      <c r="CT469" s="61"/>
      <c r="CU469" s="45">
        <v>465</v>
      </c>
      <c r="CV469" s="45">
        <v>0</v>
      </c>
      <c r="CW469" s="45" t="str">
        <v>Nothing</v>
      </c>
      <c r="CX469" s="61"/>
      <c r="CY469" s="45">
        <v>465</v>
      </c>
      <c r="CZ469" s="45">
        <v>21.936224010646178</v>
      </c>
      <c r="DA469" s="45" t="str">
        <v>Invest</v>
      </c>
      <c r="DU469" s="52"/>
      <c r="DV469" s="50"/>
    </row>
    <row r="470" spans="86:126" ht="23.5">
      <c r="CH470" s="45">
        <v>466</v>
      </c>
      <c r="CI470" s="45">
        <v>46.353282964716769</v>
      </c>
      <c r="CJ470" s="45" t="str">
        <v>Invest</v>
      </c>
      <c r="CM470" s="45">
        <v>466</v>
      </c>
      <c r="CN470" s="48">
        <v>0</v>
      </c>
      <c r="CO470" s="45" t="str">
        <v>Nothing</v>
      </c>
      <c r="CP470" s="61"/>
      <c r="CQ470" s="45">
        <v>466</v>
      </c>
      <c r="CR470" s="45">
        <v>28.491894082019037</v>
      </c>
      <c r="CS470" s="45" t="str">
        <v>Invest</v>
      </c>
      <c r="CT470" s="61"/>
      <c r="CU470" s="45">
        <v>466</v>
      </c>
      <c r="CV470" s="45">
        <v>19.552548840511754</v>
      </c>
      <c r="CW470" s="45" t="str">
        <v>Invest</v>
      </c>
      <c r="CX470" s="61"/>
      <c r="CY470" s="45">
        <v>466</v>
      </c>
      <c r="CZ470" s="45">
        <v>0</v>
      </c>
      <c r="DA470" s="45" t="str">
        <v>Nothing</v>
      </c>
      <c r="DU470" s="52"/>
      <c r="DV470" s="50"/>
    </row>
    <row r="471" spans="86:126" ht="23.5">
      <c r="CH471" s="45">
        <v>467</v>
      </c>
      <c r="CI471" s="45">
        <v>10.166596732365349</v>
      </c>
      <c r="CJ471" s="45" t="str">
        <v>Invest</v>
      </c>
      <c r="CM471" s="45">
        <v>467</v>
      </c>
      <c r="CN471" s="48">
        <v>16.707598123309253</v>
      </c>
      <c r="CO471" s="45" t="str">
        <v>Invest</v>
      </c>
      <c r="CP471" s="61"/>
      <c r="CQ471" s="45">
        <v>467</v>
      </c>
      <c r="CR471" s="45">
        <v>38.27862824991881</v>
      </c>
      <c r="CS471" s="45" t="str">
        <v>Invest</v>
      </c>
      <c r="CT471" s="61"/>
      <c r="CU471" s="45">
        <v>467</v>
      </c>
      <c r="CV471" s="45">
        <v>37.744592433917632</v>
      </c>
      <c r="CW471" s="45" t="str">
        <v>Invest</v>
      </c>
      <c r="CX471" s="61"/>
      <c r="CY471" s="45">
        <v>467</v>
      </c>
      <c r="CZ471" s="45">
        <v>7.1994614111250623</v>
      </c>
      <c r="DA471" s="45" t="str">
        <v>Invest</v>
      </c>
      <c r="DU471" s="52"/>
      <c r="DV471" s="50"/>
    </row>
    <row r="472" spans="86:126" ht="23.5">
      <c r="CH472" s="45">
        <v>468</v>
      </c>
      <c r="CI472" s="45">
        <v>0</v>
      </c>
      <c r="CJ472" s="45" t="str">
        <v>Nothing</v>
      </c>
      <c r="CM472" s="45">
        <v>468</v>
      </c>
      <c r="CN472" s="48">
        <v>16.009048964286151</v>
      </c>
      <c r="CO472" s="45" t="str">
        <v>Invest</v>
      </c>
      <c r="CP472" s="61"/>
      <c r="CQ472" s="45">
        <v>468</v>
      </c>
      <c r="CR472" s="45">
        <v>0</v>
      </c>
      <c r="CS472" s="45" t="str">
        <v>Nothing</v>
      </c>
      <c r="CT472" s="61"/>
      <c r="CU472" s="45">
        <v>468</v>
      </c>
      <c r="CV472" s="45">
        <v>0</v>
      </c>
      <c r="CW472" s="45" t="str">
        <v>Nothing</v>
      </c>
      <c r="CX472" s="61"/>
      <c r="CY472" s="45">
        <v>468</v>
      </c>
      <c r="CZ472" s="45">
        <v>20.181514914929295</v>
      </c>
      <c r="DA472" s="45" t="str">
        <v>Invest</v>
      </c>
      <c r="DU472" s="52"/>
      <c r="DV472" s="50"/>
    </row>
    <row r="473" spans="86:126" ht="23.5">
      <c r="CH473" s="45">
        <v>469</v>
      </c>
      <c r="CI473" s="45">
        <v>0</v>
      </c>
      <c r="CJ473" s="45" t="str">
        <v>Nothing</v>
      </c>
      <c r="CM473" s="45">
        <v>469</v>
      </c>
      <c r="CN473" s="48">
        <v>1.0559624156003933</v>
      </c>
      <c r="CO473" s="45" t="str">
        <v>Invest</v>
      </c>
      <c r="CP473" s="61"/>
      <c r="CQ473" s="45">
        <v>469</v>
      </c>
      <c r="CR473" s="45">
        <v>19.665818978040637</v>
      </c>
      <c r="CS473" s="45" t="str">
        <v>Invest</v>
      </c>
      <c r="CT473" s="61"/>
      <c r="CU473" s="45">
        <v>469</v>
      </c>
      <c r="CV473" s="45">
        <v>18.406114654540954</v>
      </c>
      <c r="CW473" s="45" t="str">
        <v>Invest</v>
      </c>
      <c r="CX473" s="61"/>
      <c r="CY473" s="45">
        <v>469</v>
      </c>
      <c r="CZ473" s="45">
        <v>12.323234026142423</v>
      </c>
      <c r="DA473" s="45" t="str">
        <v>Invest</v>
      </c>
      <c r="DU473" s="52"/>
      <c r="DV473" s="50"/>
    </row>
    <row r="474" spans="86:126" ht="23.5">
      <c r="CH474" s="45">
        <v>470</v>
      </c>
      <c r="CI474" s="45">
        <v>13.79866830126147</v>
      </c>
      <c r="CJ474" s="45" t="str">
        <v>Invest</v>
      </c>
      <c r="CM474" s="45">
        <v>470</v>
      </c>
      <c r="CN474" s="48">
        <v>0</v>
      </c>
      <c r="CO474" s="45" t="str">
        <v>Nothing</v>
      </c>
      <c r="CP474" s="61"/>
      <c r="CQ474" s="45">
        <v>470</v>
      </c>
      <c r="CR474" s="45">
        <v>20.279589324209923</v>
      </c>
      <c r="CS474" s="45" t="str">
        <v>Invest</v>
      </c>
      <c r="CT474" s="61"/>
      <c r="CU474" s="45">
        <v>470</v>
      </c>
      <c r="CV474" s="45">
        <v>16.34175752140893</v>
      </c>
      <c r="CW474" s="45" t="str">
        <v>Invest</v>
      </c>
      <c r="CX474" s="61"/>
      <c r="CY474" s="45">
        <v>470</v>
      </c>
      <c r="CZ474" s="45">
        <v>5.9317957066618856</v>
      </c>
      <c r="DA474" s="45" t="str">
        <v>Invest</v>
      </c>
      <c r="DU474" s="52"/>
      <c r="DV474" s="50"/>
    </row>
    <row r="475" spans="86:126" ht="23.5">
      <c r="CH475" s="45">
        <v>471</v>
      </c>
      <c r="CI475" s="45">
        <v>6.0435791278947306</v>
      </c>
      <c r="CJ475" s="45" t="str">
        <v>Invest</v>
      </c>
      <c r="CM475" s="45">
        <v>471</v>
      </c>
      <c r="CN475" s="48">
        <v>10.449434955671796</v>
      </c>
      <c r="CO475" s="45" t="str">
        <v>Invest</v>
      </c>
      <c r="CP475" s="61"/>
      <c r="CQ475" s="45">
        <v>471</v>
      </c>
      <c r="CR475" s="45">
        <v>18.79652857927546</v>
      </c>
      <c r="CS475" s="45" t="str">
        <v>Invest</v>
      </c>
      <c r="CT475" s="61"/>
      <c r="CU475" s="45">
        <v>471</v>
      </c>
      <c r="CV475" s="45">
        <v>15.981817033753511</v>
      </c>
      <c r="CW475" s="45" t="str">
        <v>Invest</v>
      </c>
      <c r="CX475" s="61"/>
      <c r="CY475" s="45">
        <v>471</v>
      </c>
      <c r="CZ475" s="45">
        <v>30.312950913468075</v>
      </c>
      <c r="DA475" s="45" t="str">
        <v>Invest</v>
      </c>
      <c r="DU475" s="52"/>
      <c r="DV475" s="50"/>
    </row>
    <row r="476" spans="86:126" ht="23.5">
      <c r="CH476" s="45">
        <v>472</v>
      </c>
      <c r="CI476" s="45">
        <v>22.073347456446239</v>
      </c>
      <c r="CJ476" s="45" t="str">
        <v>Invest</v>
      </c>
      <c r="CM476" s="45">
        <v>472</v>
      </c>
      <c r="CN476" s="48">
        <v>26.437574504863207</v>
      </c>
      <c r="CO476" s="45" t="str">
        <v>Invest</v>
      </c>
      <c r="CP476" s="61"/>
      <c r="CQ476" s="45">
        <v>472</v>
      </c>
      <c r="CR476" s="45">
        <v>31.99517487147488</v>
      </c>
      <c r="CS476" s="45" t="str">
        <v>Invest</v>
      </c>
      <c r="CT476" s="61"/>
      <c r="CU476" s="45">
        <v>472</v>
      </c>
      <c r="CV476" s="45">
        <v>22.724256620659446</v>
      </c>
      <c r="CW476" s="45" t="str">
        <v>Invest</v>
      </c>
      <c r="CX476" s="61"/>
      <c r="CY476" s="45">
        <v>472</v>
      </c>
      <c r="CZ476" s="45">
        <v>26.893011399865166</v>
      </c>
      <c r="DA476" s="45" t="str">
        <v>Invest</v>
      </c>
      <c r="DU476" s="52"/>
      <c r="DV476" s="50"/>
    </row>
    <row r="477" spans="86:126" ht="23.5">
      <c r="CH477" s="45">
        <v>473</v>
      </c>
      <c r="CI477" s="45">
        <v>23.125253826041778</v>
      </c>
      <c r="CJ477" s="45" t="str">
        <v>Invest</v>
      </c>
      <c r="CM477" s="45">
        <v>473</v>
      </c>
      <c r="CN477" s="48">
        <v>53.539210934075896</v>
      </c>
      <c r="CO477" s="45" t="str">
        <v>Invest</v>
      </c>
      <c r="CP477" s="61"/>
      <c r="CQ477" s="45">
        <v>473</v>
      </c>
      <c r="CR477" s="45">
        <v>13.302608892436337</v>
      </c>
      <c r="CS477" s="45" t="str">
        <v>Invest</v>
      </c>
      <c r="CT477" s="61"/>
      <c r="CU477" s="45">
        <v>473</v>
      </c>
      <c r="CV477" s="45">
        <v>18.455234843887936</v>
      </c>
      <c r="CW477" s="45" t="str">
        <v>Invest</v>
      </c>
      <c r="CX477" s="61"/>
      <c r="CY477" s="45">
        <v>473</v>
      </c>
      <c r="CZ477" s="45">
        <v>41.084424212435643</v>
      </c>
      <c r="DA477" s="45" t="str">
        <v>Invest</v>
      </c>
      <c r="DU477" s="52"/>
      <c r="DV477" s="50"/>
    </row>
    <row r="478" spans="86:126" ht="23.5">
      <c r="CH478" s="45">
        <v>474</v>
      </c>
      <c r="CI478" s="45">
        <v>0</v>
      </c>
      <c r="CJ478" s="45" t="str">
        <v>Nothing</v>
      </c>
      <c r="CM478" s="45">
        <v>474</v>
      </c>
      <c r="CN478" s="48">
        <v>36.497424453759628</v>
      </c>
      <c r="CO478" s="45" t="str">
        <v>Invest</v>
      </c>
      <c r="CP478" s="61"/>
      <c r="CQ478" s="45">
        <v>474</v>
      </c>
      <c r="CR478" s="45">
        <v>52.179964388188381</v>
      </c>
      <c r="CS478" s="45" t="str">
        <v>Invest</v>
      </c>
      <c r="CT478" s="61"/>
      <c r="CU478" s="45">
        <v>474</v>
      </c>
      <c r="CV478" s="45">
        <v>28.161655248616128</v>
      </c>
      <c r="CW478" s="45" t="str">
        <v>Invest</v>
      </c>
      <c r="CX478" s="61"/>
      <c r="CY478" s="45">
        <v>474</v>
      </c>
      <c r="CZ478" s="45">
        <v>52.960177578406189</v>
      </c>
      <c r="DA478" s="45" t="str">
        <v>Invest</v>
      </c>
      <c r="DU478" s="52"/>
      <c r="DV478" s="50"/>
    </row>
    <row r="479" spans="86:126" ht="23.5">
      <c r="CH479" s="45">
        <v>475</v>
      </c>
      <c r="CI479" s="45">
        <v>28.199711632051091</v>
      </c>
      <c r="CJ479" s="45" t="str">
        <v>Invest</v>
      </c>
      <c r="CM479" s="45">
        <v>475</v>
      </c>
      <c r="CN479" s="48">
        <v>0</v>
      </c>
      <c r="CO479" s="45" t="str">
        <v>Nothing</v>
      </c>
      <c r="CP479" s="61"/>
      <c r="CQ479" s="45">
        <v>475</v>
      </c>
      <c r="CR479" s="45">
        <v>17.651632816908709</v>
      </c>
      <c r="CS479" s="45" t="str">
        <v>Invest</v>
      </c>
      <c r="CT479" s="61"/>
      <c r="CU479" s="45">
        <v>475</v>
      </c>
      <c r="CV479" s="45">
        <v>0</v>
      </c>
      <c r="CW479" s="45" t="str">
        <v>Nothing</v>
      </c>
      <c r="CX479" s="61"/>
      <c r="CY479" s="45">
        <v>475</v>
      </c>
      <c r="CZ479" s="45">
        <v>6.3798961451650378</v>
      </c>
      <c r="DA479" s="45" t="str">
        <v>Invest</v>
      </c>
      <c r="DU479" s="52"/>
      <c r="DV479" s="50"/>
    </row>
    <row r="480" spans="86:126" ht="23.5">
      <c r="CH480" s="45">
        <v>476</v>
      </c>
      <c r="CI480" s="45">
        <v>0</v>
      </c>
      <c r="CJ480" s="45" t="str">
        <v>Nothing</v>
      </c>
      <c r="CM480" s="45">
        <v>476</v>
      </c>
      <c r="CN480" s="48">
        <v>0</v>
      </c>
      <c r="CO480" s="45" t="str">
        <v>Nothing</v>
      </c>
      <c r="CP480" s="61"/>
      <c r="CQ480" s="45">
        <v>476</v>
      </c>
      <c r="CR480" s="45">
        <v>36.817043892392903</v>
      </c>
      <c r="CS480" s="45" t="str">
        <v>Invest</v>
      </c>
      <c r="CT480" s="61"/>
      <c r="CU480" s="45">
        <v>476</v>
      </c>
      <c r="CV480" s="45">
        <v>46.164980599675829</v>
      </c>
      <c r="CW480" s="45" t="str">
        <v>Invest</v>
      </c>
      <c r="CX480" s="61"/>
      <c r="CY480" s="45">
        <v>476</v>
      </c>
      <c r="CZ480" s="45">
        <v>2.7461926630007838</v>
      </c>
      <c r="DA480" s="45" t="str">
        <v>Invest</v>
      </c>
      <c r="DU480" s="52"/>
      <c r="DV480" s="50"/>
    </row>
    <row r="481" spans="86:126" ht="23.5">
      <c r="CH481" s="45">
        <v>477</v>
      </c>
      <c r="CI481" s="45">
        <v>0</v>
      </c>
      <c r="CJ481" s="45" t="str">
        <v>Nothing</v>
      </c>
      <c r="CM481" s="45">
        <v>477</v>
      </c>
      <c r="CN481" s="48">
        <v>18.340536329840319</v>
      </c>
      <c r="CO481" s="45" t="str">
        <v>Invest</v>
      </c>
      <c r="CP481" s="61"/>
      <c r="CQ481" s="45">
        <v>477</v>
      </c>
      <c r="CR481" s="45">
        <v>37.114151829820898</v>
      </c>
      <c r="CS481" s="45" t="str">
        <v>Invest</v>
      </c>
      <c r="CT481" s="61"/>
      <c r="CU481" s="45">
        <v>477</v>
      </c>
      <c r="CV481" s="45">
        <v>0</v>
      </c>
      <c r="CW481" s="45" t="str">
        <v>Nothing</v>
      </c>
      <c r="CX481" s="61"/>
      <c r="CY481" s="45">
        <v>477</v>
      </c>
      <c r="CZ481" s="45">
        <v>14.128378546158112</v>
      </c>
      <c r="DA481" s="45" t="str">
        <v>Invest</v>
      </c>
      <c r="DU481" s="52"/>
      <c r="DV481" s="50"/>
    </row>
    <row r="482" spans="86:126" ht="23.5">
      <c r="CH482" s="45">
        <v>478</v>
      </c>
      <c r="CI482" s="45">
        <v>24.026208896811106</v>
      </c>
      <c r="CJ482" s="45" t="str">
        <v>Invest</v>
      </c>
      <c r="CM482" s="45">
        <v>478</v>
      </c>
      <c r="CN482" s="48">
        <v>46.604676135403892</v>
      </c>
      <c r="CO482" s="45" t="str">
        <v>Invest</v>
      </c>
      <c r="CP482" s="61"/>
      <c r="CQ482" s="45">
        <v>478</v>
      </c>
      <c r="CR482" s="45">
        <v>0</v>
      </c>
      <c r="CS482" s="45" t="str">
        <v>Nothing</v>
      </c>
      <c r="CT482" s="61"/>
      <c r="CU482" s="45">
        <v>478</v>
      </c>
      <c r="CV482" s="45">
        <v>64.262759385933734</v>
      </c>
      <c r="CW482" s="45" t="str">
        <v>Invest</v>
      </c>
      <c r="CX482" s="61"/>
      <c r="CY482" s="45">
        <v>478</v>
      </c>
      <c r="CZ482" s="45">
        <v>6.4984137690499599</v>
      </c>
      <c r="DA482" s="45" t="str">
        <v>Invest</v>
      </c>
      <c r="DU482" s="52"/>
      <c r="DV482" s="50"/>
    </row>
    <row r="483" spans="86:126" ht="23.5">
      <c r="CH483" s="45">
        <v>479</v>
      </c>
      <c r="CI483" s="45">
        <v>9.2494840847943323</v>
      </c>
      <c r="CJ483" s="45" t="str">
        <v>Invest</v>
      </c>
      <c r="CM483" s="45">
        <v>479</v>
      </c>
      <c r="CN483" s="48">
        <v>0</v>
      </c>
      <c r="CO483" s="45" t="str">
        <v>Nothing</v>
      </c>
      <c r="CP483" s="61"/>
      <c r="CQ483" s="45">
        <v>479</v>
      </c>
      <c r="CR483" s="45">
        <v>7.9873812340156505</v>
      </c>
      <c r="CS483" s="45" t="str">
        <v>Invest</v>
      </c>
      <c r="CT483" s="61"/>
      <c r="CU483" s="45">
        <v>479</v>
      </c>
      <c r="CV483" s="45">
        <v>51.96066405402334</v>
      </c>
      <c r="CW483" s="45" t="str">
        <v>Invest</v>
      </c>
      <c r="CX483" s="61"/>
      <c r="CY483" s="45">
        <v>479</v>
      </c>
      <c r="CZ483" s="45">
        <v>36.169264630061946</v>
      </c>
      <c r="DA483" s="45" t="str">
        <v>Invest</v>
      </c>
      <c r="DU483" s="52"/>
      <c r="DV483" s="50"/>
    </row>
    <row r="484" spans="86:126" ht="23.5">
      <c r="CH484" s="45">
        <v>480</v>
      </c>
      <c r="CI484" s="45">
        <v>0</v>
      </c>
      <c r="CJ484" s="45" t="str">
        <v>Nothing</v>
      </c>
      <c r="CM484" s="45">
        <v>480</v>
      </c>
      <c r="CN484" s="48">
        <v>0</v>
      </c>
      <c r="CO484" s="45" t="str">
        <v>Nothing</v>
      </c>
      <c r="CP484" s="61"/>
      <c r="CQ484" s="45">
        <v>480</v>
      </c>
      <c r="CR484" s="45">
        <v>21.105466300718639</v>
      </c>
      <c r="CS484" s="45" t="str">
        <v>Invest</v>
      </c>
      <c r="CT484" s="61"/>
      <c r="CU484" s="45">
        <v>480</v>
      </c>
      <c r="CV484" s="45">
        <v>0.70564815233093015</v>
      </c>
      <c r="CW484" s="45" t="str">
        <v>Invest</v>
      </c>
      <c r="CX484" s="61"/>
      <c r="CY484" s="45">
        <v>480</v>
      </c>
      <c r="CZ484" s="45">
        <v>26.031126674992507</v>
      </c>
      <c r="DA484" s="45" t="str">
        <v>Invest</v>
      </c>
      <c r="DU484" s="52"/>
      <c r="DV484" s="50"/>
    </row>
    <row r="485" spans="86:126" ht="23.5">
      <c r="CH485" s="45">
        <v>481</v>
      </c>
      <c r="CI485" s="45">
        <v>0</v>
      </c>
      <c r="CJ485" s="45" t="str">
        <v>Nothing</v>
      </c>
      <c r="CM485" s="45">
        <v>481</v>
      </c>
      <c r="CN485" s="48">
        <v>45.492995300699477</v>
      </c>
      <c r="CO485" s="45" t="str">
        <v>Invest</v>
      </c>
      <c r="CP485" s="61"/>
      <c r="CQ485" s="45">
        <v>481</v>
      </c>
      <c r="CR485" s="45">
        <v>51.333060628409427</v>
      </c>
      <c r="CS485" s="45" t="str">
        <v>Invest</v>
      </c>
      <c r="CT485" s="61"/>
      <c r="CU485" s="45">
        <v>481</v>
      </c>
      <c r="CV485" s="45">
        <v>16.478826869693716</v>
      </c>
      <c r="CW485" s="45" t="str">
        <v>Invest</v>
      </c>
      <c r="CX485" s="61"/>
      <c r="CY485" s="45">
        <v>481</v>
      </c>
      <c r="CZ485" s="45">
        <v>1.4067405248694378</v>
      </c>
      <c r="DA485" s="45" t="str">
        <v>Invest</v>
      </c>
      <c r="DU485" s="52"/>
      <c r="DV485" s="50"/>
    </row>
    <row r="486" spans="86:126" ht="23.5">
      <c r="CH486" s="45">
        <v>482</v>
      </c>
      <c r="CI486" s="45">
        <v>44.612108319089586</v>
      </c>
      <c r="CJ486" s="45" t="str">
        <v>Invest</v>
      </c>
      <c r="CM486" s="45">
        <v>482</v>
      </c>
      <c r="CN486" s="48">
        <v>2.3300228947126858</v>
      </c>
      <c r="CO486" s="45" t="str">
        <v>Invest</v>
      </c>
      <c r="CP486" s="61"/>
      <c r="CQ486" s="45">
        <v>482</v>
      </c>
      <c r="CR486" s="45">
        <v>0</v>
      </c>
      <c r="CS486" s="45" t="str">
        <v>Nothing</v>
      </c>
      <c r="CT486" s="61"/>
      <c r="CU486" s="45">
        <v>482</v>
      </c>
      <c r="CV486" s="45">
        <v>47.778584375714985</v>
      </c>
      <c r="CW486" s="45" t="str">
        <v>Invest</v>
      </c>
      <c r="CX486" s="61"/>
      <c r="CY486" s="45">
        <v>482</v>
      </c>
      <c r="CZ486" s="45">
        <v>2.2756997093921747</v>
      </c>
      <c r="DA486" s="45" t="str">
        <v>Invest</v>
      </c>
      <c r="DU486" s="52"/>
      <c r="DV486" s="50"/>
    </row>
    <row r="487" spans="86:126" ht="23.5">
      <c r="CH487" s="45">
        <v>483</v>
      </c>
      <c r="CI487" s="45">
        <v>15.551535713280392</v>
      </c>
      <c r="CJ487" s="45" t="str">
        <v>Invest</v>
      </c>
      <c r="CM487" s="45">
        <v>483</v>
      </c>
      <c r="CN487" s="48">
        <v>45.72011079743065</v>
      </c>
      <c r="CO487" s="45" t="str">
        <v>Invest</v>
      </c>
      <c r="CP487" s="61"/>
      <c r="CQ487" s="45">
        <v>483</v>
      </c>
      <c r="CR487" s="45">
        <v>4.6361091643251946</v>
      </c>
      <c r="CS487" s="45" t="str">
        <v>Invest</v>
      </c>
      <c r="CT487" s="61"/>
      <c r="CU487" s="45">
        <v>483</v>
      </c>
      <c r="CV487" s="45">
        <v>15.521672879038471</v>
      </c>
      <c r="CW487" s="45" t="str">
        <v>Invest</v>
      </c>
      <c r="CX487" s="61"/>
      <c r="CY487" s="45">
        <v>483</v>
      </c>
      <c r="CZ487" s="45">
        <v>0</v>
      </c>
      <c r="DA487" s="45" t="str">
        <v>Nothing</v>
      </c>
      <c r="DU487" s="52"/>
      <c r="DV487" s="50"/>
    </row>
    <row r="488" spans="86:126" ht="23.5">
      <c r="CH488" s="45">
        <v>484</v>
      </c>
      <c r="CI488" s="45">
        <v>14.580802322967678</v>
      </c>
      <c r="CJ488" s="45" t="str">
        <v>Invest</v>
      </c>
      <c r="CM488" s="45">
        <v>484</v>
      </c>
      <c r="CN488" s="48">
        <v>53.271899692875309</v>
      </c>
      <c r="CO488" s="45" t="str">
        <v>Invest</v>
      </c>
      <c r="CP488" s="61"/>
      <c r="CQ488" s="45">
        <v>484</v>
      </c>
      <c r="CR488" s="45">
        <v>0</v>
      </c>
      <c r="CS488" s="45" t="str">
        <v>Nothing</v>
      </c>
      <c r="CT488" s="61"/>
      <c r="CU488" s="45">
        <v>484</v>
      </c>
      <c r="CV488" s="45">
        <v>0</v>
      </c>
      <c r="CW488" s="45" t="str">
        <v>Nothing</v>
      </c>
      <c r="CX488" s="61"/>
      <c r="CY488" s="45">
        <v>484</v>
      </c>
      <c r="CZ488" s="45">
        <v>0.34592781081613744</v>
      </c>
      <c r="DA488" s="45" t="str">
        <v>Invest</v>
      </c>
      <c r="DU488" s="52"/>
      <c r="DV488" s="50"/>
    </row>
    <row r="489" spans="86:126" ht="23.5">
      <c r="CH489" s="45">
        <v>485</v>
      </c>
      <c r="CI489" s="45">
        <v>15.121948009698038</v>
      </c>
      <c r="CJ489" s="45" t="str">
        <v>Invest</v>
      </c>
      <c r="CM489" s="45">
        <v>485</v>
      </c>
      <c r="CN489" s="48">
        <v>0</v>
      </c>
      <c r="CO489" s="45" t="str">
        <v>Nothing</v>
      </c>
      <c r="CP489" s="61"/>
      <c r="CQ489" s="45">
        <v>485</v>
      </c>
      <c r="CR489" s="45">
        <v>43.722085936871061</v>
      </c>
      <c r="CS489" s="45" t="str">
        <v>Invest</v>
      </c>
      <c r="CT489" s="61"/>
      <c r="CU489" s="45">
        <v>485</v>
      </c>
      <c r="CV489" s="45">
        <v>0</v>
      </c>
      <c r="CW489" s="45" t="str">
        <v>Nothing</v>
      </c>
      <c r="CX489" s="61"/>
      <c r="CY489" s="45">
        <v>485</v>
      </c>
      <c r="CZ489" s="45">
        <v>0</v>
      </c>
      <c r="DA489" s="45" t="str">
        <v>Nothing</v>
      </c>
      <c r="DU489" s="52"/>
      <c r="DV489" s="50"/>
    </row>
    <row r="490" spans="86:126" ht="23.5">
      <c r="CH490" s="45">
        <v>486</v>
      </c>
      <c r="CI490" s="45">
        <v>22.854657349263885</v>
      </c>
      <c r="CJ490" s="45" t="str">
        <v>Invest</v>
      </c>
      <c r="CM490" s="45">
        <v>486</v>
      </c>
      <c r="CN490" s="48">
        <v>42.12587141314809</v>
      </c>
      <c r="CO490" s="45" t="str">
        <v>Invest</v>
      </c>
      <c r="CP490" s="61"/>
      <c r="CQ490" s="45">
        <v>486</v>
      </c>
      <c r="CR490" s="45">
        <v>34.286124331315946</v>
      </c>
      <c r="CS490" s="45" t="str">
        <v>Invest</v>
      </c>
      <c r="CT490" s="61"/>
      <c r="CU490" s="45">
        <v>486</v>
      </c>
      <c r="CV490" s="45">
        <v>33.411593257580151</v>
      </c>
      <c r="CW490" s="45" t="str">
        <v>Invest</v>
      </c>
      <c r="CX490" s="61"/>
      <c r="CY490" s="45">
        <v>486</v>
      </c>
      <c r="CZ490" s="45">
        <v>42.262927374265978</v>
      </c>
      <c r="DA490" s="45" t="str">
        <v>Invest</v>
      </c>
      <c r="DU490" s="52"/>
      <c r="DV490" s="50"/>
    </row>
    <row r="491" spans="86:126" ht="23.5">
      <c r="CH491" s="45">
        <v>487</v>
      </c>
      <c r="CI491" s="45">
        <v>17.604372194873012</v>
      </c>
      <c r="CJ491" s="45" t="str">
        <v>Invest</v>
      </c>
      <c r="CM491" s="45">
        <v>487</v>
      </c>
      <c r="CN491" s="48">
        <v>0</v>
      </c>
      <c r="CO491" s="45" t="str">
        <v>Nothing</v>
      </c>
      <c r="CP491" s="61"/>
      <c r="CQ491" s="45">
        <v>487</v>
      </c>
      <c r="CR491" s="45">
        <v>5.9154436589012729</v>
      </c>
      <c r="CS491" s="45" t="str">
        <v>Invest</v>
      </c>
      <c r="CT491" s="61"/>
      <c r="CU491" s="45">
        <v>487</v>
      </c>
      <c r="CV491" s="45">
        <v>0</v>
      </c>
      <c r="CW491" s="45" t="str">
        <v>Nothing</v>
      </c>
      <c r="CX491" s="61"/>
      <c r="CY491" s="45">
        <v>487</v>
      </c>
      <c r="CZ491" s="45">
        <v>11.140175850587445</v>
      </c>
      <c r="DA491" s="45" t="str">
        <v>Invest</v>
      </c>
      <c r="DU491" s="52"/>
      <c r="DV491" s="50"/>
    </row>
    <row r="492" spans="86:126" ht="23.5">
      <c r="CH492" s="45">
        <v>488</v>
      </c>
      <c r="CI492" s="45">
        <v>29.082475655985139</v>
      </c>
      <c r="CJ492" s="45" t="str">
        <v>Invest</v>
      </c>
      <c r="CM492" s="45">
        <v>488</v>
      </c>
      <c r="CN492" s="48">
        <v>1.2071167911303515</v>
      </c>
      <c r="CO492" s="45" t="str">
        <v>Invest</v>
      </c>
      <c r="CP492" s="61"/>
      <c r="CQ492" s="45">
        <v>488</v>
      </c>
      <c r="CR492" s="45">
        <v>0</v>
      </c>
      <c r="CS492" s="45" t="str">
        <v>Nothing</v>
      </c>
      <c r="CT492" s="61"/>
      <c r="CU492" s="45">
        <v>488</v>
      </c>
      <c r="CV492" s="45">
        <v>15.686755395781999</v>
      </c>
      <c r="CW492" s="45" t="str">
        <v>Invest</v>
      </c>
      <c r="CX492" s="61"/>
      <c r="CY492" s="45">
        <v>488</v>
      </c>
      <c r="CZ492" s="45">
        <v>0</v>
      </c>
      <c r="DA492" s="45" t="str">
        <v>Nothing</v>
      </c>
      <c r="DU492" s="52"/>
      <c r="DV492" s="50"/>
    </row>
    <row r="493" spans="86:126" ht="23.5">
      <c r="CH493" s="45">
        <v>489</v>
      </c>
      <c r="CI493" s="45">
        <v>11.125308682570719</v>
      </c>
      <c r="CJ493" s="45" t="str">
        <v>Invest</v>
      </c>
      <c r="CM493" s="45">
        <v>489</v>
      </c>
      <c r="CN493" s="48">
        <v>44.090459178913115</v>
      </c>
      <c r="CO493" s="45" t="str">
        <v>Invest</v>
      </c>
      <c r="CP493" s="61"/>
      <c r="CQ493" s="45">
        <v>489</v>
      </c>
      <c r="CR493" s="45">
        <v>53.746909212866896</v>
      </c>
      <c r="CS493" s="45" t="str">
        <v>Invest</v>
      </c>
      <c r="CT493" s="61"/>
      <c r="CU493" s="45">
        <v>489</v>
      </c>
      <c r="CV493" s="45">
        <v>34.070465292647079</v>
      </c>
      <c r="CW493" s="45" t="str">
        <v>Invest</v>
      </c>
      <c r="CX493" s="61"/>
      <c r="CY493" s="45">
        <v>489</v>
      </c>
      <c r="CZ493" s="45">
        <v>37.795558736251955</v>
      </c>
      <c r="DA493" s="45" t="str">
        <v>Invest</v>
      </c>
      <c r="DU493" s="52"/>
      <c r="DV493" s="50"/>
    </row>
    <row r="494" spans="86:126" ht="23.5">
      <c r="CH494" s="45">
        <v>490</v>
      </c>
      <c r="CI494" s="45">
        <v>28.412317940537239</v>
      </c>
      <c r="CJ494" s="45" t="str">
        <v>Invest</v>
      </c>
      <c r="CM494" s="45">
        <v>490</v>
      </c>
      <c r="CN494" s="48">
        <v>24.85120572744442</v>
      </c>
      <c r="CO494" s="45" t="str">
        <v>Invest</v>
      </c>
      <c r="CP494" s="61"/>
      <c r="CQ494" s="45">
        <v>490</v>
      </c>
      <c r="CR494" s="45">
        <v>42.900042497316967</v>
      </c>
      <c r="CS494" s="45" t="str">
        <v>Invest</v>
      </c>
      <c r="CT494" s="61"/>
      <c r="CU494" s="45">
        <v>490</v>
      </c>
      <c r="CV494" s="45">
        <v>6.7600049752275631</v>
      </c>
      <c r="CW494" s="45" t="str">
        <v>Invest</v>
      </c>
      <c r="CX494" s="61"/>
      <c r="CY494" s="45">
        <v>490</v>
      </c>
      <c r="CZ494" s="45">
        <v>9.7365455095448095</v>
      </c>
      <c r="DA494" s="45" t="str">
        <v>Invest</v>
      </c>
      <c r="DU494" s="52"/>
      <c r="DV494" s="50"/>
    </row>
    <row r="495" spans="86:126" ht="23.5">
      <c r="CH495" s="45">
        <v>491</v>
      </c>
      <c r="CI495" s="45">
        <v>17.234445520015154</v>
      </c>
      <c r="CJ495" s="45" t="str">
        <v>Invest</v>
      </c>
      <c r="CM495" s="45">
        <v>491</v>
      </c>
      <c r="CN495" s="48">
        <v>0</v>
      </c>
      <c r="CO495" s="45" t="str">
        <v>Nothing</v>
      </c>
      <c r="CP495" s="61"/>
      <c r="CQ495" s="45">
        <v>491</v>
      </c>
      <c r="CR495" s="45">
        <v>0</v>
      </c>
      <c r="CS495" s="45" t="str">
        <v>Nothing</v>
      </c>
      <c r="CT495" s="61"/>
      <c r="CU495" s="45">
        <v>491</v>
      </c>
      <c r="CV495" s="45">
        <v>37.87545526628287</v>
      </c>
      <c r="CW495" s="45" t="str">
        <v>Invest</v>
      </c>
      <c r="CX495" s="61"/>
      <c r="CY495" s="45">
        <v>491</v>
      </c>
      <c r="CZ495" s="45">
        <v>0</v>
      </c>
      <c r="DA495" s="45" t="str">
        <v>Nothing</v>
      </c>
      <c r="DU495" s="52"/>
      <c r="DV495" s="50"/>
    </row>
    <row r="496" spans="86:126" ht="23.5">
      <c r="CH496" s="45">
        <v>492</v>
      </c>
      <c r="CI496" s="45">
        <v>0</v>
      </c>
      <c r="CJ496" s="45" t="str">
        <v>Nothing</v>
      </c>
      <c r="CM496" s="45">
        <v>492</v>
      </c>
      <c r="CN496" s="48">
        <v>11.239061806059016</v>
      </c>
      <c r="CO496" s="45" t="str">
        <v>Invest</v>
      </c>
      <c r="CP496" s="61"/>
      <c r="CQ496" s="45">
        <v>492</v>
      </c>
      <c r="CR496" s="45">
        <v>58.305543681399271</v>
      </c>
      <c r="CS496" s="45" t="str">
        <v>Invest</v>
      </c>
      <c r="CT496" s="61"/>
      <c r="CU496" s="45">
        <v>492</v>
      </c>
      <c r="CV496" s="45">
        <v>0</v>
      </c>
      <c r="CW496" s="45" t="str">
        <v>Nothing</v>
      </c>
      <c r="CX496" s="61"/>
      <c r="CY496" s="45">
        <v>492</v>
      </c>
      <c r="CZ496" s="45">
        <v>7.3706240214985961</v>
      </c>
      <c r="DA496" s="45" t="str">
        <v>Invest</v>
      </c>
      <c r="DU496" s="52"/>
      <c r="DV496" s="50"/>
    </row>
    <row r="497" spans="86:126" ht="23.5">
      <c r="CH497" s="45">
        <v>493</v>
      </c>
      <c r="CI497" s="45">
        <v>6.8767096991883321</v>
      </c>
      <c r="CJ497" s="45" t="str">
        <v>Invest</v>
      </c>
      <c r="CM497" s="45">
        <v>493</v>
      </c>
      <c r="CN497" s="48">
        <v>45.641977129814137</v>
      </c>
      <c r="CO497" s="45" t="str">
        <v>Invest</v>
      </c>
      <c r="CP497" s="61"/>
      <c r="CQ497" s="45">
        <v>493</v>
      </c>
      <c r="CR497" s="45">
        <v>0</v>
      </c>
      <c r="CS497" s="45" t="str">
        <v>Nothing</v>
      </c>
      <c r="CT497" s="61"/>
      <c r="CU497" s="45">
        <v>493</v>
      </c>
      <c r="CV497" s="45">
        <v>9.73863392992725</v>
      </c>
      <c r="CW497" s="45" t="str">
        <v>Invest</v>
      </c>
      <c r="CX497" s="61"/>
      <c r="CY497" s="45">
        <v>493</v>
      </c>
      <c r="CZ497" s="45">
        <v>0</v>
      </c>
      <c r="DA497" s="45" t="str">
        <v>Nothing</v>
      </c>
      <c r="DU497" s="52"/>
      <c r="DV497" s="50"/>
    </row>
    <row r="498" spans="86:126" ht="23.5">
      <c r="CH498" s="45">
        <v>494</v>
      </c>
      <c r="CI498" s="45">
        <v>2.0057742693688994</v>
      </c>
      <c r="CJ498" s="45" t="str">
        <v>Invest</v>
      </c>
      <c r="CM498" s="45">
        <v>494</v>
      </c>
      <c r="CN498" s="48">
        <v>9.6075874352084814</v>
      </c>
      <c r="CO498" s="45" t="str">
        <v>Invest</v>
      </c>
      <c r="CP498" s="61"/>
      <c r="CQ498" s="45">
        <v>494</v>
      </c>
      <c r="CR498" s="45">
        <v>16.621610498406891</v>
      </c>
      <c r="CS498" s="45" t="str">
        <v>Invest</v>
      </c>
      <c r="CT498" s="61"/>
      <c r="CU498" s="45">
        <v>494</v>
      </c>
      <c r="CV498" s="45">
        <v>41.208254308420891</v>
      </c>
      <c r="CW498" s="45" t="str">
        <v>Invest</v>
      </c>
      <c r="CX498" s="61"/>
      <c r="CY498" s="45">
        <v>494</v>
      </c>
      <c r="CZ498" s="45">
        <v>0</v>
      </c>
      <c r="DA498" s="45" t="str">
        <v>Nothing</v>
      </c>
      <c r="DU498" s="52"/>
      <c r="DV498" s="50"/>
    </row>
    <row r="499" spans="86:126" ht="23.5">
      <c r="CH499" s="45">
        <v>495</v>
      </c>
      <c r="CI499" s="45">
        <v>12.631963166505653</v>
      </c>
      <c r="CJ499" s="45" t="str">
        <v>Invest</v>
      </c>
      <c r="CM499" s="45">
        <v>495</v>
      </c>
      <c r="CN499" s="48">
        <v>0</v>
      </c>
      <c r="CO499" s="45" t="str">
        <v>Nothing</v>
      </c>
      <c r="CP499" s="61"/>
      <c r="CQ499" s="45">
        <v>495</v>
      </c>
      <c r="CR499" s="45">
        <v>16.391216925770919</v>
      </c>
      <c r="CS499" s="45" t="str">
        <v>Invest</v>
      </c>
      <c r="CT499" s="61"/>
      <c r="CU499" s="45">
        <v>495</v>
      </c>
      <c r="CV499" s="45">
        <v>0</v>
      </c>
      <c r="CW499" s="45" t="str">
        <v>Nothing</v>
      </c>
      <c r="CX499" s="61"/>
      <c r="CY499" s="45">
        <v>495</v>
      </c>
      <c r="CZ499" s="45">
        <v>0</v>
      </c>
      <c r="DA499" s="45" t="str">
        <v>Nothing</v>
      </c>
      <c r="DU499" s="52"/>
      <c r="DV499" s="50"/>
    </row>
    <row r="500" spans="86:126" ht="23.5">
      <c r="CH500" s="45">
        <v>496</v>
      </c>
      <c r="CI500" s="45">
        <v>0</v>
      </c>
      <c r="CJ500" s="45" t="str">
        <v>Nothing</v>
      </c>
      <c r="CM500" s="45">
        <v>496</v>
      </c>
      <c r="CN500" s="48">
        <v>39.737676279313533</v>
      </c>
      <c r="CO500" s="45" t="str">
        <v>Invest</v>
      </c>
      <c r="CP500" s="61"/>
      <c r="CQ500" s="45">
        <v>496</v>
      </c>
      <c r="CR500" s="45">
        <v>21.633091892477893</v>
      </c>
      <c r="CS500" s="45" t="str">
        <v>Invest</v>
      </c>
      <c r="CT500" s="61"/>
      <c r="CU500" s="45">
        <v>496</v>
      </c>
      <c r="CV500" s="45">
        <v>15.088698223691784</v>
      </c>
      <c r="CW500" s="45" t="str">
        <v>Invest</v>
      </c>
      <c r="CX500" s="61"/>
      <c r="CY500" s="45">
        <v>496</v>
      </c>
      <c r="CZ500" s="45">
        <v>29.173667860717099</v>
      </c>
      <c r="DA500" s="45" t="str">
        <v>Invest</v>
      </c>
      <c r="DU500" s="52"/>
      <c r="DV500" s="50"/>
    </row>
    <row r="501" spans="86:126" ht="23.5">
      <c r="CH501" s="45">
        <v>497</v>
      </c>
      <c r="CI501" s="45">
        <v>28.617898064051722</v>
      </c>
      <c r="CJ501" s="45" t="str">
        <v>Invest</v>
      </c>
      <c r="CM501" s="45">
        <v>497</v>
      </c>
      <c r="CN501" s="48">
        <v>17.009872035343367</v>
      </c>
      <c r="CO501" s="45" t="str">
        <v>Invest</v>
      </c>
      <c r="CP501" s="61"/>
      <c r="CQ501" s="45">
        <v>497</v>
      </c>
      <c r="CR501" s="45">
        <v>1.4257397934990443</v>
      </c>
      <c r="CS501" s="45" t="str">
        <v>Invest</v>
      </c>
      <c r="CT501" s="61"/>
      <c r="CU501" s="45">
        <v>497</v>
      </c>
      <c r="CV501" s="45">
        <v>18.769078162768583</v>
      </c>
      <c r="CW501" s="45" t="str">
        <v>Invest</v>
      </c>
      <c r="CX501" s="61"/>
      <c r="CY501" s="45">
        <v>497</v>
      </c>
      <c r="CZ501" s="45">
        <v>34.029723838804792</v>
      </c>
      <c r="DA501" s="45" t="str">
        <v>Invest</v>
      </c>
      <c r="DU501" s="52"/>
      <c r="DV501" s="50"/>
    </row>
    <row r="502" spans="86:126" ht="23.5">
      <c r="CH502" s="45">
        <v>498</v>
      </c>
      <c r="CI502" s="45">
        <v>28.363463821589278</v>
      </c>
      <c r="CJ502" s="45" t="str">
        <v>Invest</v>
      </c>
      <c r="CM502" s="45">
        <v>498</v>
      </c>
      <c r="CN502" s="48">
        <v>29.675551171229664</v>
      </c>
      <c r="CO502" s="45" t="str">
        <v>Invest</v>
      </c>
      <c r="CP502" s="61"/>
      <c r="CQ502" s="45">
        <v>498</v>
      </c>
      <c r="CR502" s="45">
        <v>24.569942481132419</v>
      </c>
      <c r="CS502" s="45" t="str">
        <v>Invest</v>
      </c>
      <c r="CT502" s="61"/>
      <c r="CU502" s="45">
        <v>498</v>
      </c>
      <c r="CV502" s="45">
        <v>24.096259909110547</v>
      </c>
      <c r="CW502" s="45" t="str">
        <v>Invest</v>
      </c>
      <c r="CX502" s="61"/>
      <c r="CY502" s="45">
        <v>498</v>
      </c>
      <c r="CZ502" s="45">
        <v>15.767214564462211</v>
      </c>
      <c r="DA502" s="45" t="str">
        <v>Invest</v>
      </c>
      <c r="DU502" s="52"/>
      <c r="DV502" s="50"/>
    </row>
    <row r="503" spans="86:126" ht="23.5">
      <c r="CH503" s="45">
        <v>499</v>
      </c>
      <c r="CI503" s="45">
        <v>24.92098745285778</v>
      </c>
      <c r="CJ503" s="45" t="str">
        <v>Invest</v>
      </c>
      <c r="CM503" s="45">
        <v>499</v>
      </c>
      <c r="CN503" s="48">
        <v>57.025545780316747</v>
      </c>
      <c r="CO503" s="45" t="str">
        <v>Invest</v>
      </c>
      <c r="CP503" s="61"/>
      <c r="CQ503" s="45">
        <v>499</v>
      </c>
      <c r="CR503" s="45">
        <v>0</v>
      </c>
      <c r="CS503" s="45" t="str">
        <v>Nothing</v>
      </c>
      <c r="CT503" s="61"/>
      <c r="CU503" s="45">
        <v>499</v>
      </c>
      <c r="CV503" s="45">
        <v>22.875994882918491</v>
      </c>
      <c r="CW503" s="45" t="str">
        <v>Invest</v>
      </c>
      <c r="CX503" s="61"/>
      <c r="CY503" s="45">
        <v>499</v>
      </c>
      <c r="CZ503" s="45">
        <v>45.915451685326552</v>
      </c>
      <c r="DA503" s="45" t="str">
        <v>Invest</v>
      </c>
      <c r="DU503" s="52"/>
      <c r="DV503" s="50"/>
    </row>
    <row r="504" spans="86:126" ht="23.5">
      <c r="CH504" s="45">
        <v>500</v>
      </c>
      <c r="CI504" s="45">
        <v>15.852835550244297</v>
      </c>
      <c r="CJ504" s="45" t="str">
        <v>Invest</v>
      </c>
      <c r="CM504" s="45">
        <v>500</v>
      </c>
      <c r="CN504" s="48">
        <v>0</v>
      </c>
      <c r="CO504" s="45" t="str">
        <v>Nothing</v>
      </c>
      <c r="CP504" s="61"/>
      <c r="CQ504" s="45">
        <v>500</v>
      </c>
      <c r="CR504" s="45">
        <v>43.407173989551495</v>
      </c>
      <c r="CS504" s="45" t="str">
        <v>Invest</v>
      </c>
      <c r="CT504" s="61"/>
      <c r="CU504" s="45">
        <v>500</v>
      </c>
      <c r="CV504" s="45">
        <v>25.655716413218595</v>
      </c>
      <c r="CW504" s="45" t="str">
        <v>Invest</v>
      </c>
      <c r="CX504" s="61"/>
      <c r="CY504" s="45">
        <v>500</v>
      </c>
      <c r="CZ504" s="45">
        <v>0</v>
      </c>
      <c r="DA504" s="45" t="str">
        <v>Nothing</v>
      </c>
      <c r="DU504" s="52"/>
      <c r="DV504" s="50"/>
    </row>
    <row r="505" spans="86:126" ht="23.5">
      <c r="CH505" s="45">
        <v>501</v>
      </c>
      <c r="CI505" s="45">
        <v>52.05827560349335</v>
      </c>
      <c r="CJ505" s="45" t="str">
        <v>Invest</v>
      </c>
      <c r="CM505" s="45">
        <v>501</v>
      </c>
      <c r="CN505" s="48">
        <v>10.547593249499098</v>
      </c>
      <c r="CO505" s="45" t="str">
        <v>Invest</v>
      </c>
      <c r="CP505" s="61"/>
      <c r="CQ505" s="45">
        <v>501</v>
      </c>
      <c r="CR505" s="45">
        <v>0</v>
      </c>
      <c r="CS505" s="45" t="str">
        <v>Nothing</v>
      </c>
      <c r="CT505" s="61"/>
      <c r="CU505" s="45">
        <v>501</v>
      </c>
      <c r="CV505" s="45">
        <v>31.409026103185063</v>
      </c>
      <c r="CW505" s="45" t="str">
        <v>Invest</v>
      </c>
      <c r="CX505" s="61"/>
      <c r="CY505" s="45">
        <v>501</v>
      </c>
      <c r="CZ505" s="45">
        <v>46.467408726189241</v>
      </c>
      <c r="DA505" s="45" t="str">
        <v>Invest</v>
      </c>
      <c r="DU505" s="52"/>
      <c r="DV505" s="50"/>
    </row>
    <row r="506" spans="86:126" ht="23.5">
      <c r="CH506" s="45">
        <v>502</v>
      </c>
      <c r="CI506" s="45">
        <v>0</v>
      </c>
      <c r="CJ506" s="45" t="str">
        <v>Nothing</v>
      </c>
      <c r="CM506" s="45">
        <v>502</v>
      </c>
      <c r="CN506" s="48">
        <v>6.9500358231792667</v>
      </c>
      <c r="CO506" s="45" t="str">
        <v>Invest</v>
      </c>
      <c r="CP506" s="61"/>
      <c r="CQ506" s="45">
        <v>502</v>
      </c>
      <c r="CR506" s="45">
        <v>35.548356840042388</v>
      </c>
      <c r="CS506" s="45" t="str">
        <v>Invest</v>
      </c>
      <c r="CT506" s="61"/>
      <c r="CU506" s="45">
        <v>502</v>
      </c>
      <c r="CV506" s="45">
        <v>20.033249281501455</v>
      </c>
      <c r="CW506" s="45" t="str">
        <v>Invest</v>
      </c>
      <c r="CX506" s="61"/>
      <c r="CY506" s="45">
        <v>502</v>
      </c>
      <c r="CZ506" s="45">
        <v>3.1958454964176894</v>
      </c>
      <c r="DA506" s="45" t="str">
        <v>Invest</v>
      </c>
      <c r="DU506" s="52"/>
      <c r="DV506" s="50"/>
    </row>
    <row r="507" spans="86:126" ht="23.5">
      <c r="CH507" s="45">
        <v>503</v>
      </c>
      <c r="CI507" s="45">
        <v>13.049089271052665</v>
      </c>
      <c r="CJ507" s="45" t="str">
        <v>Invest</v>
      </c>
      <c r="CM507" s="45">
        <v>503</v>
      </c>
      <c r="CN507" s="48">
        <v>26.740337491569051</v>
      </c>
      <c r="CO507" s="45" t="str">
        <v>Invest</v>
      </c>
      <c r="CP507" s="61"/>
      <c r="CQ507" s="45">
        <v>503</v>
      </c>
      <c r="CR507" s="45">
        <v>0</v>
      </c>
      <c r="CS507" s="45" t="str">
        <v>Nothing</v>
      </c>
      <c r="CT507" s="61"/>
      <c r="CU507" s="45">
        <v>503</v>
      </c>
      <c r="CV507" s="45">
        <v>0</v>
      </c>
      <c r="CW507" s="45" t="str">
        <v>Nothing</v>
      </c>
      <c r="CX507" s="61"/>
      <c r="CY507" s="45">
        <v>503</v>
      </c>
      <c r="CZ507" s="45">
        <v>55.407997629305811</v>
      </c>
      <c r="DA507" s="45" t="str">
        <v>Invest</v>
      </c>
      <c r="DU507" s="52"/>
      <c r="DV507" s="50"/>
    </row>
    <row r="508" spans="86:126" ht="23.5">
      <c r="CH508" s="45">
        <v>504</v>
      </c>
      <c r="CI508" s="45">
        <v>7.3599977545053363</v>
      </c>
      <c r="CJ508" s="45" t="str">
        <v>Invest</v>
      </c>
      <c r="CM508" s="45">
        <v>504</v>
      </c>
      <c r="CN508" s="48">
        <v>3.0442185071689316</v>
      </c>
      <c r="CO508" s="45" t="str">
        <v>Invest</v>
      </c>
      <c r="CP508" s="61"/>
      <c r="CQ508" s="45">
        <v>504</v>
      </c>
      <c r="CR508" s="45">
        <v>5.7396047275109634</v>
      </c>
      <c r="CS508" s="45" t="str">
        <v>Invest</v>
      </c>
      <c r="CT508" s="61"/>
      <c r="CU508" s="45">
        <v>504</v>
      </c>
      <c r="CV508" s="45">
        <v>0</v>
      </c>
      <c r="CW508" s="45" t="str">
        <v>Nothing</v>
      </c>
      <c r="CX508" s="61"/>
      <c r="CY508" s="45">
        <v>504</v>
      </c>
      <c r="CZ508" s="45">
        <v>55.010425171194868</v>
      </c>
      <c r="DA508" s="45" t="str">
        <v>Invest</v>
      </c>
      <c r="DU508" s="52"/>
      <c r="DV508" s="50"/>
    </row>
    <row r="509" spans="86:126" ht="23.5">
      <c r="CH509" s="45">
        <v>505</v>
      </c>
      <c r="CI509" s="45">
        <v>18.535617274140879</v>
      </c>
      <c r="CJ509" s="45" t="str">
        <v>Invest</v>
      </c>
      <c r="CM509" s="45">
        <v>505</v>
      </c>
      <c r="CN509" s="48">
        <v>9.8104359859000816</v>
      </c>
      <c r="CO509" s="45" t="str">
        <v>Invest</v>
      </c>
      <c r="CP509" s="61"/>
      <c r="CQ509" s="45">
        <v>505</v>
      </c>
      <c r="CR509" s="45">
        <v>1.3127474636419478</v>
      </c>
      <c r="CS509" s="45" t="str">
        <v>Invest</v>
      </c>
      <c r="CT509" s="61"/>
      <c r="CU509" s="45">
        <v>505</v>
      </c>
      <c r="CV509" s="45">
        <v>0</v>
      </c>
      <c r="CW509" s="45" t="str">
        <v>Nothing</v>
      </c>
      <c r="CX509" s="61"/>
      <c r="CY509" s="45">
        <v>505</v>
      </c>
      <c r="CZ509" s="45">
        <v>16.97142307763475</v>
      </c>
      <c r="DA509" s="45" t="str">
        <v>Invest</v>
      </c>
      <c r="DU509" s="52"/>
      <c r="DV509" s="50"/>
    </row>
    <row r="510" spans="86:126" ht="23.5">
      <c r="CH510" s="45">
        <v>506</v>
      </c>
      <c r="CI510" s="45">
        <v>21.17431972736874</v>
      </c>
      <c r="CJ510" s="45" t="str">
        <v>Invest</v>
      </c>
      <c r="CM510" s="45">
        <v>506</v>
      </c>
      <c r="CN510" s="48">
        <v>0</v>
      </c>
      <c r="CO510" s="45" t="str">
        <v>Nothing</v>
      </c>
      <c r="CP510" s="61"/>
      <c r="CQ510" s="45">
        <v>506</v>
      </c>
      <c r="CR510" s="45">
        <v>0</v>
      </c>
      <c r="CS510" s="45" t="str">
        <v>Nothing</v>
      </c>
      <c r="CT510" s="61"/>
      <c r="CU510" s="45">
        <v>506</v>
      </c>
      <c r="CV510" s="45">
        <v>0</v>
      </c>
      <c r="CW510" s="45" t="str">
        <v>Nothing</v>
      </c>
      <c r="CX510" s="61"/>
      <c r="CY510" s="45">
        <v>506</v>
      </c>
      <c r="CZ510" s="45">
        <v>1.3508472708177126</v>
      </c>
      <c r="DA510" s="45" t="str">
        <v>Invest</v>
      </c>
      <c r="DU510" s="52"/>
      <c r="DV510" s="50"/>
    </row>
    <row r="511" spans="86:126" ht="23.5">
      <c r="CH511" s="45">
        <v>507</v>
      </c>
      <c r="CI511" s="45">
        <v>1.8804437711963251</v>
      </c>
      <c r="CJ511" s="45" t="str">
        <v>Invest</v>
      </c>
      <c r="CM511" s="45">
        <v>507</v>
      </c>
      <c r="CN511" s="48">
        <v>1.3092111940569993</v>
      </c>
      <c r="CO511" s="45" t="str">
        <v>Invest</v>
      </c>
      <c r="CP511" s="61"/>
      <c r="CQ511" s="45">
        <v>507</v>
      </c>
      <c r="CR511" s="45">
        <v>61.172456739514701</v>
      </c>
      <c r="CS511" s="45" t="str">
        <v>Invest</v>
      </c>
      <c r="CT511" s="61"/>
      <c r="CU511" s="45">
        <v>507</v>
      </c>
      <c r="CV511" s="45">
        <v>47.122525951852495</v>
      </c>
      <c r="CW511" s="45" t="str">
        <v>Invest</v>
      </c>
      <c r="CX511" s="61"/>
      <c r="CY511" s="45">
        <v>507</v>
      </c>
      <c r="CZ511" s="45">
        <v>19.604301531184955</v>
      </c>
      <c r="DA511" s="45" t="str">
        <v>Invest</v>
      </c>
      <c r="DU511" s="52"/>
      <c r="DV511" s="50"/>
    </row>
    <row r="512" spans="86:126" ht="23.5">
      <c r="CH512" s="45">
        <v>508</v>
      </c>
      <c r="CI512" s="45">
        <v>12.947343532359678</v>
      </c>
      <c r="CJ512" s="45" t="str">
        <v>Invest</v>
      </c>
      <c r="CM512" s="45">
        <v>508</v>
      </c>
      <c r="CN512" s="48">
        <v>0</v>
      </c>
      <c r="CO512" s="45" t="str">
        <v>Nothing</v>
      </c>
      <c r="CP512" s="61"/>
      <c r="CQ512" s="45">
        <v>508</v>
      </c>
      <c r="CR512" s="45">
        <v>0</v>
      </c>
      <c r="CS512" s="45" t="str">
        <v>Nothing</v>
      </c>
      <c r="CT512" s="61"/>
      <c r="CU512" s="45">
        <v>508</v>
      </c>
      <c r="CV512" s="45">
        <v>15.926483656687592</v>
      </c>
      <c r="CW512" s="45" t="str">
        <v>Invest</v>
      </c>
      <c r="CX512" s="61"/>
      <c r="CY512" s="45">
        <v>508</v>
      </c>
      <c r="CZ512" s="45">
        <v>38.295818187463674</v>
      </c>
      <c r="DA512" s="45" t="str">
        <v>Invest</v>
      </c>
      <c r="DU512" s="52"/>
      <c r="DV512" s="50"/>
    </row>
    <row r="513" spans="86:126" ht="23.5">
      <c r="CH513" s="45">
        <v>509</v>
      </c>
      <c r="CI513" s="45">
        <v>43.726773989446031</v>
      </c>
      <c r="CJ513" s="45" t="str">
        <v>Invest</v>
      </c>
      <c r="CM513" s="45">
        <v>509</v>
      </c>
      <c r="CN513" s="48">
        <v>0</v>
      </c>
      <c r="CO513" s="45" t="str">
        <v>Nothing</v>
      </c>
      <c r="CP513" s="61"/>
      <c r="CQ513" s="45">
        <v>509</v>
      </c>
      <c r="CR513" s="45">
        <v>21.061864995965749</v>
      </c>
      <c r="CS513" s="45" t="str">
        <v>Invest</v>
      </c>
      <c r="CT513" s="61"/>
      <c r="CU513" s="45">
        <v>509</v>
      </c>
      <c r="CV513" s="45">
        <v>8.4083769274385602</v>
      </c>
      <c r="CW513" s="45" t="str">
        <v>Invest</v>
      </c>
      <c r="CX513" s="61"/>
      <c r="CY513" s="45">
        <v>509</v>
      </c>
      <c r="CZ513" s="45">
        <v>0</v>
      </c>
      <c r="DA513" s="45" t="str">
        <v>Nothing</v>
      </c>
      <c r="DU513" s="52"/>
      <c r="DV513" s="50"/>
    </row>
    <row r="514" spans="86:126" ht="23.5">
      <c r="CH514" s="45">
        <v>510</v>
      </c>
      <c r="CI514" s="45">
        <v>48.943655355769287</v>
      </c>
      <c r="CJ514" s="45" t="str">
        <v>Invest</v>
      </c>
      <c r="CM514" s="45">
        <v>510</v>
      </c>
      <c r="CN514" s="48">
        <v>46.902263366518667</v>
      </c>
      <c r="CO514" s="45" t="str">
        <v>Invest</v>
      </c>
      <c r="CP514" s="61"/>
      <c r="CQ514" s="45">
        <v>510</v>
      </c>
      <c r="CR514" s="45">
        <v>3.0772993885881448</v>
      </c>
      <c r="CS514" s="45" t="str">
        <v>Invest</v>
      </c>
      <c r="CT514" s="61"/>
      <c r="CU514" s="45">
        <v>510</v>
      </c>
      <c r="CV514" s="45">
        <v>18.822764945636202</v>
      </c>
      <c r="CW514" s="45" t="str">
        <v>Invest</v>
      </c>
      <c r="CX514" s="61"/>
      <c r="CY514" s="45">
        <v>510</v>
      </c>
      <c r="CZ514" s="45">
        <v>0</v>
      </c>
      <c r="DA514" s="45" t="str">
        <v>Nothing</v>
      </c>
      <c r="DU514" s="52"/>
      <c r="DV514" s="50"/>
    </row>
    <row r="515" spans="86:126" ht="23.5">
      <c r="CH515" s="45">
        <v>511</v>
      </c>
      <c r="CI515" s="45">
        <v>25.529481861669804</v>
      </c>
      <c r="CJ515" s="45" t="str">
        <v>Invest</v>
      </c>
      <c r="CM515" s="45">
        <v>511</v>
      </c>
      <c r="CN515" s="48">
        <v>0</v>
      </c>
      <c r="CO515" s="45" t="str">
        <v>Nothing</v>
      </c>
      <c r="CP515" s="61"/>
      <c r="CQ515" s="45">
        <v>511</v>
      </c>
      <c r="CR515" s="45">
        <v>19.535381209888335</v>
      </c>
      <c r="CS515" s="45" t="str">
        <v>Invest</v>
      </c>
      <c r="CT515" s="61"/>
      <c r="CU515" s="45">
        <v>511</v>
      </c>
      <c r="CV515" s="45">
        <v>16.554660005653592</v>
      </c>
      <c r="CW515" s="45" t="str">
        <v>Invest</v>
      </c>
      <c r="CX515" s="61"/>
      <c r="CY515" s="45">
        <v>511</v>
      </c>
      <c r="CZ515" s="45">
        <v>14.233485126542524</v>
      </c>
      <c r="DA515" s="45" t="str">
        <v>Invest</v>
      </c>
      <c r="DU515" s="52"/>
      <c r="DV515" s="50"/>
    </row>
    <row r="516" spans="86:126" ht="23.5">
      <c r="CH516" s="45">
        <v>512</v>
      </c>
      <c r="CI516" s="45">
        <v>38.723761231932031</v>
      </c>
      <c r="CJ516" s="45" t="str">
        <v>Invest</v>
      </c>
      <c r="CM516" s="45">
        <v>512</v>
      </c>
      <c r="CN516" s="48">
        <v>0</v>
      </c>
      <c r="CO516" s="45" t="str">
        <v>Nothing</v>
      </c>
      <c r="CP516" s="61"/>
      <c r="CQ516" s="45">
        <v>512</v>
      </c>
      <c r="CR516" s="45">
        <v>10.429372127422115</v>
      </c>
      <c r="CS516" s="45" t="str">
        <v>Invest</v>
      </c>
      <c r="CT516" s="61"/>
      <c r="CU516" s="45">
        <v>512</v>
      </c>
      <c r="CV516" s="45">
        <v>30.304240420834081</v>
      </c>
      <c r="CW516" s="45" t="str">
        <v>Invest</v>
      </c>
      <c r="CX516" s="61"/>
      <c r="CY516" s="45">
        <v>512</v>
      </c>
      <c r="CZ516" s="45">
        <v>59.866327091039302</v>
      </c>
      <c r="DA516" s="45" t="str">
        <v>Invest</v>
      </c>
      <c r="DU516" s="52"/>
      <c r="DV516" s="50"/>
    </row>
    <row r="517" spans="86:126" ht="23.5">
      <c r="CH517" s="45">
        <v>513</v>
      </c>
      <c r="CI517" s="45">
        <v>19.58722903116961</v>
      </c>
      <c r="CJ517" s="45" t="str">
        <v>Invest</v>
      </c>
      <c r="CM517" s="45">
        <v>513</v>
      </c>
      <c r="CN517" s="48">
        <v>25.044424769753725</v>
      </c>
      <c r="CO517" s="45" t="str">
        <v>Invest</v>
      </c>
      <c r="CP517" s="61"/>
      <c r="CQ517" s="45">
        <v>513</v>
      </c>
      <c r="CR517" s="45">
        <v>37.868569633472276</v>
      </c>
      <c r="CS517" s="45" t="str">
        <v>Invest</v>
      </c>
      <c r="CT517" s="61"/>
      <c r="CU517" s="45">
        <v>513</v>
      </c>
      <c r="CV517" s="45">
        <v>48.462528972193397</v>
      </c>
      <c r="CW517" s="45" t="str">
        <v>Invest</v>
      </c>
      <c r="CX517" s="61"/>
      <c r="CY517" s="45">
        <v>513</v>
      </c>
      <c r="CZ517" s="45">
        <v>18.566861939978271</v>
      </c>
      <c r="DA517" s="45" t="str">
        <v>Invest</v>
      </c>
      <c r="DU517" s="52"/>
      <c r="DV517" s="50"/>
    </row>
    <row r="518" spans="86:126" ht="23.5">
      <c r="CH518" s="45">
        <v>514</v>
      </c>
      <c r="CI518" s="45">
        <v>2.7321455066293572</v>
      </c>
      <c r="CJ518" s="45" t="str">
        <v>Invest</v>
      </c>
      <c r="CM518" s="45">
        <v>514</v>
      </c>
      <c r="CN518" s="48">
        <v>27.999444730110973</v>
      </c>
      <c r="CO518" s="45" t="str">
        <v>Invest</v>
      </c>
      <c r="CP518" s="61"/>
      <c r="CQ518" s="45">
        <v>514</v>
      </c>
      <c r="CR518" s="45">
        <v>0</v>
      </c>
      <c r="CS518" s="45" t="str">
        <v>Nothing</v>
      </c>
      <c r="CT518" s="61"/>
      <c r="CU518" s="45">
        <v>514</v>
      </c>
      <c r="CV518" s="45">
        <v>23.4670144354066</v>
      </c>
      <c r="CW518" s="45" t="str">
        <v>Invest</v>
      </c>
      <c r="CX518" s="61"/>
      <c r="CY518" s="45">
        <v>514</v>
      </c>
      <c r="CZ518" s="45">
        <v>8.4347437175473239</v>
      </c>
      <c r="DA518" s="45" t="str">
        <v>Invest</v>
      </c>
      <c r="DU518" s="52"/>
      <c r="DV518" s="50"/>
    </row>
    <row r="519" spans="86:126" ht="23.5">
      <c r="CH519" s="45">
        <v>515</v>
      </c>
      <c r="CI519" s="45">
        <v>7.3818985661647574</v>
      </c>
      <c r="CJ519" s="45" t="str">
        <v>Invest</v>
      </c>
      <c r="CM519" s="45">
        <v>515</v>
      </c>
      <c r="CN519" s="48">
        <v>0</v>
      </c>
      <c r="CO519" s="45" t="str">
        <v>Nothing</v>
      </c>
      <c r="CP519" s="61"/>
      <c r="CQ519" s="45">
        <v>515</v>
      </c>
      <c r="CR519" s="45">
        <v>38.963083769111833</v>
      </c>
      <c r="CS519" s="45" t="str">
        <v>Invest</v>
      </c>
      <c r="CT519" s="61"/>
      <c r="CU519" s="45">
        <v>515</v>
      </c>
      <c r="CV519" s="45">
        <v>8.8073123790627541</v>
      </c>
      <c r="CW519" s="45" t="str">
        <v>Invest</v>
      </c>
      <c r="CX519" s="61"/>
      <c r="CY519" s="45">
        <v>515</v>
      </c>
      <c r="CZ519" s="45">
        <v>16.445709887663387</v>
      </c>
      <c r="DA519" s="45" t="str">
        <v>Invest</v>
      </c>
      <c r="DU519" s="52"/>
      <c r="DV519" s="50"/>
    </row>
    <row r="520" spans="86:126" ht="23.5">
      <c r="CH520" s="45">
        <v>516</v>
      </c>
      <c r="CI520" s="45">
        <v>45.139952006087611</v>
      </c>
      <c r="CJ520" s="45" t="str">
        <v>Invest</v>
      </c>
      <c r="CM520" s="45">
        <v>516</v>
      </c>
      <c r="CN520" s="48">
        <v>38.756172235858685</v>
      </c>
      <c r="CO520" s="45" t="str">
        <v>Invest</v>
      </c>
      <c r="CP520" s="61"/>
      <c r="CQ520" s="45">
        <v>516</v>
      </c>
      <c r="CR520" s="45">
        <v>51.855603084278165</v>
      </c>
      <c r="CS520" s="45" t="str">
        <v>Invest</v>
      </c>
      <c r="CT520" s="61"/>
      <c r="CU520" s="45">
        <v>516</v>
      </c>
      <c r="CV520" s="45">
        <v>0</v>
      </c>
      <c r="CW520" s="45" t="str">
        <v>Nothing</v>
      </c>
      <c r="CX520" s="61"/>
      <c r="CY520" s="45">
        <v>516</v>
      </c>
      <c r="CZ520" s="45">
        <v>0</v>
      </c>
      <c r="DA520" s="45" t="str">
        <v>Nothing</v>
      </c>
      <c r="DU520" s="52"/>
      <c r="DV520" s="50"/>
    </row>
    <row r="521" spans="86:126" ht="23.5">
      <c r="CH521" s="45">
        <v>517</v>
      </c>
      <c r="CI521" s="45">
        <v>38.711354752775208</v>
      </c>
      <c r="CJ521" s="45" t="str">
        <v>Invest</v>
      </c>
      <c r="CM521" s="45">
        <v>517</v>
      </c>
      <c r="CN521" s="48">
        <v>20.597459814874441</v>
      </c>
      <c r="CO521" s="45" t="str">
        <v>Invest</v>
      </c>
      <c r="CP521" s="61"/>
      <c r="CQ521" s="45">
        <v>517</v>
      </c>
      <c r="CR521" s="45">
        <v>11.536319819111187</v>
      </c>
      <c r="CS521" s="45" t="str">
        <v>Invest</v>
      </c>
      <c r="CT521" s="61"/>
      <c r="CU521" s="45">
        <v>517</v>
      </c>
      <c r="CV521" s="45">
        <v>38.043708741364966</v>
      </c>
      <c r="CW521" s="45" t="str">
        <v>Invest</v>
      </c>
      <c r="CX521" s="61"/>
      <c r="CY521" s="45">
        <v>517</v>
      </c>
      <c r="CZ521" s="45">
        <v>1.6305328731642525</v>
      </c>
      <c r="DA521" s="45" t="str">
        <v>Invest</v>
      </c>
      <c r="DU521" s="52"/>
      <c r="DV521" s="50"/>
    </row>
    <row r="522" spans="86:126" ht="23.5">
      <c r="CH522" s="45">
        <v>518</v>
      </c>
      <c r="CI522" s="45">
        <v>56.310187583719674</v>
      </c>
      <c r="CJ522" s="45" t="str">
        <v>Invest</v>
      </c>
      <c r="CM522" s="45">
        <v>518</v>
      </c>
      <c r="CN522" s="48">
        <v>18.178337172415866</v>
      </c>
      <c r="CO522" s="45" t="str">
        <v>Invest</v>
      </c>
      <c r="CP522" s="61"/>
      <c r="CQ522" s="45">
        <v>518</v>
      </c>
      <c r="CR522" s="45">
        <v>0</v>
      </c>
      <c r="CS522" s="45" t="str">
        <v>Nothing</v>
      </c>
      <c r="CT522" s="61"/>
      <c r="CU522" s="45">
        <v>518</v>
      </c>
      <c r="CV522" s="45">
        <v>14.530618428612213</v>
      </c>
      <c r="CW522" s="45" t="str">
        <v>Invest</v>
      </c>
      <c r="CX522" s="61"/>
      <c r="CY522" s="45">
        <v>518</v>
      </c>
      <c r="CZ522" s="45">
        <v>0</v>
      </c>
      <c r="DA522" s="45" t="str">
        <v>Nothing</v>
      </c>
      <c r="DU522" s="52"/>
      <c r="DV522" s="50"/>
    </row>
    <row r="523" spans="86:126" ht="23.5">
      <c r="CH523" s="45">
        <v>519</v>
      </c>
      <c r="CI523" s="45">
        <v>2.8359170620871463</v>
      </c>
      <c r="CJ523" s="45" t="str">
        <v>Invest</v>
      </c>
      <c r="CM523" s="45">
        <v>519</v>
      </c>
      <c r="CN523" s="48">
        <v>29.777010669787444</v>
      </c>
      <c r="CO523" s="45" t="str">
        <v>Invest</v>
      </c>
      <c r="CP523" s="61"/>
      <c r="CQ523" s="45">
        <v>519</v>
      </c>
      <c r="CR523" s="45">
        <v>21.145052196098206</v>
      </c>
      <c r="CS523" s="45" t="str">
        <v>Invest</v>
      </c>
      <c r="CT523" s="61"/>
      <c r="CU523" s="45">
        <v>519</v>
      </c>
      <c r="CV523" s="45">
        <v>38.496097169093801</v>
      </c>
      <c r="CW523" s="45" t="str">
        <v>Invest</v>
      </c>
      <c r="CX523" s="61"/>
      <c r="CY523" s="45">
        <v>519</v>
      </c>
      <c r="CZ523" s="45">
        <v>45.987378562927169</v>
      </c>
      <c r="DA523" s="45" t="str">
        <v>Invest</v>
      </c>
      <c r="DU523" s="52"/>
      <c r="DV523" s="50"/>
    </row>
    <row r="524" spans="86:126" ht="23.5">
      <c r="CH524" s="45">
        <v>520</v>
      </c>
      <c r="CI524" s="45">
        <v>15.318870553619433</v>
      </c>
      <c r="CJ524" s="45" t="str">
        <v>Invest</v>
      </c>
      <c r="CM524" s="45">
        <v>520</v>
      </c>
      <c r="CN524" s="48">
        <v>20.857686051619176</v>
      </c>
      <c r="CO524" s="45" t="str">
        <v>Invest</v>
      </c>
      <c r="CP524" s="61"/>
      <c r="CQ524" s="45">
        <v>520</v>
      </c>
      <c r="CR524" s="45">
        <v>0</v>
      </c>
      <c r="CS524" s="45" t="str">
        <v>Nothing</v>
      </c>
      <c r="CT524" s="61"/>
      <c r="CU524" s="45">
        <v>520</v>
      </c>
      <c r="CV524" s="45">
        <v>40.632852670646074</v>
      </c>
      <c r="CW524" s="45" t="str">
        <v>Invest</v>
      </c>
      <c r="CX524" s="61"/>
      <c r="CY524" s="45">
        <v>520</v>
      </c>
      <c r="CZ524" s="45">
        <v>0</v>
      </c>
      <c r="DA524" s="45" t="str">
        <v>Nothing</v>
      </c>
      <c r="DU524" s="52"/>
      <c r="DV524" s="50"/>
    </row>
    <row r="525" spans="86:126" ht="23.5">
      <c r="CH525" s="45">
        <v>521</v>
      </c>
      <c r="CI525" s="45">
        <v>4.9402941112147296</v>
      </c>
      <c r="CJ525" s="45" t="str">
        <v>Invest</v>
      </c>
      <c r="CM525" s="45">
        <v>521</v>
      </c>
      <c r="CN525" s="48">
        <v>0</v>
      </c>
      <c r="CO525" s="45" t="str">
        <v>Nothing</v>
      </c>
      <c r="CP525" s="61"/>
      <c r="CQ525" s="45">
        <v>521</v>
      </c>
      <c r="CR525" s="45">
        <v>0</v>
      </c>
      <c r="CS525" s="45" t="str">
        <v>Nothing</v>
      </c>
      <c r="CT525" s="61"/>
      <c r="CU525" s="45">
        <v>521</v>
      </c>
      <c r="CV525" s="45">
        <v>53.749375286669938</v>
      </c>
      <c r="CW525" s="45" t="str">
        <v>Invest</v>
      </c>
      <c r="CX525" s="61"/>
      <c r="CY525" s="45">
        <v>521</v>
      </c>
      <c r="CZ525" s="45">
        <v>8.6133536833656166</v>
      </c>
      <c r="DA525" s="45" t="str">
        <v>Invest</v>
      </c>
      <c r="DU525" s="52"/>
      <c r="DV525" s="50"/>
    </row>
    <row r="526" spans="86:126" ht="23.5">
      <c r="CH526" s="45">
        <v>522</v>
      </c>
      <c r="CI526" s="45">
        <v>43.782998039417762</v>
      </c>
      <c r="CJ526" s="45" t="str">
        <v>Invest</v>
      </c>
      <c r="CM526" s="45">
        <v>522</v>
      </c>
      <c r="CN526" s="48">
        <v>7.3799582776853123</v>
      </c>
      <c r="CO526" s="45" t="str">
        <v>Invest</v>
      </c>
      <c r="CP526" s="61"/>
      <c r="CQ526" s="45">
        <v>522</v>
      </c>
      <c r="CR526" s="45">
        <v>15.534677043733183</v>
      </c>
      <c r="CS526" s="45" t="str">
        <v>Invest</v>
      </c>
      <c r="CT526" s="61"/>
      <c r="CU526" s="45">
        <v>522</v>
      </c>
      <c r="CV526" s="45">
        <v>8.7005611418344841</v>
      </c>
      <c r="CW526" s="45" t="str">
        <v>Invest</v>
      </c>
      <c r="CX526" s="61"/>
      <c r="CY526" s="45">
        <v>522</v>
      </c>
      <c r="CZ526" s="45">
        <v>19.186163526926073</v>
      </c>
      <c r="DA526" s="45" t="str">
        <v>Invest</v>
      </c>
      <c r="DU526" s="52"/>
      <c r="DV526" s="50"/>
    </row>
    <row r="527" spans="86:126" ht="23.5">
      <c r="CH527" s="45">
        <v>523</v>
      </c>
      <c r="CI527" s="45">
        <v>0</v>
      </c>
      <c r="CJ527" s="45" t="str">
        <v>Nothing</v>
      </c>
      <c r="CM527" s="45">
        <v>523</v>
      </c>
      <c r="CN527" s="48">
        <v>51.543126087807714</v>
      </c>
      <c r="CO527" s="45" t="str">
        <v>Invest</v>
      </c>
      <c r="CP527" s="61"/>
      <c r="CQ527" s="45">
        <v>523</v>
      </c>
      <c r="CR527" s="45">
        <v>25.115448617435675</v>
      </c>
      <c r="CS527" s="45" t="str">
        <v>Invest</v>
      </c>
      <c r="CT527" s="61"/>
      <c r="CU527" s="45">
        <v>523</v>
      </c>
      <c r="CV527" s="45">
        <v>12.975989018802048</v>
      </c>
      <c r="CW527" s="45" t="str">
        <v>Invest</v>
      </c>
      <c r="CX527" s="61"/>
      <c r="CY527" s="45">
        <v>523</v>
      </c>
      <c r="CZ527" s="45">
        <v>63.60295917061827</v>
      </c>
      <c r="DA527" s="45" t="str">
        <v>Invest</v>
      </c>
      <c r="DU527" s="52"/>
      <c r="DV527" s="50"/>
    </row>
    <row r="528" spans="86:126" ht="23.5">
      <c r="CH528" s="45">
        <v>524</v>
      </c>
      <c r="CI528" s="45">
        <v>13.819351896129035</v>
      </c>
      <c r="CJ528" s="45" t="str">
        <v>Invest</v>
      </c>
      <c r="CM528" s="45">
        <v>524</v>
      </c>
      <c r="CN528" s="48">
        <v>0</v>
      </c>
      <c r="CO528" s="45" t="str">
        <v>Nothing</v>
      </c>
      <c r="CP528" s="61"/>
      <c r="CQ528" s="45">
        <v>524</v>
      </c>
      <c r="CR528" s="45">
        <v>14.796408899149785</v>
      </c>
      <c r="CS528" s="45" t="str">
        <v>Invest</v>
      </c>
      <c r="CT528" s="61"/>
      <c r="CU528" s="45">
        <v>524</v>
      </c>
      <c r="CV528" s="45">
        <v>2.673643482385426</v>
      </c>
      <c r="CW528" s="45" t="str">
        <v>Invest</v>
      </c>
      <c r="CX528" s="61"/>
      <c r="CY528" s="45">
        <v>524</v>
      </c>
      <c r="CZ528" s="45">
        <v>25.607646180015262</v>
      </c>
      <c r="DA528" s="45" t="str">
        <v>Invest</v>
      </c>
      <c r="DU528" s="52"/>
      <c r="DV528" s="50"/>
    </row>
    <row r="529" spans="86:126" ht="23.5">
      <c r="CH529" s="45">
        <v>525</v>
      </c>
      <c r="CI529" s="45">
        <v>47.385439504451512</v>
      </c>
      <c r="CJ529" s="45" t="str">
        <v>Invest</v>
      </c>
      <c r="CM529" s="45">
        <v>525</v>
      </c>
      <c r="CN529" s="48">
        <v>0</v>
      </c>
      <c r="CO529" s="45" t="str">
        <v>Nothing</v>
      </c>
      <c r="CP529" s="61"/>
      <c r="CQ529" s="45">
        <v>525</v>
      </c>
      <c r="CR529" s="45">
        <v>19.484430943001218</v>
      </c>
      <c r="CS529" s="45" t="str">
        <v>Invest</v>
      </c>
      <c r="CT529" s="61"/>
      <c r="CU529" s="45">
        <v>525</v>
      </c>
      <c r="CV529" s="45">
        <v>0</v>
      </c>
      <c r="CW529" s="45" t="str">
        <v>Nothing</v>
      </c>
      <c r="CX529" s="61"/>
      <c r="CY529" s="45">
        <v>525</v>
      </c>
      <c r="CZ529" s="45">
        <v>4.0893367454027896</v>
      </c>
      <c r="DA529" s="45" t="str">
        <v>Invest</v>
      </c>
      <c r="DU529" s="52"/>
      <c r="DV529" s="50"/>
    </row>
    <row r="530" spans="86:126" ht="23.5">
      <c r="CH530" s="45">
        <v>526</v>
      </c>
      <c r="CI530" s="45">
        <v>14.336150499075368</v>
      </c>
      <c r="CJ530" s="45" t="str">
        <v>Invest</v>
      </c>
      <c r="CM530" s="45">
        <v>526</v>
      </c>
      <c r="CN530" s="48">
        <v>2.9384037078801271</v>
      </c>
      <c r="CO530" s="45" t="str">
        <v>Invest</v>
      </c>
      <c r="CP530" s="61"/>
      <c r="CQ530" s="45">
        <v>526</v>
      </c>
      <c r="CR530" s="45">
        <v>12.233734813917218</v>
      </c>
      <c r="CS530" s="45" t="str">
        <v>Invest</v>
      </c>
      <c r="CT530" s="61"/>
      <c r="CU530" s="45">
        <v>526</v>
      </c>
      <c r="CV530" s="45">
        <v>10.592274932200707</v>
      </c>
      <c r="CW530" s="45" t="str">
        <v>Invest</v>
      </c>
      <c r="CX530" s="61"/>
      <c r="CY530" s="45">
        <v>526</v>
      </c>
      <c r="CZ530" s="45">
        <v>31.557168743963224</v>
      </c>
      <c r="DA530" s="45" t="str">
        <v>Invest</v>
      </c>
      <c r="DU530" s="52"/>
      <c r="DV530" s="50"/>
    </row>
    <row r="531" spans="86:126" ht="23.5">
      <c r="CH531" s="45">
        <v>527</v>
      </c>
      <c r="CI531" s="45">
        <v>0</v>
      </c>
      <c r="CJ531" s="45" t="str">
        <v>Nothing</v>
      </c>
      <c r="CM531" s="45">
        <v>527</v>
      </c>
      <c r="CN531" s="48">
        <v>3.4197388027387809</v>
      </c>
      <c r="CO531" s="45" t="str">
        <v>Invest</v>
      </c>
      <c r="CP531" s="61"/>
      <c r="CQ531" s="45">
        <v>527</v>
      </c>
      <c r="CR531" s="45">
        <v>14.85927295152792</v>
      </c>
      <c r="CS531" s="45" t="str">
        <v>Invest</v>
      </c>
      <c r="CT531" s="61"/>
      <c r="CU531" s="45">
        <v>527</v>
      </c>
      <c r="CV531" s="45">
        <v>1.9028829325398071</v>
      </c>
      <c r="CW531" s="45" t="str">
        <v>Invest</v>
      </c>
      <c r="CX531" s="61"/>
      <c r="CY531" s="45">
        <v>527</v>
      </c>
      <c r="CZ531" s="45">
        <v>41.214947701029629</v>
      </c>
      <c r="DA531" s="45" t="str">
        <v>Invest</v>
      </c>
      <c r="DU531" s="52"/>
      <c r="DV531" s="50"/>
    </row>
    <row r="532" spans="86:126" ht="23.5">
      <c r="CH532" s="45">
        <v>528</v>
      </c>
      <c r="CI532" s="45">
        <v>29.57143320268715</v>
      </c>
      <c r="CJ532" s="45" t="str">
        <v>Invest</v>
      </c>
      <c r="CM532" s="45">
        <v>528</v>
      </c>
      <c r="CN532" s="48">
        <v>19.767440609343115</v>
      </c>
      <c r="CO532" s="45" t="str">
        <v>Invest</v>
      </c>
      <c r="CP532" s="61"/>
      <c r="CQ532" s="45">
        <v>528</v>
      </c>
      <c r="CR532" s="45">
        <v>20.604407722342174</v>
      </c>
      <c r="CS532" s="45" t="str">
        <v>Invest</v>
      </c>
      <c r="CT532" s="61"/>
      <c r="CU532" s="45">
        <v>528</v>
      </c>
      <c r="CV532" s="45">
        <v>17.614851865854536</v>
      </c>
      <c r="CW532" s="45" t="str">
        <v>Invest</v>
      </c>
      <c r="CX532" s="61"/>
      <c r="CY532" s="45">
        <v>528</v>
      </c>
      <c r="CZ532" s="45">
        <v>6.714592466807197</v>
      </c>
      <c r="DA532" s="45" t="str">
        <v>Invest</v>
      </c>
      <c r="DU532" s="52"/>
      <c r="DV532" s="50"/>
    </row>
    <row r="533" spans="86:126" ht="23.5">
      <c r="CH533" s="45">
        <v>529</v>
      </c>
      <c r="CI533" s="45">
        <v>0</v>
      </c>
      <c r="CJ533" s="45" t="str">
        <v>Nothing</v>
      </c>
      <c r="CM533" s="45">
        <v>529</v>
      </c>
      <c r="CN533" s="48">
        <v>0</v>
      </c>
      <c r="CO533" s="45" t="str">
        <v>Nothing</v>
      </c>
      <c r="CP533" s="61"/>
      <c r="CQ533" s="45">
        <v>529</v>
      </c>
      <c r="CR533" s="45">
        <v>19.294151182273097</v>
      </c>
      <c r="CS533" s="45" t="str">
        <v>Invest</v>
      </c>
      <c r="CT533" s="61"/>
      <c r="CU533" s="45">
        <v>529</v>
      </c>
      <c r="CV533" s="45">
        <v>46.160970108005131</v>
      </c>
      <c r="CW533" s="45" t="str">
        <v>Invest</v>
      </c>
      <c r="CX533" s="61"/>
      <c r="CY533" s="45">
        <v>529</v>
      </c>
      <c r="CZ533" s="45">
        <v>19.178325204675225</v>
      </c>
      <c r="DA533" s="45" t="str">
        <v>Invest</v>
      </c>
      <c r="DU533" s="52"/>
      <c r="DV533" s="50"/>
    </row>
    <row r="534" spans="86:126" ht="23.5">
      <c r="CH534" s="45">
        <v>530</v>
      </c>
      <c r="CI534" s="45">
        <v>13.16640999582286</v>
      </c>
      <c r="CJ534" s="45" t="str">
        <v>Invest</v>
      </c>
      <c r="CM534" s="45">
        <v>530</v>
      </c>
      <c r="CN534" s="48">
        <v>18.445122229938271</v>
      </c>
      <c r="CO534" s="45" t="str">
        <v>Invest</v>
      </c>
      <c r="CP534" s="61"/>
      <c r="CQ534" s="45">
        <v>530</v>
      </c>
      <c r="CR534" s="45">
        <v>5.8000164678277422</v>
      </c>
      <c r="CS534" s="45" t="str">
        <v>Invest</v>
      </c>
      <c r="CT534" s="61"/>
      <c r="CU534" s="45">
        <v>530</v>
      </c>
      <c r="CV534" s="45">
        <v>28.789917246673557</v>
      </c>
      <c r="CW534" s="45" t="str">
        <v>Invest</v>
      </c>
      <c r="CX534" s="61"/>
      <c r="CY534" s="45">
        <v>530</v>
      </c>
      <c r="CZ534" s="45">
        <v>0</v>
      </c>
      <c r="DA534" s="45" t="str">
        <v>Nothing</v>
      </c>
      <c r="DU534" s="52"/>
      <c r="DV534" s="50"/>
    </row>
    <row r="535" spans="86:126" ht="23.5">
      <c r="CH535" s="45">
        <v>531</v>
      </c>
      <c r="CI535" s="45">
        <v>44.220220058784122</v>
      </c>
      <c r="CJ535" s="45" t="str">
        <v>Invest</v>
      </c>
      <c r="CM535" s="45">
        <v>531</v>
      </c>
      <c r="CN535" s="48">
        <v>19.077126075293688</v>
      </c>
      <c r="CO535" s="45" t="str">
        <v>Invest</v>
      </c>
      <c r="CP535" s="61"/>
      <c r="CQ535" s="45">
        <v>531</v>
      </c>
      <c r="CR535" s="45">
        <v>35.047468326876675</v>
      </c>
      <c r="CS535" s="45" t="str">
        <v>Invest</v>
      </c>
      <c r="CT535" s="61"/>
      <c r="CU535" s="45">
        <v>531</v>
      </c>
      <c r="CV535" s="45">
        <v>11.813409542077034</v>
      </c>
      <c r="CW535" s="45" t="str">
        <v>Invest</v>
      </c>
      <c r="CX535" s="61"/>
      <c r="CY535" s="45">
        <v>531</v>
      </c>
      <c r="CZ535" s="45">
        <v>0</v>
      </c>
      <c r="DA535" s="45" t="str">
        <v>Nothing</v>
      </c>
      <c r="DU535" s="52"/>
      <c r="DV535" s="50"/>
    </row>
    <row r="536" spans="86:126" ht="23.5">
      <c r="CH536" s="45">
        <v>532</v>
      </c>
      <c r="CI536" s="45">
        <v>14.161247525954261</v>
      </c>
      <c r="CJ536" s="45" t="str">
        <v>Invest</v>
      </c>
      <c r="CM536" s="45">
        <v>532</v>
      </c>
      <c r="CN536" s="48">
        <v>0</v>
      </c>
      <c r="CO536" s="45" t="str">
        <v>Nothing</v>
      </c>
      <c r="CP536" s="61"/>
      <c r="CQ536" s="45">
        <v>532</v>
      </c>
      <c r="CR536" s="45">
        <v>8.9134833164010345</v>
      </c>
      <c r="CS536" s="45" t="str">
        <v>Invest</v>
      </c>
      <c r="CT536" s="61"/>
      <c r="CU536" s="45">
        <v>532</v>
      </c>
      <c r="CV536" s="45">
        <v>6.8500604701096632</v>
      </c>
      <c r="CW536" s="45" t="str">
        <v>Invest</v>
      </c>
      <c r="CX536" s="61"/>
      <c r="CY536" s="45">
        <v>532</v>
      </c>
      <c r="CZ536" s="45">
        <v>0</v>
      </c>
      <c r="DA536" s="45" t="str">
        <v>Nothing</v>
      </c>
      <c r="DU536" s="52"/>
      <c r="DV536" s="50"/>
    </row>
    <row r="537" spans="86:126" ht="23.5">
      <c r="CH537" s="45">
        <v>533</v>
      </c>
      <c r="CI537" s="45">
        <v>0</v>
      </c>
      <c r="CJ537" s="45" t="str">
        <v>Nothing</v>
      </c>
      <c r="CM537" s="45">
        <v>533</v>
      </c>
      <c r="CN537" s="48">
        <v>22.912166845734717</v>
      </c>
      <c r="CO537" s="45" t="str">
        <v>Invest</v>
      </c>
      <c r="CP537" s="61"/>
      <c r="CQ537" s="45">
        <v>533</v>
      </c>
      <c r="CR537" s="45">
        <v>13.908921756004698</v>
      </c>
      <c r="CS537" s="45" t="str">
        <v>Invest</v>
      </c>
      <c r="CT537" s="61"/>
      <c r="CU537" s="45">
        <v>533</v>
      </c>
      <c r="CV537" s="45">
        <v>16.981175698809217</v>
      </c>
      <c r="CW537" s="45" t="str">
        <v>Invest</v>
      </c>
      <c r="CX537" s="61"/>
      <c r="CY537" s="45">
        <v>533</v>
      </c>
      <c r="CZ537" s="45">
        <v>48.15387324161356</v>
      </c>
      <c r="DA537" s="45" t="str">
        <v>Invest</v>
      </c>
      <c r="DU537" s="52"/>
      <c r="DV537" s="50"/>
    </row>
    <row r="538" spans="86:126" ht="23.5">
      <c r="CH538" s="45">
        <v>534</v>
      </c>
      <c r="CI538" s="45">
        <v>0</v>
      </c>
      <c r="CJ538" s="45" t="str">
        <v>Nothing</v>
      </c>
      <c r="CM538" s="45">
        <v>534</v>
      </c>
      <c r="CN538" s="48">
        <v>15.428138600521274</v>
      </c>
      <c r="CO538" s="45" t="str">
        <v>Invest</v>
      </c>
      <c r="CP538" s="61"/>
      <c r="CQ538" s="45">
        <v>534</v>
      </c>
      <c r="CR538" s="45">
        <v>8.4941519090404398</v>
      </c>
      <c r="CS538" s="45" t="str">
        <v>Invest</v>
      </c>
      <c r="CT538" s="61"/>
      <c r="CU538" s="45">
        <v>534</v>
      </c>
      <c r="CV538" s="45">
        <v>0</v>
      </c>
      <c r="CW538" s="45" t="str">
        <v>Nothing</v>
      </c>
      <c r="CX538" s="61"/>
      <c r="CY538" s="45">
        <v>534</v>
      </c>
      <c r="CZ538" s="45">
        <v>0</v>
      </c>
      <c r="DA538" s="45" t="str">
        <v>Nothing</v>
      </c>
      <c r="DU538" s="52"/>
      <c r="DV538" s="50"/>
    </row>
    <row r="539" spans="86:126" ht="23.5">
      <c r="CH539" s="45">
        <v>535</v>
      </c>
      <c r="CI539" s="45">
        <v>21.270953139736456</v>
      </c>
      <c r="CJ539" s="45" t="str">
        <v>Invest</v>
      </c>
      <c r="CM539" s="45">
        <v>535</v>
      </c>
      <c r="CN539" s="48">
        <v>21.893587063852742</v>
      </c>
      <c r="CO539" s="45" t="str">
        <v>Invest</v>
      </c>
      <c r="CP539" s="61"/>
      <c r="CQ539" s="45">
        <v>535</v>
      </c>
      <c r="CR539" s="45">
        <v>1.4986533780233344</v>
      </c>
      <c r="CS539" s="45" t="str">
        <v>Invest</v>
      </c>
      <c r="CT539" s="61"/>
      <c r="CU539" s="45">
        <v>535</v>
      </c>
      <c r="CV539" s="45">
        <v>0</v>
      </c>
      <c r="CW539" s="45" t="str">
        <v>Nothing</v>
      </c>
      <c r="CX539" s="61"/>
      <c r="CY539" s="45">
        <v>535</v>
      </c>
      <c r="CZ539" s="45">
        <v>21.633162324735736</v>
      </c>
      <c r="DA539" s="45" t="str">
        <v>Invest</v>
      </c>
      <c r="DU539" s="52"/>
      <c r="DV539" s="50"/>
    </row>
    <row r="540" spans="86:126" ht="23.5">
      <c r="CH540" s="45">
        <v>536</v>
      </c>
      <c r="CI540" s="45">
        <v>41.647265302914548</v>
      </c>
      <c r="CJ540" s="45" t="str">
        <v>Invest</v>
      </c>
      <c r="CM540" s="45">
        <v>536</v>
      </c>
      <c r="CN540" s="48">
        <v>8.1825012200045641</v>
      </c>
      <c r="CO540" s="45" t="str">
        <v>Invest</v>
      </c>
      <c r="CP540" s="61"/>
      <c r="CQ540" s="45">
        <v>536</v>
      </c>
      <c r="CR540" s="45">
        <v>5.6343381497567382</v>
      </c>
      <c r="CS540" s="45" t="str">
        <v>Invest</v>
      </c>
      <c r="CT540" s="61"/>
      <c r="CU540" s="45">
        <v>536</v>
      </c>
      <c r="CV540" s="45">
        <v>0</v>
      </c>
      <c r="CW540" s="45" t="str">
        <v>Nothing</v>
      </c>
      <c r="CX540" s="61"/>
      <c r="CY540" s="45">
        <v>536</v>
      </c>
      <c r="CZ540" s="45">
        <v>2.7818847561400659</v>
      </c>
      <c r="DA540" s="45" t="str">
        <v>Invest</v>
      </c>
      <c r="DU540" s="52"/>
      <c r="DV540" s="50"/>
    </row>
    <row r="541" spans="86:126" ht="23.5">
      <c r="CH541" s="45">
        <v>537</v>
      </c>
      <c r="CI541" s="45">
        <v>28.453547072705575</v>
      </c>
      <c r="CJ541" s="45" t="str">
        <v>Invest</v>
      </c>
      <c r="CM541" s="45">
        <v>537</v>
      </c>
      <c r="CN541" s="48">
        <v>0.86656307572890867</v>
      </c>
      <c r="CO541" s="45" t="str">
        <v>Invest</v>
      </c>
      <c r="CP541" s="61"/>
      <c r="CQ541" s="45">
        <v>537</v>
      </c>
      <c r="CR541" s="45">
        <v>0</v>
      </c>
      <c r="CS541" s="45" t="str">
        <v>Nothing</v>
      </c>
      <c r="CT541" s="61"/>
      <c r="CU541" s="45">
        <v>537</v>
      </c>
      <c r="CV541" s="45">
        <v>0</v>
      </c>
      <c r="CW541" s="45" t="str">
        <v>Nothing</v>
      </c>
      <c r="CX541" s="61"/>
      <c r="CY541" s="45">
        <v>537</v>
      </c>
      <c r="CZ541" s="45">
        <v>28.414447655277346</v>
      </c>
      <c r="DA541" s="45" t="str">
        <v>Invest</v>
      </c>
      <c r="DU541" s="52"/>
      <c r="DV541" s="50"/>
    </row>
    <row r="542" spans="86:126" ht="23.5">
      <c r="CH542" s="45">
        <v>538</v>
      </c>
      <c r="CI542" s="45">
        <v>26.727129260203839</v>
      </c>
      <c r="CJ542" s="45" t="str">
        <v>Invest</v>
      </c>
      <c r="CM542" s="45">
        <v>538</v>
      </c>
      <c r="CN542" s="48">
        <v>0</v>
      </c>
      <c r="CO542" s="45" t="str">
        <v>Nothing</v>
      </c>
      <c r="CP542" s="61"/>
      <c r="CQ542" s="45">
        <v>538</v>
      </c>
      <c r="CR542" s="45">
        <v>29.43958189694051</v>
      </c>
      <c r="CS542" s="45" t="str">
        <v>Invest</v>
      </c>
      <c r="CT542" s="61"/>
      <c r="CU542" s="45">
        <v>538</v>
      </c>
      <c r="CV542" s="45">
        <v>26.843797975808474</v>
      </c>
      <c r="CW542" s="45" t="str">
        <v>Invest</v>
      </c>
      <c r="CX542" s="61"/>
      <c r="CY542" s="45">
        <v>538</v>
      </c>
      <c r="CZ542" s="45">
        <v>0</v>
      </c>
      <c r="DA542" s="45" t="str">
        <v>Nothing</v>
      </c>
      <c r="DU542" s="52"/>
      <c r="DV542" s="50"/>
    </row>
    <row r="543" spans="86:126" ht="23.5">
      <c r="CH543" s="45">
        <v>539</v>
      </c>
      <c r="CI543" s="45">
        <v>19.795259968045123</v>
      </c>
      <c r="CJ543" s="45" t="str">
        <v>Invest</v>
      </c>
      <c r="CM543" s="45">
        <v>539</v>
      </c>
      <c r="CN543" s="48">
        <v>5.5862934551906314</v>
      </c>
      <c r="CO543" s="45" t="str">
        <v>Invest</v>
      </c>
      <c r="CP543" s="61"/>
      <c r="CQ543" s="45">
        <v>539</v>
      </c>
      <c r="CR543" s="45">
        <v>16.835685091772657</v>
      </c>
      <c r="CS543" s="45" t="str">
        <v>Invest</v>
      </c>
      <c r="CT543" s="61"/>
      <c r="CU543" s="45">
        <v>539</v>
      </c>
      <c r="CV543" s="45">
        <v>11.965632090643455</v>
      </c>
      <c r="CW543" s="45" t="str">
        <v>Invest</v>
      </c>
      <c r="CX543" s="61"/>
      <c r="CY543" s="45">
        <v>539</v>
      </c>
      <c r="CZ543" s="45">
        <v>0</v>
      </c>
      <c r="DA543" s="45" t="str">
        <v>Nothing</v>
      </c>
      <c r="DU543" s="52"/>
      <c r="DV543" s="50"/>
    </row>
    <row r="544" spans="86:126" ht="23.5">
      <c r="CH544" s="45">
        <v>540</v>
      </c>
      <c r="CI544" s="45">
        <v>29.185171985868763</v>
      </c>
      <c r="CJ544" s="45" t="str">
        <v>Invest</v>
      </c>
      <c r="CM544" s="45">
        <v>540</v>
      </c>
      <c r="CN544" s="48">
        <v>41.768856300184993</v>
      </c>
      <c r="CO544" s="45" t="str">
        <v>Invest</v>
      </c>
      <c r="CP544" s="61"/>
      <c r="CQ544" s="45">
        <v>540</v>
      </c>
      <c r="CR544" s="45">
        <v>51.172864892772566</v>
      </c>
      <c r="CS544" s="45" t="str">
        <v>Invest</v>
      </c>
      <c r="CT544" s="61"/>
      <c r="CU544" s="45">
        <v>540</v>
      </c>
      <c r="CV544" s="45">
        <v>0</v>
      </c>
      <c r="CW544" s="45" t="str">
        <v>Nothing</v>
      </c>
      <c r="CX544" s="61"/>
      <c r="CY544" s="45">
        <v>540</v>
      </c>
      <c r="CZ544" s="45">
        <v>1.1382945448639425</v>
      </c>
      <c r="DA544" s="45" t="str">
        <v>Invest</v>
      </c>
      <c r="DU544" s="52"/>
      <c r="DV544" s="50"/>
    </row>
    <row r="545" spans="86:126" ht="23.5">
      <c r="CH545" s="45">
        <v>541</v>
      </c>
      <c r="CI545" s="45">
        <v>15.970222343388055</v>
      </c>
      <c r="CJ545" s="45" t="str">
        <v>Invest</v>
      </c>
      <c r="CM545" s="45">
        <v>541</v>
      </c>
      <c r="CN545" s="48">
        <v>0</v>
      </c>
      <c r="CO545" s="45" t="str">
        <v>Nothing</v>
      </c>
      <c r="CP545" s="61"/>
      <c r="CQ545" s="45">
        <v>541</v>
      </c>
      <c r="CR545" s="45">
        <v>8.0932522189820073</v>
      </c>
      <c r="CS545" s="45" t="str">
        <v>Invest</v>
      </c>
      <c r="CT545" s="61"/>
      <c r="CU545" s="45">
        <v>541</v>
      </c>
      <c r="CV545" s="45">
        <v>22.695557280440713</v>
      </c>
      <c r="CW545" s="45" t="str">
        <v>Invest</v>
      </c>
      <c r="CX545" s="61"/>
      <c r="CY545" s="45">
        <v>541</v>
      </c>
      <c r="CZ545" s="45">
        <v>35.715783399570789</v>
      </c>
      <c r="DA545" s="45" t="str">
        <v>Invest</v>
      </c>
      <c r="DU545" s="52"/>
      <c r="DV545" s="50"/>
    </row>
    <row r="546" spans="86:126" ht="23.5">
      <c r="CH546" s="45">
        <v>542</v>
      </c>
      <c r="CI546" s="45">
        <v>0</v>
      </c>
      <c r="CJ546" s="45" t="str">
        <v>Nothing</v>
      </c>
      <c r="CM546" s="45">
        <v>542</v>
      </c>
      <c r="CN546" s="48">
        <v>17.740592826847404</v>
      </c>
      <c r="CO546" s="45" t="str">
        <v>Invest</v>
      </c>
      <c r="CP546" s="61"/>
      <c r="CQ546" s="45">
        <v>542</v>
      </c>
      <c r="CR546" s="45">
        <v>29.154106110277532</v>
      </c>
      <c r="CS546" s="45" t="str">
        <v>Invest</v>
      </c>
      <c r="CT546" s="61"/>
      <c r="CU546" s="45">
        <v>542</v>
      </c>
      <c r="CV546" s="45">
        <v>10.274101153093806</v>
      </c>
      <c r="CW546" s="45" t="str">
        <v>Invest</v>
      </c>
      <c r="CX546" s="61"/>
      <c r="CY546" s="45">
        <v>542</v>
      </c>
      <c r="CZ546" s="45">
        <v>34.316490804156459</v>
      </c>
      <c r="DA546" s="45" t="str">
        <v>Invest</v>
      </c>
      <c r="DU546" s="52"/>
      <c r="DV546" s="50"/>
    </row>
    <row r="547" spans="86:126" ht="23.5">
      <c r="CH547" s="45">
        <v>543</v>
      </c>
      <c r="CI547" s="45">
        <v>2.6094479589049513</v>
      </c>
      <c r="CJ547" s="45" t="str">
        <v>Invest</v>
      </c>
      <c r="CM547" s="45">
        <v>543</v>
      </c>
      <c r="CN547" s="48">
        <v>9.7643756164105788</v>
      </c>
      <c r="CO547" s="45" t="str">
        <v>Invest</v>
      </c>
      <c r="CP547" s="61"/>
      <c r="CQ547" s="45">
        <v>543</v>
      </c>
      <c r="CR547" s="45">
        <v>26.029094956625638</v>
      </c>
      <c r="CS547" s="45" t="str">
        <v>Invest</v>
      </c>
      <c r="CT547" s="61"/>
      <c r="CU547" s="45">
        <v>543</v>
      </c>
      <c r="CV547" s="45">
        <v>0</v>
      </c>
      <c r="CW547" s="45" t="str">
        <v>Nothing</v>
      </c>
      <c r="CX547" s="61"/>
      <c r="CY547" s="45">
        <v>543</v>
      </c>
      <c r="CZ547" s="45">
        <v>2.1344410829764424</v>
      </c>
      <c r="DA547" s="45" t="str">
        <v>Invest</v>
      </c>
      <c r="DU547" s="52"/>
      <c r="DV547" s="50"/>
    </row>
    <row r="548" spans="86:126" ht="23.5">
      <c r="CH548" s="45">
        <v>544</v>
      </c>
      <c r="CI548" s="45">
        <v>42.439504838178834</v>
      </c>
      <c r="CJ548" s="45" t="str">
        <v>Invest</v>
      </c>
      <c r="CM548" s="45">
        <v>544</v>
      </c>
      <c r="CN548" s="48">
        <v>13.775988500276267</v>
      </c>
      <c r="CO548" s="45" t="str">
        <v>Invest</v>
      </c>
      <c r="CP548" s="61"/>
      <c r="CQ548" s="45">
        <v>544</v>
      </c>
      <c r="CR548" s="45">
        <v>38.408469111319157</v>
      </c>
      <c r="CS548" s="45" t="str">
        <v>Invest</v>
      </c>
      <c r="CT548" s="61"/>
      <c r="CU548" s="45">
        <v>544</v>
      </c>
      <c r="CV548" s="45">
        <v>10.040744301438625</v>
      </c>
      <c r="CW548" s="45" t="str">
        <v>Invest</v>
      </c>
      <c r="CX548" s="61"/>
      <c r="CY548" s="45">
        <v>544</v>
      </c>
      <c r="CZ548" s="45">
        <v>58.94117882372224</v>
      </c>
      <c r="DA548" s="45" t="str">
        <v>Invest</v>
      </c>
      <c r="DU548" s="52"/>
      <c r="DV548" s="50"/>
    </row>
    <row r="549" spans="86:126" ht="23.5">
      <c r="CH549" s="45">
        <v>545</v>
      </c>
      <c r="CI549" s="45">
        <v>19.463661696163868</v>
      </c>
      <c r="CJ549" s="45" t="str">
        <v>Invest</v>
      </c>
      <c r="CM549" s="45">
        <v>545</v>
      </c>
      <c r="CN549" s="48">
        <v>0</v>
      </c>
      <c r="CO549" s="45" t="str">
        <v>Nothing</v>
      </c>
      <c r="CP549" s="61"/>
      <c r="CQ549" s="45">
        <v>545</v>
      </c>
      <c r="CR549" s="45">
        <v>0</v>
      </c>
      <c r="CS549" s="45" t="str">
        <v>Nothing</v>
      </c>
      <c r="CT549" s="61"/>
      <c r="CU549" s="45">
        <v>545</v>
      </c>
      <c r="CV549" s="45">
        <v>24.154258327597958</v>
      </c>
      <c r="CW549" s="45" t="str">
        <v>Invest</v>
      </c>
      <c r="CX549" s="61"/>
      <c r="CY549" s="45">
        <v>545</v>
      </c>
      <c r="CZ549" s="45">
        <v>0</v>
      </c>
      <c r="DA549" s="45" t="str">
        <v>Nothing</v>
      </c>
      <c r="DU549" s="52"/>
      <c r="DV549" s="50"/>
    </row>
    <row r="550" spans="86:126" ht="23.5">
      <c r="CH550" s="45">
        <v>546</v>
      </c>
      <c r="CI550" s="45">
        <v>15.6280209991126</v>
      </c>
      <c r="CJ550" s="45" t="str">
        <v>Invest</v>
      </c>
      <c r="CM550" s="45">
        <v>546</v>
      </c>
      <c r="CN550" s="48">
        <v>6.0469979640824105</v>
      </c>
      <c r="CO550" s="45" t="str">
        <v>Invest</v>
      </c>
      <c r="CP550" s="61"/>
      <c r="CQ550" s="45">
        <v>546</v>
      </c>
      <c r="CR550" s="45">
        <v>27.427714241766211</v>
      </c>
      <c r="CS550" s="45" t="str">
        <v>Invest</v>
      </c>
      <c r="CT550" s="61"/>
      <c r="CU550" s="45">
        <v>546</v>
      </c>
      <c r="CV550" s="45">
        <v>12.34466944292927</v>
      </c>
      <c r="CW550" s="45" t="str">
        <v>Invest</v>
      </c>
      <c r="CX550" s="61"/>
      <c r="CY550" s="45">
        <v>546</v>
      </c>
      <c r="CZ550" s="45">
        <v>0</v>
      </c>
      <c r="DA550" s="45" t="str">
        <v>Nothing</v>
      </c>
      <c r="DU550" s="52"/>
      <c r="DV550" s="50"/>
    </row>
    <row r="551" spans="86:126" ht="23.5">
      <c r="CH551" s="45">
        <v>547</v>
      </c>
      <c r="CI551" s="45">
        <v>0</v>
      </c>
      <c r="CJ551" s="45" t="str">
        <v>Nothing</v>
      </c>
      <c r="CM551" s="45">
        <v>547</v>
      </c>
      <c r="CN551" s="48">
        <v>29.96661431478978</v>
      </c>
      <c r="CO551" s="45" t="str">
        <v>Invest</v>
      </c>
      <c r="CP551" s="61"/>
      <c r="CQ551" s="45">
        <v>547</v>
      </c>
      <c r="CR551" s="45">
        <v>0</v>
      </c>
      <c r="CS551" s="45" t="str">
        <v>Nothing</v>
      </c>
      <c r="CT551" s="61"/>
      <c r="CU551" s="45">
        <v>547</v>
      </c>
      <c r="CV551" s="45">
        <v>45.622021294676927</v>
      </c>
      <c r="CW551" s="45" t="str">
        <v>Invest</v>
      </c>
      <c r="CX551" s="61"/>
      <c r="CY551" s="45">
        <v>547</v>
      </c>
      <c r="CZ551" s="45">
        <v>33.918536024738749</v>
      </c>
      <c r="DA551" s="45" t="str">
        <v>Invest</v>
      </c>
      <c r="DU551" s="52"/>
      <c r="DV551" s="50"/>
    </row>
    <row r="552" spans="86:126" ht="23.5">
      <c r="CH552" s="45">
        <v>548</v>
      </c>
      <c r="CI552" s="45">
        <v>0</v>
      </c>
      <c r="CJ552" s="45" t="str">
        <v>Nothing</v>
      </c>
      <c r="CM552" s="45">
        <v>548</v>
      </c>
      <c r="CN552" s="48">
        <v>18.10361424229081</v>
      </c>
      <c r="CO552" s="45" t="str">
        <v>Invest</v>
      </c>
      <c r="CP552" s="61"/>
      <c r="CQ552" s="45">
        <v>548</v>
      </c>
      <c r="CR552" s="45">
        <v>6.0726810788607928</v>
      </c>
      <c r="CS552" s="45" t="str">
        <v>Invest</v>
      </c>
      <c r="CT552" s="61"/>
      <c r="CU552" s="45">
        <v>548</v>
      </c>
      <c r="CV552" s="45">
        <v>0</v>
      </c>
      <c r="CW552" s="45" t="str">
        <v>Nothing</v>
      </c>
      <c r="CX552" s="61"/>
      <c r="CY552" s="45">
        <v>548</v>
      </c>
      <c r="CZ552" s="45">
        <v>3.2447159950420268</v>
      </c>
      <c r="DA552" s="45" t="str">
        <v>Invest</v>
      </c>
      <c r="DU552" s="52"/>
      <c r="DV552" s="50"/>
    </row>
    <row r="553" spans="86:126" ht="23.5">
      <c r="CH553" s="45">
        <v>549</v>
      </c>
      <c r="CI553" s="45">
        <v>0</v>
      </c>
      <c r="CJ553" s="45" t="str">
        <v>Nothing</v>
      </c>
      <c r="CM553" s="45">
        <v>549</v>
      </c>
      <c r="CN553" s="48">
        <v>0</v>
      </c>
      <c r="CO553" s="45" t="str">
        <v>Nothing</v>
      </c>
      <c r="CP553" s="61"/>
      <c r="CQ553" s="45">
        <v>549</v>
      </c>
      <c r="CR553" s="45">
        <v>0</v>
      </c>
      <c r="CS553" s="45" t="str">
        <v>Nothing</v>
      </c>
      <c r="CT553" s="61"/>
      <c r="CU553" s="45">
        <v>549</v>
      </c>
      <c r="CV553" s="45">
        <v>23.731870422113417</v>
      </c>
      <c r="CW553" s="45" t="str">
        <v>Invest</v>
      </c>
      <c r="CX553" s="61"/>
      <c r="CY553" s="45">
        <v>549</v>
      </c>
      <c r="CZ553" s="45">
        <v>31.603303526389823</v>
      </c>
      <c r="DA553" s="45" t="str">
        <v>Invest</v>
      </c>
      <c r="DU553" s="52"/>
      <c r="DV553" s="50"/>
    </row>
    <row r="554" spans="86:126" ht="23.5">
      <c r="CH554" s="45">
        <v>550</v>
      </c>
      <c r="CI554" s="45">
        <v>5.441187563644565</v>
      </c>
      <c r="CJ554" s="45" t="str">
        <v>Invest</v>
      </c>
      <c r="CM554" s="45">
        <v>550</v>
      </c>
      <c r="CN554" s="48">
        <v>6.0041469728877788</v>
      </c>
      <c r="CO554" s="45" t="str">
        <v>Invest</v>
      </c>
      <c r="CP554" s="61"/>
      <c r="CQ554" s="45">
        <v>550</v>
      </c>
      <c r="CR554" s="45">
        <v>7.5647304421383978</v>
      </c>
      <c r="CS554" s="45" t="str">
        <v>Invest</v>
      </c>
      <c r="CT554" s="61"/>
      <c r="CU554" s="45">
        <v>550</v>
      </c>
      <c r="CV554" s="45">
        <v>0</v>
      </c>
      <c r="CW554" s="45" t="str">
        <v>Nothing</v>
      </c>
      <c r="CX554" s="61"/>
      <c r="CY554" s="45">
        <v>550</v>
      </c>
      <c r="CZ554" s="45">
        <v>0</v>
      </c>
      <c r="DA554" s="45" t="str">
        <v>Nothing</v>
      </c>
      <c r="DU554" s="52"/>
      <c r="DV554" s="50"/>
    </row>
    <row r="555" spans="86:126" ht="23.5">
      <c r="CH555" s="45">
        <v>551</v>
      </c>
      <c r="CI555" s="45">
        <v>0</v>
      </c>
      <c r="CJ555" s="45" t="str">
        <v>Nothing</v>
      </c>
      <c r="CM555" s="45">
        <v>551</v>
      </c>
      <c r="CN555" s="48">
        <v>0</v>
      </c>
      <c r="CO555" s="45" t="str">
        <v>Nothing</v>
      </c>
      <c r="CP555" s="61"/>
      <c r="CQ555" s="45">
        <v>551</v>
      </c>
      <c r="CR555" s="45">
        <v>41.977272059013188</v>
      </c>
      <c r="CS555" s="45" t="str">
        <v>Invest</v>
      </c>
      <c r="CT555" s="61"/>
      <c r="CU555" s="45">
        <v>551</v>
      </c>
      <c r="CV555" s="45">
        <v>0</v>
      </c>
      <c r="CW555" s="45" t="str">
        <v>Nothing</v>
      </c>
      <c r="CX555" s="61"/>
      <c r="CY555" s="45">
        <v>551</v>
      </c>
      <c r="CZ555" s="45">
        <v>27.844352091666579</v>
      </c>
      <c r="DA555" s="45" t="str">
        <v>Invest</v>
      </c>
      <c r="DU555" s="52"/>
      <c r="DV555" s="50"/>
    </row>
    <row r="556" spans="86:126" ht="23.5">
      <c r="CH556" s="45">
        <v>552</v>
      </c>
      <c r="CI556" s="45">
        <v>0</v>
      </c>
      <c r="CJ556" s="45" t="str">
        <v>Nothing</v>
      </c>
      <c r="CM556" s="45">
        <v>552</v>
      </c>
      <c r="CN556" s="48">
        <v>0</v>
      </c>
      <c r="CO556" s="45" t="str">
        <v>Nothing</v>
      </c>
      <c r="CP556" s="61"/>
      <c r="CQ556" s="45">
        <v>552</v>
      </c>
      <c r="CR556" s="45">
        <v>16.137379245090649</v>
      </c>
      <c r="CS556" s="45" t="str">
        <v>Invest</v>
      </c>
      <c r="CT556" s="61"/>
      <c r="CU556" s="45">
        <v>552</v>
      </c>
      <c r="CV556" s="45">
        <v>48.128842365550383</v>
      </c>
      <c r="CW556" s="45" t="str">
        <v>Invest</v>
      </c>
      <c r="CX556" s="61"/>
      <c r="CY556" s="45">
        <v>552</v>
      </c>
      <c r="CZ556" s="45">
        <v>13.920881715280109</v>
      </c>
      <c r="DA556" s="45" t="str">
        <v>Invest</v>
      </c>
      <c r="DU556" s="52"/>
      <c r="DV556" s="50"/>
    </row>
    <row r="557" spans="86:126" ht="23.5">
      <c r="CH557" s="45">
        <v>553</v>
      </c>
      <c r="CI557" s="45">
        <v>26.125743136884623</v>
      </c>
      <c r="CJ557" s="45" t="str">
        <v>Invest</v>
      </c>
      <c r="CM557" s="45">
        <v>553</v>
      </c>
      <c r="CN557" s="48">
        <v>6.40926917437349</v>
      </c>
      <c r="CO557" s="45" t="str">
        <v>Invest</v>
      </c>
      <c r="CP557" s="61"/>
      <c r="CQ557" s="45">
        <v>553</v>
      </c>
      <c r="CR557" s="45">
        <v>42.171237462409032</v>
      </c>
      <c r="CS557" s="45" t="str">
        <v>Invest</v>
      </c>
      <c r="CT557" s="61"/>
      <c r="CU557" s="45">
        <v>553</v>
      </c>
      <c r="CV557" s="45">
        <v>4.7858140864923833</v>
      </c>
      <c r="CW557" s="45" t="str">
        <v>Invest</v>
      </c>
      <c r="CX557" s="61"/>
      <c r="CY557" s="45">
        <v>553</v>
      </c>
      <c r="CZ557" s="45">
        <v>30.407731660040419</v>
      </c>
      <c r="DA557" s="45" t="str">
        <v>Invest</v>
      </c>
      <c r="DU557" s="52"/>
      <c r="DV557" s="50"/>
    </row>
    <row r="558" spans="86:126" ht="23.5">
      <c r="CH558" s="45">
        <v>554</v>
      </c>
      <c r="CI558" s="45">
        <v>14.226076344895883</v>
      </c>
      <c r="CJ558" s="45" t="str">
        <v>Invest</v>
      </c>
      <c r="CM558" s="45">
        <v>554</v>
      </c>
      <c r="CN558" s="48">
        <v>1.180056187481842</v>
      </c>
      <c r="CO558" s="45" t="str">
        <v>Invest</v>
      </c>
      <c r="CP558" s="61"/>
      <c r="CQ558" s="45">
        <v>554</v>
      </c>
      <c r="CR558" s="45">
        <v>31.074835108710964</v>
      </c>
      <c r="CS558" s="45" t="str">
        <v>Invest</v>
      </c>
      <c r="CT558" s="61"/>
      <c r="CU558" s="45">
        <v>554</v>
      </c>
      <c r="CV558" s="45">
        <v>25.573089846368632</v>
      </c>
      <c r="CW558" s="45" t="str">
        <v>Invest</v>
      </c>
      <c r="CX558" s="61"/>
      <c r="CY558" s="45">
        <v>554</v>
      </c>
      <c r="CZ558" s="45">
        <v>51.11790551303551</v>
      </c>
      <c r="DA558" s="45" t="str">
        <v>Invest</v>
      </c>
      <c r="DU558" s="52"/>
      <c r="DV558" s="50"/>
    </row>
    <row r="559" spans="86:126" ht="23.5">
      <c r="CH559" s="45">
        <v>555</v>
      </c>
      <c r="CI559" s="45">
        <v>0</v>
      </c>
      <c r="CJ559" s="45" t="str">
        <v>Nothing</v>
      </c>
      <c r="CM559" s="45">
        <v>555</v>
      </c>
      <c r="CN559" s="48">
        <v>0</v>
      </c>
      <c r="CO559" s="45" t="str">
        <v>Nothing</v>
      </c>
      <c r="CP559" s="61"/>
      <c r="CQ559" s="45">
        <v>555</v>
      </c>
      <c r="CR559" s="45">
        <v>0</v>
      </c>
      <c r="CS559" s="45" t="str">
        <v>Nothing</v>
      </c>
      <c r="CT559" s="61"/>
      <c r="CU559" s="45">
        <v>555</v>
      </c>
      <c r="CV559" s="45">
        <v>0</v>
      </c>
      <c r="CW559" s="45" t="str">
        <v>Nothing</v>
      </c>
      <c r="CX559" s="61"/>
      <c r="CY559" s="45">
        <v>555</v>
      </c>
      <c r="CZ559" s="45">
        <v>4.8073398474122158</v>
      </c>
      <c r="DA559" s="45" t="str">
        <v>Invest</v>
      </c>
      <c r="DU559" s="52"/>
      <c r="DV559" s="50"/>
    </row>
    <row r="560" spans="86:126" ht="23.5">
      <c r="CH560" s="45">
        <v>556</v>
      </c>
      <c r="CI560" s="45">
        <v>26.730214955651476</v>
      </c>
      <c r="CJ560" s="45" t="str">
        <v>Invest</v>
      </c>
      <c r="CM560" s="45">
        <v>556</v>
      </c>
      <c r="CN560" s="48">
        <v>43.658184830438302</v>
      </c>
      <c r="CO560" s="45" t="str">
        <v>Invest</v>
      </c>
      <c r="CP560" s="61"/>
      <c r="CQ560" s="45">
        <v>556</v>
      </c>
      <c r="CR560" s="45">
        <v>5.4590898840570388</v>
      </c>
      <c r="CS560" s="45" t="str">
        <v>Invest</v>
      </c>
      <c r="CT560" s="61"/>
      <c r="CU560" s="45">
        <v>556</v>
      </c>
      <c r="CV560" s="45">
        <v>33.959584002869803</v>
      </c>
      <c r="CW560" s="45" t="str">
        <v>Invest</v>
      </c>
      <c r="CX560" s="61"/>
      <c r="CY560" s="45">
        <v>556</v>
      </c>
      <c r="CZ560" s="45">
        <v>36.622976746522724</v>
      </c>
      <c r="DA560" s="45" t="str">
        <v>Invest</v>
      </c>
      <c r="DU560" s="52"/>
      <c r="DV560" s="50"/>
    </row>
    <row r="561" spans="86:126" ht="23.5">
      <c r="CH561" s="45">
        <v>557</v>
      </c>
      <c r="CI561" s="45">
        <v>3.5088804284919348</v>
      </c>
      <c r="CJ561" s="45" t="str">
        <v>Invest</v>
      </c>
      <c r="CM561" s="45">
        <v>557</v>
      </c>
      <c r="CN561" s="48">
        <v>0</v>
      </c>
      <c r="CO561" s="45" t="str">
        <v>Nothing</v>
      </c>
      <c r="CP561" s="61"/>
      <c r="CQ561" s="45">
        <v>557</v>
      </c>
      <c r="CR561" s="45">
        <v>26.997812695219167</v>
      </c>
      <c r="CS561" s="45" t="str">
        <v>Invest</v>
      </c>
      <c r="CT561" s="61"/>
      <c r="CU561" s="45">
        <v>557</v>
      </c>
      <c r="CV561" s="45">
        <v>30.103364424576782</v>
      </c>
      <c r="CW561" s="45" t="str">
        <v>Invest</v>
      </c>
      <c r="CX561" s="61"/>
      <c r="CY561" s="45">
        <v>557</v>
      </c>
      <c r="CZ561" s="45">
        <v>11.598486313080723</v>
      </c>
      <c r="DA561" s="45" t="str">
        <v>Invest</v>
      </c>
      <c r="DU561" s="52"/>
      <c r="DV561" s="50"/>
    </row>
    <row r="562" spans="86:126" ht="23.5">
      <c r="CH562" s="45">
        <v>558</v>
      </c>
      <c r="CI562" s="45">
        <v>0</v>
      </c>
      <c r="CJ562" s="45" t="str">
        <v>Nothing</v>
      </c>
      <c r="CM562" s="45">
        <v>558</v>
      </c>
      <c r="CN562" s="48">
        <v>33.915791868733017</v>
      </c>
      <c r="CO562" s="45" t="str">
        <v>Invest</v>
      </c>
      <c r="CP562" s="61"/>
      <c r="CQ562" s="45">
        <v>558</v>
      </c>
      <c r="CR562" s="45">
        <v>0</v>
      </c>
      <c r="CS562" s="45" t="str">
        <v>Nothing</v>
      </c>
      <c r="CT562" s="61"/>
      <c r="CU562" s="45">
        <v>558</v>
      </c>
      <c r="CV562" s="45">
        <v>32.627038235923926</v>
      </c>
      <c r="CW562" s="45" t="str">
        <v>Invest</v>
      </c>
      <c r="CX562" s="61"/>
      <c r="CY562" s="45">
        <v>558</v>
      </c>
      <c r="CZ562" s="45">
        <v>0</v>
      </c>
      <c r="DA562" s="45" t="str">
        <v>Nothing</v>
      </c>
      <c r="DU562" s="52"/>
      <c r="DV562" s="50"/>
    </row>
    <row r="563" spans="86:126" ht="23.5">
      <c r="CH563" s="45">
        <v>559</v>
      </c>
      <c r="CI563" s="45">
        <v>0</v>
      </c>
      <c r="CJ563" s="45" t="str">
        <v>Nothing</v>
      </c>
      <c r="CM563" s="45">
        <v>559</v>
      </c>
      <c r="CN563" s="48">
        <v>0</v>
      </c>
      <c r="CO563" s="45" t="str">
        <v>Nothing</v>
      </c>
      <c r="CP563" s="61"/>
      <c r="CQ563" s="45">
        <v>559</v>
      </c>
      <c r="CR563" s="45">
        <v>0</v>
      </c>
      <c r="CS563" s="45" t="str">
        <v>Nothing</v>
      </c>
      <c r="CT563" s="61"/>
      <c r="CU563" s="45">
        <v>559</v>
      </c>
      <c r="CV563" s="45">
        <v>53.709352043538551</v>
      </c>
      <c r="CW563" s="45" t="str">
        <v>Invest</v>
      </c>
      <c r="CX563" s="61"/>
      <c r="CY563" s="45">
        <v>559</v>
      </c>
      <c r="CZ563" s="45">
        <v>15.69669322750052</v>
      </c>
      <c r="DA563" s="45" t="str">
        <v>Invest</v>
      </c>
      <c r="DU563" s="52"/>
      <c r="DV563" s="50"/>
    </row>
    <row r="564" spans="86:126" ht="23.5">
      <c r="CH564" s="45">
        <v>560</v>
      </c>
      <c r="CI564" s="45">
        <v>2.8121661796742359E-2</v>
      </c>
      <c r="CJ564" s="45" t="str">
        <v>Invest</v>
      </c>
      <c r="CM564" s="45">
        <v>560</v>
      </c>
      <c r="CN564" s="48">
        <v>13.762336663071977</v>
      </c>
      <c r="CO564" s="45" t="str">
        <v>Invest</v>
      </c>
      <c r="CP564" s="61"/>
      <c r="CQ564" s="45">
        <v>560</v>
      </c>
      <c r="CR564" s="45">
        <v>0</v>
      </c>
      <c r="CS564" s="45" t="str">
        <v>Nothing</v>
      </c>
      <c r="CT564" s="61"/>
      <c r="CU564" s="45">
        <v>560</v>
      </c>
      <c r="CV564" s="45">
        <v>31.697843126588765</v>
      </c>
      <c r="CW564" s="45" t="str">
        <v>Invest</v>
      </c>
      <c r="CX564" s="61"/>
      <c r="CY564" s="45">
        <v>560</v>
      </c>
      <c r="CZ564" s="45">
        <v>8.9997250467334879</v>
      </c>
      <c r="DA564" s="45" t="str">
        <v>Invest</v>
      </c>
      <c r="DU564" s="52"/>
      <c r="DV564" s="50"/>
    </row>
    <row r="565" spans="86:126" ht="23.5">
      <c r="CH565" s="45">
        <v>561</v>
      </c>
      <c r="CI565" s="45">
        <v>36.326867410004368</v>
      </c>
      <c r="CJ565" s="45" t="str">
        <v>Invest</v>
      </c>
      <c r="CM565" s="45">
        <v>561</v>
      </c>
      <c r="CN565" s="48">
        <v>5.2646222492524881</v>
      </c>
      <c r="CO565" s="45" t="str">
        <v>Invest</v>
      </c>
      <c r="CP565" s="61"/>
      <c r="CQ565" s="45">
        <v>561</v>
      </c>
      <c r="CR565" s="45">
        <v>15.272755725310654</v>
      </c>
      <c r="CS565" s="45" t="str">
        <v>Invest</v>
      </c>
      <c r="CT565" s="61"/>
      <c r="CU565" s="45">
        <v>561</v>
      </c>
      <c r="CV565" s="45">
        <v>0</v>
      </c>
      <c r="CW565" s="45" t="str">
        <v>Nothing</v>
      </c>
      <c r="CX565" s="61"/>
      <c r="CY565" s="45">
        <v>561</v>
      </c>
      <c r="CZ565" s="45">
        <v>15.370426758596137</v>
      </c>
      <c r="DA565" s="45" t="str">
        <v>Invest</v>
      </c>
      <c r="DU565" s="52"/>
      <c r="DV565" s="50"/>
    </row>
    <row r="566" spans="86:126" ht="23.5">
      <c r="CH566" s="45">
        <v>562</v>
      </c>
      <c r="CI566" s="45">
        <v>49.447755194835779</v>
      </c>
      <c r="CJ566" s="45" t="str">
        <v>Invest</v>
      </c>
      <c r="CM566" s="45">
        <v>562</v>
      </c>
      <c r="CN566" s="48">
        <v>2.2403288831713919</v>
      </c>
      <c r="CO566" s="45" t="str">
        <v>Invest</v>
      </c>
      <c r="CP566" s="61"/>
      <c r="CQ566" s="45">
        <v>562</v>
      </c>
      <c r="CR566" s="45">
        <v>28.828811652844962</v>
      </c>
      <c r="CS566" s="45" t="str">
        <v>Invest</v>
      </c>
      <c r="CT566" s="61"/>
      <c r="CU566" s="45">
        <v>562</v>
      </c>
      <c r="CV566" s="45">
        <v>24.786206224019885</v>
      </c>
      <c r="CW566" s="45" t="str">
        <v>Invest</v>
      </c>
      <c r="CX566" s="61"/>
      <c r="CY566" s="45">
        <v>562</v>
      </c>
      <c r="CZ566" s="45">
        <v>29.20500415953078</v>
      </c>
      <c r="DA566" s="45" t="str">
        <v>Invest</v>
      </c>
      <c r="DU566" s="52"/>
      <c r="DV566" s="50"/>
    </row>
    <row r="567" spans="86:126" ht="23.5">
      <c r="CH567" s="45">
        <v>563</v>
      </c>
      <c r="CI567" s="45">
        <v>43.370375221848398</v>
      </c>
      <c r="CJ567" s="45" t="str">
        <v>Invest</v>
      </c>
      <c r="CM567" s="45">
        <v>563</v>
      </c>
      <c r="CN567" s="48">
        <v>35.606806970068291</v>
      </c>
      <c r="CO567" s="45" t="str">
        <v>Invest</v>
      </c>
      <c r="CP567" s="61"/>
      <c r="CQ567" s="45">
        <v>563</v>
      </c>
      <c r="CR567" s="45">
        <v>0</v>
      </c>
      <c r="CS567" s="45" t="str">
        <v>Nothing</v>
      </c>
      <c r="CT567" s="61"/>
      <c r="CU567" s="45">
        <v>563</v>
      </c>
      <c r="CV567" s="45">
        <v>0</v>
      </c>
      <c r="CW567" s="45" t="str">
        <v>Nothing</v>
      </c>
      <c r="CX567" s="61"/>
      <c r="CY567" s="45">
        <v>563</v>
      </c>
      <c r="CZ567" s="45">
        <v>25.925823764428298</v>
      </c>
      <c r="DA567" s="45" t="str">
        <v>Invest</v>
      </c>
      <c r="DU567" s="52"/>
      <c r="DV567" s="50"/>
    </row>
    <row r="568" spans="86:126" ht="23.5">
      <c r="CH568" s="45">
        <v>564</v>
      </c>
      <c r="CI568" s="45">
        <v>0</v>
      </c>
      <c r="CJ568" s="45" t="str">
        <v>Nothing</v>
      </c>
      <c r="CM568" s="45">
        <v>564</v>
      </c>
      <c r="CN568" s="48">
        <v>1.4248627968758498</v>
      </c>
      <c r="CO568" s="45" t="str">
        <v>Invest</v>
      </c>
      <c r="CP568" s="61"/>
      <c r="CQ568" s="45">
        <v>564</v>
      </c>
      <c r="CR568" s="45">
        <v>9.2733722773023946</v>
      </c>
      <c r="CS568" s="45" t="str">
        <v>Invest</v>
      </c>
      <c r="CT568" s="61"/>
      <c r="CU568" s="45">
        <v>564</v>
      </c>
      <c r="CV568" s="45">
        <v>16.166276216470202</v>
      </c>
      <c r="CW568" s="45" t="str">
        <v>Invest</v>
      </c>
      <c r="CX568" s="61"/>
      <c r="CY568" s="45">
        <v>564</v>
      </c>
      <c r="CZ568" s="45">
        <v>52.973143888838727</v>
      </c>
      <c r="DA568" s="45" t="str">
        <v>Invest</v>
      </c>
      <c r="DU568" s="52"/>
      <c r="DV568" s="50"/>
    </row>
    <row r="569" spans="86:126" ht="23.5">
      <c r="CH569" s="45">
        <v>565</v>
      </c>
      <c r="CI569" s="45">
        <v>12.241922676951251</v>
      </c>
      <c r="CJ569" s="45" t="str">
        <v>Invest</v>
      </c>
      <c r="CM569" s="45">
        <v>565</v>
      </c>
      <c r="CN569" s="48">
        <v>0</v>
      </c>
      <c r="CO569" s="45" t="str">
        <v>Nothing</v>
      </c>
      <c r="CP569" s="61"/>
      <c r="CQ569" s="45">
        <v>565</v>
      </c>
      <c r="CR569" s="45">
        <v>1.9580990136921104</v>
      </c>
      <c r="CS569" s="45" t="str">
        <v>Invest</v>
      </c>
      <c r="CT569" s="61"/>
      <c r="CU569" s="45">
        <v>565</v>
      </c>
      <c r="CV569" s="45">
        <v>5.5074545178238381</v>
      </c>
      <c r="CW569" s="45" t="str">
        <v>Invest</v>
      </c>
      <c r="CX569" s="61"/>
      <c r="CY569" s="45">
        <v>565</v>
      </c>
      <c r="CZ569" s="45">
        <v>0</v>
      </c>
      <c r="DA569" s="45" t="str">
        <v>Nothing</v>
      </c>
      <c r="DU569" s="52"/>
      <c r="DV569" s="50"/>
    </row>
    <row r="570" spans="86:126" ht="23.5">
      <c r="CH570" s="45">
        <v>566</v>
      </c>
      <c r="CI570" s="45">
        <v>33.73907457244124</v>
      </c>
      <c r="CJ570" s="45" t="str">
        <v>Invest</v>
      </c>
      <c r="CM570" s="45">
        <v>566</v>
      </c>
      <c r="CN570" s="48">
        <v>10.309800710931444</v>
      </c>
      <c r="CO570" s="45" t="str">
        <v>Invest</v>
      </c>
      <c r="CP570" s="61"/>
      <c r="CQ570" s="45">
        <v>566</v>
      </c>
      <c r="CR570" s="45">
        <v>17.458397729268636</v>
      </c>
      <c r="CS570" s="45" t="str">
        <v>Invest</v>
      </c>
      <c r="CT570" s="61"/>
      <c r="CU570" s="45">
        <v>566</v>
      </c>
      <c r="CV570" s="45">
        <v>35.270803335886583</v>
      </c>
      <c r="CW570" s="45" t="str">
        <v>Invest</v>
      </c>
      <c r="CX570" s="61"/>
      <c r="CY570" s="45">
        <v>566</v>
      </c>
      <c r="CZ570" s="45">
        <v>36.668255623946777</v>
      </c>
      <c r="DA570" s="45" t="str">
        <v>Invest</v>
      </c>
      <c r="DU570" s="52"/>
      <c r="DV570" s="50"/>
    </row>
    <row r="571" spans="86:126" ht="23.5">
      <c r="CH571" s="45">
        <v>567</v>
      </c>
      <c r="CI571" s="45">
        <v>15.174066208458431</v>
      </c>
      <c r="CJ571" s="45" t="str">
        <v>Invest</v>
      </c>
      <c r="CM571" s="45">
        <v>567</v>
      </c>
      <c r="CN571" s="48">
        <v>0</v>
      </c>
      <c r="CO571" s="45" t="str">
        <v>Nothing</v>
      </c>
      <c r="CP571" s="61"/>
      <c r="CQ571" s="45">
        <v>567</v>
      </c>
      <c r="CR571" s="45">
        <v>20.713217155109511</v>
      </c>
      <c r="CS571" s="45" t="str">
        <v>Invest</v>
      </c>
      <c r="CT571" s="61"/>
      <c r="CU571" s="45">
        <v>567</v>
      </c>
      <c r="CV571" s="45">
        <v>2.872469602280141</v>
      </c>
      <c r="CW571" s="45" t="str">
        <v>Invest</v>
      </c>
      <c r="CX571" s="61"/>
      <c r="CY571" s="45">
        <v>567</v>
      </c>
      <c r="CZ571" s="45">
        <v>0</v>
      </c>
      <c r="DA571" s="45" t="str">
        <v>Nothing</v>
      </c>
      <c r="DU571" s="52"/>
      <c r="DV571" s="50"/>
    </row>
    <row r="572" spans="86:126" ht="23.5">
      <c r="CH572" s="45">
        <v>568</v>
      </c>
      <c r="CI572" s="45">
        <v>1.4622887035126393</v>
      </c>
      <c r="CJ572" s="45" t="str">
        <v>Invest</v>
      </c>
      <c r="CM572" s="45">
        <v>568</v>
      </c>
      <c r="CN572" s="48">
        <v>10.901942381081987</v>
      </c>
      <c r="CO572" s="45" t="str">
        <v>Invest</v>
      </c>
      <c r="CP572" s="61"/>
      <c r="CQ572" s="45">
        <v>568</v>
      </c>
      <c r="CR572" s="45">
        <v>39.331594366891373</v>
      </c>
      <c r="CS572" s="45" t="str">
        <v>Invest</v>
      </c>
      <c r="CT572" s="61"/>
      <c r="CU572" s="45">
        <v>568</v>
      </c>
      <c r="CV572" s="45">
        <v>11.117856068751582</v>
      </c>
      <c r="CW572" s="45" t="str">
        <v>Invest</v>
      </c>
      <c r="CX572" s="61"/>
      <c r="CY572" s="45">
        <v>568</v>
      </c>
      <c r="CZ572" s="45">
        <v>7.1521800784056904</v>
      </c>
      <c r="DA572" s="45" t="str">
        <v>Invest</v>
      </c>
      <c r="DU572" s="52"/>
      <c r="DV572" s="50"/>
    </row>
    <row r="573" spans="86:126" ht="23.5">
      <c r="CH573" s="45">
        <v>569</v>
      </c>
      <c r="CI573" s="45">
        <v>0</v>
      </c>
      <c r="CJ573" s="45" t="str">
        <v>Nothing</v>
      </c>
      <c r="CM573" s="45">
        <v>569</v>
      </c>
      <c r="CN573" s="48">
        <v>1.712124436306933</v>
      </c>
      <c r="CO573" s="45" t="str">
        <v>Invest</v>
      </c>
      <c r="CP573" s="61"/>
      <c r="CQ573" s="45">
        <v>569</v>
      </c>
      <c r="CR573" s="45">
        <v>14.287523245706053</v>
      </c>
      <c r="CS573" s="45" t="str">
        <v>Invest</v>
      </c>
      <c r="CT573" s="61"/>
      <c r="CU573" s="45">
        <v>569</v>
      </c>
      <c r="CV573" s="45">
        <v>17.404132022081029</v>
      </c>
      <c r="CW573" s="45" t="str">
        <v>Invest</v>
      </c>
      <c r="CX573" s="61"/>
      <c r="CY573" s="45">
        <v>569</v>
      </c>
      <c r="CZ573" s="45">
        <v>14.350880342628688</v>
      </c>
      <c r="DA573" s="45" t="str">
        <v>Invest</v>
      </c>
      <c r="DU573" s="52"/>
      <c r="DV573" s="50"/>
    </row>
    <row r="574" spans="86:126" ht="23.5">
      <c r="CH574" s="45">
        <v>570</v>
      </c>
      <c r="CI574" s="45">
        <v>10.631879999041542</v>
      </c>
      <c r="CJ574" s="45" t="str">
        <v>Invest</v>
      </c>
      <c r="CM574" s="45">
        <v>570</v>
      </c>
      <c r="CN574" s="48">
        <v>16.954194423127273</v>
      </c>
      <c r="CO574" s="45" t="str">
        <v>Invest</v>
      </c>
      <c r="CP574" s="61"/>
      <c r="CQ574" s="45">
        <v>570</v>
      </c>
      <c r="CR574" s="45">
        <v>17.088379724593267</v>
      </c>
      <c r="CS574" s="45" t="str">
        <v>Invest</v>
      </c>
      <c r="CT574" s="61"/>
      <c r="CU574" s="45">
        <v>570</v>
      </c>
      <c r="CV574" s="45">
        <v>5.2045681354731386</v>
      </c>
      <c r="CW574" s="45" t="str">
        <v>Invest</v>
      </c>
      <c r="CX574" s="61"/>
      <c r="CY574" s="45">
        <v>570</v>
      </c>
      <c r="CZ574" s="45">
        <v>50.421374956455367</v>
      </c>
      <c r="DA574" s="45" t="str">
        <v>Invest</v>
      </c>
      <c r="DU574" s="52"/>
      <c r="DV574" s="50"/>
    </row>
    <row r="575" spans="86:126" ht="23.5">
      <c r="CH575" s="45">
        <v>571</v>
      </c>
      <c r="CI575" s="45">
        <v>37.988774724111984</v>
      </c>
      <c r="CJ575" s="45" t="str">
        <v>Invest</v>
      </c>
      <c r="CM575" s="45">
        <v>571</v>
      </c>
      <c r="CN575" s="48">
        <v>15.492529458784862</v>
      </c>
      <c r="CO575" s="45" t="str">
        <v>Invest</v>
      </c>
      <c r="CP575" s="61"/>
      <c r="CQ575" s="45">
        <v>571</v>
      </c>
      <c r="CR575" s="45">
        <v>19.036413443997688</v>
      </c>
      <c r="CS575" s="45" t="str">
        <v>Invest</v>
      </c>
      <c r="CT575" s="61"/>
      <c r="CU575" s="45">
        <v>571</v>
      </c>
      <c r="CV575" s="45">
        <v>2.473563954223998</v>
      </c>
      <c r="CW575" s="45" t="str">
        <v>Invest</v>
      </c>
      <c r="CX575" s="61"/>
      <c r="CY575" s="45">
        <v>571</v>
      </c>
      <c r="CZ575" s="45">
        <v>47.789104482733109</v>
      </c>
      <c r="DA575" s="45" t="str">
        <v>Invest</v>
      </c>
      <c r="DU575" s="52"/>
      <c r="DV575" s="50"/>
    </row>
    <row r="576" spans="86:126" ht="23.5">
      <c r="CH576" s="45">
        <v>572</v>
      </c>
      <c r="CI576" s="45">
        <v>0</v>
      </c>
      <c r="CJ576" s="45" t="str">
        <v>Nothing</v>
      </c>
      <c r="CM576" s="45">
        <v>572</v>
      </c>
      <c r="CN576" s="48">
        <v>58.172188431709131</v>
      </c>
      <c r="CO576" s="45" t="str">
        <v>Invest</v>
      </c>
      <c r="CP576" s="61"/>
      <c r="CQ576" s="45">
        <v>572</v>
      </c>
      <c r="CR576" s="45">
        <v>49.695771795442667</v>
      </c>
      <c r="CS576" s="45" t="str">
        <v>Invest</v>
      </c>
      <c r="CT576" s="61"/>
      <c r="CU576" s="45">
        <v>572</v>
      </c>
      <c r="CV576" s="45">
        <v>44.274691394318424</v>
      </c>
      <c r="CW576" s="45" t="str">
        <v>Invest</v>
      </c>
      <c r="CX576" s="61"/>
      <c r="CY576" s="45">
        <v>572</v>
      </c>
      <c r="CZ576" s="45">
        <v>14.399788993533431</v>
      </c>
      <c r="DA576" s="45" t="str">
        <v>Invest</v>
      </c>
      <c r="DU576" s="52"/>
      <c r="DV576" s="50"/>
    </row>
    <row r="577" spans="86:126" ht="23.5">
      <c r="CH577" s="45">
        <v>573</v>
      </c>
      <c r="CI577" s="45">
        <v>8.4517129991186088</v>
      </c>
      <c r="CJ577" s="45" t="str">
        <v>Invest</v>
      </c>
      <c r="CM577" s="45">
        <v>573</v>
      </c>
      <c r="CN577" s="48">
        <v>0</v>
      </c>
      <c r="CO577" s="45" t="str">
        <v>Nothing</v>
      </c>
      <c r="CP577" s="61"/>
      <c r="CQ577" s="45">
        <v>573</v>
      </c>
      <c r="CR577" s="45">
        <v>0</v>
      </c>
      <c r="CS577" s="45" t="str">
        <v>Nothing</v>
      </c>
      <c r="CT577" s="61"/>
      <c r="CU577" s="45">
        <v>573</v>
      </c>
      <c r="CV577" s="45">
        <v>7.2722615449951462</v>
      </c>
      <c r="CW577" s="45" t="str">
        <v>Invest</v>
      </c>
      <c r="CX577" s="61"/>
      <c r="CY577" s="45">
        <v>573</v>
      </c>
      <c r="CZ577" s="45">
        <v>0</v>
      </c>
      <c r="DA577" s="45" t="str">
        <v>Nothing</v>
      </c>
      <c r="DU577" s="52"/>
      <c r="DV577" s="50"/>
    </row>
    <row r="578" spans="86:126" ht="23.5">
      <c r="CH578" s="45">
        <v>574</v>
      </c>
      <c r="CI578" s="45">
        <v>38.663965649010287</v>
      </c>
      <c r="CJ578" s="45" t="str">
        <v>Invest</v>
      </c>
      <c r="CM578" s="45">
        <v>574</v>
      </c>
      <c r="CN578" s="48">
        <v>0</v>
      </c>
      <c r="CO578" s="45" t="str">
        <v>Nothing</v>
      </c>
      <c r="CP578" s="61"/>
      <c r="CQ578" s="45">
        <v>574</v>
      </c>
      <c r="CR578" s="45">
        <v>9.1765706807732776</v>
      </c>
      <c r="CS578" s="45" t="str">
        <v>Invest</v>
      </c>
      <c r="CT578" s="61"/>
      <c r="CU578" s="45">
        <v>574</v>
      </c>
      <c r="CV578" s="45">
        <v>0</v>
      </c>
      <c r="CW578" s="45" t="str">
        <v>Nothing</v>
      </c>
      <c r="CX578" s="61"/>
      <c r="CY578" s="45">
        <v>574</v>
      </c>
      <c r="CZ578" s="45">
        <v>0</v>
      </c>
      <c r="DA578" s="45" t="str">
        <v>Nothing</v>
      </c>
      <c r="DU578" s="52"/>
      <c r="DV578" s="50"/>
    </row>
    <row r="579" spans="86:126" ht="23.5">
      <c r="CH579" s="45">
        <v>575</v>
      </c>
      <c r="CI579" s="45">
        <v>0</v>
      </c>
      <c r="CJ579" s="45" t="str">
        <v>Nothing</v>
      </c>
      <c r="CM579" s="45">
        <v>575</v>
      </c>
      <c r="CN579" s="48">
        <v>31.569537793125484</v>
      </c>
      <c r="CO579" s="45" t="str">
        <v>Invest</v>
      </c>
      <c r="CP579" s="61"/>
      <c r="CQ579" s="45">
        <v>575</v>
      </c>
      <c r="CR579" s="45">
        <v>33.87692903139552</v>
      </c>
      <c r="CS579" s="45" t="str">
        <v>Invest</v>
      </c>
      <c r="CT579" s="61"/>
      <c r="CU579" s="45">
        <v>575</v>
      </c>
      <c r="CV579" s="45">
        <v>0</v>
      </c>
      <c r="CW579" s="45" t="str">
        <v>Nothing</v>
      </c>
      <c r="CX579" s="61"/>
      <c r="CY579" s="45">
        <v>575</v>
      </c>
      <c r="CZ579" s="45">
        <v>1.9982680724758186</v>
      </c>
      <c r="DA579" s="45" t="str">
        <v>Invest</v>
      </c>
      <c r="DU579" s="52"/>
      <c r="DV579" s="50"/>
    </row>
    <row r="580" spans="86:126" ht="23.5">
      <c r="CH580" s="45">
        <v>576</v>
      </c>
      <c r="CI580" s="45">
        <v>27.949380150600348</v>
      </c>
      <c r="CJ580" s="45" t="str">
        <v>Invest</v>
      </c>
      <c r="CM580" s="45">
        <v>576</v>
      </c>
      <c r="CN580" s="48">
        <v>22.609511445628048</v>
      </c>
      <c r="CO580" s="45" t="str">
        <v>Invest</v>
      </c>
      <c r="CP580" s="61"/>
      <c r="CQ580" s="45">
        <v>576</v>
      </c>
      <c r="CR580" s="45">
        <v>60.883838405457219</v>
      </c>
      <c r="CS580" s="45" t="str">
        <v>Invest</v>
      </c>
      <c r="CT580" s="61"/>
      <c r="CU580" s="45">
        <v>576</v>
      </c>
      <c r="CV580" s="45">
        <v>13.177103811951277</v>
      </c>
      <c r="CW580" s="45" t="str">
        <v>Invest</v>
      </c>
      <c r="CX580" s="61"/>
      <c r="CY580" s="45">
        <v>576</v>
      </c>
      <c r="CZ580" s="45">
        <v>0</v>
      </c>
      <c r="DA580" s="45" t="str">
        <v>Nothing</v>
      </c>
      <c r="DU580" s="52"/>
      <c r="DV580" s="50"/>
    </row>
    <row r="581" spans="86:126" ht="23.5">
      <c r="CH581" s="45">
        <v>577</v>
      </c>
      <c r="CI581" s="45">
        <v>0</v>
      </c>
      <c r="CJ581" s="45" t="str">
        <v>Nothing</v>
      </c>
      <c r="CM581" s="45">
        <v>577</v>
      </c>
      <c r="CN581" s="48">
        <v>30.801400153861096</v>
      </c>
      <c r="CO581" s="45" t="str">
        <v>Invest</v>
      </c>
      <c r="CP581" s="61"/>
      <c r="CQ581" s="45">
        <v>577</v>
      </c>
      <c r="CR581" s="45">
        <v>7.6018493772993718</v>
      </c>
      <c r="CS581" s="45" t="str">
        <v>Invest</v>
      </c>
      <c r="CT581" s="61"/>
      <c r="CU581" s="45">
        <v>577</v>
      </c>
      <c r="CV581" s="45">
        <v>4.3520195196652285</v>
      </c>
      <c r="CW581" s="45" t="str">
        <v>Invest</v>
      </c>
      <c r="CX581" s="61"/>
      <c r="CY581" s="45">
        <v>577</v>
      </c>
      <c r="CZ581" s="45">
        <v>7.0715782404396306</v>
      </c>
      <c r="DA581" s="45" t="str">
        <v>Invest</v>
      </c>
      <c r="DU581" s="52"/>
      <c r="DV581" s="50"/>
    </row>
    <row r="582" spans="86:126" ht="23.5">
      <c r="CH582" s="45">
        <v>578</v>
      </c>
      <c r="CI582" s="45">
        <v>20.563357805127538</v>
      </c>
      <c r="CJ582" s="45" t="str">
        <v>Invest</v>
      </c>
      <c r="CM582" s="45">
        <v>578</v>
      </c>
      <c r="CN582" s="48">
        <v>0</v>
      </c>
      <c r="CO582" s="45" t="str">
        <v>Nothing</v>
      </c>
      <c r="CP582" s="61"/>
      <c r="CQ582" s="45">
        <v>578</v>
      </c>
      <c r="CR582" s="45">
        <v>35.325011453340366</v>
      </c>
      <c r="CS582" s="45" t="str">
        <v>Invest</v>
      </c>
      <c r="CT582" s="61"/>
      <c r="CU582" s="45">
        <v>578</v>
      </c>
      <c r="CV582" s="45">
        <v>7.8379013530041846</v>
      </c>
      <c r="CW582" s="45" t="str">
        <v>Invest</v>
      </c>
      <c r="CX582" s="61"/>
      <c r="CY582" s="45">
        <v>578</v>
      </c>
      <c r="CZ582" s="45">
        <v>0</v>
      </c>
      <c r="DA582" s="45" t="str">
        <v>Nothing</v>
      </c>
      <c r="DU582" s="52"/>
      <c r="DV582" s="50"/>
    </row>
    <row r="583" spans="86:126" ht="23.5">
      <c r="CH583" s="45">
        <v>579</v>
      </c>
      <c r="CI583" s="45">
        <v>21.874790838910883</v>
      </c>
      <c r="CJ583" s="45" t="str">
        <v>Invest</v>
      </c>
      <c r="CM583" s="45">
        <v>579</v>
      </c>
      <c r="CN583" s="48">
        <v>0</v>
      </c>
      <c r="CO583" s="45" t="str">
        <v>Nothing</v>
      </c>
      <c r="CP583" s="61"/>
      <c r="CQ583" s="45">
        <v>579</v>
      </c>
      <c r="CR583" s="45">
        <v>21.746559844085951</v>
      </c>
      <c r="CS583" s="45" t="str">
        <v>Invest</v>
      </c>
      <c r="CT583" s="61"/>
      <c r="CU583" s="45">
        <v>579</v>
      </c>
      <c r="CV583" s="45">
        <v>0</v>
      </c>
      <c r="CW583" s="45" t="str">
        <v>Nothing</v>
      </c>
      <c r="CX583" s="61"/>
      <c r="CY583" s="45">
        <v>579</v>
      </c>
      <c r="CZ583" s="45">
        <v>6.2200101245189661</v>
      </c>
      <c r="DA583" s="45" t="str">
        <v>Invest</v>
      </c>
      <c r="DU583" s="52"/>
      <c r="DV583" s="50"/>
    </row>
    <row r="584" spans="86:126" ht="23.5">
      <c r="CH584" s="45">
        <v>580</v>
      </c>
      <c r="CI584" s="45">
        <v>16.422978283143852</v>
      </c>
      <c r="CJ584" s="45" t="str">
        <v>Invest</v>
      </c>
      <c r="CM584" s="45">
        <v>580</v>
      </c>
      <c r="CN584" s="48">
        <v>0</v>
      </c>
      <c r="CO584" s="45" t="str">
        <v>Nothing</v>
      </c>
      <c r="CP584" s="61"/>
      <c r="CQ584" s="45">
        <v>580</v>
      </c>
      <c r="CR584" s="45">
        <v>0</v>
      </c>
      <c r="CS584" s="45" t="str">
        <v>Nothing</v>
      </c>
      <c r="CT584" s="61"/>
      <c r="CU584" s="45">
        <v>580</v>
      </c>
      <c r="CV584" s="45">
        <v>9.1336526147782244</v>
      </c>
      <c r="CW584" s="45" t="str">
        <v>Invest</v>
      </c>
      <c r="CX584" s="61"/>
      <c r="CY584" s="45">
        <v>580</v>
      </c>
      <c r="CZ584" s="45">
        <v>45.580284922967323</v>
      </c>
      <c r="DA584" s="45" t="str">
        <v>Invest</v>
      </c>
      <c r="DU584" s="52"/>
      <c r="DV584" s="50"/>
    </row>
    <row r="585" spans="86:126" ht="23.5">
      <c r="CH585" s="45">
        <v>581</v>
      </c>
      <c r="CI585" s="45">
        <v>25.91617704327853</v>
      </c>
      <c r="CJ585" s="45" t="str">
        <v>Invest</v>
      </c>
      <c r="CM585" s="45">
        <v>581</v>
      </c>
      <c r="CN585" s="48">
        <v>0</v>
      </c>
      <c r="CO585" s="45" t="str">
        <v>Nothing</v>
      </c>
      <c r="CP585" s="61"/>
      <c r="CQ585" s="45">
        <v>581</v>
      </c>
      <c r="CR585" s="45">
        <v>31.057780150497841</v>
      </c>
      <c r="CS585" s="45" t="str">
        <v>Invest</v>
      </c>
      <c r="CT585" s="61"/>
      <c r="CU585" s="45">
        <v>581</v>
      </c>
      <c r="CV585" s="45">
        <v>37.988008551284054</v>
      </c>
      <c r="CW585" s="45" t="str">
        <v>Invest</v>
      </c>
      <c r="CX585" s="61"/>
      <c r="CY585" s="45">
        <v>581</v>
      </c>
      <c r="CZ585" s="45">
        <v>0</v>
      </c>
      <c r="DA585" s="45" t="str">
        <v>Nothing</v>
      </c>
      <c r="DU585" s="52"/>
      <c r="DV585" s="50"/>
    </row>
    <row r="586" spans="86:126" ht="23.5">
      <c r="CH586" s="45">
        <v>582</v>
      </c>
      <c r="CI586" s="45">
        <v>0</v>
      </c>
      <c r="CJ586" s="45" t="str">
        <v>Nothing</v>
      </c>
      <c r="CM586" s="45">
        <v>582</v>
      </c>
      <c r="CN586" s="48">
        <v>11.100867268348829</v>
      </c>
      <c r="CO586" s="45" t="str">
        <v>Invest</v>
      </c>
      <c r="CP586" s="61"/>
      <c r="CQ586" s="45">
        <v>582</v>
      </c>
      <c r="CR586" s="45">
        <v>0</v>
      </c>
      <c r="CS586" s="45" t="str">
        <v>Nothing</v>
      </c>
      <c r="CT586" s="61"/>
      <c r="CU586" s="45">
        <v>582</v>
      </c>
      <c r="CV586" s="45">
        <v>0</v>
      </c>
      <c r="CW586" s="45" t="str">
        <v>Nothing</v>
      </c>
      <c r="CX586" s="61"/>
      <c r="CY586" s="45">
        <v>582</v>
      </c>
      <c r="CZ586" s="45">
        <v>24.319440634999584</v>
      </c>
      <c r="DA586" s="45" t="str">
        <v>Invest</v>
      </c>
      <c r="DU586" s="52"/>
      <c r="DV586" s="50"/>
    </row>
    <row r="587" spans="86:126" ht="23.5">
      <c r="CH587" s="45">
        <v>583</v>
      </c>
      <c r="CI587" s="45">
        <v>0</v>
      </c>
      <c r="CJ587" s="45" t="str">
        <v>Nothing</v>
      </c>
      <c r="CM587" s="45">
        <v>583</v>
      </c>
      <c r="CN587" s="48">
        <v>24.449761998775003</v>
      </c>
      <c r="CO587" s="45" t="str">
        <v>Invest</v>
      </c>
      <c r="CP587" s="61"/>
      <c r="CQ587" s="45">
        <v>583</v>
      </c>
      <c r="CR587" s="45">
        <v>19.904438458370983</v>
      </c>
      <c r="CS587" s="45" t="str">
        <v>Invest</v>
      </c>
      <c r="CT587" s="61"/>
      <c r="CU587" s="45">
        <v>583</v>
      </c>
      <c r="CV587" s="45">
        <v>24.193593908349566</v>
      </c>
      <c r="CW587" s="45" t="str">
        <v>Invest</v>
      </c>
      <c r="CX587" s="61"/>
      <c r="CY587" s="45">
        <v>583</v>
      </c>
      <c r="CZ587" s="45">
        <v>11.039113373185344</v>
      </c>
      <c r="DA587" s="45" t="str">
        <v>Invest</v>
      </c>
      <c r="DU587" s="52"/>
      <c r="DV587" s="50"/>
    </row>
    <row r="588" spans="86:126" ht="23.5">
      <c r="CH588" s="45">
        <v>584</v>
      </c>
      <c r="CI588" s="45">
        <v>0</v>
      </c>
      <c r="CJ588" s="45" t="str">
        <v>Nothing</v>
      </c>
      <c r="CM588" s="45">
        <v>584</v>
      </c>
      <c r="CN588" s="48">
        <v>43.531696737881447</v>
      </c>
      <c r="CO588" s="45" t="str">
        <v>Invest</v>
      </c>
      <c r="CP588" s="61"/>
      <c r="CQ588" s="45">
        <v>584</v>
      </c>
      <c r="CR588" s="45">
        <v>0</v>
      </c>
      <c r="CS588" s="45" t="str">
        <v>Nothing</v>
      </c>
      <c r="CT588" s="61"/>
      <c r="CU588" s="45">
        <v>584</v>
      </c>
      <c r="CV588" s="45">
        <v>11.727851637012744</v>
      </c>
      <c r="CW588" s="45" t="str">
        <v>Invest</v>
      </c>
      <c r="CX588" s="61"/>
      <c r="CY588" s="45">
        <v>584</v>
      </c>
      <c r="CZ588" s="45">
        <v>0</v>
      </c>
      <c r="DA588" s="45" t="str">
        <v>Nothing</v>
      </c>
      <c r="DU588" s="52"/>
      <c r="DV588" s="50"/>
    </row>
    <row r="589" spans="86:126" ht="23.5">
      <c r="CH589" s="45">
        <v>585</v>
      </c>
      <c r="CI589" s="45">
        <v>0</v>
      </c>
      <c r="CJ589" s="45" t="str">
        <v>Nothing</v>
      </c>
      <c r="CM589" s="45">
        <v>585</v>
      </c>
      <c r="CN589" s="48">
        <v>32.0866972039762</v>
      </c>
      <c r="CO589" s="45" t="str">
        <v>Invest</v>
      </c>
      <c r="CP589" s="61"/>
      <c r="CQ589" s="45">
        <v>585</v>
      </c>
      <c r="CR589" s="45">
        <v>0</v>
      </c>
      <c r="CS589" s="45" t="str">
        <v>Nothing</v>
      </c>
      <c r="CT589" s="61"/>
      <c r="CU589" s="45">
        <v>585</v>
      </c>
      <c r="CV589" s="45">
        <v>29.420878394403243</v>
      </c>
      <c r="CW589" s="45" t="str">
        <v>Invest</v>
      </c>
      <c r="CX589" s="61"/>
      <c r="CY589" s="45">
        <v>585</v>
      </c>
      <c r="CZ589" s="45">
        <v>26.752743757081557</v>
      </c>
      <c r="DA589" s="45" t="str">
        <v>Invest</v>
      </c>
      <c r="DU589" s="52"/>
      <c r="DV589" s="50"/>
    </row>
    <row r="590" spans="86:126" ht="23.5">
      <c r="CH590" s="45">
        <v>586</v>
      </c>
      <c r="CI590" s="45">
        <v>3.3454776245879589</v>
      </c>
      <c r="CJ590" s="45" t="str">
        <v>Invest</v>
      </c>
      <c r="CM590" s="45">
        <v>586</v>
      </c>
      <c r="CN590" s="48">
        <v>21.286037098125068</v>
      </c>
      <c r="CO590" s="45" t="str">
        <v>Invest</v>
      </c>
      <c r="CP590" s="61"/>
      <c r="CQ590" s="45">
        <v>586</v>
      </c>
      <c r="CR590" s="45">
        <v>0</v>
      </c>
      <c r="CS590" s="45" t="str">
        <v>Nothing</v>
      </c>
      <c r="CT590" s="61"/>
      <c r="CU590" s="45">
        <v>586</v>
      </c>
      <c r="CV590" s="45">
        <v>17.418126912028775</v>
      </c>
      <c r="CW590" s="45" t="str">
        <v>Invest</v>
      </c>
      <c r="CX590" s="61"/>
      <c r="CY590" s="45">
        <v>586</v>
      </c>
      <c r="CZ590" s="45">
        <v>6.640670158310181</v>
      </c>
      <c r="DA590" s="45" t="str">
        <v>Invest</v>
      </c>
      <c r="DU590" s="52"/>
      <c r="DV590" s="50"/>
    </row>
    <row r="591" spans="86:126" ht="23.5">
      <c r="CH591" s="45">
        <v>587</v>
      </c>
      <c r="CI591" s="45">
        <v>0</v>
      </c>
      <c r="CJ591" s="45" t="str">
        <v>Nothing</v>
      </c>
      <c r="CM591" s="45">
        <v>587</v>
      </c>
      <c r="CN591" s="48">
        <v>5.8825298012788849</v>
      </c>
      <c r="CO591" s="45" t="str">
        <v>Invest</v>
      </c>
      <c r="CP591" s="61"/>
      <c r="CQ591" s="45">
        <v>587</v>
      </c>
      <c r="CR591" s="45">
        <v>24.080017108374328</v>
      </c>
      <c r="CS591" s="45" t="str">
        <v>Invest</v>
      </c>
      <c r="CT591" s="61"/>
      <c r="CU591" s="45">
        <v>587</v>
      </c>
      <c r="CV591" s="45">
        <v>3.8399231070682909</v>
      </c>
      <c r="CW591" s="45" t="str">
        <v>Invest</v>
      </c>
      <c r="CX591" s="61"/>
      <c r="CY591" s="45">
        <v>587</v>
      </c>
      <c r="CZ591" s="45">
        <v>0</v>
      </c>
      <c r="DA591" s="45" t="str">
        <v>Nothing</v>
      </c>
      <c r="DU591" s="52"/>
      <c r="DV591" s="50"/>
    </row>
    <row r="592" spans="86:126" ht="23.5">
      <c r="CH592" s="45">
        <v>588</v>
      </c>
      <c r="CI592" s="45">
        <v>62.769926330650812</v>
      </c>
      <c r="CJ592" s="45" t="str">
        <v>Invest</v>
      </c>
      <c r="CM592" s="45">
        <v>588</v>
      </c>
      <c r="CN592" s="48">
        <v>15.182847608510498</v>
      </c>
      <c r="CO592" s="45" t="str">
        <v>Invest</v>
      </c>
      <c r="CP592" s="61"/>
      <c r="CQ592" s="45">
        <v>588</v>
      </c>
      <c r="CR592" s="45">
        <v>43.098567017109865</v>
      </c>
      <c r="CS592" s="45" t="str">
        <v>Invest</v>
      </c>
      <c r="CT592" s="61"/>
      <c r="CU592" s="45">
        <v>588</v>
      </c>
      <c r="CV592" s="45">
        <v>2.0855836709729392</v>
      </c>
      <c r="CW592" s="45" t="str">
        <v>Invest</v>
      </c>
      <c r="CX592" s="61"/>
      <c r="CY592" s="45">
        <v>588</v>
      </c>
      <c r="CZ592" s="45">
        <v>0</v>
      </c>
      <c r="DA592" s="45" t="str">
        <v>Nothing</v>
      </c>
      <c r="DU592" s="52"/>
      <c r="DV592" s="50"/>
    </row>
    <row r="593" spans="86:126" ht="23.5">
      <c r="CH593" s="45">
        <v>589</v>
      </c>
      <c r="CI593" s="45">
        <v>3.5026034137663764</v>
      </c>
      <c r="CJ593" s="45" t="str">
        <v>Invest</v>
      </c>
      <c r="CM593" s="45">
        <v>589</v>
      </c>
      <c r="CN593" s="48">
        <v>27.380678277002858</v>
      </c>
      <c r="CO593" s="45" t="str">
        <v>Invest</v>
      </c>
      <c r="CP593" s="61"/>
      <c r="CQ593" s="45">
        <v>589</v>
      </c>
      <c r="CR593" s="45">
        <v>25.802849121602552</v>
      </c>
      <c r="CS593" s="45" t="str">
        <v>Invest</v>
      </c>
      <c r="CT593" s="61"/>
      <c r="CU593" s="45">
        <v>589</v>
      </c>
      <c r="CV593" s="45">
        <v>17.840841013104523</v>
      </c>
      <c r="CW593" s="45" t="str">
        <v>Invest</v>
      </c>
      <c r="CX593" s="61"/>
      <c r="CY593" s="45">
        <v>589</v>
      </c>
      <c r="CZ593" s="45">
        <v>0</v>
      </c>
      <c r="DA593" s="45" t="str">
        <v>Nothing</v>
      </c>
      <c r="DU593" s="52"/>
      <c r="DV593" s="50"/>
    </row>
    <row r="594" spans="86:126" ht="23.5">
      <c r="CH594" s="45">
        <v>590</v>
      </c>
      <c r="CI594" s="45">
        <v>17.039032018661757</v>
      </c>
      <c r="CJ594" s="45" t="str">
        <v>Invest</v>
      </c>
      <c r="CM594" s="45">
        <v>590</v>
      </c>
      <c r="CN594" s="48">
        <v>0</v>
      </c>
      <c r="CO594" s="45" t="str">
        <v>Nothing</v>
      </c>
      <c r="CP594" s="61"/>
      <c r="CQ594" s="45">
        <v>590</v>
      </c>
      <c r="CR594" s="45">
        <v>0</v>
      </c>
      <c r="CS594" s="45" t="str">
        <v>Nothing</v>
      </c>
      <c r="CT594" s="61"/>
      <c r="CU594" s="45">
        <v>590</v>
      </c>
      <c r="CV594" s="45">
        <v>0</v>
      </c>
      <c r="CW594" s="45" t="str">
        <v>Nothing</v>
      </c>
      <c r="CX594" s="61"/>
      <c r="CY594" s="45">
        <v>590</v>
      </c>
      <c r="CZ594" s="45">
        <v>14.604371667321283</v>
      </c>
      <c r="DA594" s="45" t="str">
        <v>Invest</v>
      </c>
      <c r="DU594" s="52"/>
      <c r="DV594" s="50"/>
    </row>
    <row r="595" spans="86:126" ht="23.5">
      <c r="CH595" s="45">
        <v>591</v>
      </c>
      <c r="CI595" s="45">
        <v>0</v>
      </c>
      <c r="CJ595" s="45" t="str">
        <v>Nothing</v>
      </c>
      <c r="CM595" s="45">
        <v>591</v>
      </c>
      <c r="CN595" s="48">
        <v>1.6495602123741175</v>
      </c>
      <c r="CO595" s="45" t="str">
        <v>Invest</v>
      </c>
      <c r="CP595" s="61"/>
      <c r="CQ595" s="45">
        <v>591</v>
      </c>
      <c r="CR595" s="45">
        <v>15.99890903817329</v>
      </c>
      <c r="CS595" s="45" t="str">
        <v>Invest</v>
      </c>
      <c r="CT595" s="61"/>
      <c r="CU595" s="45">
        <v>591</v>
      </c>
      <c r="CV595" s="45">
        <v>32.788099607690064</v>
      </c>
      <c r="CW595" s="45" t="str">
        <v>Invest</v>
      </c>
      <c r="CX595" s="61"/>
      <c r="CY595" s="45">
        <v>591</v>
      </c>
      <c r="CZ595" s="45">
        <v>0</v>
      </c>
      <c r="DA595" s="45" t="str">
        <v>Nothing</v>
      </c>
      <c r="DU595" s="52"/>
      <c r="DV595" s="50"/>
    </row>
    <row r="596" spans="86:126" ht="23.5">
      <c r="CH596" s="45">
        <v>592</v>
      </c>
      <c r="CI596" s="45">
        <v>6.5687645616273223</v>
      </c>
      <c r="CJ596" s="45" t="str">
        <v>Invest</v>
      </c>
      <c r="CM596" s="45">
        <v>592</v>
      </c>
      <c r="CN596" s="48">
        <v>0</v>
      </c>
      <c r="CO596" s="45" t="str">
        <v>Nothing</v>
      </c>
      <c r="CP596" s="61"/>
      <c r="CQ596" s="45">
        <v>592</v>
      </c>
      <c r="CR596" s="45">
        <v>10.248442676183515</v>
      </c>
      <c r="CS596" s="45" t="str">
        <v>Invest</v>
      </c>
      <c r="CT596" s="61"/>
      <c r="CU596" s="45">
        <v>592</v>
      </c>
      <c r="CV596" s="45">
        <v>39.18345394363746</v>
      </c>
      <c r="CW596" s="45" t="str">
        <v>Invest</v>
      </c>
      <c r="CX596" s="61"/>
      <c r="CY596" s="45">
        <v>592</v>
      </c>
      <c r="CZ596" s="45">
        <v>0</v>
      </c>
      <c r="DA596" s="45" t="str">
        <v>Nothing</v>
      </c>
      <c r="DU596" s="52"/>
      <c r="DV596" s="50"/>
    </row>
    <row r="597" spans="86:126" ht="23.5">
      <c r="CH597" s="45">
        <v>593</v>
      </c>
      <c r="CI597" s="45">
        <v>5.9164923034227943</v>
      </c>
      <c r="CJ597" s="45" t="str">
        <v>Invest</v>
      </c>
      <c r="CM597" s="45">
        <v>593</v>
      </c>
      <c r="CN597" s="48">
        <v>0</v>
      </c>
      <c r="CO597" s="45" t="str">
        <v>Nothing</v>
      </c>
      <c r="CP597" s="61"/>
      <c r="CQ597" s="45">
        <v>593</v>
      </c>
      <c r="CR597" s="45">
        <v>0</v>
      </c>
      <c r="CS597" s="45" t="str">
        <v>Nothing</v>
      </c>
      <c r="CT597" s="61"/>
      <c r="CU597" s="45">
        <v>593</v>
      </c>
      <c r="CV597" s="45">
        <v>22.683448437402891</v>
      </c>
      <c r="CW597" s="45" t="str">
        <v>Invest</v>
      </c>
      <c r="CX597" s="61"/>
      <c r="CY597" s="45">
        <v>593</v>
      </c>
      <c r="CZ597" s="45">
        <v>50.218575526866019</v>
      </c>
      <c r="DA597" s="45" t="str">
        <v>Invest</v>
      </c>
      <c r="DU597" s="52"/>
      <c r="DV597" s="50"/>
    </row>
    <row r="598" spans="86:126" ht="23.5">
      <c r="CH598" s="45">
        <v>594</v>
      </c>
      <c r="CI598" s="45">
        <v>1.7028157169405276</v>
      </c>
      <c r="CJ598" s="45" t="str">
        <v>Invest</v>
      </c>
      <c r="CM598" s="45">
        <v>594</v>
      </c>
      <c r="CN598" s="48">
        <v>0</v>
      </c>
      <c r="CO598" s="45" t="str">
        <v>Nothing</v>
      </c>
      <c r="CP598" s="61"/>
      <c r="CQ598" s="45">
        <v>594</v>
      </c>
      <c r="CR598" s="45">
        <v>0</v>
      </c>
      <c r="CS598" s="45" t="str">
        <v>Nothing</v>
      </c>
      <c r="CT598" s="61"/>
      <c r="CU598" s="45">
        <v>594</v>
      </c>
      <c r="CV598" s="45">
        <v>0</v>
      </c>
      <c r="CW598" s="45" t="str">
        <v>Nothing</v>
      </c>
      <c r="CX598" s="61"/>
      <c r="CY598" s="45">
        <v>594</v>
      </c>
      <c r="CZ598" s="45">
        <v>0</v>
      </c>
      <c r="DA598" s="45" t="str">
        <v>Nothing</v>
      </c>
      <c r="DU598" s="52"/>
      <c r="DV598" s="50"/>
    </row>
    <row r="599" spans="86:126" ht="23.5">
      <c r="CH599" s="45">
        <v>595</v>
      </c>
      <c r="CI599" s="45">
        <v>20.258297999920828</v>
      </c>
      <c r="CJ599" s="45" t="str">
        <v>Invest</v>
      </c>
      <c r="CM599" s="45">
        <v>595</v>
      </c>
      <c r="CN599" s="48">
        <v>40.618035615929919</v>
      </c>
      <c r="CO599" s="45" t="str">
        <v>Invest</v>
      </c>
      <c r="CP599" s="61"/>
      <c r="CQ599" s="45">
        <v>595</v>
      </c>
      <c r="CR599" s="45">
        <v>0</v>
      </c>
      <c r="CS599" s="45" t="str">
        <v>Nothing</v>
      </c>
      <c r="CT599" s="61"/>
      <c r="CU599" s="45">
        <v>595</v>
      </c>
      <c r="CV599" s="45">
        <v>10.74514872536737</v>
      </c>
      <c r="CW599" s="45" t="str">
        <v>Invest</v>
      </c>
      <c r="CX599" s="61"/>
      <c r="CY599" s="45">
        <v>595</v>
      </c>
      <c r="CZ599" s="45">
        <v>24.411169146118574</v>
      </c>
      <c r="DA599" s="45" t="str">
        <v>Invest</v>
      </c>
      <c r="DU599" s="52"/>
      <c r="DV599" s="50"/>
    </row>
    <row r="600" spans="86:126" ht="23.5">
      <c r="CH600" s="45">
        <v>596</v>
      </c>
      <c r="CI600" s="45">
        <v>3.5003187828132543</v>
      </c>
      <c r="CJ600" s="45" t="str">
        <v>Invest</v>
      </c>
      <c r="CM600" s="45">
        <v>596</v>
      </c>
      <c r="CN600" s="48">
        <v>8.3016768530266951</v>
      </c>
      <c r="CO600" s="45" t="str">
        <v>Invest</v>
      </c>
      <c r="CP600" s="61"/>
      <c r="CQ600" s="45">
        <v>596</v>
      </c>
      <c r="CR600" s="45">
        <v>11.883957481045101</v>
      </c>
      <c r="CS600" s="45" t="str">
        <v>Invest</v>
      </c>
      <c r="CT600" s="61"/>
      <c r="CU600" s="45">
        <v>596</v>
      </c>
      <c r="CV600" s="45">
        <v>22.958851133460882</v>
      </c>
      <c r="CW600" s="45" t="str">
        <v>Invest</v>
      </c>
      <c r="CX600" s="61"/>
      <c r="CY600" s="45">
        <v>596</v>
      </c>
      <c r="CZ600" s="45">
        <v>0</v>
      </c>
      <c r="DA600" s="45" t="str">
        <v>Nothing</v>
      </c>
      <c r="DU600" s="52"/>
      <c r="DV600" s="50"/>
    </row>
    <row r="601" spans="86:126" ht="23.5">
      <c r="CH601" s="45">
        <v>597</v>
      </c>
      <c r="CI601" s="45">
        <v>0</v>
      </c>
      <c r="CJ601" s="45" t="str">
        <v>Nothing</v>
      </c>
      <c r="CM601" s="45">
        <v>597</v>
      </c>
      <c r="CN601" s="48">
        <v>13.744877966765614</v>
      </c>
      <c r="CO601" s="45" t="str">
        <v>Invest</v>
      </c>
      <c r="CP601" s="61"/>
      <c r="CQ601" s="45">
        <v>597</v>
      </c>
      <c r="CR601" s="45">
        <v>29.287630615768009</v>
      </c>
      <c r="CS601" s="45" t="str">
        <v>Invest</v>
      </c>
      <c r="CT601" s="61"/>
      <c r="CU601" s="45">
        <v>597</v>
      </c>
      <c r="CV601" s="45">
        <v>0</v>
      </c>
      <c r="CW601" s="45" t="str">
        <v>Nothing</v>
      </c>
      <c r="CX601" s="61"/>
      <c r="CY601" s="45">
        <v>597</v>
      </c>
      <c r="CZ601" s="45">
        <v>17.657666707602306</v>
      </c>
      <c r="DA601" s="45" t="str">
        <v>Invest</v>
      </c>
      <c r="DU601" s="52"/>
      <c r="DV601" s="50"/>
    </row>
    <row r="602" spans="86:126" ht="23.5">
      <c r="CH602" s="45">
        <v>598</v>
      </c>
      <c r="CI602" s="45">
        <v>12.472382116061667</v>
      </c>
      <c r="CJ602" s="45" t="str">
        <v>Invest</v>
      </c>
      <c r="CM602" s="45">
        <v>598</v>
      </c>
      <c r="CN602" s="48">
        <v>1.4776162349210615</v>
      </c>
      <c r="CO602" s="45" t="str">
        <v>Invest</v>
      </c>
      <c r="CP602" s="61"/>
      <c r="CQ602" s="45">
        <v>598</v>
      </c>
      <c r="CR602" s="45">
        <v>57.942335388948031</v>
      </c>
      <c r="CS602" s="45" t="str">
        <v>Invest</v>
      </c>
      <c r="CT602" s="61"/>
      <c r="CU602" s="45">
        <v>598</v>
      </c>
      <c r="CV602" s="45">
        <v>31.275980242393402</v>
      </c>
      <c r="CW602" s="45" t="str">
        <v>Invest</v>
      </c>
      <c r="CX602" s="61"/>
      <c r="CY602" s="45">
        <v>598</v>
      </c>
      <c r="CZ602" s="45">
        <v>10.946995453439929</v>
      </c>
      <c r="DA602" s="45" t="str">
        <v>Invest</v>
      </c>
      <c r="DU602" s="52"/>
      <c r="DV602" s="50"/>
    </row>
    <row r="603" spans="86:126" ht="23.5">
      <c r="CH603" s="45">
        <v>599</v>
      </c>
      <c r="CI603" s="45">
        <v>11.683712459587722</v>
      </c>
      <c r="CJ603" s="45" t="str">
        <v>Invest</v>
      </c>
      <c r="CM603" s="45">
        <v>599</v>
      </c>
      <c r="CN603" s="48">
        <v>18.510626875931518</v>
      </c>
      <c r="CO603" s="45" t="str">
        <v>Invest</v>
      </c>
      <c r="CP603" s="61"/>
      <c r="CQ603" s="45">
        <v>599</v>
      </c>
      <c r="CR603" s="45">
        <v>0</v>
      </c>
      <c r="CS603" s="45" t="str">
        <v>Nothing</v>
      </c>
      <c r="CT603" s="61"/>
      <c r="CU603" s="45">
        <v>599</v>
      </c>
      <c r="CV603" s="45">
        <v>9.9544559302509725</v>
      </c>
      <c r="CW603" s="45" t="str">
        <v>Invest</v>
      </c>
      <c r="CX603" s="61"/>
      <c r="CY603" s="45">
        <v>599</v>
      </c>
      <c r="CZ603" s="45">
        <v>0</v>
      </c>
      <c r="DA603" s="45" t="str">
        <v>Nothing</v>
      </c>
      <c r="DU603" s="52"/>
      <c r="DV603" s="50"/>
    </row>
    <row r="604" spans="86:126" ht="23.5">
      <c r="CH604" s="45">
        <v>600</v>
      </c>
      <c r="CI604" s="45">
        <v>0</v>
      </c>
      <c r="CJ604" s="45" t="str">
        <v>Nothing</v>
      </c>
      <c r="CM604" s="45">
        <v>600</v>
      </c>
      <c r="CN604" s="48">
        <v>32.880973919559239</v>
      </c>
      <c r="CO604" s="45" t="str">
        <v>Invest</v>
      </c>
      <c r="CP604" s="61"/>
      <c r="CQ604" s="45">
        <v>600</v>
      </c>
      <c r="CR604" s="45">
        <v>1.4364863026997909</v>
      </c>
      <c r="CS604" s="45" t="str">
        <v>Invest</v>
      </c>
      <c r="CT604" s="61"/>
      <c r="CU604" s="45">
        <v>600</v>
      </c>
      <c r="CV604" s="45">
        <v>1.0970679143530226E-2</v>
      </c>
      <c r="CW604" s="45" t="str">
        <v>Invest</v>
      </c>
      <c r="CX604" s="61"/>
      <c r="CY604" s="45">
        <v>600</v>
      </c>
      <c r="CZ604" s="45">
        <v>0</v>
      </c>
      <c r="DA604" s="45" t="str">
        <v>Nothing</v>
      </c>
      <c r="DU604" s="52"/>
      <c r="DV604" s="50"/>
    </row>
    <row r="605" spans="86:126" ht="23.5">
      <c r="CH605" s="45">
        <v>601</v>
      </c>
      <c r="CI605" s="45">
        <v>5.0866880022673016</v>
      </c>
      <c r="CJ605" s="45" t="str">
        <v>Invest</v>
      </c>
      <c r="CM605" s="45">
        <v>601</v>
      </c>
      <c r="CN605" s="48">
        <v>15.340012228458503</v>
      </c>
      <c r="CO605" s="45" t="str">
        <v>Invest</v>
      </c>
      <c r="CP605" s="61"/>
      <c r="CQ605" s="45">
        <v>601</v>
      </c>
      <c r="CR605" s="45">
        <v>27.946535889633356</v>
      </c>
      <c r="CS605" s="45" t="str">
        <v>Invest</v>
      </c>
      <c r="CT605" s="61"/>
      <c r="CU605" s="45">
        <v>601</v>
      </c>
      <c r="CV605" s="45">
        <v>28.162216580114798</v>
      </c>
      <c r="CW605" s="45" t="str">
        <v>Invest</v>
      </c>
      <c r="CX605" s="61"/>
      <c r="CY605" s="45">
        <v>601</v>
      </c>
      <c r="CZ605" s="45">
        <v>0</v>
      </c>
      <c r="DA605" s="45" t="str">
        <v>Nothing</v>
      </c>
      <c r="DU605" s="52"/>
      <c r="DV605" s="50"/>
    </row>
    <row r="606" spans="86:126" ht="23.5">
      <c r="CH606" s="45">
        <v>602</v>
      </c>
      <c r="CI606" s="45">
        <v>0</v>
      </c>
      <c r="CJ606" s="45" t="str">
        <v>Nothing</v>
      </c>
      <c r="CM606" s="45">
        <v>602</v>
      </c>
      <c r="CN606" s="48">
        <v>30.774672141103579</v>
      </c>
      <c r="CO606" s="45" t="str">
        <v>Invest</v>
      </c>
      <c r="CP606" s="61"/>
      <c r="CQ606" s="45">
        <v>602</v>
      </c>
      <c r="CR606" s="45">
        <v>3.5183547696444837</v>
      </c>
      <c r="CS606" s="45" t="str">
        <v>Invest</v>
      </c>
      <c r="CT606" s="61"/>
      <c r="CU606" s="45">
        <v>602</v>
      </c>
      <c r="CV606" s="45">
        <v>43.337396107003791</v>
      </c>
      <c r="CW606" s="45" t="str">
        <v>Invest</v>
      </c>
      <c r="CX606" s="61"/>
      <c r="CY606" s="45">
        <v>602</v>
      </c>
      <c r="CZ606" s="45">
        <v>9.451183934992013</v>
      </c>
      <c r="DA606" s="45" t="str">
        <v>Invest</v>
      </c>
      <c r="DU606" s="52"/>
      <c r="DV606" s="50"/>
    </row>
    <row r="607" spans="86:126" ht="23.5">
      <c r="CH607" s="45">
        <v>603</v>
      </c>
      <c r="CI607" s="45">
        <v>0</v>
      </c>
      <c r="CJ607" s="45" t="str">
        <v>Nothing</v>
      </c>
      <c r="CM607" s="45">
        <v>603</v>
      </c>
      <c r="CN607" s="48">
        <v>35.042432209064231</v>
      </c>
      <c r="CO607" s="45" t="str">
        <v>Invest</v>
      </c>
      <c r="CP607" s="61"/>
      <c r="CQ607" s="45">
        <v>603</v>
      </c>
      <c r="CR607" s="45">
        <v>15.601136224882415</v>
      </c>
      <c r="CS607" s="45" t="str">
        <v>Invest</v>
      </c>
      <c r="CT607" s="61"/>
      <c r="CU607" s="45">
        <v>603</v>
      </c>
      <c r="CV607" s="45">
        <v>16.911026160076297</v>
      </c>
      <c r="CW607" s="45" t="str">
        <v>Invest</v>
      </c>
      <c r="CX607" s="61"/>
      <c r="CY607" s="45">
        <v>603</v>
      </c>
      <c r="CZ607" s="45">
        <v>9.719427369176584</v>
      </c>
      <c r="DA607" s="45" t="str">
        <v>Invest</v>
      </c>
      <c r="DU607" s="52"/>
      <c r="DV607" s="50"/>
    </row>
    <row r="608" spans="86:126" ht="23.5">
      <c r="CH608" s="45">
        <v>604</v>
      </c>
      <c r="CI608" s="45">
        <v>14.686211156539663</v>
      </c>
      <c r="CJ608" s="45" t="str">
        <v>Invest</v>
      </c>
      <c r="CM608" s="45">
        <v>604</v>
      </c>
      <c r="CN608" s="48">
        <v>21.314523653431237</v>
      </c>
      <c r="CO608" s="45" t="str">
        <v>Invest</v>
      </c>
      <c r="CP608" s="61"/>
      <c r="CQ608" s="45">
        <v>604</v>
      </c>
      <c r="CR608" s="45">
        <v>6.213846093159435</v>
      </c>
      <c r="CS608" s="45" t="str">
        <v>Invest</v>
      </c>
      <c r="CT608" s="61"/>
      <c r="CU608" s="45">
        <v>604</v>
      </c>
      <c r="CV608" s="45">
        <v>0</v>
      </c>
      <c r="CW608" s="45" t="str">
        <v>Nothing</v>
      </c>
      <c r="CX608" s="61"/>
      <c r="CY608" s="45">
        <v>604</v>
      </c>
      <c r="CZ608" s="45">
        <v>4.7208413563603191</v>
      </c>
      <c r="DA608" s="45" t="str">
        <v>Invest</v>
      </c>
      <c r="DU608" s="52"/>
      <c r="DV608" s="50"/>
    </row>
    <row r="609" spans="86:126" ht="23.5">
      <c r="CH609" s="45">
        <v>605</v>
      </c>
      <c r="CI609" s="45">
        <v>15.760772558430929</v>
      </c>
      <c r="CJ609" s="45" t="str">
        <v>Invest</v>
      </c>
      <c r="CM609" s="45">
        <v>605</v>
      </c>
      <c r="CN609" s="48">
        <v>41.922347616238341</v>
      </c>
      <c r="CO609" s="45" t="str">
        <v>Invest</v>
      </c>
      <c r="CP609" s="61"/>
      <c r="CQ609" s="45">
        <v>605</v>
      </c>
      <c r="CR609" s="45">
        <v>19.054487379531416</v>
      </c>
      <c r="CS609" s="45" t="str">
        <v>Invest</v>
      </c>
      <c r="CT609" s="61"/>
      <c r="CU609" s="45">
        <v>605</v>
      </c>
      <c r="CV609" s="45">
        <v>0</v>
      </c>
      <c r="CW609" s="45" t="str">
        <v>Nothing</v>
      </c>
      <c r="CX609" s="61"/>
      <c r="CY609" s="45">
        <v>605</v>
      </c>
      <c r="CZ609" s="45">
        <v>0.61658929216982017</v>
      </c>
      <c r="DA609" s="45" t="str">
        <v>Invest</v>
      </c>
      <c r="DU609" s="52"/>
      <c r="DV609" s="50"/>
    </row>
    <row r="610" spans="86:126" ht="23.5">
      <c r="CH610" s="45">
        <v>606</v>
      </c>
      <c r="CI610" s="45">
        <v>7.6774298827319072</v>
      </c>
      <c r="CJ610" s="45" t="str">
        <v>Invest</v>
      </c>
      <c r="CM610" s="45">
        <v>606</v>
      </c>
      <c r="CN610" s="48">
        <v>8.8914651299279832</v>
      </c>
      <c r="CO610" s="45" t="str">
        <v>Invest</v>
      </c>
      <c r="CP610" s="61"/>
      <c r="CQ610" s="45">
        <v>606</v>
      </c>
      <c r="CR610" s="45">
        <v>25.560625655761442</v>
      </c>
      <c r="CS610" s="45" t="str">
        <v>Invest</v>
      </c>
      <c r="CT610" s="61"/>
      <c r="CU610" s="45">
        <v>606</v>
      </c>
      <c r="CV610" s="45">
        <v>26.857911149209407</v>
      </c>
      <c r="CW610" s="45" t="str">
        <v>Invest</v>
      </c>
      <c r="CX610" s="61"/>
      <c r="CY610" s="45">
        <v>606</v>
      </c>
      <c r="CZ610" s="45">
        <v>0</v>
      </c>
      <c r="DA610" s="45" t="str">
        <v>Nothing</v>
      </c>
      <c r="DU610" s="52"/>
      <c r="DV610" s="50"/>
    </row>
    <row r="611" spans="86:126" ht="23.5">
      <c r="CH611" s="45">
        <v>607</v>
      </c>
      <c r="CI611" s="45">
        <v>5.8117484564690374</v>
      </c>
      <c r="CJ611" s="45" t="str">
        <v>Invest</v>
      </c>
      <c r="CM611" s="45">
        <v>607</v>
      </c>
      <c r="CN611" s="48">
        <v>29.002861892279434</v>
      </c>
      <c r="CO611" s="45" t="str">
        <v>Invest</v>
      </c>
      <c r="CP611" s="61"/>
      <c r="CQ611" s="45">
        <v>607</v>
      </c>
      <c r="CR611" s="45">
        <v>22.014652972715243</v>
      </c>
      <c r="CS611" s="45" t="str">
        <v>Invest</v>
      </c>
      <c r="CT611" s="61"/>
      <c r="CU611" s="45">
        <v>607</v>
      </c>
      <c r="CV611" s="45">
        <v>5.3651083356353517</v>
      </c>
      <c r="CW611" s="45" t="str">
        <v>Invest</v>
      </c>
      <c r="CX611" s="61"/>
      <c r="CY611" s="45">
        <v>607</v>
      </c>
      <c r="CZ611" s="45">
        <v>16.403610370634215</v>
      </c>
      <c r="DA611" s="45" t="str">
        <v>Invest</v>
      </c>
      <c r="DU611" s="52"/>
      <c r="DV611" s="50"/>
    </row>
    <row r="612" spans="86:126" ht="23.5">
      <c r="CH612" s="45">
        <v>608</v>
      </c>
      <c r="CI612" s="45">
        <v>0</v>
      </c>
      <c r="CJ612" s="45" t="str">
        <v>Nothing</v>
      </c>
      <c r="CM612" s="45">
        <v>608</v>
      </c>
      <c r="CN612" s="48">
        <v>0</v>
      </c>
      <c r="CO612" s="45" t="str">
        <v>Nothing</v>
      </c>
      <c r="CP612" s="61"/>
      <c r="CQ612" s="45">
        <v>608</v>
      </c>
      <c r="CR612" s="45">
        <v>0</v>
      </c>
      <c r="CS612" s="45" t="str">
        <v>Nothing</v>
      </c>
      <c r="CT612" s="61"/>
      <c r="CU612" s="45">
        <v>608</v>
      </c>
      <c r="CV612" s="45">
        <v>10.969735086989578</v>
      </c>
      <c r="CW612" s="45" t="str">
        <v>Invest</v>
      </c>
      <c r="CX612" s="61"/>
      <c r="CY612" s="45">
        <v>608</v>
      </c>
      <c r="CZ612" s="45">
        <v>0</v>
      </c>
      <c r="DA612" s="45" t="str">
        <v>Nothing</v>
      </c>
      <c r="DU612" s="52"/>
      <c r="DV612" s="50"/>
    </row>
    <row r="613" spans="86:126" ht="23.5">
      <c r="CH613" s="45">
        <v>609</v>
      </c>
      <c r="CI613" s="45">
        <v>9.7762387674743429</v>
      </c>
      <c r="CJ613" s="45" t="str">
        <v>Invest</v>
      </c>
      <c r="CM613" s="45">
        <v>609</v>
      </c>
      <c r="CN613" s="48">
        <v>17.611391353097904</v>
      </c>
      <c r="CO613" s="45" t="str">
        <v>Invest</v>
      </c>
      <c r="CP613" s="61"/>
      <c r="CQ613" s="45">
        <v>609</v>
      </c>
      <c r="CR613" s="45">
        <v>3.7343529475569355</v>
      </c>
      <c r="CS613" s="45" t="str">
        <v>Invest</v>
      </c>
      <c r="CT613" s="61"/>
      <c r="CU613" s="45">
        <v>609</v>
      </c>
      <c r="CV613" s="45">
        <v>0</v>
      </c>
      <c r="CW613" s="45" t="str">
        <v>Nothing</v>
      </c>
      <c r="CX613" s="61"/>
      <c r="CY613" s="45">
        <v>609</v>
      </c>
      <c r="CZ613" s="45">
        <v>9.1809474138439473</v>
      </c>
      <c r="DA613" s="45" t="str">
        <v>Invest</v>
      </c>
      <c r="DU613" s="52"/>
      <c r="DV613" s="50"/>
    </row>
    <row r="614" spans="86:126" ht="23.5">
      <c r="CH614" s="45">
        <v>610</v>
      </c>
      <c r="CI614" s="45">
        <v>20.700199251257644</v>
      </c>
      <c r="CJ614" s="45" t="str">
        <v>Invest</v>
      </c>
      <c r="CM614" s="45">
        <v>610</v>
      </c>
      <c r="CN614" s="48">
        <v>19.43217549481842</v>
      </c>
      <c r="CO614" s="45" t="str">
        <v>Invest</v>
      </c>
      <c r="CP614" s="61"/>
      <c r="CQ614" s="45">
        <v>610</v>
      </c>
      <c r="CR614" s="45">
        <v>26.778129547681974</v>
      </c>
      <c r="CS614" s="45" t="str">
        <v>Invest</v>
      </c>
      <c r="CT614" s="61"/>
      <c r="CU614" s="45">
        <v>610</v>
      </c>
      <c r="CV614" s="45">
        <v>0</v>
      </c>
      <c r="CW614" s="45" t="str">
        <v>Nothing</v>
      </c>
      <c r="CX614" s="61"/>
      <c r="CY614" s="45">
        <v>610</v>
      </c>
      <c r="CZ614" s="45">
        <v>38.05462277837924</v>
      </c>
      <c r="DA614" s="45" t="str">
        <v>Invest</v>
      </c>
      <c r="DU614" s="52"/>
      <c r="DV614" s="50"/>
    </row>
    <row r="615" spans="86:126" ht="23.5">
      <c r="CH615" s="45">
        <v>611</v>
      </c>
      <c r="CI615" s="45">
        <v>34.359484414467111</v>
      </c>
      <c r="CJ615" s="45" t="str">
        <v>Invest</v>
      </c>
      <c r="CM615" s="45">
        <v>611</v>
      </c>
      <c r="CN615" s="48">
        <v>37.141380071572897</v>
      </c>
      <c r="CO615" s="45" t="str">
        <v>Invest</v>
      </c>
      <c r="CP615" s="61"/>
      <c r="CQ615" s="45">
        <v>611</v>
      </c>
      <c r="CR615" s="45">
        <v>14.723035041506655</v>
      </c>
      <c r="CS615" s="45" t="str">
        <v>Invest</v>
      </c>
      <c r="CT615" s="61"/>
      <c r="CU615" s="45">
        <v>611</v>
      </c>
      <c r="CV615" s="45">
        <v>0</v>
      </c>
      <c r="CW615" s="45" t="str">
        <v>Nothing</v>
      </c>
      <c r="CX615" s="61"/>
      <c r="CY615" s="45">
        <v>611</v>
      </c>
      <c r="CZ615" s="45">
        <v>0.63632190758963958</v>
      </c>
      <c r="DA615" s="45" t="str">
        <v>Invest</v>
      </c>
      <c r="DU615" s="52"/>
      <c r="DV615" s="50"/>
    </row>
    <row r="616" spans="86:126" ht="23.5">
      <c r="CH616" s="45">
        <v>612</v>
      </c>
      <c r="CI616" s="45">
        <v>4.1862148246220343</v>
      </c>
      <c r="CJ616" s="45" t="str">
        <v>Invest</v>
      </c>
      <c r="CM616" s="45">
        <v>612</v>
      </c>
      <c r="CN616" s="48">
        <v>17.896181022377508</v>
      </c>
      <c r="CO616" s="45" t="str">
        <v>Invest</v>
      </c>
      <c r="CP616" s="61"/>
      <c r="CQ616" s="45">
        <v>612</v>
      </c>
      <c r="CR616" s="45">
        <v>26.597083619236958</v>
      </c>
      <c r="CS616" s="45" t="str">
        <v>Invest</v>
      </c>
      <c r="CT616" s="61"/>
      <c r="CU616" s="45">
        <v>612</v>
      </c>
      <c r="CV616" s="45">
        <v>46.975339746052533</v>
      </c>
      <c r="CW616" s="45" t="str">
        <v>Invest</v>
      </c>
      <c r="CX616" s="61"/>
      <c r="CY616" s="45">
        <v>612</v>
      </c>
      <c r="CZ616" s="45">
        <v>21.227484409849296</v>
      </c>
      <c r="DA616" s="45" t="str">
        <v>Invest</v>
      </c>
      <c r="DU616" s="52"/>
      <c r="DV616" s="50"/>
    </row>
    <row r="617" spans="86:126" ht="23.5">
      <c r="CH617" s="45">
        <v>613</v>
      </c>
      <c r="CI617" s="45">
        <v>4.6406634155570412</v>
      </c>
      <c r="CJ617" s="45" t="str">
        <v>Invest</v>
      </c>
      <c r="CM617" s="45">
        <v>613</v>
      </c>
      <c r="CN617" s="48">
        <v>20.600092138903435</v>
      </c>
      <c r="CO617" s="45" t="str">
        <v>Invest</v>
      </c>
      <c r="CP617" s="61"/>
      <c r="CQ617" s="45">
        <v>613</v>
      </c>
      <c r="CR617" s="45">
        <v>23.331172713698514</v>
      </c>
      <c r="CS617" s="45" t="str">
        <v>Invest</v>
      </c>
      <c r="CT617" s="61"/>
      <c r="CU617" s="45">
        <v>613</v>
      </c>
      <c r="CV617" s="45">
        <v>2.5726453382114158</v>
      </c>
      <c r="CW617" s="45" t="str">
        <v>Invest</v>
      </c>
      <c r="CX617" s="61"/>
      <c r="CY617" s="45">
        <v>613</v>
      </c>
      <c r="CZ617" s="45">
        <v>32.678721453141954</v>
      </c>
      <c r="DA617" s="45" t="str">
        <v>Invest</v>
      </c>
      <c r="DU617" s="52"/>
      <c r="DV617" s="50"/>
    </row>
    <row r="618" spans="86:126" ht="23.5">
      <c r="CH618" s="45">
        <v>614</v>
      </c>
      <c r="CI618" s="45">
        <v>5.0258875017559186</v>
      </c>
      <c r="CJ618" s="45" t="str">
        <v>Invest</v>
      </c>
      <c r="CM618" s="45">
        <v>614</v>
      </c>
      <c r="CN618" s="48">
        <v>0</v>
      </c>
      <c r="CO618" s="45" t="str">
        <v>Nothing</v>
      </c>
      <c r="CP618" s="61"/>
      <c r="CQ618" s="45">
        <v>614</v>
      </c>
      <c r="CR618" s="45">
        <v>14.588750258862079</v>
      </c>
      <c r="CS618" s="45" t="str">
        <v>Invest</v>
      </c>
      <c r="CT618" s="61"/>
      <c r="CU618" s="45">
        <v>614</v>
      </c>
      <c r="CV618" s="45">
        <v>0.95886310644295492</v>
      </c>
      <c r="CW618" s="45" t="str">
        <v>Invest</v>
      </c>
      <c r="CX618" s="61"/>
      <c r="CY618" s="45">
        <v>614</v>
      </c>
      <c r="CZ618" s="45">
        <v>43.597986328672675</v>
      </c>
      <c r="DA618" s="45" t="str">
        <v>Invest</v>
      </c>
      <c r="DU618" s="52"/>
      <c r="DV618" s="50"/>
    </row>
    <row r="619" spans="86:126" ht="23.5">
      <c r="CH619" s="45">
        <v>615</v>
      </c>
      <c r="CI619" s="45">
        <v>42.765772159766144</v>
      </c>
      <c r="CJ619" s="45" t="str">
        <v>Invest</v>
      </c>
      <c r="CM619" s="45">
        <v>615</v>
      </c>
      <c r="CN619" s="48">
        <v>58.479506291521304</v>
      </c>
      <c r="CO619" s="45" t="str">
        <v>Invest</v>
      </c>
      <c r="CP619" s="61"/>
      <c r="CQ619" s="45">
        <v>615</v>
      </c>
      <c r="CR619" s="45">
        <v>0</v>
      </c>
      <c r="CS619" s="45" t="str">
        <v>Nothing</v>
      </c>
      <c r="CT619" s="61"/>
      <c r="CU619" s="45">
        <v>615</v>
      </c>
      <c r="CV619" s="45">
        <v>43.674178486561381</v>
      </c>
      <c r="CW619" s="45" t="str">
        <v>Invest</v>
      </c>
      <c r="CX619" s="61"/>
      <c r="CY619" s="45">
        <v>615</v>
      </c>
      <c r="CZ619" s="45">
        <v>0</v>
      </c>
      <c r="DA619" s="45" t="str">
        <v>Nothing</v>
      </c>
      <c r="DU619" s="52"/>
      <c r="DV619" s="50"/>
    </row>
    <row r="620" spans="86:126" ht="23.5">
      <c r="CH620" s="45">
        <v>616</v>
      </c>
      <c r="CI620" s="45">
        <v>28.202464203014017</v>
      </c>
      <c r="CJ620" s="45" t="str">
        <v>Invest</v>
      </c>
      <c r="CM620" s="45">
        <v>616</v>
      </c>
      <c r="CN620" s="48">
        <v>0</v>
      </c>
      <c r="CO620" s="45" t="str">
        <v>Nothing</v>
      </c>
      <c r="CP620" s="61"/>
      <c r="CQ620" s="45">
        <v>616</v>
      </c>
      <c r="CR620" s="45">
        <v>22.870542791760482</v>
      </c>
      <c r="CS620" s="45" t="str">
        <v>Invest</v>
      </c>
      <c r="CT620" s="61"/>
      <c r="CU620" s="45">
        <v>616</v>
      </c>
      <c r="CV620" s="45">
        <v>0</v>
      </c>
      <c r="CW620" s="45" t="str">
        <v>Nothing</v>
      </c>
      <c r="CX620" s="61"/>
      <c r="CY620" s="45">
        <v>616</v>
      </c>
      <c r="CZ620" s="45">
        <v>0</v>
      </c>
      <c r="DA620" s="45" t="str">
        <v>Nothing</v>
      </c>
      <c r="DU620" s="52"/>
      <c r="DV620" s="50"/>
    </row>
    <row r="621" spans="86:126" ht="23.5">
      <c r="CH621" s="45">
        <v>617</v>
      </c>
      <c r="CI621" s="45">
        <v>2.3121977552106987</v>
      </c>
      <c r="CJ621" s="45" t="str">
        <v>Invest</v>
      </c>
      <c r="CM621" s="45">
        <v>617</v>
      </c>
      <c r="CN621" s="48">
        <v>22.806803344013673</v>
      </c>
      <c r="CO621" s="45" t="str">
        <v>Invest</v>
      </c>
      <c r="CP621" s="61"/>
      <c r="CQ621" s="45">
        <v>617</v>
      </c>
      <c r="CR621" s="45">
        <v>37.330728933430038</v>
      </c>
      <c r="CS621" s="45" t="str">
        <v>Invest</v>
      </c>
      <c r="CT621" s="61"/>
      <c r="CU621" s="45">
        <v>617</v>
      </c>
      <c r="CV621" s="45">
        <v>34.765479292793323</v>
      </c>
      <c r="CW621" s="45" t="str">
        <v>Invest</v>
      </c>
      <c r="CX621" s="61"/>
      <c r="CY621" s="45">
        <v>617</v>
      </c>
      <c r="CZ621" s="45">
        <v>44.710741500471066</v>
      </c>
      <c r="DA621" s="45" t="str">
        <v>Invest</v>
      </c>
      <c r="DU621" s="52"/>
      <c r="DV621" s="50"/>
    </row>
    <row r="622" spans="86:126" ht="23.5">
      <c r="CH622" s="45">
        <v>618</v>
      </c>
      <c r="CI622" s="45">
        <v>41.382672369062263</v>
      </c>
      <c r="CJ622" s="45" t="str">
        <v>Invest</v>
      </c>
      <c r="CM622" s="45">
        <v>618</v>
      </c>
      <c r="CN622" s="48">
        <v>11.964646173106761</v>
      </c>
      <c r="CO622" s="45" t="str">
        <v>Invest</v>
      </c>
      <c r="CP622" s="61"/>
      <c r="CQ622" s="45">
        <v>618</v>
      </c>
      <c r="CR622" s="45">
        <v>38.490839963046028</v>
      </c>
      <c r="CS622" s="45" t="str">
        <v>Invest</v>
      </c>
      <c r="CT622" s="61"/>
      <c r="CU622" s="45">
        <v>618</v>
      </c>
      <c r="CV622" s="45">
        <v>18.712141260757235</v>
      </c>
      <c r="CW622" s="45" t="str">
        <v>Invest</v>
      </c>
      <c r="CX622" s="61"/>
      <c r="CY622" s="45">
        <v>618</v>
      </c>
      <c r="CZ622" s="45">
        <v>4.1481024549948593</v>
      </c>
      <c r="DA622" s="45" t="str">
        <v>Invest</v>
      </c>
      <c r="DU622" s="52"/>
      <c r="DV622" s="50"/>
    </row>
    <row r="623" spans="86:126" ht="23.5">
      <c r="CH623" s="45">
        <v>619</v>
      </c>
      <c r="CI623" s="45">
        <v>10.943280315532547</v>
      </c>
      <c r="CJ623" s="45" t="str">
        <v>Invest</v>
      </c>
      <c r="CM623" s="45">
        <v>619</v>
      </c>
      <c r="CN623" s="48">
        <v>31.874591123047971</v>
      </c>
      <c r="CO623" s="45" t="str">
        <v>Invest</v>
      </c>
      <c r="CP623" s="61"/>
      <c r="CQ623" s="45">
        <v>619</v>
      </c>
      <c r="CR623" s="45">
        <v>22.491114347351676</v>
      </c>
      <c r="CS623" s="45" t="str">
        <v>Invest</v>
      </c>
      <c r="CT623" s="61"/>
      <c r="CU623" s="45">
        <v>619</v>
      </c>
      <c r="CV623" s="45">
        <v>32.823268400464926</v>
      </c>
      <c r="CW623" s="45" t="str">
        <v>Invest</v>
      </c>
      <c r="CX623" s="61"/>
      <c r="CY623" s="45">
        <v>619</v>
      </c>
      <c r="CZ623" s="45">
        <v>31.649142900435812</v>
      </c>
      <c r="DA623" s="45" t="str">
        <v>Invest</v>
      </c>
      <c r="DU623" s="52"/>
      <c r="DV623" s="50"/>
    </row>
    <row r="624" spans="86:126" ht="23.5">
      <c r="CH624" s="45">
        <v>620</v>
      </c>
      <c r="CI624" s="45">
        <v>43.470197725335737</v>
      </c>
      <c r="CJ624" s="45" t="str">
        <v>Invest</v>
      </c>
      <c r="CM624" s="45">
        <v>620</v>
      </c>
      <c r="CN624" s="48">
        <v>43.836362166560107</v>
      </c>
      <c r="CO624" s="45" t="str">
        <v>Invest</v>
      </c>
      <c r="CP624" s="61"/>
      <c r="CQ624" s="45">
        <v>620</v>
      </c>
      <c r="CR624" s="45">
        <v>33.935335547619133</v>
      </c>
      <c r="CS624" s="45" t="str">
        <v>Invest</v>
      </c>
      <c r="CT624" s="61"/>
      <c r="CU624" s="45">
        <v>620</v>
      </c>
      <c r="CV624" s="45">
        <v>9.9924444819529725</v>
      </c>
      <c r="CW624" s="45" t="str">
        <v>Invest</v>
      </c>
      <c r="CX624" s="61"/>
      <c r="CY624" s="45">
        <v>620</v>
      </c>
      <c r="CZ624" s="45">
        <v>0</v>
      </c>
      <c r="DA624" s="45" t="str">
        <v>Nothing</v>
      </c>
      <c r="DU624" s="52"/>
      <c r="DV624" s="50"/>
    </row>
    <row r="625" spans="86:126" ht="23.5">
      <c r="CH625" s="45">
        <v>621</v>
      </c>
      <c r="CI625" s="45">
        <v>29.254922828546135</v>
      </c>
      <c r="CJ625" s="45" t="str">
        <v>Invest</v>
      </c>
      <c r="CM625" s="45">
        <v>621</v>
      </c>
      <c r="CN625" s="48">
        <v>28.320668803390294</v>
      </c>
      <c r="CO625" s="45" t="str">
        <v>Invest</v>
      </c>
      <c r="CP625" s="61"/>
      <c r="CQ625" s="45">
        <v>621</v>
      </c>
      <c r="CR625" s="45">
        <v>9.3267485657271791</v>
      </c>
      <c r="CS625" s="45" t="str">
        <v>Invest</v>
      </c>
      <c r="CT625" s="61"/>
      <c r="CU625" s="45">
        <v>621</v>
      </c>
      <c r="CV625" s="45">
        <v>0</v>
      </c>
      <c r="CW625" s="45" t="str">
        <v>Nothing</v>
      </c>
      <c r="CX625" s="61"/>
      <c r="CY625" s="45">
        <v>621</v>
      </c>
      <c r="CZ625" s="45">
        <v>21.603550993241424</v>
      </c>
      <c r="DA625" s="45" t="str">
        <v>Invest</v>
      </c>
      <c r="DU625" s="52"/>
      <c r="DV625" s="50"/>
    </row>
    <row r="626" spans="86:126" ht="23.5">
      <c r="CH626" s="45">
        <v>622</v>
      </c>
      <c r="CI626" s="45">
        <v>0</v>
      </c>
      <c r="CJ626" s="45" t="str">
        <v>Nothing</v>
      </c>
      <c r="CM626" s="45">
        <v>622</v>
      </c>
      <c r="CN626" s="48">
        <v>36.610632500448709</v>
      </c>
      <c r="CO626" s="45" t="str">
        <v>Invest</v>
      </c>
      <c r="CP626" s="61"/>
      <c r="CQ626" s="45">
        <v>622</v>
      </c>
      <c r="CR626" s="45">
        <v>0</v>
      </c>
      <c r="CS626" s="45" t="str">
        <v>Nothing</v>
      </c>
      <c r="CT626" s="61"/>
      <c r="CU626" s="45">
        <v>622</v>
      </c>
      <c r="CV626" s="45">
        <v>31.456531246983566</v>
      </c>
      <c r="CW626" s="45" t="str">
        <v>Invest</v>
      </c>
      <c r="CX626" s="61"/>
      <c r="CY626" s="45">
        <v>622</v>
      </c>
      <c r="CZ626" s="45">
        <v>9.4179064338206366</v>
      </c>
      <c r="DA626" s="45" t="str">
        <v>Invest</v>
      </c>
      <c r="DU626" s="52"/>
      <c r="DV626" s="50"/>
    </row>
    <row r="627" spans="86:126" ht="23.5">
      <c r="CH627" s="45">
        <v>623</v>
      </c>
      <c r="CI627" s="45">
        <v>13.221700895515315</v>
      </c>
      <c r="CJ627" s="45" t="str">
        <v>Invest</v>
      </c>
      <c r="CM627" s="45">
        <v>623</v>
      </c>
      <c r="CN627" s="48">
        <v>0</v>
      </c>
      <c r="CO627" s="45" t="str">
        <v>Nothing</v>
      </c>
      <c r="CP627" s="61"/>
      <c r="CQ627" s="45">
        <v>623</v>
      </c>
      <c r="CR627" s="45">
        <v>15.189596151435701</v>
      </c>
      <c r="CS627" s="45" t="str">
        <v>Invest</v>
      </c>
      <c r="CT627" s="61"/>
      <c r="CU627" s="45">
        <v>623</v>
      </c>
      <c r="CV627" s="45">
        <v>6.1537960662251585</v>
      </c>
      <c r="CW627" s="45" t="str">
        <v>Invest</v>
      </c>
      <c r="CX627" s="61"/>
      <c r="CY627" s="45">
        <v>623</v>
      </c>
      <c r="CZ627" s="45">
        <v>53.266616390334399</v>
      </c>
      <c r="DA627" s="45" t="str">
        <v>Invest</v>
      </c>
      <c r="DU627" s="52"/>
      <c r="DV627" s="50"/>
    </row>
    <row r="628" spans="86:126" ht="23.5">
      <c r="CH628" s="45">
        <v>624</v>
      </c>
      <c r="CI628" s="45">
        <v>38.063775500801093</v>
      </c>
      <c r="CJ628" s="45" t="str">
        <v>Invest</v>
      </c>
      <c r="CM628" s="45">
        <v>624</v>
      </c>
      <c r="CN628" s="48">
        <v>0</v>
      </c>
      <c r="CO628" s="45" t="str">
        <v>Nothing</v>
      </c>
      <c r="CP628" s="61"/>
      <c r="CQ628" s="45">
        <v>624</v>
      </c>
      <c r="CR628" s="45">
        <v>0</v>
      </c>
      <c r="CS628" s="45" t="str">
        <v>Nothing</v>
      </c>
      <c r="CT628" s="61"/>
      <c r="CU628" s="45">
        <v>624</v>
      </c>
      <c r="CV628" s="45">
        <v>17.205828903858002</v>
      </c>
      <c r="CW628" s="45" t="str">
        <v>Invest</v>
      </c>
      <c r="CX628" s="61"/>
      <c r="CY628" s="45">
        <v>624</v>
      </c>
      <c r="CZ628" s="45">
        <v>51.443480498813813</v>
      </c>
      <c r="DA628" s="45" t="str">
        <v>Invest</v>
      </c>
      <c r="DU628" s="52"/>
      <c r="DV628" s="50"/>
    </row>
    <row r="629" spans="86:126" ht="23.5">
      <c r="CH629" s="45">
        <v>625</v>
      </c>
      <c r="CI629" s="45">
        <v>20.244314761140799</v>
      </c>
      <c r="CJ629" s="45" t="str">
        <v>Invest</v>
      </c>
      <c r="CM629" s="45">
        <v>625</v>
      </c>
      <c r="CN629" s="48">
        <v>38.155094979024405</v>
      </c>
      <c r="CO629" s="45" t="str">
        <v>Invest</v>
      </c>
      <c r="CP629" s="61"/>
      <c r="CQ629" s="45">
        <v>625</v>
      </c>
      <c r="CR629" s="45">
        <v>0</v>
      </c>
      <c r="CS629" s="45" t="str">
        <v>Nothing</v>
      </c>
      <c r="CT629" s="61"/>
      <c r="CU629" s="45">
        <v>625</v>
      </c>
      <c r="CV629" s="45">
        <v>0</v>
      </c>
      <c r="CW629" s="45" t="str">
        <v>Nothing</v>
      </c>
      <c r="CX629" s="61"/>
      <c r="CY629" s="45">
        <v>625</v>
      </c>
      <c r="CZ629" s="45">
        <v>40.936015400211623</v>
      </c>
      <c r="DA629" s="45" t="str">
        <v>Invest</v>
      </c>
      <c r="DU629" s="52"/>
      <c r="DV629" s="50"/>
    </row>
    <row r="630" spans="86:126" ht="23.5">
      <c r="CH630" s="45">
        <v>626</v>
      </c>
      <c r="CI630" s="45">
        <v>4.7354616980337507</v>
      </c>
      <c r="CJ630" s="45" t="str">
        <v>Invest</v>
      </c>
      <c r="CM630" s="45">
        <v>626</v>
      </c>
      <c r="CN630" s="48">
        <v>9.5001202981111081</v>
      </c>
      <c r="CO630" s="45" t="str">
        <v>Invest</v>
      </c>
      <c r="CP630" s="61"/>
      <c r="CQ630" s="45">
        <v>626</v>
      </c>
      <c r="CR630" s="45">
        <v>0.21465559706950055</v>
      </c>
      <c r="CS630" s="45" t="str">
        <v>Invest</v>
      </c>
      <c r="CT630" s="61"/>
      <c r="CU630" s="45">
        <v>626</v>
      </c>
      <c r="CV630" s="45">
        <v>0</v>
      </c>
      <c r="CW630" s="45" t="str">
        <v>Nothing</v>
      </c>
      <c r="CX630" s="61"/>
      <c r="CY630" s="45">
        <v>626</v>
      </c>
      <c r="CZ630" s="45">
        <v>19.762664208346116</v>
      </c>
      <c r="DA630" s="45" t="str">
        <v>Invest</v>
      </c>
      <c r="DU630" s="52"/>
      <c r="DV630" s="50"/>
    </row>
    <row r="631" spans="86:126" ht="23.5">
      <c r="CH631" s="45">
        <v>627</v>
      </c>
      <c r="CI631" s="45">
        <v>13.416080574223525</v>
      </c>
      <c r="CJ631" s="45" t="str">
        <v>Invest</v>
      </c>
      <c r="CM631" s="45">
        <v>627</v>
      </c>
      <c r="CN631" s="48">
        <v>40.477370202691624</v>
      </c>
      <c r="CO631" s="45" t="str">
        <v>Invest</v>
      </c>
      <c r="CP631" s="61"/>
      <c r="CQ631" s="45">
        <v>627</v>
      </c>
      <c r="CR631" s="45">
        <v>2.8609224659232986</v>
      </c>
      <c r="CS631" s="45" t="str">
        <v>Invest</v>
      </c>
      <c r="CT631" s="61"/>
      <c r="CU631" s="45">
        <v>627</v>
      </c>
      <c r="CV631" s="45">
        <v>0</v>
      </c>
      <c r="CW631" s="45" t="str">
        <v>Nothing</v>
      </c>
      <c r="CX631" s="61"/>
      <c r="CY631" s="45">
        <v>627</v>
      </c>
      <c r="CZ631" s="45">
        <v>54.461735237390435</v>
      </c>
      <c r="DA631" s="45" t="str">
        <v>Invest</v>
      </c>
      <c r="DU631" s="52"/>
      <c r="DV631" s="50"/>
    </row>
    <row r="632" spans="86:126" ht="23.5">
      <c r="CH632" s="45">
        <v>628</v>
      </c>
      <c r="CI632" s="45">
        <v>0</v>
      </c>
      <c r="CJ632" s="45" t="str">
        <v>Nothing</v>
      </c>
      <c r="CM632" s="45">
        <v>628</v>
      </c>
      <c r="CN632" s="48">
        <v>8.0185672251808242</v>
      </c>
      <c r="CO632" s="45" t="str">
        <v>Invest</v>
      </c>
      <c r="CP632" s="61"/>
      <c r="CQ632" s="45">
        <v>628</v>
      </c>
      <c r="CR632" s="45">
        <v>34.103576520189847</v>
      </c>
      <c r="CS632" s="45" t="str">
        <v>Invest</v>
      </c>
      <c r="CT632" s="61"/>
      <c r="CU632" s="45">
        <v>628</v>
      </c>
      <c r="CV632" s="45">
        <v>11.796971830009921</v>
      </c>
      <c r="CW632" s="45" t="str">
        <v>Invest</v>
      </c>
      <c r="CX632" s="61"/>
      <c r="CY632" s="45">
        <v>628</v>
      </c>
      <c r="CZ632" s="45">
        <v>4.3256566807585113</v>
      </c>
      <c r="DA632" s="45" t="str">
        <v>Invest</v>
      </c>
      <c r="DU632" s="52"/>
      <c r="DV632" s="50"/>
    </row>
    <row r="633" spans="86:126" ht="23.5">
      <c r="CH633" s="45">
        <v>629</v>
      </c>
      <c r="CI633" s="45">
        <v>14.514958063054507</v>
      </c>
      <c r="CJ633" s="45" t="str">
        <v>Invest</v>
      </c>
      <c r="CM633" s="45">
        <v>629</v>
      </c>
      <c r="CN633" s="48">
        <v>31.816836378444183</v>
      </c>
      <c r="CO633" s="45" t="str">
        <v>Invest</v>
      </c>
      <c r="CP633" s="61"/>
      <c r="CQ633" s="45">
        <v>629</v>
      </c>
      <c r="CR633" s="45">
        <v>16.174228731456534</v>
      </c>
      <c r="CS633" s="45" t="str">
        <v>Invest</v>
      </c>
      <c r="CT633" s="61"/>
      <c r="CU633" s="45">
        <v>629</v>
      </c>
      <c r="CV633" s="45">
        <v>0</v>
      </c>
      <c r="CW633" s="45" t="str">
        <v>Nothing</v>
      </c>
      <c r="CX633" s="61"/>
      <c r="CY633" s="45">
        <v>629</v>
      </c>
      <c r="CZ633" s="45">
        <v>49.812381389030463</v>
      </c>
      <c r="DA633" s="45" t="str">
        <v>Invest</v>
      </c>
      <c r="DU633" s="52"/>
      <c r="DV633" s="50"/>
    </row>
    <row r="634" spans="86:126" ht="23.5">
      <c r="CH634" s="45">
        <v>630</v>
      </c>
      <c r="CI634" s="45">
        <v>57.355340983622241</v>
      </c>
      <c r="CJ634" s="45" t="str">
        <v>Invest</v>
      </c>
      <c r="CM634" s="45">
        <v>630</v>
      </c>
      <c r="CN634" s="48">
        <v>21.241804238264251</v>
      </c>
      <c r="CO634" s="45" t="str">
        <v>Invest</v>
      </c>
      <c r="CP634" s="61"/>
      <c r="CQ634" s="45">
        <v>630</v>
      </c>
      <c r="CR634" s="45">
        <v>52.776028821352547</v>
      </c>
      <c r="CS634" s="45" t="str">
        <v>Invest</v>
      </c>
      <c r="CT634" s="61"/>
      <c r="CU634" s="45">
        <v>630</v>
      </c>
      <c r="CV634" s="45">
        <v>15.283292740213035</v>
      </c>
      <c r="CW634" s="45" t="str">
        <v>Invest</v>
      </c>
      <c r="CX634" s="61"/>
      <c r="CY634" s="45">
        <v>630</v>
      </c>
      <c r="CZ634" s="45">
        <v>37.437515000820397</v>
      </c>
      <c r="DA634" s="45" t="str">
        <v>Invest</v>
      </c>
      <c r="DU634" s="52"/>
      <c r="DV634" s="50"/>
    </row>
    <row r="635" spans="86:126" ht="23.5">
      <c r="CH635" s="45">
        <v>631</v>
      </c>
      <c r="CI635" s="45">
        <v>0</v>
      </c>
      <c r="CJ635" s="45" t="str">
        <v>Nothing</v>
      </c>
      <c r="CM635" s="45">
        <v>631</v>
      </c>
      <c r="CN635" s="48">
        <v>0</v>
      </c>
      <c r="CO635" s="45" t="str">
        <v>Nothing</v>
      </c>
      <c r="CP635" s="61"/>
      <c r="CQ635" s="45">
        <v>631</v>
      </c>
      <c r="CR635" s="45">
        <v>0</v>
      </c>
      <c r="CS635" s="45" t="str">
        <v>Nothing</v>
      </c>
      <c r="CT635" s="61"/>
      <c r="CU635" s="45">
        <v>631</v>
      </c>
      <c r="CV635" s="45">
        <v>21.847331958188967</v>
      </c>
      <c r="CW635" s="45" t="str">
        <v>Invest</v>
      </c>
      <c r="CX635" s="61"/>
      <c r="CY635" s="45">
        <v>631</v>
      </c>
      <c r="CZ635" s="45">
        <v>27.76448429175861</v>
      </c>
      <c r="DA635" s="45" t="str">
        <v>Invest</v>
      </c>
      <c r="DU635" s="52"/>
      <c r="DV635" s="50"/>
    </row>
    <row r="636" spans="86:126" ht="23.5">
      <c r="CH636" s="45">
        <v>632</v>
      </c>
      <c r="CI636" s="45">
        <v>23.757979048182332</v>
      </c>
      <c r="CJ636" s="45" t="str">
        <v>Invest</v>
      </c>
      <c r="CM636" s="45">
        <v>632</v>
      </c>
      <c r="CN636" s="48">
        <v>0</v>
      </c>
      <c r="CO636" s="45" t="str">
        <v>Nothing</v>
      </c>
      <c r="CP636" s="61"/>
      <c r="CQ636" s="45">
        <v>632</v>
      </c>
      <c r="CR636" s="45">
        <v>29.058442688413589</v>
      </c>
      <c r="CS636" s="45" t="str">
        <v>Invest</v>
      </c>
      <c r="CT636" s="61"/>
      <c r="CU636" s="45">
        <v>632</v>
      </c>
      <c r="CV636" s="45">
        <v>0</v>
      </c>
      <c r="CW636" s="45" t="str">
        <v>Nothing</v>
      </c>
      <c r="CX636" s="61"/>
      <c r="CY636" s="45">
        <v>632</v>
      </c>
      <c r="CZ636" s="45">
        <v>2.5142618415167206</v>
      </c>
      <c r="DA636" s="45" t="str">
        <v>Invest</v>
      </c>
      <c r="DU636" s="52"/>
      <c r="DV636" s="50"/>
    </row>
    <row r="637" spans="86:126" ht="23.5">
      <c r="CH637" s="45">
        <v>633</v>
      </c>
      <c r="CI637" s="45">
        <v>0</v>
      </c>
      <c r="CJ637" s="45" t="str">
        <v>Nothing</v>
      </c>
      <c r="CM637" s="45">
        <v>633</v>
      </c>
      <c r="CN637" s="48">
        <v>17.487885623612193</v>
      </c>
      <c r="CO637" s="45" t="str">
        <v>Invest</v>
      </c>
      <c r="CP637" s="61"/>
      <c r="CQ637" s="45">
        <v>633</v>
      </c>
      <c r="CR637" s="45">
        <v>27.523889934057909</v>
      </c>
      <c r="CS637" s="45" t="str">
        <v>Invest</v>
      </c>
      <c r="CT637" s="61"/>
      <c r="CU637" s="45">
        <v>633</v>
      </c>
      <c r="CV637" s="45">
        <v>20.338184231489407</v>
      </c>
      <c r="CW637" s="45" t="str">
        <v>Invest</v>
      </c>
      <c r="CX637" s="61"/>
      <c r="CY637" s="45">
        <v>633</v>
      </c>
      <c r="CZ637" s="45">
        <v>29.728830728198428</v>
      </c>
      <c r="DA637" s="45" t="str">
        <v>Invest</v>
      </c>
      <c r="DU637" s="52"/>
      <c r="DV637" s="50"/>
    </row>
    <row r="638" spans="86:126" ht="23.5">
      <c r="CH638" s="45">
        <v>634</v>
      </c>
      <c r="CI638" s="45">
        <v>45.667999715130769</v>
      </c>
      <c r="CJ638" s="45" t="str">
        <v>Invest</v>
      </c>
      <c r="CM638" s="45">
        <v>634</v>
      </c>
      <c r="CN638" s="48">
        <v>20.40705869140422</v>
      </c>
      <c r="CO638" s="45" t="str">
        <v>Invest</v>
      </c>
      <c r="CP638" s="61"/>
      <c r="CQ638" s="45">
        <v>634</v>
      </c>
      <c r="CR638" s="45">
        <v>0</v>
      </c>
      <c r="CS638" s="45" t="str">
        <v>Nothing</v>
      </c>
      <c r="CT638" s="61"/>
      <c r="CU638" s="45">
        <v>634</v>
      </c>
      <c r="CV638" s="45">
        <v>0</v>
      </c>
      <c r="CW638" s="45" t="str">
        <v>Nothing</v>
      </c>
      <c r="CX638" s="61"/>
      <c r="CY638" s="45">
        <v>634</v>
      </c>
      <c r="CZ638" s="45">
        <v>0</v>
      </c>
      <c r="DA638" s="45" t="str">
        <v>Nothing</v>
      </c>
      <c r="DU638" s="52"/>
      <c r="DV638" s="50"/>
    </row>
    <row r="639" spans="86:126" ht="23.5">
      <c r="CH639" s="45">
        <v>635</v>
      </c>
      <c r="CI639" s="45">
        <v>0</v>
      </c>
      <c r="CJ639" s="45" t="str">
        <v>Nothing</v>
      </c>
      <c r="CM639" s="45">
        <v>635</v>
      </c>
      <c r="CN639" s="48">
        <v>0</v>
      </c>
      <c r="CO639" s="45" t="str">
        <v>Nothing</v>
      </c>
      <c r="CP639" s="61"/>
      <c r="CQ639" s="45">
        <v>635</v>
      </c>
      <c r="CR639" s="45">
        <v>5.4214782984039989</v>
      </c>
      <c r="CS639" s="45" t="str">
        <v>Invest</v>
      </c>
      <c r="CT639" s="61"/>
      <c r="CU639" s="45">
        <v>635</v>
      </c>
      <c r="CV639" s="45">
        <v>44.54861721808286</v>
      </c>
      <c r="CW639" s="45" t="str">
        <v>Invest</v>
      </c>
      <c r="CX639" s="61"/>
      <c r="CY639" s="45">
        <v>635</v>
      </c>
      <c r="CZ639" s="45">
        <v>0</v>
      </c>
      <c r="DA639" s="45" t="str">
        <v>Nothing</v>
      </c>
      <c r="DU639" s="52"/>
      <c r="DV639" s="50"/>
    </row>
    <row r="640" spans="86:126" ht="23.5">
      <c r="CH640" s="45">
        <v>636</v>
      </c>
      <c r="CI640" s="45">
        <v>0</v>
      </c>
      <c r="CJ640" s="45" t="str">
        <v>Nothing</v>
      </c>
      <c r="CM640" s="45">
        <v>636</v>
      </c>
      <c r="CN640" s="48">
        <v>0</v>
      </c>
      <c r="CO640" s="45" t="str">
        <v>Nothing</v>
      </c>
      <c r="CP640" s="61"/>
      <c r="CQ640" s="45">
        <v>636</v>
      </c>
      <c r="CR640" s="45">
        <v>8.6510791399907969</v>
      </c>
      <c r="CS640" s="45" t="str">
        <v>Invest</v>
      </c>
      <c r="CT640" s="61"/>
      <c r="CU640" s="45">
        <v>636</v>
      </c>
      <c r="CV640" s="45">
        <v>2.2415914978668781</v>
      </c>
      <c r="CW640" s="45" t="str">
        <v>Invest</v>
      </c>
      <c r="CX640" s="61"/>
      <c r="CY640" s="45">
        <v>636</v>
      </c>
      <c r="CZ640" s="45">
        <v>26.594022681461027</v>
      </c>
      <c r="DA640" s="45" t="str">
        <v>Invest</v>
      </c>
      <c r="DU640" s="52"/>
      <c r="DV640" s="50"/>
    </row>
    <row r="641" spans="86:126" ht="23.5">
      <c r="CH641" s="45">
        <v>637</v>
      </c>
      <c r="CI641" s="45">
        <v>13.893798223305923</v>
      </c>
      <c r="CJ641" s="45" t="str">
        <v>Invest</v>
      </c>
      <c r="CM641" s="45">
        <v>637</v>
      </c>
      <c r="CN641" s="48">
        <v>24.05909085283238</v>
      </c>
      <c r="CO641" s="45" t="str">
        <v>Invest</v>
      </c>
      <c r="CP641" s="61"/>
      <c r="CQ641" s="45">
        <v>637</v>
      </c>
      <c r="CR641" s="45">
        <v>0</v>
      </c>
      <c r="CS641" s="45" t="str">
        <v>Nothing</v>
      </c>
      <c r="CT641" s="61"/>
      <c r="CU641" s="45">
        <v>637</v>
      </c>
      <c r="CV641" s="45">
        <v>13.145349576668963</v>
      </c>
      <c r="CW641" s="45" t="str">
        <v>Invest</v>
      </c>
      <c r="CX641" s="61"/>
      <c r="CY641" s="45">
        <v>637</v>
      </c>
      <c r="CZ641" s="45">
        <v>41.864416013695873</v>
      </c>
      <c r="DA641" s="45" t="str">
        <v>Invest</v>
      </c>
      <c r="DU641" s="52"/>
      <c r="DV641" s="50"/>
    </row>
    <row r="642" spans="86:126" ht="23.5">
      <c r="CH642" s="45">
        <v>638</v>
      </c>
      <c r="CI642" s="45">
        <v>37.366316890222123</v>
      </c>
      <c r="CJ642" s="45" t="str">
        <v>Invest</v>
      </c>
      <c r="CM642" s="45">
        <v>638</v>
      </c>
      <c r="CN642" s="48">
        <v>28.182032862399971</v>
      </c>
      <c r="CO642" s="45" t="str">
        <v>Invest</v>
      </c>
      <c r="CP642" s="61"/>
      <c r="CQ642" s="45">
        <v>638</v>
      </c>
      <c r="CR642" s="45">
        <v>0</v>
      </c>
      <c r="CS642" s="45" t="str">
        <v>Nothing</v>
      </c>
      <c r="CT642" s="61"/>
      <c r="CU642" s="45">
        <v>638</v>
      </c>
      <c r="CV642" s="45">
        <v>22.811762288396707</v>
      </c>
      <c r="CW642" s="45" t="str">
        <v>Invest</v>
      </c>
      <c r="CX642" s="61"/>
      <c r="CY642" s="45">
        <v>638</v>
      </c>
      <c r="CZ642" s="45">
        <v>18.619278862309322</v>
      </c>
      <c r="DA642" s="45" t="str">
        <v>Invest</v>
      </c>
      <c r="DU642" s="52"/>
      <c r="DV642" s="50"/>
    </row>
    <row r="643" spans="86:126" ht="23.5">
      <c r="CH643" s="45">
        <v>639</v>
      </c>
      <c r="CI643" s="45">
        <v>9.4139955627493563</v>
      </c>
      <c r="CJ643" s="45" t="str">
        <v>Invest</v>
      </c>
      <c r="CM643" s="45">
        <v>639</v>
      </c>
      <c r="CN643" s="48">
        <v>17.774629446245477</v>
      </c>
      <c r="CO643" s="45" t="str">
        <v>Invest</v>
      </c>
      <c r="CP643" s="61"/>
      <c r="CQ643" s="45">
        <v>639</v>
      </c>
      <c r="CR643" s="45">
        <v>21.504758916654083</v>
      </c>
      <c r="CS643" s="45" t="str">
        <v>Invest</v>
      </c>
      <c r="CT643" s="61"/>
      <c r="CU643" s="45">
        <v>639</v>
      </c>
      <c r="CV643" s="45">
        <v>0</v>
      </c>
      <c r="CW643" s="45" t="str">
        <v>Nothing</v>
      </c>
      <c r="CX643" s="61"/>
      <c r="CY643" s="45">
        <v>639</v>
      </c>
      <c r="CZ643" s="45">
        <v>2.0464654716975197</v>
      </c>
      <c r="DA643" s="45" t="str">
        <v>Invest</v>
      </c>
      <c r="DU643" s="52"/>
      <c r="DV643" s="50"/>
    </row>
    <row r="644" spans="86:126" ht="23.5">
      <c r="CH644" s="45">
        <v>640</v>
      </c>
      <c r="CI644" s="45">
        <v>23.46260282709402</v>
      </c>
      <c r="CJ644" s="45" t="str">
        <v>Invest</v>
      </c>
      <c r="CM644" s="45">
        <v>640</v>
      </c>
      <c r="CN644" s="48">
        <v>16.780956082716092</v>
      </c>
      <c r="CO644" s="45" t="str">
        <v>Invest</v>
      </c>
      <c r="CP644" s="61"/>
      <c r="CQ644" s="45">
        <v>640</v>
      </c>
      <c r="CR644" s="45">
        <v>57.569625209498028</v>
      </c>
      <c r="CS644" s="45" t="str">
        <v>Invest</v>
      </c>
      <c r="CT644" s="61"/>
      <c r="CU644" s="45">
        <v>640</v>
      </c>
      <c r="CV644" s="45">
        <v>0</v>
      </c>
      <c r="CW644" s="45" t="str">
        <v>Nothing</v>
      </c>
      <c r="CX644" s="61"/>
      <c r="CY644" s="45">
        <v>640</v>
      </c>
      <c r="CZ644" s="45">
        <v>10.908025818556446</v>
      </c>
      <c r="DA644" s="45" t="str">
        <v>Invest</v>
      </c>
      <c r="DU644" s="52"/>
      <c r="DV644" s="50"/>
    </row>
    <row r="645" spans="86:126" ht="23.5">
      <c r="CH645" s="45">
        <v>641</v>
      </c>
      <c r="CI645" s="45">
        <v>22.711089104885275</v>
      </c>
      <c r="CJ645" s="45" t="str">
        <v>Invest</v>
      </c>
      <c r="CM645" s="45">
        <v>641</v>
      </c>
      <c r="CN645" s="48">
        <v>29.708150684065039</v>
      </c>
      <c r="CO645" s="45" t="str">
        <v>Invest</v>
      </c>
      <c r="CP645" s="61"/>
      <c r="CQ645" s="45">
        <v>641</v>
      </c>
      <c r="CR645" s="45">
        <v>1.2329354611973162</v>
      </c>
      <c r="CS645" s="45" t="str">
        <v>Invest</v>
      </c>
      <c r="CT645" s="61"/>
      <c r="CU645" s="45">
        <v>641</v>
      </c>
      <c r="CV645" s="45">
        <v>14.010032042135226</v>
      </c>
      <c r="CW645" s="45" t="str">
        <v>Invest</v>
      </c>
      <c r="CX645" s="61"/>
      <c r="CY645" s="45">
        <v>641</v>
      </c>
      <c r="CZ645" s="45">
        <v>35.870061266818517</v>
      </c>
      <c r="DA645" s="45" t="str">
        <v>Invest</v>
      </c>
      <c r="DU645" s="52"/>
      <c r="DV645" s="50"/>
    </row>
    <row r="646" spans="86:126" ht="23.5">
      <c r="CH646" s="45">
        <v>642</v>
      </c>
      <c r="CI646" s="45">
        <v>0</v>
      </c>
      <c r="CJ646" s="45" t="str">
        <v>Nothing</v>
      </c>
      <c r="CM646" s="45">
        <v>642</v>
      </c>
      <c r="CN646" s="48">
        <v>39.097472437152256</v>
      </c>
      <c r="CO646" s="45" t="str">
        <v>Invest</v>
      </c>
      <c r="CP646" s="61"/>
      <c r="CQ646" s="45">
        <v>642</v>
      </c>
      <c r="CR646" s="45">
        <v>33.174309702720322</v>
      </c>
      <c r="CS646" s="45" t="str">
        <v>Invest</v>
      </c>
      <c r="CT646" s="61"/>
      <c r="CU646" s="45">
        <v>642</v>
      </c>
      <c r="CV646" s="45">
        <v>17.044504187586966</v>
      </c>
      <c r="CW646" s="45" t="str">
        <v>Invest</v>
      </c>
      <c r="CX646" s="61"/>
      <c r="CY646" s="45">
        <v>642</v>
      </c>
      <c r="CZ646" s="45">
        <v>0</v>
      </c>
      <c r="DA646" s="45" t="str">
        <v>Nothing</v>
      </c>
      <c r="DU646" s="52"/>
      <c r="DV646" s="50"/>
    </row>
    <row r="647" spans="86:126" ht="23.5">
      <c r="CH647" s="45">
        <v>643</v>
      </c>
      <c r="CI647" s="45">
        <v>0</v>
      </c>
      <c r="CJ647" s="45" t="str">
        <v>Nothing</v>
      </c>
      <c r="CM647" s="45">
        <v>643</v>
      </c>
      <c r="CN647" s="48">
        <v>0</v>
      </c>
      <c r="CO647" s="45" t="str">
        <v>Nothing</v>
      </c>
      <c r="CP647" s="61"/>
      <c r="CQ647" s="45">
        <v>643</v>
      </c>
      <c r="CR647" s="45">
        <v>0</v>
      </c>
      <c r="CS647" s="45" t="str">
        <v>Nothing</v>
      </c>
      <c r="CT647" s="61"/>
      <c r="CU647" s="45">
        <v>643</v>
      </c>
      <c r="CV647" s="45">
        <v>0.12764462671973575</v>
      </c>
      <c r="CW647" s="45" t="str">
        <v>Invest</v>
      </c>
      <c r="CX647" s="61"/>
      <c r="CY647" s="45">
        <v>643</v>
      </c>
      <c r="CZ647" s="45">
        <v>5.2452862088319989</v>
      </c>
      <c r="DA647" s="45" t="str">
        <v>Invest</v>
      </c>
      <c r="DU647" s="52"/>
      <c r="DV647" s="50"/>
    </row>
    <row r="648" spans="86:126" ht="23.5">
      <c r="CH648" s="45">
        <v>644</v>
      </c>
      <c r="CI648" s="45">
        <v>27.918114657024866</v>
      </c>
      <c r="CJ648" s="45" t="str">
        <v>Invest</v>
      </c>
      <c r="CM648" s="45">
        <v>644</v>
      </c>
      <c r="CN648" s="48">
        <v>7.1006290770474845</v>
      </c>
      <c r="CO648" s="45" t="str">
        <v>Invest</v>
      </c>
      <c r="CP648" s="61"/>
      <c r="CQ648" s="45">
        <v>644</v>
      </c>
      <c r="CR648" s="45">
        <v>16.734554028443647</v>
      </c>
      <c r="CS648" s="45" t="str">
        <v>Invest</v>
      </c>
      <c r="CT648" s="61"/>
      <c r="CU648" s="45">
        <v>644</v>
      </c>
      <c r="CV648" s="45">
        <v>10.467159004731201</v>
      </c>
      <c r="CW648" s="45" t="str">
        <v>Invest</v>
      </c>
      <c r="CX648" s="61"/>
      <c r="CY648" s="45">
        <v>644</v>
      </c>
      <c r="CZ648" s="45">
        <v>2.9226381444363447</v>
      </c>
      <c r="DA648" s="45" t="str">
        <v>Invest</v>
      </c>
      <c r="DU648" s="52"/>
      <c r="DV648" s="50"/>
    </row>
    <row r="649" spans="86:126" ht="23.5">
      <c r="CH649" s="45">
        <v>645</v>
      </c>
      <c r="CI649" s="45">
        <v>0</v>
      </c>
      <c r="CJ649" s="45" t="str">
        <v>Nothing</v>
      </c>
      <c r="CM649" s="45">
        <v>645</v>
      </c>
      <c r="CN649" s="48">
        <v>45.971906224658355</v>
      </c>
      <c r="CO649" s="45" t="str">
        <v>Invest</v>
      </c>
      <c r="CP649" s="61"/>
      <c r="CQ649" s="45">
        <v>645</v>
      </c>
      <c r="CR649" s="45">
        <v>0</v>
      </c>
      <c r="CS649" s="45" t="str">
        <v>Nothing</v>
      </c>
      <c r="CT649" s="61"/>
      <c r="CU649" s="45">
        <v>645</v>
      </c>
      <c r="CV649" s="45">
        <v>0</v>
      </c>
      <c r="CW649" s="45" t="str">
        <v>Nothing</v>
      </c>
      <c r="CX649" s="61"/>
      <c r="CY649" s="45">
        <v>645</v>
      </c>
      <c r="CZ649" s="45">
        <v>13.146431406797118</v>
      </c>
      <c r="DA649" s="45" t="str">
        <v>Invest</v>
      </c>
      <c r="DU649" s="52"/>
      <c r="DV649" s="50"/>
    </row>
    <row r="650" spans="86:126" ht="23.5">
      <c r="CH650" s="45">
        <v>646</v>
      </c>
      <c r="CI650" s="45">
        <v>0</v>
      </c>
      <c r="CJ650" s="45" t="str">
        <v>Nothing</v>
      </c>
      <c r="CM650" s="45">
        <v>646</v>
      </c>
      <c r="CN650" s="48">
        <v>0</v>
      </c>
      <c r="CO650" s="45" t="str">
        <v>Nothing</v>
      </c>
      <c r="CP650" s="61"/>
      <c r="CQ650" s="45">
        <v>646</v>
      </c>
      <c r="CR650" s="45">
        <v>12.454359188073077</v>
      </c>
      <c r="CS650" s="45" t="str">
        <v>Invest</v>
      </c>
      <c r="CT650" s="61"/>
      <c r="CU650" s="45">
        <v>646</v>
      </c>
      <c r="CV650" s="45">
        <v>7.8130193849564513</v>
      </c>
      <c r="CW650" s="45" t="str">
        <v>Invest</v>
      </c>
      <c r="CX650" s="61"/>
      <c r="CY650" s="45">
        <v>646</v>
      </c>
      <c r="CZ650" s="45">
        <v>20.645455688789646</v>
      </c>
      <c r="DA650" s="45" t="str">
        <v>Invest</v>
      </c>
      <c r="DU650" s="52"/>
      <c r="DV650" s="50"/>
    </row>
    <row r="651" spans="86:126" ht="23.5">
      <c r="CH651" s="45">
        <v>647</v>
      </c>
      <c r="CI651" s="45">
        <v>8.1412318985741621</v>
      </c>
      <c r="CJ651" s="45" t="str">
        <v>Invest</v>
      </c>
      <c r="CM651" s="45">
        <v>647</v>
      </c>
      <c r="CN651" s="48">
        <v>14.341619921414697</v>
      </c>
      <c r="CO651" s="45" t="str">
        <v>Invest</v>
      </c>
      <c r="CP651" s="61"/>
      <c r="CQ651" s="45">
        <v>647</v>
      </c>
      <c r="CR651" s="45">
        <v>0</v>
      </c>
      <c r="CS651" s="45" t="str">
        <v>Nothing</v>
      </c>
      <c r="CT651" s="61"/>
      <c r="CU651" s="45">
        <v>647</v>
      </c>
      <c r="CV651" s="45">
        <v>15.175256700180224</v>
      </c>
      <c r="CW651" s="45" t="str">
        <v>Invest</v>
      </c>
      <c r="CX651" s="61"/>
      <c r="CY651" s="45">
        <v>647</v>
      </c>
      <c r="CZ651" s="45">
        <v>37.484375597730562</v>
      </c>
      <c r="DA651" s="45" t="str">
        <v>Invest</v>
      </c>
      <c r="DU651" s="52"/>
      <c r="DV651" s="50"/>
    </row>
    <row r="652" spans="86:126" ht="23.5">
      <c r="CH652" s="45">
        <v>648</v>
      </c>
      <c r="CI652" s="45">
        <v>44.553564288510515</v>
      </c>
      <c r="CJ652" s="45" t="str">
        <v>Invest</v>
      </c>
      <c r="CM652" s="45">
        <v>648</v>
      </c>
      <c r="CN652" s="48">
        <v>36.553032309540086</v>
      </c>
      <c r="CO652" s="45" t="str">
        <v>Invest</v>
      </c>
      <c r="CP652" s="61"/>
      <c r="CQ652" s="45">
        <v>648</v>
      </c>
      <c r="CR652" s="45">
        <v>22.363635623272305</v>
      </c>
      <c r="CS652" s="45" t="str">
        <v>Invest</v>
      </c>
      <c r="CT652" s="61"/>
      <c r="CU652" s="45">
        <v>648</v>
      </c>
      <c r="CV652" s="45">
        <v>0</v>
      </c>
      <c r="CW652" s="45" t="str">
        <v>Nothing</v>
      </c>
      <c r="CX652" s="61"/>
      <c r="CY652" s="45">
        <v>648</v>
      </c>
      <c r="CZ652" s="45">
        <v>3.4956619351458755</v>
      </c>
      <c r="DA652" s="45" t="str">
        <v>Invest</v>
      </c>
      <c r="DU652" s="52"/>
      <c r="DV652" s="50"/>
    </row>
    <row r="653" spans="86:126" ht="23.5">
      <c r="CH653" s="45">
        <v>649</v>
      </c>
      <c r="CI653" s="45">
        <v>28.870134168401592</v>
      </c>
      <c r="CJ653" s="45" t="str">
        <v>Invest</v>
      </c>
      <c r="CM653" s="45">
        <v>649</v>
      </c>
      <c r="CN653" s="48">
        <v>43.595740597005694</v>
      </c>
      <c r="CO653" s="45" t="str">
        <v>Invest</v>
      </c>
      <c r="CP653" s="61"/>
      <c r="CQ653" s="45">
        <v>649</v>
      </c>
      <c r="CR653" s="45">
        <v>0</v>
      </c>
      <c r="CS653" s="45" t="str">
        <v>Nothing</v>
      </c>
      <c r="CT653" s="61"/>
      <c r="CU653" s="45">
        <v>649</v>
      </c>
      <c r="CV653" s="45">
        <v>0</v>
      </c>
      <c r="CW653" s="45" t="str">
        <v>Nothing</v>
      </c>
      <c r="CX653" s="61"/>
      <c r="CY653" s="45">
        <v>649</v>
      </c>
      <c r="CZ653" s="45">
        <v>53.056913004638112</v>
      </c>
      <c r="DA653" s="45" t="str">
        <v>Invest</v>
      </c>
      <c r="DU653" s="52"/>
      <c r="DV653" s="50"/>
    </row>
    <row r="654" spans="86:126" ht="23.5">
      <c r="CH654" s="45">
        <v>650</v>
      </c>
      <c r="CI654" s="45">
        <v>33.55107979203963</v>
      </c>
      <c r="CJ654" s="45" t="str">
        <v>Invest</v>
      </c>
      <c r="CM654" s="45">
        <v>650</v>
      </c>
      <c r="CN654" s="48">
        <v>0</v>
      </c>
      <c r="CO654" s="45" t="str">
        <v>Nothing</v>
      </c>
      <c r="CP654" s="61"/>
      <c r="CQ654" s="45">
        <v>650</v>
      </c>
      <c r="CR654" s="45">
        <v>9.2107981507707475</v>
      </c>
      <c r="CS654" s="45" t="str">
        <v>Invest</v>
      </c>
      <c r="CT654" s="61"/>
      <c r="CU654" s="45">
        <v>650</v>
      </c>
      <c r="CV654" s="45">
        <v>10.758551597549651</v>
      </c>
      <c r="CW654" s="45" t="str">
        <v>Invest</v>
      </c>
      <c r="CX654" s="61"/>
      <c r="CY654" s="45">
        <v>650</v>
      </c>
      <c r="CZ654" s="45">
        <v>6.4254772293776128</v>
      </c>
      <c r="DA654" s="45" t="str">
        <v>Invest</v>
      </c>
      <c r="DU654" s="52"/>
      <c r="DV654" s="50"/>
    </row>
    <row r="655" spans="86:126" ht="23.5">
      <c r="CH655" s="45">
        <v>651</v>
      </c>
      <c r="CI655" s="45">
        <v>52.487659693231258</v>
      </c>
      <c r="CJ655" s="45" t="str">
        <v>Invest</v>
      </c>
      <c r="CM655" s="45">
        <v>651</v>
      </c>
      <c r="CN655" s="48">
        <v>11.581041182567748</v>
      </c>
      <c r="CO655" s="45" t="str">
        <v>Invest</v>
      </c>
      <c r="CP655" s="61"/>
      <c r="CQ655" s="45">
        <v>651</v>
      </c>
      <c r="CR655" s="45">
        <v>0</v>
      </c>
      <c r="CS655" s="45" t="str">
        <v>Nothing</v>
      </c>
      <c r="CT655" s="61"/>
      <c r="CU655" s="45">
        <v>651</v>
      </c>
      <c r="CV655" s="45">
        <v>0</v>
      </c>
      <c r="CW655" s="45" t="str">
        <v>Nothing</v>
      </c>
      <c r="CX655" s="61"/>
      <c r="CY655" s="45">
        <v>651</v>
      </c>
      <c r="CZ655" s="45">
        <v>51.373075613328886</v>
      </c>
      <c r="DA655" s="45" t="str">
        <v>Invest</v>
      </c>
      <c r="DU655" s="52"/>
      <c r="DV655" s="50"/>
    </row>
    <row r="656" spans="86:126" ht="23.5">
      <c r="CH656" s="45">
        <v>652</v>
      </c>
      <c r="CI656" s="45">
        <v>21.671838545140901</v>
      </c>
      <c r="CJ656" s="45" t="str">
        <v>Invest</v>
      </c>
      <c r="CM656" s="45">
        <v>652</v>
      </c>
      <c r="CN656" s="48">
        <v>32.114004107818204</v>
      </c>
      <c r="CO656" s="45" t="str">
        <v>Invest</v>
      </c>
      <c r="CP656" s="61"/>
      <c r="CQ656" s="45">
        <v>652</v>
      </c>
      <c r="CR656" s="45">
        <v>6.9898555310713206E-2</v>
      </c>
      <c r="CS656" s="45" t="str">
        <v>Invest</v>
      </c>
      <c r="CT656" s="61"/>
      <c r="CU656" s="45">
        <v>652</v>
      </c>
      <c r="CV656" s="45">
        <v>0</v>
      </c>
      <c r="CW656" s="45" t="str">
        <v>Nothing</v>
      </c>
      <c r="CX656" s="61"/>
      <c r="CY656" s="45">
        <v>652</v>
      </c>
      <c r="CZ656" s="45">
        <v>6.9920705722589851</v>
      </c>
      <c r="DA656" s="45" t="str">
        <v>Invest</v>
      </c>
      <c r="DU656" s="52"/>
      <c r="DV656" s="50"/>
    </row>
    <row r="657" spans="86:126" ht="23.5">
      <c r="CH657" s="45">
        <v>653</v>
      </c>
      <c r="CI657" s="45">
        <v>4.9123698523135442</v>
      </c>
      <c r="CJ657" s="45" t="str">
        <v>Invest</v>
      </c>
      <c r="CM657" s="45">
        <v>653</v>
      </c>
      <c r="CN657" s="48">
        <v>61.754890415233341</v>
      </c>
      <c r="CO657" s="45" t="str">
        <v>Invest</v>
      </c>
      <c r="CP657" s="61"/>
      <c r="CQ657" s="45">
        <v>653</v>
      </c>
      <c r="CR657" s="45">
        <v>15.207407100002779</v>
      </c>
      <c r="CS657" s="45" t="str">
        <v>Invest</v>
      </c>
      <c r="CT657" s="61"/>
      <c r="CU657" s="45">
        <v>653</v>
      </c>
      <c r="CV657" s="45">
        <v>25.965005581453262</v>
      </c>
      <c r="CW657" s="45" t="str">
        <v>Invest</v>
      </c>
      <c r="CX657" s="61"/>
      <c r="CY657" s="45">
        <v>653</v>
      </c>
      <c r="CZ657" s="45">
        <v>37.105595600698088</v>
      </c>
      <c r="DA657" s="45" t="str">
        <v>Invest</v>
      </c>
      <c r="DU657" s="52"/>
      <c r="DV657" s="50"/>
    </row>
    <row r="658" spans="86:126" ht="23.5">
      <c r="CH658" s="45">
        <v>654</v>
      </c>
      <c r="CI658" s="45">
        <v>39.9559961452618</v>
      </c>
      <c r="CJ658" s="45" t="str">
        <v>Invest</v>
      </c>
      <c r="CM658" s="45">
        <v>654</v>
      </c>
      <c r="CN658" s="48">
        <v>21.537937683446501</v>
      </c>
      <c r="CO658" s="45" t="str">
        <v>Invest</v>
      </c>
      <c r="CP658" s="61"/>
      <c r="CQ658" s="45">
        <v>654</v>
      </c>
      <c r="CR658" s="45">
        <v>1.2602183092746628</v>
      </c>
      <c r="CS658" s="45" t="str">
        <v>Invest</v>
      </c>
      <c r="CT658" s="61"/>
      <c r="CU658" s="45">
        <v>654</v>
      </c>
      <c r="CV658" s="45">
        <v>0</v>
      </c>
      <c r="CW658" s="45" t="str">
        <v>Nothing</v>
      </c>
      <c r="CX658" s="61"/>
      <c r="CY658" s="45">
        <v>654</v>
      </c>
      <c r="CZ658" s="45">
        <v>17.087267738892226</v>
      </c>
      <c r="DA658" s="45" t="str">
        <v>Invest</v>
      </c>
      <c r="DU658" s="52"/>
      <c r="DV658" s="50"/>
    </row>
    <row r="659" spans="86:126" ht="23.5">
      <c r="CH659" s="45">
        <v>655</v>
      </c>
      <c r="CI659" s="45">
        <v>2.8913137072535449</v>
      </c>
      <c r="CJ659" s="45" t="str">
        <v>Invest</v>
      </c>
      <c r="CM659" s="45">
        <v>655</v>
      </c>
      <c r="CN659" s="48">
        <v>4.3079347766617815</v>
      </c>
      <c r="CO659" s="45" t="str">
        <v>Invest</v>
      </c>
      <c r="CP659" s="61"/>
      <c r="CQ659" s="45">
        <v>655</v>
      </c>
      <c r="CR659" s="45">
        <v>12.565345157749395</v>
      </c>
      <c r="CS659" s="45" t="str">
        <v>Invest</v>
      </c>
      <c r="CT659" s="61"/>
      <c r="CU659" s="45">
        <v>655</v>
      </c>
      <c r="CV659" s="45">
        <v>22.93480363969568</v>
      </c>
      <c r="CW659" s="45" t="str">
        <v>Invest</v>
      </c>
      <c r="CX659" s="61"/>
      <c r="CY659" s="45">
        <v>655</v>
      </c>
      <c r="CZ659" s="45">
        <v>0</v>
      </c>
      <c r="DA659" s="45" t="str">
        <v>Nothing</v>
      </c>
      <c r="DU659" s="52"/>
      <c r="DV659" s="50"/>
    </row>
    <row r="660" spans="86:126" ht="23.5">
      <c r="CH660" s="45">
        <v>656</v>
      </c>
      <c r="CI660" s="45">
        <v>29.987132482122792</v>
      </c>
      <c r="CJ660" s="45" t="str">
        <v>Invest</v>
      </c>
      <c r="CM660" s="45">
        <v>656</v>
      </c>
      <c r="CN660" s="48">
        <v>23.521430461014305</v>
      </c>
      <c r="CO660" s="45" t="str">
        <v>Invest</v>
      </c>
      <c r="CP660" s="61"/>
      <c r="CQ660" s="45">
        <v>656</v>
      </c>
      <c r="CR660" s="45">
        <v>51.781265568587628</v>
      </c>
      <c r="CS660" s="45" t="str">
        <v>Invest</v>
      </c>
      <c r="CT660" s="61"/>
      <c r="CU660" s="45">
        <v>656</v>
      </c>
      <c r="CV660" s="45">
        <v>10.102755102150599</v>
      </c>
      <c r="CW660" s="45" t="str">
        <v>Invest</v>
      </c>
      <c r="CX660" s="61"/>
      <c r="CY660" s="45">
        <v>656</v>
      </c>
      <c r="CZ660" s="45">
        <v>0</v>
      </c>
      <c r="DA660" s="45" t="str">
        <v>Nothing</v>
      </c>
      <c r="DU660" s="52"/>
      <c r="DV660" s="50"/>
    </row>
    <row r="661" spans="86:126" ht="23.5">
      <c r="CH661" s="45">
        <v>657</v>
      </c>
      <c r="CI661" s="45">
        <v>33.419840209510639</v>
      </c>
      <c r="CJ661" s="45" t="str">
        <v>Invest</v>
      </c>
      <c r="CM661" s="45">
        <v>657</v>
      </c>
      <c r="CN661" s="48">
        <v>1.2575472301171011</v>
      </c>
      <c r="CO661" s="45" t="str">
        <v>Invest</v>
      </c>
      <c r="CP661" s="61"/>
      <c r="CQ661" s="45">
        <v>657</v>
      </c>
      <c r="CR661" s="45">
        <v>36.688852486867781</v>
      </c>
      <c r="CS661" s="45" t="str">
        <v>Invest</v>
      </c>
      <c r="CT661" s="61"/>
      <c r="CU661" s="45">
        <v>657</v>
      </c>
      <c r="CV661" s="45">
        <v>18.893113557439811</v>
      </c>
      <c r="CW661" s="45" t="str">
        <v>Invest</v>
      </c>
      <c r="CX661" s="61"/>
      <c r="CY661" s="45">
        <v>657</v>
      </c>
      <c r="CZ661" s="45">
        <v>0</v>
      </c>
      <c r="DA661" s="45" t="str">
        <v>Nothing</v>
      </c>
      <c r="DU661" s="52"/>
      <c r="DV661" s="50"/>
    </row>
    <row r="662" spans="86:126" ht="23.5">
      <c r="CH662" s="45">
        <v>658</v>
      </c>
      <c r="CI662" s="45">
        <v>0</v>
      </c>
      <c r="CJ662" s="45" t="str">
        <v>Nothing</v>
      </c>
      <c r="CM662" s="45">
        <v>658</v>
      </c>
      <c r="CN662" s="48">
        <v>0</v>
      </c>
      <c r="CO662" s="45" t="str">
        <v>Nothing</v>
      </c>
      <c r="CP662" s="61"/>
      <c r="CQ662" s="45">
        <v>658</v>
      </c>
      <c r="CR662" s="45">
        <v>37.59100071915681</v>
      </c>
      <c r="CS662" s="45" t="str">
        <v>Invest</v>
      </c>
      <c r="CT662" s="61"/>
      <c r="CU662" s="45">
        <v>658</v>
      </c>
      <c r="CV662" s="45">
        <v>23.324594192153508</v>
      </c>
      <c r="CW662" s="45" t="str">
        <v>Invest</v>
      </c>
      <c r="CX662" s="61"/>
      <c r="CY662" s="45">
        <v>658</v>
      </c>
      <c r="CZ662" s="45">
        <v>44.690498408494477</v>
      </c>
      <c r="DA662" s="45" t="str">
        <v>Invest</v>
      </c>
      <c r="DU662" s="52"/>
      <c r="DV662" s="50"/>
    </row>
    <row r="663" spans="86:126" ht="23.5">
      <c r="CH663" s="45">
        <v>659</v>
      </c>
      <c r="CI663" s="45">
        <v>0</v>
      </c>
      <c r="CJ663" s="45" t="str">
        <v>Nothing</v>
      </c>
      <c r="CM663" s="45">
        <v>659</v>
      </c>
      <c r="CN663" s="48">
        <v>0</v>
      </c>
      <c r="CO663" s="45" t="str">
        <v>Nothing</v>
      </c>
      <c r="CP663" s="61"/>
      <c r="CQ663" s="45">
        <v>659</v>
      </c>
      <c r="CR663" s="45">
        <v>0</v>
      </c>
      <c r="CS663" s="45" t="str">
        <v>Nothing</v>
      </c>
      <c r="CT663" s="61"/>
      <c r="CU663" s="45">
        <v>659</v>
      </c>
      <c r="CV663" s="45">
        <v>16.56514025938894</v>
      </c>
      <c r="CW663" s="45" t="str">
        <v>Invest</v>
      </c>
      <c r="CX663" s="61"/>
      <c r="CY663" s="45">
        <v>659</v>
      </c>
      <c r="CZ663" s="45">
        <v>29.700310262085843</v>
      </c>
      <c r="DA663" s="45" t="str">
        <v>Invest</v>
      </c>
      <c r="DU663" s="52"/>
      <c r="DV663" s="50"/>
    </row>
    <row r="664" spans="86:126" ht="23.5">
      <c r="CH664" s="45">
        <v>660</v>
      </c>
      <c r="CI664" s="45">
        <v>45.976606758739052</v>
      </c>
      <c r="CJ664" s="45" t="str">
        <v>Invest</v>
      </c>
      <c r="CM664" s="45">
        <v>660</v>
      </c>
      <c r="CN664" s="48">
        <v>9.5083403107074318</v>
      </c>
      <c r="CO664" s="45" t="str">
        <v>Invest</v>
      </c>
      <c r="CP664" s="61"/>
      <c r="CQ664" s="45">
        <v>660</v>
      </c>
      <c r="CR664" s="45">
        <v>4.3730985604832995</v>
      </c>
      <c r="CS664" s="45" t="str">
        <v>Invest</v>
      </c>
      <c r="CT664" s="61"/>
      <c r="CU664" s="45">
        <v>660</v>
      </c>
      <c r="CV664" s="45">
        <v>26.086227886830866</v>
      </c>
      <c r="CW664" s="45" t="str">
        <v>Invest</v>
      </c>
      <c r="CX664" s="61"/>
      <c r="CY664" s="45">
        <v>660</v>
      </c>
      <c r="CZ664" s="45">
        <v>3.837030234303624</v>
      </c>
      <c r="DA664" s="45" t="str">
        <v>Invest</v>
      </c>
      <c r="DU664" s="52"/>
      <c r="DV664" s="50"/>
    </row>
    <row r="665" spans="86:126" ht="23.5">
      <c r="CH665" s="45">
        <v>661</v>
      </c>
      <c r="CI665" s="45">
        <v>32.000580611758139</v>
      </c>
      <c r="CJ665" s="45" t="str">
        <v>Invest</v>
      </c>
      <c r="CM665" s="45">
        <v>661</v>
      </c>
      <c r="CN665" s="48">
        <v>2.9559202885937861</v>
      </c>
      <c r="CO665" s="45" t="str">
        <v>Invest</v>
      </c>
      <c r="CP665" s="61"/>
      <c r="CQ665" s="45">
        <v>661</v>
      </c>
      <c r="CR665" s="45">
        <v>21.691351891617646</v>
      </c>
      <c r="CS665" s="45" t="str">
        <v>Invest</v>
      </c>
      <c r="CT665" s="61"/>
      <c r="CU665" s="45">
        <v>661</v>
      </c>
      <c r="CV665" s="45">
        <v>21.515630195864048</v>
      </c>
      <c r="CW665" s="45" t="str">
        <v>Invest</v>
      </c>
      <c r="CX665" s="61"/>
      <c r="CY665" s="45">
        <v>661</v>
      </c>
      <c r="CZ665" s="45">
        <v>24.953472123315578</v>
      </c>
      <c r="DA665" s="45" t="str">
        <v>Invest</v>
      </c>
      <c r="DU665" s="52"/>
      <c r="DV665" s="50"/>
    </row>
    <row r="666" spans="86:126" ht="23.5">
      <c r="CH666" s="45">
        <v>662</v>
      </c>
      <c r="CI666" s="45">
        <v>6.1958825933140353</v>
      </c>
      <c r="CJ666" s="45" t="str">
        <v>Invest</v>
      </c>
      <c r="CM666" s="45">
        <v>662</v>
      </c>
      <c r="CN666" s="48">
        <v>10.624890588720184</v>
      </c>
      <c r="CO666" s="45" t="str">
        <v>Invest</v>
      </c>
      <c r="CP666" s="61"/>
      <c r="CQ666" s="45">
        <v>662</v>
      </c>
      <c r="CR666" s="45">
        <v>20.43965816406817</v>
      </c>
      <c r="CS666" s="45" t="str">
        <v>Invest</v>
      </c>
      <c r="CT666" s="61"/>
      <c r="CU666" s="45">
        <v>662</v>
      </c>
      <c r="CV666" s="45">
        <v>0.10618331101000145</v>
      </c>
      <c r="CW666" s="45" t="str">
        <v>Invest</v>
      </c>
      <c r="CX666" s="61"/>
      <c r="CY666" s="45">
        <v>662</v>
      </c>
      <c r="CZ666" s="45">
        <v>0</v>
      </c>
      <c r="DA666" s="45" t="str">
        <v>Nothing</v>
      </c>
      <c r="DU666" s="52"/>
      <c r="DV666" s="50"/>
    </row>
    <row r="667" spans="86:126" ht="23.5">
      <c r="CH667" s="45">
        <v>663</v>
      </c>
      <c r="CI667" s="45">
        <v>34.329370822123295</v>
      </c>
      <c r="CJ667" s="45" t="str">
        <v>Invest</v>
      </c>
      <c r="CM667" s="45">
        <v>663</v>
      </c>
      <c r="CN667" s="48">
        <v>10.565856313824899</v>
      </c>
      <c r="CO667" s="45" t="str">
        <v>Invest</v>
      </c>
      <c r="CP667" s="61"/>
      <c r="CQ667" s="45">
        <v>663</v>
      </c>
      <c r="CR667" s="45">
        <v>32.107760065461171</v>
      </c>
      <c r="CS667" s="45" t="str">
        <v>Invest</v>
      </c>
      <c r="CT667" s="61"/>
      <c r="CU667" s="45">
        <v>663</v>
      </c>
      <c r="CV667" s="45">
        <v>10.059988228406921</v>
      </c>
      <c r="CW667" s="45" t="str">
        <v>Invest</v>
      </c>
      <c r="CX667" s="61"/>
      <c r="CY667" s="45">
        <v>663</v>
      </c>
      <c r="CZ667" s="45">
        <v>38.375032140721935</v>
      </c>
      <c r="DA667" s="45" t="str">
        <v>Invest</v>
      </c>
      <c r="DU667" s="52"/>
      <c r="DV667" s="50"/>
    </row>
    <row r="668" spans="86:126" ht="23.5">
      <c r="CH668" s="45">
        <v>664</v>
      </c>
      <c r="CI668" s="45">
        <v>0</v>
      </c>
      <c r="CJ668" s="45" t="str">
        <v>Nothing</v>
      </c>
      <c r="CM668" s="45">
        <v>664</v>
      </c>
      <c r="CN668" s="48">
        <v>21.274647095827923</v>
      </c>
      <c r="CO668" s="45" t="str">
        <v>Invest</v>
      </c>
      <c r="CP668" s="61"/>
      <c r="CQ668" s="45">
        <v>664</v>
      </c>
      <c r="CR668" s="45">
        <v>0</v>
      </c>
      <c r="CS668" s="45" t="str">
        <v>Nothing</v>
      </c>
      <c r="CT668" s="61"/>
      <c r="CU668" s="45">
        <v>664</v>
      </c>
      <c r="CV668" s="45">
        <v>54.38479309086523</v>
      </c>
      <c r="CW668" s="45" t="str">
        <v>Invest</v>
      </c>
      <c r="CX668" s="61"/>
      <c r="CY668" s="45">
        <v>664</v>
      </c>
      <c r="CZ668" s="45">
        <v>16.066760817493844</v>
      </c>
      <c r="DA668" s="45" t="str">
        <v>Invest</v>
      </c>
      <c r="DU668" s="52"/>
      <c r="DV668" s="50"/>
    </row>
    <row r="669" spans="86:126" ht="23.5">
      <c r="CH669" s="45">
        <v>665</v>
      </c>
      <c r="CI669" s="45">
        <v>23.457308370671608</v>
      </c>
      <c r="CJ669" s="45" t="str">
        <v>Invest</v>
      </c>
      <c r="CM669" s="45">
        <v>665</v>
      </c>
      <c r="CN669" s="48">
        <v>17.867740842224613</v>
      </c>
      <c r="CO669" s="45" t="str">
        <v>Invest</v>
      </c>
      <c r="CP669" s="61"/>
      <c r="CQ669" s="45">
        <v>665</v>
      </c>
      <c r="CR669" s="45">
        <v>36.07823353431926</v>
      </c>
      <c r="CS669" s="45" t="str">
        <v>Invest</v>
      </c>
      <c r="CT669" s="61"/>
      <c r="CU669" s="45">
        <v>665</v>
      </c>
      <c r="CV669" s="45">
        <v>0</v>
      </c>
      <c r="CW669" s="45" t="str">
        <v>Nothing</v>
      </c>
      <c r="CX669" s="61"/>
      <c r="CY669" s="45">
        <v>665</v>
      </c>
      <c r="CZ669" s="45">
        <v>16.923649806080128</v>
      </c>
      <c r="DA669" s="45" t="str">
        <v>Invest</v>
      </c>
      <c r="DU669" s="52"/>
      <c r="DV669" s="50"/>
    </row>
    <row r="670" spans="86:126" ht="23.5">
      <c r="CH670" s="45">
        <v>666</v>
      </c>
      <c r="CI670" s="45">
        <v>0</v>
      </c>
      <c r="CJ670" s="45" t="str">
        <v>Nothing</v>
      </c>
      <c r="CM670" s="45">
        <v>666</v>
      </c>
      <c r="CN670" s="48">
        <v>27.986842511791188</v>
      </c>
      <c r="CO670" s="45" t="str">
        <v>Invest</v>
      </c>
      <c r="CP670" s="61"/>
      <c r="CQ670" s="45">
        <v>666</v>
      </c>
      <c r="CR670" s="45">
        <v>62.479892258733543</v>
      </c>
      <c r="CS670" s="45" t="str">
        <v>Invest</v>
      </c>
      <c r="CT670" s="61"/>
      <c r="CU670" s="45">
        <v>666</v>
      </c>
      <c r="CV670" s="45">
        <v>23.780106932570224</v>
      </c>
      <c r="CW670" s="45" t="str">
        <v>Invest</v>
      </c>
      <c r="CX670" s="61"/>
      <c r="CY670" s="45">
        <v>666</v>
      </c>
      <c r="CZ670" s="45">
        <v>45.690715535837029</v>
      </c>
      <c r="DA670" s="45" t="str">
        <v>Invest</v>
      </c>
      <c r="DU670" s="52"/>
      <c r="DV670" s="50"/>
    </row>
    <row r="671" spans="86:126" ht="23.5">
      <c r="CH671" s="45">
        <v>667</v>
      </c>
      <c r="CI671" s="45">
        <v>1.2749045702001673</v>
      </c>
      <c r="CJ671" s="45" t="str">
        <v>Invest</v>
      </c>
      <c r="CM671" s="45">
        <v>667</v>
      </c>
      <c r="CN671" s="48">
        <v>40.334879825159341</v>
      </c>
      <c r="CO671" s="45" t="str">
        <v>Invest</v>
      </c>
      <c r="CP671" s="61"/>
      <c r="CQ671" s="45">
        <v>667</v>
      </c>
      <c r="CR671" s="45">
        <v>0</v>
      </c>
      <c r="CS671" s="45" t="str">
        <v>Nothing</v>
      </c>
      <c r="CT671" s="61"/>
      <c r="CU671" s="45">
        <v>667</v>
      </c>
      <c r="CV671" s="45">
        <v>6.5106658022099317</v>
      </c>
      <c r="CW671" s="45" t="str">
        <v>Invest</v>
      </c>
      <c r="CX671" s="61"/>
      <c r="CY671" s="45">
        <v>667</v>
      </c>
      <c r="CZ671" s="45">
        <v>24.604502984578009</v>
      </c>
      <c r="DA671" s="45" t="str">
        <v>Invest</v>
      </c>
      <c r="DU671" s="52"/>
      <c r="DV671" s="50"/>
    </row>
    <row r="672" spans="86:126" ht="23.5">
      <c r="CH672" s="45">
        <v>668</v>
      </c>
      <c r="CI672" s="45">
        <v>30.219046026541942</v>
      </c>
      <c r="CJ672" s="45" t="str">
        <v>Invest</v>
      </c>
      <c r="CM672" s="45">
        <v>668</v>
      </c>
      <c r="CN672" s="48">
        <v>3.0564056652789731</v>
      </c>
      <c r="CO672" s="45" t="str">
        <v>Invest</v>
      </c>
      <c r="CP672" s="61"/>
      <c r="CQ672" s="45">
        <v>668</v>
      </c>
      <c r="CR672" s="45">
        <v>23.015870852364319</v>
      </c>
      <c r="CS672" s="45" t="str">
        <v>Invest</v>
      </c>
      <c r="CT672" s="61"/>
      <c r="CU672" s="45">
        <v>668</v>
      </c>
      <c r="CV672" s="45">
        <v>0</v>
      </c>
      <c r="CW672" s="45" t="str">
        <v>Nothing</v>
      </c>
      <c r="CX672" s="61"/>
      <c r="CY672" s="45">
        <v>668</v>
      </c>
      <c r="CZ672" s="45">
        <v>10.165412436889529</v>
      </c>
      <c r="DA672" s="45" t="str">
        <v>Invest</v>
      </c>
      <c r="DU672" s="52"/>
      <c r="DV672" s="50"/>
    </row>
    <row r="673" spans="86:126" ht="23.5">
      <c r="CH673" s="45">
        <v>669</v>
      </c>
      <c r="CI673" s="45">
        <v>0</v>
      </c>
      <c r="CJ673" s="45" t="str">
        <v>Nothing</v>
      </c>
      <c r="CM673" s="45">
        <v>669</v>
      </c>
      <c r="CN673" s="48">
        <v>8.0176837835116856</v>
      </c>
      <c r="CO673" s="45" t="str">
        <v>Invest</v>
      </c>
      <c r="CP673" s="61"/>
      <c r="CQ673" s="45">
        <v>669</v>
      </c>
      <c r="CR673" s="45">
        <v>0</v>
      </c>
      <c r="CS673" s="45" t="str">
        <v>Nothing</v>
      </c>
      <c r="CT673" s="61"/>
      <c r="CU673" s="45">
        <v>669</v>
      </c>
      <c r="CV673" s="45">
        <v>30.919701347908575</v>
      </c>
      <c r="CW673" s="45" t="str">
        <v>Invest</v>
      </c>
      <c r="CX673" s="61"/>
      <c r="CY673" s="45">
        <v>669</v>
      </c>
      <c r="CZ673" s="45">
        <v>42.2641120887751</v>
      </c>
      <c r="DA673" s="45" t="str">
        <v>Invest</v>
      </c>
      <c r="DU673" s="52"/>
      <c r="DV673" s="50"/>
    </row>
    <row r="674" spans="86:126" ht="23.5">
      <c r="CH674" s="45">
        <v>670</v>
      </c>
      <c r="CI674" s="45">
        <v>63.480465946291567</v>
      </c>
      <c r="CJ674" s="45" t="str">
        <v>Invest</v>
      </c>
      <c r="CM674" s="45">
        <v>670</v>
      </c>
      <c r="CN674" s="48">
        <v>19.932987044512455</v>
      </c>
      <c r="CO674" s="45" t="str">
        <v>Invest</v>
      </c>
      <c r="CP674" s="61"/>
      <c r="CQ674" s="45">
        <v>670</v>
      </c>
      <c r="CR674" s="45">
        <v>37.009993658571389</v>
      </c>
      <c r="CS674" s="45" t="str">
        <v>Invest</v>
      </c>
      <c r="CT674" s="61"/>
      <c r="CU674" s="45">
        <v>670</v>
      </c>
      <c r="CV674" s="45">
        <v>0</v>
      </c>
      <c r="CW674" s="45" t="str">
        <v>Nothing</v>
      </c>
      <c r="CX674" s="61"/>
      <c r="CY674" s="45">
        <v>670</v>
      </c>
      <c r="CZ674" s="45">
        <v>0</v>
      </c>
      <c r="DA674" s="45" t="str">
        <v>Nothing</v>
      </c>
      <c r="DU674" s="52"/>
      <c r="DV674" s="50"/>
    </row>
    <row r="675" spans="86:126" ht="23.5">
      <c r="CH675" s="45">
        <v>671</v>
      </c>
      <c r="CI675" s="45">
        <v>19.198500097872881</v>
      </c>
      <c r="CJ675" s="45" t="str">
        <v>Invest</v>
      </c>
      <c r="CM675" s="45">
        <v>671</v>
      </c>
      <c r="CN675" s="48">
        <v>0</v>
      </c>
      <c r="CO675" s="45" t="str">
        <v>Nothing</v>
      </c>
      <c r="CP675" s="61"/>
      <c r="CQ675" s="45">
        <v>671</v>
      </c>
      <c r="CR675" s="45">
        <v>26.349934125938386</v>
      </c>
      <c r="CS675" s="45" t="str">
        <v>Invest</v>
      </c>
      <c r="CT675" s="61"/>
      <c r="CU675" s="45">
        <v>671</v>
      </c>
      <c r="CV675" s="45">
        <v>61.483332048788199</v>
      </c>
      <c r="CW675" s="45" t="str">
        <v>Invest</v>
      </c>
      <c r="CX675" s="61"/>
      <c r="CY675" s="45">
        <v>671</v>
      </c>
      <c r="CZ675" s="45">
        <v>20.368241932840782</v>
      </c>
      <c r="DA675" s="45" t="str">
        <v>Invest</v>
      </c>
      <c r="DU675" s="52"/>
      <c r="DV675" s="50"/>
    </row>
    <row r="676" spans="86:126" ht="23.5">
      <c r="CH676" s="45">
        <v>672</v>
      </c>
      <c r="CI676" s="45">
        <v>38.522492926156723</v>
      </c>
      <c r="CJ676" s="45" t="str">
        <v>Invest</v>
      </c>
      <c r="CM676" s="45">
        <v>672</v>
      </c>
      <c r="CN676" s="48">
        <v>8.1706605055920232</v>
      </c>
      <c r="CO676" s="45" t="str">
        <v>Invest</v>
      </c>
      <c r="CP676" s="61"/>
      <c r="CQ676" s="45">
        <v>672</v>
      </c>
      <c r="CR676" s="45">
        <v>0</v>
      </c>
      <c r="CS676" s="45" t="str">
        <v>Nothing</v>
      </c>
      <c r="CT676" s="61"/>
      <c r="CU676" s="45">
        <v>672</v>
      </c>
      <c r="CV676" s="45">
        <v>24.555618621776354</v>
      </c>
      <c r="CW676" s="45" t="str">
        <v>Invest</v>
      </c>
      <c r="CX676" s="61"/>
      <c r="CY676" s="45">
        <v>672</v>
      </c>
      <c r="CZ676" s="45">
        <v>0</v>
      </c>
      <c r="DA676" s="45" t="str">
        <v>Nothing</v>
      </c>
      <c r="DU676" s="52"/>
      <c r="DV676" s="50"/>
    </row>
    <row r="677" spans="86:126" ht="23.5">
      <c r="CH677" s="45">
        <v>673</v>
      </c>
      <c r="CI677" s="45">
        <v>37.876413865142965</v>
      </c>
      <c r="CJ677" s="45" t="str">
        <v>Invest</v>
      </c>
      <c r="CM677" s="45">
        <v>673</v>
      </c>
      <c r="CN677" s="48">
        <v>0</v>
      </c>
      <c r="CO677" s="45" t="str">
        <v>Nothing</v>
      </c>
      <c r="CP677" s="61"/>
      <c r="CQ677" s="45">
        <v>673</v>
      </c>
      <c r="CR677" s="45">
        <v>24.401417922064432</v>
      </c>
      <c r="CS677" s="45" t="str">
        <v>Invest</v>
      </c>
      <c r="CT677" s="61"/>
      <c r="CU677" s="45">
        <v>673</v>
      </c>
      <c r="CV677" s="45">
        <v>19.303237568217718</v>
      </c>
      <c r="CW677" s="45" t="str">
        <v>Invest</v>
      </c>
      <c r="CX677" s="61"/>
      <c r="CY677" s="45">
        <v>673</v>
      </c>
      <c r="CZ677" s="45">
        <v>31.118632644718986</v>
      </c>
      <c r="DA677" s="45" t="str">
        <v>Invest</v>
      </c>
      <c r="DU677" s="52"/>
      <c r="DV677" s="50"/>
    </row>
    <row r="678" spans="86:126" ht="23.5">
      <c r="CH678" s="45">
        <v>674</v>
      </c>
      <c r="CI678" s="45">
        <v>11.811081511818037</v>
      </c>
      <c r="CJ678" s="45" t="str">
        <v>Invest</v>
      </c>
      <c r="CM678" s="45">
        <v>674</v>
      </c>
      <c r="CN678" s="48">
        <v>23.586759322773219</v>
      </c>
      <c r="CO678" s="45" t="str">
        <v>Invest</v>
      </c>
      <c r="CP678" s="61"/>
      <c r="CQ678" s="45">
        <v>674</v>
      </c>
      <c r="CR678" s="45">
        <v>11.430730636419741</v>
      </c>
      <c r="CS678" s="45" t="str">
        <v>Invest</v>
      </c>
      <c r="CT678" s="61"/>
      <c r="CU678" s="45">
        <v>674</v>
      </c>
      <c r="CV678" s="45">
        <v>3.8207638214725819</v>
      </c>
      <c r="CW678" s="45" t="str">
        <v>Invest</v>
      </c>
      <c r="CX678" s="61"/>
      <c r="CY678" s="45">
        <v>674</v>
      </c>
      <c r="CZ678" s="45">
        <v>60.09039934823808</v>
      </c>
      <c r="DA678" s="45" t="str">
        <v>Invest</v>
      </c>
      <c r="DU678" s="52"/>
      <c r="DV678" s="50"/>
    </row>
    <row r="679" spans="86:126" ht="23.5">
      <c r="CH679" s="45">
        <v>675</v>
      </c>
      <c r="CI679" s="45">
        <v>63.394984945388842</v>
      </c>
      <c r="CJ679" s="45" t="str">
        <v>Invest</v>
      </c>
      <c r="CM679" s="45">
        <v>675</v>
      </c>
      <c r="CN679" s="48">
        <v>0</v>
      </c>
      <c r="CO679" s="45" t="str">
        <v>Nothing</v>
      </c>
      <c r="CP679" s="61"/>
      <c r="CQ679" s="45">
        <v>675</v>
      </c>
      <c r="CR679" s="45">
        <v>0</v>
      </c>
      <c r="CS679" s="45" t="str">
        <v>Nothing</v>
      </c>
      <c r="CT679" s="61"/>
      <c r="CU679" s="45">
        <v>675</v>
      </c>
      <c r="CV679" s="45">
        <v>18.995336636555614</v>
      </c>
      <c r="CW679" s="45" t="str">
        <v>Invest</v>
      </c>
      <c r="CX679" s="61"/>
      <c r="CY679" s="45">
        <v>675</v>
      </c>
      <c r="CZ679" s="45">
        <v>17.790617136786295</v>
      </c>
      <c r="DA679" s="45" t="str">
        <v>Invest</v>
      </c>
      <c r="DU679" s="52"/>
      <c r="DV679" s="50"/>
    </row>
    <row r="680" spans="86:126" ht="23.5">
      <c r="CH680" s="45">
        <v>676</v>
      </c>
      <c r="CI680" s="45">
        <v>0</v>
      </c>
      <c r="CJ680" s="45" t="str">
        <v>Nothing</v>
      </c>
      <c r="CM680" s="45">
        <v>676</v>
      </c>
      <c r="CN680" s="48">
        <v>0</v>
      </c>
      <c r="CO680" s="45" t="str">
        <v>Nothing</v>
      </c>
      <c r="CP680" s="61"/>
      <c r="CQ680" s="45">
        <v>676</v>
      </c>
      <c r="CR680" s="45">
        <v>25.496887948659591</v>
      </c>
      <c r="CS680" s="45" t="str">
        <v>Invest</v>
      </c>
      <c r="CT680" s="61"/>
      <c r="CU680" s="45">
        <v>676</v>
      </c>
      <c r="CV680" s="45">
        <v>0</v>
      </c>
      <c r="CW680" s="45" t="str">
        <v>Nothing</v>
      </c>
      <c r="CX680" s="61"/>
      <c r="CY680" s="45">
        <v>676</v>
      </c>
      <c r="CZ680" s="45">
        <v>0</v>
      </c>
      <c r="DA680" s="45" t="str">
        <v>Nothing</v>
      </c>
      <c r="DU680" s="52"/>
      <c r="DV680" s="50"/>
    </row>
    <row r="681" spans="86:126" ht="23.5">
      <c r="CH681" s="45">
        <v>677</v>
      </c>
      <c r="CI681" s="45">
        <v>0</v>
      </c>
      <c r="CJ681" s="45" t="str">
        <v>Nothing</v>
      </c>
      <c r="CM681" s="45">
        <v>677</v>
      </c>
      <c r="CN681" s="48">
        <v>25.065695177234701</v>
      </c>
      <c r="CO681" s="45" t="str">
        <v>Invest</v>
      </c>
      <c r="CP681" s="61"/>
      <c r="CQ681" s="45">
        <v>677</v>
      </c>
      <c r="CR681" s="45">
        <v>1.6734500603363767</v>
      </c>
      <c r="CS681" s="45" t="str">
        <v>Invest</v>
      </c>
      <c r="CT681" s="61"/>
      <c r="CU681" s="45">
        <v>677</v>
      </c>
      <c r="CV681" s="45">
        <v>19.063862978885588</v>
      </c>
      <c r="CW681" s="45" t="str">
        <v>Invest</v>
      </c>
      <c r="CX681" s="61"/>
      <c r="CY681" s="45">
        <v>677</v>
      </c>
      <c r="CZ681" s="45">
        <v>44.854794091907948</v>
      </c>
      <c r="DA681" s="45" t="str">
        <v>Invest</v>
      </c>
      <c r="DU681" s="52"/>
      <c r="DV681" s="50"/>
    </row>
    <row r="682" spans="86:126" ht="23.5">
      <c r="CH682" s="45">
        <v>678</v>
      </c>
      <c r="CI682" s="45">
        <v>26.103626947369648</v>
      </c>
      <c r="CJ682" s="45" t="str">
        <v>Invest</v>
      </c>
      <c r="CM682" s="45">
        <v>678</v>
      </c>
      <c r="CN682" s="48">
        <v>29.705102511025498</v>
      </c>
      <c r="CO682" s="45" t="str">
        <v>Invest</v>
      </c>
      <c r="CP682" s="61"/>
      <c r="CQ682" s="45">
        <v>678</v>
      </c>
      <c r="CR682" s="45">
        <v>0</v>
      </c>
      <c r="CS682" s="45" t="str">
        <v>Nothing</v>
      </c>
      <c r="CT682" s="61"/>
      <c r="CU682" s="45">
        <v>678</v>
      </c>
      <c r="CV682" s="45">
        <v>22.118884274953906</v>
      </c>
      <c r="CW682" s="45" t="str">
        <v>Invest</v>
      </c>
      <c r="CX682" s="61"/>
      <c r="CY682" s="45">
        <v>678</v>
      </c>
      <c r="CZ682" s="45">
        <v>32.205038837021768</v>
      </c>
      <c r="DA682" s="45" t="str">
        <v>Invest</v>
      </c>
      <c r="DU682" s="52"/>
      <c r="DV682" s="50"/>
    </row>
    <row r="683" spans="86:126" ht="23.5">
      <c r="CH683" s="45">
        <v>679</v>
      </c>
      <c r="CI683" s="45">
        <v>36.865572547773816</v>
      </c>
      <c r="CJ683" s="45" t="str">
        <v>Invest</v>
      </c>
      <c r="CM683" s="45">
        <v>679</v>
      </c>
      <c r="CN683" s="48">
        <v>5.3896376624683491</v>
      </c>
      <c r="CO683" s="45" t="str">
        <v>Invest</v>
      </c>
      <c r="CP683" s="61"/>
      <c r="CQ683" s="45">
        <v>679</v>
      </c>
      <c r="CR683" s="45">
        <v>6.9983548450433819</v>
      </c>
      <c r="CS683" s="45" t="str">
        <v>Invest</v>
      </c>
      <c r="CT683" s="61"/>
      <c r="CU683" s="45">
        <v>679</v>
      </c>
      <c r="CV683" s="45">
        <v>28.201559033867618</v>
      </c>
      <c r="CW683" s="45" t="str">
        <v>Invest</v>
      </c>
      <c r="CX683" s="61"/>
      <c r="CY683" s="45">
        <v>679</v>
      </c>
      <c r="CZ683" s="45">
        <v>11.961483178486514</v>
      </c>
      <c r="DA683" s="45" t="str">
        <v>Invest</v>
      </c>
      <c r="DU683" s="52"/>
      <c r="DV683" s="50"/>
    </row>
    <row r="684" spans="86:126" ht="23.5">
      <c r="CH684" s="45">
        <v>680</v>
      </c>
      <c r="CI684" s="45">
        <v>8.0440366065620559</v>
      </c>
      <c r="CJ684" s="45" t="str">
        <v>Invest</v>
      </c>
      <c r="CM684" s="45">
        <v>680</v>
      </c>
      <c r="CN684" s="48">
        <v>20.825920189740671</v>
      </c>
      <c r="CO684" s="45" t="str">
        <v>Invest</v>
      </c>
      <c r="CP684" s="61"/>
      <c r="CQ684" s="45">
        <v>680</v>
      </c>
      <c r="CR684" s="45">
        <v>2.4569095770468934</v>
      </c>
      <c r="CS684" s="45" t="str">
        <v>Invest</v>
      </c>
      <c r="CT684" s="61"/>
      <c r="CU684" s="45">
        <v>680</v>
      </c>
      <c r="CV684" s="45">
        <v>39.039066373203518</v>
      </c>
      <c r="CW684" s="45" t="str">
        <v>Invest</v>
      </c>
      <c r="CX684" s="61"/>
      <c r="CY684" s="45">
        <v>680</v>
      </c>
      <c r="CZ684" s="45">
        <v>19.408545174122168</v>
      </c>
      <c r="DA684" s="45" t="str">
        <v>Invest</v>
      </c>
      <c r="DU684" s="52"/>
      <c r="DV684" s="50"/>
    </row>
    <row r="685" spans="86:126" ht="23.5">
      <c r="CH685" s="45">
        <v>681</v>
      </c>
      <c r="CI685" s="45">
        <v>51.85582930425619</v>
      </c>
      <c r="CJ685" s="45" t="str">
        <v>Invest</v>
      </c>
      <c r="CM685" s="45">
        <v>681</v>
      </c>
      <c r="CN685" s="48">
        <v>30.886864586465862</v>
      </c>
      <c r="CO685" s="45" t="str">
        <v>Invest</v>
      </c>
      <c r="CP685" s="61"/>
      <c r="CQ685" s="45">
        <v>681</v>
      </c>
      <c r="CR685" s="45">
        <v>0</v>
      </c>
      <c r="CS685" s="45" t="str">
        <v>Nothing</v>
      </c>
      <c r="CT685" s="61"/>
      <c r="CU685" s="45">
        <v>681</v>
      </c>
      <c r="CV685" s="45">
        <v>25.109969617630274</v>
      </c>
      <c r="CW685" s="45" t="str">
        <v>Invest</v>
      </c>
      <c r="CX685" s="61"/>
      <c r="CY685" s="45">
        <v>681</v>
      </c>
      <c r="CZ685" s="45">
        <v>23.265456201260093</v>
      </c>
      <c r="DA685" s="45" t="str">
        <v>Invest</v>
      </c>
      <c r="DU685" s="52"/>
      <c r="DV685" s="50"/>
    </row>
    <row r="686" spans="86:126" ht="23.5">
      <c r="CH686" s="45">
        <v>682</v>
      </c>
      <c r="CI686" s="45">
        <v>26.77245012308175</v>
      </c>
      <c r="CJ686" s="45" t="str">
        <v>Invest</v>
      </c>
      <c r="CM686" s="45">
        <v>682</v>
      </c>
      <c r="CN686" s="48">
        <v>55.840634227097844</v>
      </c>
      <c r="CO686" s="45" t="str">
        <v>Invest</v>
      </c>
      <c r="CP686" s="61"/>
      <c r="CQ686" s="45">
        <v>682</v>
      </c>
      <c r="CR686" s="45">
        <v>0</v>
      </c>
      <c r="CS686" s="45" t="str">
        <v>Nothing</v>
      </c>
      <c r="CT686" s="61"/>
      <c r="CU686" s="45">
        <v>682</v>
      </c>
      <c r="CV686" s="45">
        <v>0</v>
      </c>
      <c r="CW686" s="45" t="str">
        <v>Nothing</v>
      </c>
      <c r="CX686" s="61"/>
      <c r="CY686" s="45">
        <v>682</v>
      </c>
      <c r="CZ686" s="45">
        <v>4.0499926309585135</v>
      </c>
      <c r="DA686" s="45" t="str">
        <v>Invest</v>
      </c>
      <c r="DU686" s="52"/>
      <c r="DV686" s="50"/>
    </row>
    <row r="687" spans="86:126" ht="23.5">
      <c r="CH687" s="45">
        <v>683</v>
      </c>
      <c r="CI687" s="45">
        <v>0</v>
      </c>
      <c r="CJ687" s="45" t="str">
        <v>Nothing</v>
      </c>
      <c r="CM687" s="45">
        <v>683</v>
      </c>
      <c r="CN687" s="48">
        <v>36.009067551839152</v>
      </c>
      <c r="CO687" s="45" t="str">
        <v>Invest</v>
      </c>
      <c r="CP687" s="61"/>
      <c r="CQ687" s="45">
        <v>683</v>
      </c>
      <c r="CR687" s="45">
        <v>11.688712111603275</v>
      </c>
      <c r="CS687" s="45" t="str">
        <v>Invest</v>
      </c>
      <c r="CT687" s="61"/>
      <c r="CU687" s="45">
        <v>683</v>
      </c>
      <c r="CV687" s="45">
        <v>12.97083633294751</v>
      </c>
      <c r="CW687" s="45" t="str">
        <v>Invest</v>
      </c>
      <c r="CX687" s="61"/>
      <c r="CY687" s="45">
        <v>683</v>
      </c>
      <c r="CZ687" s="45">
        <v>22.471672215475017</v>
      </c>
      <c r="DA687" s="45" t="str">
        <v>Invest</v>
      </c>
      <c r="DU687" s="52"/>
      <c r="DV687" s="50"/>
    </row>
    <row r="688" spans="86:126" ht="23.5">
      <c r="CH688" s="45">
        <v>684</v>
      </c>
      <c r="CI688" s="45">
        <v>11.06811234644945</v>
      </c>
      <c r="CJ688" s="45" t="str">
        <v>Invest</v>
      </c>
      <c r="CM688" s="45">
        <v>684</v>
      </c>
      <c r="CN688" s="48">
        <v>14.352650139360012</v>
      </c>
      <c r="CO688" s="45" t="str">
        <v>Invest</v>
      </c>
      <c r="CP688" s="61"/>
      <c r="CQ688" s="45">
        <v>684</v>
      </c>
      <c r="CR688" s="45">
        <v>25.354283133977646</v>
      </c>
      <c r="CS688" s="45" t="str">
        <v>Invest</v>
      </c>
      <c r="CT688" s="61"/>
      <c r="CU688" s="45">
        <v>684</v>
      </c>
      <c r="CV688" s="45">
        <v>18.423846288856531</v>
      </c>
      <c r="CW688" s="45" t="str">
        <v>Invest</v>
      </c>
      <c r="CX688" s="61"/>
      <c r="CY688" s="45">
        <v>684</v>
      </c>
      <c r="CZ688" s="45">
        <v>0</v>
      </c>
      <c r="DA688" s="45" t="str">
        <v>Nothing</v>
      </c>
      <c r="DU688" s="52"/>
      <c r="DV688" s="50"/>
    </row>
    <row r="689" spans="86:126" ht="23.5">
      <c r="CH689" s="45">
        <v>685</v>
      </c>
      <c r="CI689" s="45">
        <v>16.16941379129976</v>
      </c>
      <c r="CJ689" s="45" t="str">
        <v>Invest</v>
      </c>
      <c r="CM689" s="45">
        <v>685</v>
      </c>
      <c r="CN689" s="48">
        <v>19.946241283859866</v>
      </c>
      <c r="CO689" s="45" t="str">
        <v>Invest</v>
      </c>
      <c r="CP689" s="61"/>
      <c r="CQ689" s="45">
        <v>685</v>
      </c>
      <c r="CR689" s="45">
        <v>7.6420889451013885</v>
      </c>
      <c r="CS689" s="45" t="str">
        <v>Invest</v>
      </c>
      <c r="CT689" s="61"/>
      <c r="CU689" s="45">
        <v>685</v>
      </c>
      <c r="CV689" s="45">
        <v>35.446173646083388</v>
      </c>
      <c r="CW689" s="45" t="str">
        <v>Invest</v>
      </c>
      <c r="CX689" s="61"/>
      <c r="CY689" s="45">
        <v>685</v>
      </c>
      <c r="CZ689" s="45">
        <v>0</v>
      </c>
      <c r="DA689" s="45" t="str">
        <v>Nothing</v>
      </c>
      <c r="DU689" s="52"/>
      <c r="DV689" s="50"/>
    </row>
    <row r="690" spans="86:126" ht="23.5">
      <c r="CH690" s="45">
        <v>686</v>
      </c>
      <c r="CI690" s="45">
        <v>0</v>
      </c>
      <c r="CJ690" s="45" t="str">
        <v>Nothing</v>
      </c>
      <c r="CM690" s="45">
        <v>686</v>
      </c>
      <c r="CN690" s="48">
        <v>0</v>
      </c>
      <c r="CO690" s="45" t="str">
        <v>Nothing</v>
      </c>
      <c r="CP690" s="61"/>
      <c r="CQ690" s="45">
        <v>686</v>
      </c>
      <c r="CR690" s="45">
        <v>0</v>
      </c>
      <c r="CS690" s="45" t="str">
        <v>Nothing</v>
      </c>
      <c r="CT690" s="61"/>
      <c r="CU690" s="45">
        <v>686</v>
      </c>
      <c r="CV690" s="45">
        <v>22.314827484518325</v>
      </c>
      <c r="CW690" s="45" t="str">
        <v>Invest</v>
      </c>
      <c r="CX690" s="61"/>
      <c r="CY690" s="45">
        <v>686</v>
      </c>
      <c r="CZ690" s="45">
        <v>18.050166788459734</v>
      </c>
      <c r="DA690" s="45" t="str">
        <v>Invest</v>
      </c>
      <c r="DU690" s="52"/>
      <c r="DV690" s="50"/>
    </row>
    <row r="691" spans="86:126" ht="23.5">
      <c r="CH691" s="45">
        <v>687</v>
      </c>
      <c r="CI691" s="45">
        <v>25.545463631283866</v>
      </c>
      <c r="CJ691" s="45" t="str">
        <v>Invest</v>
      </c>
      <c r="CM691" s="45">
        <v>687</v>
      </c>
      <c r="CN691" s="48">
        <v>1.6238338772563949</v>
      </c>
      <c r="CO691" s="45" t="str">
        <v>Invest</v>
      </c>
      <c r="CP691" s="61"/>
      <c r="CQ691" s="45">
        <v>687</v>
      </c>
      <c r="CR691" s="45">
        <v>0</v>
      </c>
      <c r="CS691" s="45" t="str">
        <v>Nothing</v>
      </c>
      <c r="CT691" s="61"/>
      <c r="CU691" s="45">
        <v>687</v>
      </c>
      <c r="CV691" s="45">
        <v>5.4248322314980939</v>
      </c>
      <c r="CW691" s="45" t="str">
        <v>Invest</v>
      </c>
      <c r="CX691" s="61"/>
      <c r="CY691" s="45">
        <v>687</v>
      </c>
      <c r="CZ691" s="45">
        <v>34.609989376101979</v>
      </c>
      <c r="DA691" s="45" t="str">
        <v>Invest</v>
      </c>
      <c r="DU691" s="52"/>
      <c r="DV691" s="50"/>
    </row>
    <row r="692" spans="86:126" ht="23.5">
      <c r="CH692" s="45">
        <v>688</v>
      </c>
      <c r="CI692" s="45">
        <v>0</v>
      </c>
      <c r="CJ692" s="45" t="str">
        <v>Nothing</v>
      </c>
      <c r="CM692" s="45">
        <v>688</v>
      </c>
      <c r="CN692" s="48">
        <v>7.4318261362873805</v>
      </c>
      <c r="CO692" s="45" t="str">
        <v>Invest</v>
      </c>
      <c r="CP692" s="61"/>
      <c r="CQ692" s="45">
        <v>688</v>
      </c>
      <c r="CR692" s="45">
        <v>0</v>
      </c>
      <c r="CS692" s="45" t="str">
        <v>Nothing</v>
      </c>
      <c r="CT692" s="61"/>
      <c r="CU692" s="45">
        <v>688</v>
      </c>
      <c r="CV692" s="45">
        <v>27.284469334971828</v>
      </c>
      <c r="CW692" s="45" t="str">
        <v>Invest</v>
      </c>
      <c r="CX692" s="61"/>
      <c r="CY692" s="45">
        <v>688</v>
      </c>
      <c r="CZ692" s="45">
        <v>20.225810964449455</v>
      </c>
      <c r="DA692" s="45" t="str">
        <v>Invest</v>
      </c>
      <c r="DU692" s="52"/>
      <c r="DV692" s="50"/>
    </row>
    <row r="693" spans="86:126" ht="23.5">
      <c r="CH693" s="45">
        <v>689</v>
      </c>
      <c r="CI693" s="45">
        <v>0</v>
      </c>
      <c r="CJ693" s="45" t="str">
        <v>Nothing</v>
      </c>
      <c r="CM693" s="45">
        <v>689</v>
      </c>
      <c r="CN693" s="48">
        <v>0</v>
      </c>
      <c r="CO693" s="45" t="str">
        <v>Nothing</v>
      </c>
      <c r="CP693" s="61"/>
      <c r="CQ693" s="45">
        <v>689</v>
      </c>
      <c r="CR693" s="45">
        <v>38.523409413663622</v>
      </c>
      <c r="CS693" s="45" t="str">
        <v>Invest</v>
      </c>
      <c r="CT693" s="61"/>
      <c r="CU693" s="45">
        <v>689</v>
      </c>
      <c r="CV693" s="45">
        <v>0</v>
      </c>
      <c r="CW693" s="45" t="str">
        <v>Nothing</v>
      </c>
      <c r="CX693" s="61"/>
      <c r="CY693" s="45">
        <v>689</v>
      </c>
      <c r="CZ693" s="45">
        <v>0</v>
      </c>
      <c r="DA693" s="45" t="str">
        <v>Nothing</v>
      </c>
      <c r="DU693" s="52"/>
      <c r="DV693" s="50"/>
    </row>
    <row r="694" spans="86:126" ht="23.5">
      <c r="CH694" s="45">
        <v>690</v>
      </c>
      <c r="CI694" s="45">
        <v>30.525344782798939</v>
      </c>
      <c r="CJ694" s="45" t="str">
        <v>Invest</v>
      </c>
      <c r="CM694" s="45">
        <v>690</v>
      </c>
      <c r="CN694" s="48">
        <v>53.753349645410694</v>
      </c>
      <c r="CO694" s="45" t="str">
        <v>Invest</v>
      </c>
      <c r="CP694" s="61"/>
      <c r="CQ694" s="45">
        <v>690</v>
      </c>
      <c r="CR694" s="45">
        <v>23.38735341384416</v>
      </c>
      <c r="CS694" s="45" t="str">
        <v>Invest</v>
      </c>
      <c r="CT694" s="61"/>
      <c r="CU694" s="45">
        <v>690</v>
      </c>
      <c r="CV694" s="45">
        <v>0</v>
      </c>
      <c r="CW694" s="45" t="str">
        <v>Nothing</v>
      </c>
      <c r="CX694" s="61"/>
      <c r="CY694" s="45">
        <v>690</v>
      </c>
      <c r="CZ694" s="45">
        <v>23.289674760038729</v>
      </c>
      <c r="DA694" s="45" t="str">
        <v>Invest</v>
      </c>
      <c r="DU694" s="52"/>
      <c r="DV694" s="50"/>
    </row>
    <row r="695" spans="86:126" ht="23.5">
      <c r="CH695" s="45">
        <v>691</v>
      </c>
      <c r="CI695" s="45">
        <v>0</v>
      </c>
      <c r="CJ695" s="45" t="str">
        <v>Nothing</v>
      </c>
      <c r="CM695" s="45">
        <v>691</v>
      </c>
      <c r="CN695" s="48">
        <v>0</v>
      </c>
      <c r="CO695" s="45" t="str">
        <v>Nothing</v>
      </c>
      <c r="CP695" s="61"/>
      <c r="CQ695" s="45">
        <v>691</v>
      </c>
      <c r="CR695" s="45">
        <v>18.428496560371567</v>
      </c>
      <c r="CS695" s="45" t="str">
        <v>Invest</v>
      </c>
      <c r="CT695" s="61"/>
      <c r="CU695" s="45">
        <v>691</v>
      </c>
      <c r="CV695" s="45">
        <v>32.825587812805075</v>
      </c>
      <c r="CW695" s="45" t="str">
        <v>Invest</v>
      </c>
      <c r="CX695" s="61"/>
      <c r="CY695" s="45">
        <v>691</v>
      </c>
      <c r="CZ695" s="45">
        <v>34.271163476542725</v>
      </c>
      <c r="DA695" s="45" t="str">
        <v>Invest</v>
      </c>
      <c r="DU695" s="52"/>
      <c r="DV695" s="50"/>
    </row>
    <row r="696" spans="86:126" ht="23.5">
      <c r="CH696" s="45">
        <v>692</v>
      </c>
      <c r="CI696" s="45">
        <v>0</v>
      </c>
      <c r="CJ696" s="45" t="str">
        <v>Nothing</v>
      </c>
      <c r="CM696" s="45">
        <v>692</v>
      </c>
      <c r="CN696" s="48">
        <v>0</v>
      </c>
      <c r="CO696" s="45" t="str">
        <v>Nothing</v>
      </c>
      <c r="CP696" s="61"/>
      <c r="CQ696" s="45">
        <v>692</v>
      </c>
      <c r="CR696" s="45">
        <v>49.679120706516436</v>
      </c>
      <c r="CS696" s="45" t="str">
        <v>Invest</v>
      </c>
      <c r="CT696" s="61"/>
      <c r="CU696" s="45">
        <v>692</v>
      </c>
      <c r="CV696" s="45">
        <v>0</v>
      </c>
      <c r="CW696" s="45" t="str">
        <v>Nothing</v>
      </c>
      <c r="CX696" s="61"/>
      <c r="CY696" s="45">
        <v>692</v>
      </c>
      <c r="CZ696" s="45">
        <v>0</v>
      </c>
      <c r="DA696" s="45" t="str">
        <v>Nothing</v>
      </c>
      <c r="DU696" s="52"/>
      <c r="DV696" s="50"/>
    </row>
    <row r="697" spans="86:126" ht="23.5">
      <c r="CH697" s="45">
        <v>693</v>
      </c>
      <c r="CI697" s="45">
        <v>10.685851458900984</v>
      </c>
      <c r="CJ697" s="45" t="str">
        <v>Invest</v>
      </c>
      <c r="CM697" s="45">
        <v>693</v>
      </c>
      <c r="CN697" s="48">
        <v>8.8398562148596707</v>
      </c>
      <c r="CO697" s="45" t="str">
        <v>Invest</v>
      </c>
      <c r="CP697" s="61"/>
      <c r="CQ697" s="45">
        <v>693</v>
      </c>
      <c r="CR697" s="45">
        <v>11.894124521291351</v>
      </c>
      <c r="CS697" s="45" t="str">
        <v>Invest</v>
      </c>
      <c r="CT697" s="61"/>
      <c r="CU697" s="45">
        <v>693</v>
      </c>
      <c r="CV697" s="45">
        <v>37.23872080614904</v>
      </c>
      <c r="CW697" s="45" t="str">
        <v>Invest</v>
      </c>
      <c r="CX697" s="61"/>
      <c r="CY697" s="45">
        <v>693</v>
      </c>
      <c r="CZ697" s="45">
        <v>0</v>
      </c>
      <c r="DA697" s="45" t="str">
        <v>Nothing</v>
      </c>
      <c r="DU697" s="52"/>
      <c r="DV697" s="50"/>
    </row>
    <row r="698" spans="86:126" ht="23.5">
      <c r="CH698" s="45">
        <v>694</v>
      </c>
      <c r="CI698" s="45">
        <v>14.532454126852546</v>
      </c>
      <c r="CJ698" s="45" t="str">
        <v>Invest</v>
      </c>
      <c r="CM698" s="45">
        <v>694</v>
      </c>
      <c r="CN698" s="48">
        <v>21.777075186577669</v>
      </c>
      <c r="CO698" s="45" t="str">
        <v>Invest</v>
      </c>
      <c r="CP698" s="61"/>
      <c r="CQ698" s="45">
        <v>694</v>
      </c>
      <c r="CR698" s="45">
        <v>12.613951068026713</v>
      </c>
      <c r="CS698" s="45" t="str">
        <v>Invest</v>
      </c>
      <c r="CT698" s="61"/>
      <c r="CU698" s="45">
        <v>694</v>
      </c>
      <c r="CV698" s="45">
        <v>27.404062225394476</v>
      </c>
      <c r="CW698" s="45" t="str">
        <v>Invest</v>
      </c>
      <c r="CX698" s="61"/>
      <c r="CY698" s="45">
        <v>694</v>
      </c>
      <c r="CZ698" s="45">
        <v>32.263496311645795</v>
      </c>
      <c r="DA698" s="45" t="str">
        <v>Invest</v>
      </c>
      <c r="DU698" s="52"/>
      <c r="DV698" s="50"/>
    </row>
    <row r="699" spans="86:126" ht="23.5">
      <c r="CH699" s="45">
        <v>695</v>
      </c>
      <c r="CI699" s="45">
        <v>31.361921340030484</v>
      </c>
      <c r="CJ699" s="45" t="str">
        <v>Invest</v>
      </c>
      <c r="CM699" s="45">
        <v>695</v>
      </c>
      <c r="CN699" s="48">
        <v>30.816328322155918</v>
      </c>
      <c r="CO699" s="45" t="str">
        <v>Invest</v>
      </c>
      <c r="CP699" s="61"/>
      <c r="CQ699" s="45">
        <v>695</v>
      </c>
      <c r="CR699" s="45">
        <v>62.210829116074031</v>
      </c>
      <c r="CS699" s="45" t="str">
        <v>Invest</v>
      </c>
      <c r="CT699" s="61"/>
      <c r="CU699" s="45">
        <v>695</v>
      </c>
      <c r="CV699" s="45">
        <v>0</v>
      </c>
      <c r="CW699" s="45" t="str">
        <v>Nothing</v>
      </c>
      <c r="CX699" s="61"/>
      <c r="CY699" s="45">
        <v>695</v>
      </c>
      <c r="CZ699" s="45">
        <v>37.611040047835864</v>
      </c>
      <c r="DA699" s="45" t="str">
        <v>Invest</v>
      </c>
      <c r="DU699" s="52"/>
      <c r="DV699" s="50"/>
    </row>
    <row r="700" spans="86:126" ht="23.5">
      <c r="CH700" s="45">
        <v>696</v>
      </c>
      <c r="CI700" s="45">
        <v>0</v>
      </c>
      <c r="CJ700" s="45" t="str">
        <v>Nothing</v>
      </c>
      <c r="CM700" s="45">
        <v>696</v>
      </c>
      <c r="CN700" s="48">
        <v>19.722619806606598</v>
      </c>
      <c r="CO700" s="45" t="str">
        <v>Invest</v>
      </c>
      <c r="CP700" s="61"/>
      <c r="CQ700" s="45">
        <v>696</v>
      </c>
      <c r="CR700" s="45">
        <v>11.369419033974081</v>
      </c>
      <c r="CS700" s="45" t="str">
        <v>Invest</v>
      </c>
      <c r="CT700" s="61"/>
      <c r="CU700" s="45">
        <v>696</v>
      </c>
      <c r="CV700" s="45">
        <v>0</v>
      </c>
      <c r="CW700" s="45" t="str">
        <v>Nothing</v>
      </c>
      <c r="CX700" s="61"/>
      <c r="CY700" s="45">
        <v>696</v>
      </c>
      <c r="CZ700" s="45">
        <v>21.482931370957878</v>
      </c>
      <c r="DA700" s="45" t="str">
        <v>Invest</v>
      </c>
      <c r="DU700" s="52"/>
      <c r="DV700" s="50"/>
    </row>
    <row r="701" spans="86:126" ht="23.5">
      <c r="CH701" s="45">
        <v>697</v>
      </c>
      <c r="CI701" s="45">
        <v>6.2868988078291359</v>
      </c>
      <c r="CJ701" s="45" t="str">
        <v>Invest</v>
      </c>
      <c r="CM701" s="45">
        <v>697</v>
      </c>
      <c r="CN701" s="48">
        <v>10.936810139447964</v>
      </c>
      <c r="CO701" s="45" t="str">
        <v>Invest</v>
      </c>
      <c r="CP701" s="61"/>
      <c r="CQ701" s="45">
        <v>697</v>
      </c>
      <c r="CR701" s="45">
        <v>3.7178585963630049</v>
      </c>
      <c r="CS701" s="45" t="str">
        <v>Invest</v>
      </c>
      <c r="CT701" s="61"/>
      <c r="CU701" s="45">
        <v>697</v>
      </c>
      <c r="CV701" s="45">
        <v>0</v>
      </c>
      <c r="CW701" s="45" t="str">
        <v>Nothing</v>
      </c>
      <c r="CX701" s="61"/>
      <c r="CY701" s="45">
        <v>697</v>
      </c>
      <c r="CZ701" s="45">
        <v>48.411774889565393</v>
      </c>
      <c r="DA701" s="45" t="str">
        <v>Invest</v>
      </c>
      <c r="DU701" s="52"/>
      <c r="DV701" s="50"/>
    </row>
    <row r="702" spans="86:126" ht="23.5">
      <c r="CH702" s="45">
        <v>698</v>
      </c>
      <c r="CI702" s="45">
        <v>33.096701818874529</v>
      </c>
      <c r="CJ702" s="45" t="str">
        <v>Invest</v>
      </c>
      <c r="CM702" s="45">
        <v>698</v>
      </c>
      <c r="CN702" s="48">
        <v>0</v>
      </c>
      <c r="CO702" s="45" t="str">
        <v>Nothing</v>
      </c>
      <c r="CP702" s="61"/>
      <c r="CQ702" s="45">
        <v>698</v>
      </c>
      <c r="CR702" s="45">
        <v>0.29120058695468476</v>
      </c>
      <c r="CS702" s="45" t="str">
        <v>Invest</v>
      </c>
      <c r="CT702" s="61"/>
      <c r="CU702" s="45">
        <v>698</v>
      </c>
      <c r="CV702" s="45">
        <v>0</v>
      </c>
      <c r="CW702" s="45" t="str">
        <v>Nothing</v>
      </c>
      <c r="CX702" s="61"/>
      <c r="CY702" s="45">
        <v>698</v>
      </c>
      <c r="CZ702" s="45">
        <v>53.793223204674803</v>
      </c>
      <c r="DA702" s="45" t="str">
        <v>Invest</v>
      </c>
      <c r="DU702" s="52"/>
      <c r="DV702" s="50"/>
    </row>
    <row r="703" spans="86:126" ht="23.5">
      <c r="CH703" s="45">
        <v>699</v>
      </c>
      <c r="CI703" s="45">
        <v>16.714129624033518</v>
      </c>
      <c r="CJ703" s="45" t="str">
        <v>Invest</v>
      </c>
      <c r="CM703" s="45">
        <v>699</v>
      </c>
      <c r="CN703" s="48">
        <v>9.6585344092392873</v>
      </c>
      <c r="CO703" s="45" t="str">
        <v>Invest</v>
      </c>
      <c r="CP703" s="61"/>
      <c r="CQ703" s="45">
        <v>699</v>
      </c>
      <c r="CR703" s="45">
        <v>46.607647383389029</v>
      </c>
      <c r="CS703" s="45" t="str">
        <v>Invest</v>
      </c>
      <c r="CT703" s="61"/>
      <c r="CU703" s="45">
        <v>699</v>
      </c>
      <c r="CV703" s="45">
        <v>0</v>
      </c>
      <c r="CW703" s="45" t="str">
        <v>Nothing</v>
      </c>
      <c r="CX703" s="61"/>
      <c r="CY703" s="45">
        <v>699</v>
      </c>
      <c r="CZ703" s="45">
        <v>38.327690806639538</v>
      </c>
      <c r="DA703" s="45" t="str">
        <v>Invest</v>
      </c>
      <c r="DU703" s="52"/>
      <c r="DV703" s="50"/>
    </row>
    <row r="704" spans="86:126" ht="23.5">
      <c r="CH704" s="45">
        <v>700</v>
      </c>
      <c r="CI704" s="45">
        <v>49.621329593233156</v>
      </c>
      <c r="CJ704" s="45" t="str">
        <v>Invest</v>
      </c>
      <c r="CM704" s="45">
        <v>700</v>
      </c>
      <c r="CN704" s="48">
        <v>0</v>
      </c>
      <c r="CO704" s="45" t="str">
        <v>Nothing</v>
      </c>
      <c r="CP704" s="61"/>
      <c r="CQ704" s="45">
        <v>700</v>
      </c>
      <c r="CR704" s="45">
        <v>10.027174877901839</v>
      </c>
      <c r="CS704" s="45" t="str">
        <v>Invest</v>
      </c>
      <c r="CT704" s="61"/>
      <c r="CU704" s="45">
        <v>700</v>
      </c>
      <c r="CV704" s="45">
        <v>0</v>
      </c>
      <c r="CW704" s="45" t="str">
        <v>Nothing</v>
      </c>
      <c r="CX704" s="61"/>
      <c r="CY704" s="45">
        <v>700</v>
      </c>
      <c r="CZ704" s="45">
        <v>6.6709667330760247</v>
      </c>
      <c r="DA704" s="45" t="str">
        <v>Invest</v>
      </c>
      <c r="DU704" s="52"/>
      <c r="DV704" s="50"/>
    </row>
    <row r="705" spans="86:126" ht="23.5">
      <c r="CH705" s="45">
        <v>701</v>
      </c>
      <c r="CI705" s="45">
        <v>15.985383381690374</v>
      </c>
      <c r="CJ705" s="45" t="str">
        <v>Invest</v>
      </c>
      <c r="CM705" s="45">
        <v>701</v>
      </c>
      <c r="CN705" s="48">
        <v>0</v>
      </c>
      <c r="CO705" s="45" t="str">
        <v>Nothing</v>
      </c>
      <c r="CP705" s="61"/>
      <c r="CQ705" s="45">
        <v>701</v>
      </c>
      <c r="CR705" s="45">
        <v>33.119852522600404</v>
      </c>
      <c r="CS705" s="45" t="str">
        <v>Invest</v>
      </c>
      <c r="CT705" s="61"/>
      <c r="CU705" s="45">
        <v>701</v>
      </c>
      <c r="CV705" s="45">
        <v>49.119828643379442</v>
      </c>
      <c r="CW705" s="45" t="str">
        <v>Invest</v>
      </c>
      <c r="CX705" s="61"/>
      <c r="CY705" s="45">
        <v>701</v>
      </c>
      <c r="CZ705" s="45">
        <v>1.6817676700286888</v>
      </c>
      <c r="DA705" s="45" t="str">
        <v>Invest</v>
      </c>
      <c r="DU705" s="52"/>
      <c r="DV705" s="50"/>
    </row>
    <row r="706" spans="86:126" ht="23.5">
      <c r="CH706" s="45">
        <v>702</v>
      </c>
      <c r="CI706" s="45">
        <v>46.541625570713023</v>
      </c>
      <c r="CJ706" s="45" t="str">
        <v>Invest</v>
      </c>
      <c r="CM706" s="45">
        <v>702</v>
      </c>
      <c r="CN706" s="48">
        <v>9.5054751145725582</v>
      </c>
      <c r="CO706" s="45" t="str">
        <v>Invest</v>
      </c>
      <c r="CP706" s="61"/>
      <c r="CQ706" s="45">
        <v>702</v>
      </c>
      <c r="CR706" s="45">
        <v>18.267436199002184</v>
      </c>
      <c r="CS706" s="45" t="str">
        <v>Invest</v>
      </c>
      <c r="CT706" s="61"/>
      <c r="CU706" s="45">
        <v>702</v>
      </c>
      <c r="CV706" s="45">
        <v>44.592078788573076</v>
      </c>
      <c r="CW706" s="45" t="str">
        <v>Invest</v>
      </c>
      <c r="CX706" s="61"/>
      <c r="CY706" s="45">
        <v>702</v>
      </c>
      <c r="CZ706" s="45">
        <v>2.3078536358495434</v>
      </c>
      <c r="DA706" s="45" t="str">
        <v>Invest</v>
      </c>
      <c r="DU706" s="52"/>
      <c r="DV706" s="50"/>
    </row>
    <row r="707" spans="86:126" ht="23.5">
      <c r="CH707" s="45">
        <v>703</v>
      </c>
      <c r="CI707" s="45">
        <v>12.343384261910412</v>
      </c>
      <c r="CJ707" s="45" t="str">
        <v>Invest</v>
      </c>
      <c r="CM707" s="45">
        <v>703</v>
      </c>
      <c r="CN707" s="48">
        <v>0</v>
      </c>
      <c r="CO707" s="45" t="str">
        <v>Nothing</v>
      </c>
      <c r="CP707" s="61"/>
      <c r="CQ707" s="45">
        <v>703</v>
      </c>
      <c r="CR707" s="45">
        <v>0</v>
      </c>
      <c r="CS707" s="45" t="str">
        <v>Nothing</v>
      </c>
      <c r="CT707" s="61"/>
      <c r="CU707" s="45">
        <v>703</v>
      </c>
      <c r="CV707" s="45">
        <v>18.269928494629944</v>
      </c>
      <c r="CW707" s="45" t="str">
        <v>Invest</v>
      </c>
      <c r="CX707" s="61"/>
      <c r="CY707" s="45">
        <v>703</v>
      </c>
      <c r="CZ707" s="45">
        <v>0</v>
      </c>
      <c r="DA707" s="45" t="str">
        <v>Nothing</v>
      </c>
      <c r="DU707" s="52"/>
      <c r="DV707" s="50"/>
    </row>
    <row r="708" spans="86:126" ht="23.5">
      <c r="CH708" s="45">
        <v>704</v>
      </c>
      <c r="CI708" s="45">
        <v>19.301749542096921</v>
      </c>
      <c r="CJ708" s="45" t="str">
        <v>Invest</v>
      </c>
      <c r="CM708" s="45">
        <v>704</v>
      </c>
      <c r="CN708" s="48">
        <v>5.1819438117964953</v>
      </c>
      <c r="CO708" s="45" t="str">
        <v>Invest</v>
      </c>
      <c r="CP708" s="61"/>
      <c r="CQ708" s="45">
        <v>704</v>
      </c>
      <c r="CR708" s="45">
        <v>0</v>
      </c>
      <c r="CS708" s="45" t="str">
        <v>Nothing</v>
      </c>
      <c r="CT708" s="61"/>
      <c r="CU708" s="45">
        <v>704</v>
      </c>
      <c r="CV708" s="45">
        <v>14.513459949348483</v>
      </c>
      <c r="CW708" s="45" t="str">
        <v>Invest</v>
      </c>
      <c r="CX708" s="61"/>
      <c r="CY708" s="45">
        <v>704</v>
      </c>
      <c r="CZ708" s="45">
        <v>5.3445702821193768</v>
      </c>
      <c r="DA708" s="45" t="str">
        <v>Invest</v>
      </c>
      <c r="DU708" s="52"/>
      <c r="DV708" s="50"/>
    </row>
    <row r="709" spans="86:126" ht="23.5">
      <c r="CH709" s="45">
        <v>705</v>
      </c>
      <c r="CI709" s="45">
        <v>4.901054473480233</v>
      </c>
      <c r="CJ709" s="45" t="str">
        <v>Invest</v>
      </c>
      <c r="CM709" s="45">
        <v>705</v>
      </c>
      <c r="CN709" s="48">
        <v>7.9980311654885092</v>
      </c>
      <c r="CO709" s="45" t="str">
        <v>Invest</v>
      </c>
      <c r="CP709" s="61"/>
      <c r="CQ709" s="45">
        <v>705</v>
      </c>
      <c r="CR709" s="45">
        <v>23.59451045812315</v>
      </c>
      <c r="CS709" s="45" t="str">
        <v>Invest</v>
      </c>
      <c r="CT709" s="61"/>
      <c r="CU709" s="45">
        <v>705</v>
      </c>
      <c r="CV709" s="45">
        <v>30.575783031082743</v>
      </c>
      <c r="CW709" s="45" t="str">
        <v>Invest</v>
      </c>
      <c r="CX709" s="61"/>
      <c r="CY709" s="45">
        <v>705</v>
      </c>
      <c r="CZ709" s="45">
        <v>7.2173009490659368</v>
      </c>
      <c r="DA709" s="45" t="str">
        <v>Invest</v>
      </c>
      <c r="DU709" s="52"/>
      <c r="DV709" s="50"/>
    </row>
    <row r="710" spans="86:126" ht="23.5">
      <c r="CH710" s="45">
        <v>706</v>
      </c>
      <c r="CI710" s="45">
        <v>14.067067346990473</v>
      </c>
      <c r="CJ710" s="45" t="str">
        <v>Invest</v>
      </c>
      <c r="CM710" s="45">
        <v>706</v>
      </c>
      <c r="CN710" s="48">
        <v>5.9585508899251813</v>
      </c>
      <c r="CO710" s="45" t="str">
        <v>Invest</v>
      </c>
      <c r="CP710" s="61"/>
      <c r="CQ710" s="45">
        <v>706</v>
      </c>
      <c r="CR710" s="45">
        <v>2.914820811923116</v>
      </c>
      <c r="CS710" s="45" t="str">
        <v>Invest</v>
      </c>
      <c r="CT710" s="61"/>
      <c r="CU710" s="45">
        <v>706</v>
      </c>
      <c r="CV710" s="45">
        <v>13.015654215375895</v>
      </c>
      <c r="CW710" s="45" t="str">
        <v>Invest</v>
      </c>
      <c r="CX710" s="61"/>
      <c r="CY710" s="45">
        <v>706</v>
      </c>
      <c r="CZ710" s="45">
        <v>0</v>
      </c>
      <c r="DA710" s="45" t="str">
        <v>Nothing</v>
      </c>
      <c r="DU710" s="52"/>
      <c r="DV710" s="50"/>
    </row>
    <row r="711" spans="86:126" ht="23.5">
      <c r="CH711" s="45">
        <v>707</v>
      </c>
      <c r="CI711" s="45">
        <v>21.413999746137506</v>
      </c>
      <c r="CJ711" s="45" t="str">
        <v>Invest</v>
      </c>
      <c r="CM711" s="45">
        <v>707</v>
      </c>
      <c r="CN711" s="48">
        <v>4.2348021424850071</v>
      </c>
      <c r="CO711" s="45" t="str">
        <v>Invest</v>
      </c>
      <c r="CP711" s="61"/>
      <c r="CQ711" s="45">
        <v>707</v>
      </c>
      <c r="CR711" s="45">
        <v>11.996120814216354</v>
      </c>
      <c r="CS711" s="45" t="str">
        <v>Invest</v>
      </c>
      <c r="CT711" s="61"/>
      <c r="CU711" s="45">
        <v>707</v>
      </c>
      <c r="CV711" s="45">
        <v>12.093307913755186</v>
      </c>
      <c r="CW711" s="45" t="str">
        <v>Invest</v>
      </c>
      <c r="CX711" s="61"/>
      <c r="CY711" s="45">
        <v>707</v>
      </c>
      <c r="CZ711" s="45">
        <v>3.1479939795342737</v>
      </c>
      <c r="DA711" s="45" t="str">
        <v>Invest</v>
      </c>
      <c r="DU711" s="52"/>
      <c r="DV711" s="50"/>
    </row>
    <row r="712" spans="86:126" ht="23.5">
      <c r="CH712" s="45">
        <v>708</v>
      </c>
      <c r="CI712" s="45">
        <v>27.961174230039724</v>
      </c>
      <c r="CJ712" s="45" t="str">
        <v>Invest</v>
      </c>
      <c r="CM712" s="45">
        <v>708</v>
      </c>
      <c r="CN712" s="48">
        <v>13.80888118676053</v>
      </c>
      <c r="CO712" s="45" t="str">
        <v>Invest</v>
      </c>
      <c r="CP712" s="61"/>
      <c r="CQ712" s="45">
        <v>708</v>
      </c>
      <c r="CR712" s="45">
        <v>0</v>
      </c>
      <c r="CS712" s="45" t="str">
        <v>Nothing</v>
      </c>
      <c r="CT712" s="61"/>
      <c r="CU712" s="45">
        <v>708</v>
      </c>
      <c r="CV712" s="45">
        <v>0</v>
      </c>
      <c r="CW712" s="45" t="str">
        <v>Nothing</v>
      </c>
      <c r="CX712" s="61"/>
      <c r="CY712" s="45">
        <v>708</v>
      </c>
      <c r="CZ712" s="45">
        <v>0</v>
      </c>
      <c r="DA712" s="45" t="str">
        <v>Nothing</v>
      </c>
      <c r="DU712" s="52"/>
      <c r="DV712" s="50"/>
    </row>
    <row r="713" spans="86:126" ht="23.5">
      <c r="CH713" s="45">
        <v>709</v>
      </c>
      <c r="CI713" s="45">
        <v>27.406842262586377</v>
      </c>
      <c r="CJ713" s="45" t="str">
        <v>Invest</v>
      </c>
      <c r="CM713" s="45">
        <v>709</v>
      </c>
      <c r="CN713" s="48">
        <v>54.457800421254774</v>
      </c>
      <c r="CO713" s="45" t="str">
        <v>Invest</v>
      </c>
      <c r="CP713" s="61"/>
      <c r="CQ713" s="45">
        <v>709</v>
      </c>
      <c r="CR713" s="45">
        <v>0</v>
      </c>
      <c r="CS713" s="45" t="str">
        <v>Nothing</v>
      </c>
      <c r="CT713" s="61"/>
      <c r="CU713" s="45">
        <v>709</v>
      </c>
      <c r="CV713" s="45">
        <v>20.208776647498791</v>
      </c>
      <c r="CW713" s="45" t="str">
        <v>Invest</v>
      </c>
      <c r="CX713" s="61"/>
      <c r="CY713" s="45">
        <v>709</v>
      </c>
      <c r="CZ713" s="45">
        <v>0</v>
      </c>
      <c r="DA713" s="45" t="str">
        <v>Nothing</v>
      </c>
      <c r="DU713" s="52"/>
      <c r="DV713" s="50"/>
    </row>
    <row r="714" spans="86:126" ht="23.5">
      <c r="CH714" s="45">
        <v>710</v>
      </c>
      <c r="CI714" s="45">
        <v>0.87995518412030904</v>
      </c>
      <c r="CJ714" s="45" t="str">
        <v>Invest</v>
      </c>
      <c r="CM714" s="45">
        <v>710</v>
      </c>
      <c r="CN714" s="48">
        <v>36.277388762830341</v>
      </c>
      <c r="CO714" s="45" t="str">
        <v>Invest</v>
      </c>
      <c r="CP714" s="61"/>
      <c r="CQ714" s="45">
        <v>710</v>
      </c>
      <c r="CR714" s="45">
        <v>20.374623822747324</v>
      </c>
      <c r="CS714" s="45" t="str">
        <v>Invest</v>
      </c>
      <c r="CT714" s="61"/>
      <c r="CU714" s="45">
        <v>710</v>
      </c>
      <c r="CV714" s="45">
        <v>17.192570106192591</v>
      </c>
      <c r="CW714" s="45" t="str">
        <v>Invest</v>
      </c>
      <c r="CX714" s="61"/>
      <c r="CY714" s="45">
        <v>710</v>
      </c>
      <c r="CZ714" s="45">
        <v>0.43522964973028522</v>
      </c>
      <c r="DA714" s="45" t="str">
        <v>Invest</v>
      </c>
      <c r="DU714" s="52"/>
      <c r="DV714" s="50"/>
    </row>
    <row r="715" spans="86:126" ht="23.5">
      <c r="CH715" s="45">
        <v>711</v>
      </c>
      <c r="CI715" s="45">
        <v>17.022585934852572</v>
      </c>
      <c r="CJ715" s="45" t="str">
        <v>Invest</v>
      </c>
      <c r="CM715" s="45">
        <v>711</v>
      </c>
      <c r="CN715" s="48">
        <v>20.472499848804201</v>
      </c>
      <c r="CO715" s="45" t="str">
        <v>Invest</v>
      </c>
      <c r="CP715" s="61"/>
      <c r="CQ715" s="45">
        <v>711</v>
      </c>
      <c r="CR715" s="45">
        <v>44.165280657477403</v>
      </c>
      <c r="CS715" s="45" t="str">
        <v>Invest</v>
      </c>
      <c r="CT715" s="61"/>
      <c r="CU715" s="45">
        <v>711</v>
      </c>
      <c r="CV715" s="45">
        <v>24.454748314725613</v>
      </c>
      <c r="CW715" s="45" t="str">
        <v>Invest</v>
      </c>
      <c r="CX715" s="61"/>
      <c r="CY715" s="45">
        <v>711</v>
      </c>
      <c r="CZ715" s="45">
        <v>35.737033995358615</v>
      </c>
      <c r="DA715" s="45" t="str">
        <v>Invest</v>
      </c>
      <c r="DU715" s="52"/>
      <c r="DV715" s="50"/>
    </row>
    <row r="716" spans="86:126" ht="23.5">
      <c r="CH716" s="45">
        <v>712</v>
      </c>
      <c r="CI716" s="45">
        <v>29.919302144819618</v>
      </c>
      <c r="CJ716" s="45" t="str">
        <v>Invest</v>
      </c>
      <c r="CM716" s="45">
        <v>712</v>
      </c>
      <c r="CN716" s="48">
        <v>26.618418838844459</v>
      </c>
      <c r="CO716" s="45" t="str">
        <v>Invest</v>
      </c>
      <c r="CP716" s="61"/>
      <c r="CQ716" s="45">
        <v>712</v>
      </c>
      <c r="CR716" s="45">
        <v>21.747160962180494</v>
      </c>
      <c r="CS716" s="45" t="str">
        <v>Invest</v>
      </c>
      <c r="CT716" s="61"/>
      <c r="CU716" s="45">
        <v>712</v>
      </c>
      <c r="CV716" s="45">
        <v>27.918870109805169</v>
      </c>
      <c r="CW716" s="45" t="str">
        <v>Invest</v>
      </c>
      <c r="CX716" s="61"/>
      <c r="CY716" s="45">
        <v>712</v>
      </c>
      <c r="CZ716" s="45">
        <v>0</v>
      </c>
      <c r="DA716" s="45" t="str">
        <v>Nothing</v>
      </c>
      <c r="DU716" s="52"/>
      <c r="DV716" s="50"/>
    </row>
    <row r="717" spans="86:126" ht="23.5">
      <c r="CH717" s="45">
        <v>713</v>
      </c>
      <c r="CI717" s="45">
        <v>13.89369621177447</v>
      </c>
      <c r="CJ717" s="45" t="str">
        <v>Invest</v>
      </c>
      <c r="CM717" s="45">
        <v>713</v>
      </c>
      <c r="CN717" s="48">
        <v>48.614873462111511</v>
      </c>
      <c r="CO717" s="45" t="str">
        <v>Invest</v>
      </c>
      <c r="CP717" s="61"/>
      <c r="CQ717" s="45">
        <v>713</v>
      </c>
      <c r="CR717" s="45">
        <v>30.305738929813138</v>
      </c>
      <c r="CS717" s="45" t="str">
        <v>Invest</v>
      </c>
      <c r="CT717" s="61"/>
      <c r="CU717" s="45">
        <v>713</v>
      </c>
      <c r="CV717" s="45">
        <v>0</v>
      </c>
      <c r="CW717" s="45" t="str">
        <v>Nothing</v>
      </c>
      <c r="CX717" s="61"/>
      <c r="CY717" s="45">
        <v>713</v>
      </c>
      <c r="CZ717" s="45">
        <v>44.635297651858004</v>
      </c>
      <c r="DA717" s="45" t="str">
        <v>Invest</v>
      </c>
      <c r="DU717" s="52"/>
      <c r="DV717" s="50"/>
    </row>
    <row r="718" spans="86:126" ht="23.5">
      <c r="CH718" s="45">
        <v>714</v>
      </c>
      <c r="CI718" s="45">
        <v>0.67892779993403352</v>
      </c>
      <c r="CJ718" s="45" t="str">
        <v>Invest</v>
      </c>
      <c r="CM718" s="45">
        <v>714</v>
      </c>
      <c r="CN718" s="48">
        <v>6.0798702546513752</v>
      </c>
      <c r="CO718" s="45" t="str">
        <v>Invest</v>
      </c>
      <c r="CP718" s="61"/>
      <c r="CQ718" s="45">
        <v>714</v>
      </c>
      <c r="CR718" s="45">
        <v>3.566953563933037</v>
      </c>
      <c r="CS718" s="45" t="str">
        <v>Invest</v>
      </c>
      <c r="CT718" s="61"/>
      <c r="CU718" s="45">
        <v>714</v>
      </c>
      <c r="CV718" s="45">
        <v>16.385454246634691</v>
      </c>
      <c r="CW718" s="45" t="str">
        <v>Invest</v>
      </c>
      <c r="CX718" s="61"/>
      <c r="CY718" s="45">
        <v>714</v>
      </c>
      <c r="CZ718" s="45">
        <v>7.8770779041416716</v>
      </c>
      <c r="DA718" s="45" t="str">
        <v>Invest</v>
      </c>
      <c r="DU718" s="52"/>
      <c r="DV718" s="50"/>
    </row>
    <row r="719" spans="86:126" ht="23.5">
      <c r="CH719" s="45">
        <v>715</v>
      </c>
      <c r="CI719" s="45">
        <v>0</v>
      </c>
      <c r="CJ719" s="45" t="str">
        <v>Nothing</v>
      </c>
      <c r="CM719" s="45">
        <v>715</v>
      </c>
      <c r="CN719" s="48">
        <v>17.491954797043149</v>
      </c>
      <c r="CO719" s="45" t="str">
        <v>Invest</v>
      </c>
      <c r="CP719" s="61"/>
      <c r="CQ719" s="45">
        <v>715</v>
      </c>
      <c r="CR719" s="45">
        <v>44.838342799429554</v>
      </c>
      <c r="CS719" s="45" t="str">
        <v>Invest</v>
      </c>
      <c r="CT719" s="61"/>
      <c r="CU719" s="45">
        <v>715</v>
      </c>
      <c r="CV719" s="45">
        <v>46.276235926931847</v>
      </c>
      <c r="CW719" s="45" t="str">
        <v>Invest</v>
      </c>
      <c r="CX719" s="61"/>
      <c r="CY719" s="45">
        <v>715</v>
      </c>
      <c r="CZ719" s="45">
        <v>34.171023915282994</v>
      </c>
      <c r="DA719" s="45" t="str">
        <v>Invest</v>
      </c>
      <c r="DU719" s="52"/>
      <c r="DV719" s="50"/>
    </row>
    <row r="720" spans="86:126" ht="23.5">
      <c r="CH720" s="45">
        <v>716</v>
      </c>
      <c r="CI720" s="45">
        <v>0</v>
      </c>
      <c r="CJ720" s="45" t="str">
        <v>Nothing</v>
      </c>
      <c r="CM720" s="45">
        <v>716</v>
      </c>
      <c r="CN720" s="48">
        <v>19.877021367408013</v>
      </c>
      <c r="CO720" s="45" t="str">
        <v>Invest</v>
      </c>
      <c r="CP720" s="61"/>
      <c r="CQ720" s="45">
        <v>716</v>
      </c>
      <c r="CR720" s="45">
        <v>39.976928521137566</v>
      </c>
      <c r="CS720" s="45" t="str">
        <v>Invest</v>
      </c>
      <c r="CT720" s="61"/>
      <c r="CU720" s="45">
        <v>716</v>
      </c>
      <c r="CV720" s="45">
        <v>0</v>
      </c>
      <c r="CW720" s="45" t="str">
        <v>Nothing</v>
      </c>
      <c r="CX720" s="61"/>
      <c r="CY720" s="45">
        <v>716</v>
      </c>
      <c r="CZ720" s="45">
        <v>42.339986040836287</v>
      </c>
      <c r="DA720" s="45" t="str">
        <v>Invest</v>
      </c>
      <c r="DU720" s="52"/>
      <c r="DV720" s="50"/>
    </row>
    <row r="721" spans="86:126" ht="23.5">
      <c r="CH721" s="45">
        <v>717</v>
      </c>
      <c r="CI721" s="45">
        <v>0</v>
      </c>
      <c r="CJ721" s="45" t="str">
        <v>Nothing</v>
      </c>
      <c r="CM721" s="45">
        <v>717</v>
      </c>
      <c r="CN721" s="48">
        <v>25.483591248754088</v>
      </c>
      <c r="CO721" s="45" t="str">
        <v>Invest</v>
      </c>
      <c r="CP721" s="61"/>
      <c r="CQ721" s="45">
        <v>717</v>
      </c>
      <c r="CR721" s="45">
        <v>52.610926860071345</v>
      </c>
      <c r="CS721" s="45" t="str">
        <v>Invest</v>
      </c>
      <c r="CT721" s="61"/>
      <c r="CU721" s="45">
        <v>717</v>
      </c>
      <c r="CV721" s="45">
        <v>10.702229481504546</v>
      </c>
      <c r="CW721" s="45" t="str">
        <v>Invest</v>
      </c>
      <c r="CX721" s="61"/>
      <c r="CY721" s="45">
        <v>717</v>
      </c>
      <c r="CZ721" s="45">
        <v>11.481976608127821</v>
      </c>
      <c r="DA721" s="45" t="str">
        <v>Invest</v>
      </c>
      <c r="DU721" s="52"/>
      <c r="DV721" s="50"/>
    </row>
    <row r="722" spans="86:126" ht="23.5">
      <c r="CH722" s="45">
        <v>718</v>
      </c>
      <c r="CI722" s="45">
        <v>19.509467961626129</v>
      </c>
      <c r="CJ722" s="45" t="str">
        <v>Invest</v>
      </c>
      <c r="CM722" s="45">
        <v>718</v>
      </c>
      <c r="CN722" s="48">
        <v>41.355797907912361</v>
      </c>
      <c r="CO722" s="45" t="str">
        <v>Invest</v>
      </c>
      <c r="CP722" s="61"/>
      <c r="CQ722" s="45">
        <v>718</v>
      </c>
      <c r="CR722" s="45">
        <v>6.1174298985882771</v>
      </c>
      <c r="CS722" s="45" t="str">
        <v>Invest</v>
      </c>
      <c r="CT722" s="61"/>
      <c r="CU722" s="45">
        <v>718</v>
      </c>
      <c r="CV722" s="45">
        <v>0</v>
      </c>
      <c r="CW722" s="45" t="str">
        <v>Nothing</v>
      </c>
      <c r="CX722" s="61"/>
      <c r="CY722" s="45">
        <v>718</v>
      </c>
      <c r="CZ722" s="45">
        <v>0</v>
      </c>
      <c r="DA722" s="45" t="str">
        <v>Nothing</v>
      </c>
      <c r="DU722" s="52"/>
      <c r="DV722" s="50"/>
    </row>
    <row r="723" spans="86:126" ht="23.5">
      <c r="CH723" s="45">
        <v>719</v>
      </c>
      <c r="CI723" s="45">
        <v>3.7643391593979985</v>
      </c>
      <c r="CJ723" s="45" t="str">
        <v>Invest</v>
      </c>
      <c r="CM723" s="45">
        <v>719</v>
      </c>
      <c r="CN723" s="48">
        <v>26.532810612128415</v>
      </c>
      <c r="CO723" s="45" t="str">
        <v>Invest</v>
      </c>
      <c r="CP723" s="61"/>
      <c r="CQ723" s="45">
        <v>719</v>
      </c>
      <c r="CR723" s="45">
        <v>60.059227774585359</v>
      </c>
      <c r="CS723" s="45" t="str">
        <v>Invest</v>
      </c>
      <c r="CT723" s="61"/>
      <c r="CU723" s="45">
        <v>719</v>
      </c>
      <c r="CV723" s="45">
        <v>32.685646336960644</v>
      </c>
      <c r="CW723" s="45" t="str">
        <v>Invest</v>
      </c>
      <c r="CX723" s="61"/>
      <c r="CY723" s="45">
        <v>719</v>
      </c>
      <c r="CZ723" s="45">
        <v>0</v>
      </c>
      <c r="DA723" s="45" t="str">
        <v>Nothing</v>
      </c>
      <c r="DU723" s="52"/>
      <c r="DV723" s="50"/>
    </row>
    <row r="724" spans="86:126" ht="23.5">
      <c r="CH724" s="45">
        <v>720</v>
      </c>
      <c r="CI724" s="45">
        <v>57.297492074342273</v>
      </c>
      <c r="CJ724" s="45" t="str">
        <v>Invest</v>
      </c>
      <c r="CM724" s="45">
        <v>720</v>
      </c>
      <c r="CN724" s="48">
        <v>58.189577249318823</v>
      </c>
      <c r="CO724" s="45" t="str">
        <v>Invest</v>
      </c>
      <c r="CP724" s="61"/>
      <c r="CQ724" s="45">
        <v>720</v>
      </c>
      <c r="CR724" s="45">
        <v>21.233120115073749</v>
      </c>
      <c r="CS724" s="45" t="str">
        <v>Invest</v>
      </c>
      <c r="CT724" s="61"/>
      <c r="CU724" s="45">
        <v>720</v>
      </c>
      <c r="CV724" s="45">
        <v>10.470115036168432</v>
      </c>
      <c r="CW724" s="45" t="str">
        <v>Invest</v>
      </c>
      <c r="CX724" s="61"/>
      <c r="CY724" s="45">
        <v>720</v>
      </c>
      <c r="CZ724" s="45">
        <v>22.082112524530189</v>
      </c>
      <c r="DA724" s="45" t="str">
        <v>Invest</v>
      </c>
      <c r="DU724" s="52"/>
      <c r="DV724" s="50"/>
    </row>
    <row r="725" spans="86:126" ht="23.5">
      <c r="CH725" s="45">
        <v>721</v>
      </c>
      <c r="CI725" s="45">
        <v>38.510030812575032</v>
      </c>
      <c r="CJ725" s="45" t="str">
        <v>Invest</v>
      </c>
      <c r="CM725" s="45">
        <v>721</v>
      </c>
      <c r="CN725" s="48">
        <v>29.913238716890259</v>
      </c>
      <c r="CO725" s="45" t="str">
        <v>Invest</v>
      </c>
      <c r="CP725" s="61"/>
      <c r="CQ725" s="45">
        <v>721</v>
      </c>
      <c r="CR725" s="45">
        <v>36.735091652120467</v>
      </c>
      <c r="CS725" s="45" t="str">
        <v>Invest</v>
      </c>
      <c r="CT725" s="61"/>
      <c r="CU725" s="45">
        <v>721</v>
      </c>
      <c r="CV725" s="45">
        <v>43.393889785450483</v>
      </c>
      <c r="CW725" s="45" t="str">
        <v>Invest</v>
      </c>
      <c r="CX725" s="61"/>
      <c r="CY725" s="45">
        <v>721</v>
      </c>
      <c r="CZ725" s="45">
        <v>22.309637360940716</v>
      </c>
      <c r="DA725" s="45" t="str">
        <v>Invest</v>
      </c>
      <c r="DU725" s="52"/>
      <c r="DV725" s="50"/>
    </row>
    <row r="726" spans="86:126" ht="23.5">
      <c r="CH726" s="45">
        <v>722</v>
      </c>
      <c r="CI726" s="45">
        <v>57.211586274214554</v>
      </c>
      <c r="CJ726" s="45" t="str">
        <v>Invest</v>
      </c>
      <c r="CM726" s="45">
        <v>722</v>
      </c>
      <c r="CN726" s="48">
        <v>11.552919409059246</v>
      </c>
      <c r="CO726" s="45" t="str">
        <v>Invest</v>
      </c>
      <c r="CP726" s="61"/>
      <c r="CQ726" s="45">
        <v>722</v>
      </c>
      <c r="CR726" s="45">
        <v>38.079683388941248</v>
      </c>
      <c r="CS726" s="45" t="str">
        <v>Invest</v>
      </c>
      <c r="CT726" s="61"/>
      <c r="CU726" s="45">
        <v>722</v>
      </c>
      <c r="CV726" s="45">
        <v>0</v>
      </c>
      <c r="CW726" s="45" t="str">
        <v>Nothing</v>
      </c>
      <c r="CX726" s="61"/>
      <c r="CY726" s="45">
        <v>722</v>
      </c>
      <c r="CZ726" s="45">
        <v>0</v>
      </c>
      <c r="DA726" s="45" t="str">
        <v>Nothing</v>
      </c>
      <c r="DU726" s="52"/>
      <c r="DV726" s="50"/>
    </row>
    <row r="727" spans="86:126" ht="23.5">
      <c r="CH727" s="45">
        <v>723</v>
      </c>
      <c r="CI727" s="45">
        <v>29.224249782062181</v>
      </c>
      <c r="CJ727" s="45" t="str">
        <v>Invest</v>
      </c>
      <c r="CM727" s="45">
        <v>723</v>
      </c>
      <c r="CN727" s="48">
        <v>0</v>
      </c>
      <c r="CO727" s="45" t="str">
        <v>Nothing</v>
      </c>
      <c r="CP727" s="61"/>
      <c r="CQ727" s="45">
        <v>723</v>
      </c>
      <c r="CR727" s="45">
        <v>4.9935350597699344</v>
      </c>
      <c r="CS727" s="45" t="str">
        <v>Invest</v>
      </c>
      <c r="CT727" s="61"/>
      <c r="CU727" s="45">
        <v>723</v>
      </c>
      <c r="CV727" s="45">
        <v>5.4414544309865986</v>
      </c>
      <c r="CW727" s="45" t="str">
        <v>Invest</v>
      </c>
      <c r="CX727" s="61"/>
      <c r="CY727" s="45">
        <v>723</v>
      </c>
      <c r="CZ727" s="45">
        <v>0</v>
      </c>
      <c r="DA727" s="45" t="str">
        <v>Nothing</v>
      </c>
      <c r="DU727" s="52"/>
      <c r="DV727" s="50"/>
    </row>
    <row r="728" spans="86:126" ht="23.5">
      <c r="CH728" s="45">
        <v>724</v>
      </c>
      <c r="CI728" s="45">
        <v>5.0575013506815552</v>
      </c>
      <c r="CJ728" s="45" t="str">
        <v>Invest</v>
      </c>
      <c r="CM728" s="45">
        <v>724</v>
      </c>
      <c r="CN728" s="48">
        <v>1.7957453363217724</v>
      </c>
      <c r="CO728" s="45" t="str">
        <v>Invest</v>
      </c>
      <c r="CP728" s="61"/>
      <c r="CQ728" s="45">
        <v>724</v>
      </c>
      <c r="CR728" s="45">
        <v>43.694029067585561</v>
      </c>
      <c r="CS728" s="45" t="str">
        <v>Invest</v>
      </c>
      <c r="CT728" s="61"/>
      <c r="CU728" s="45">
        <v>724</v>
      </c>
      <c r="CV728" s="45">
        <v>22.83726667357789</v>
      </c>
      <c r="CW728" s="45" t="str">
        <v>Invest</v>
      </c>
      <c r="CX728" s="61"/>
      <c r="CY728" s="45">
        <v>724</v>
      </c>
      <c r="CZ728" s="45">
        <v>30.374206642488328</v>
      </c>
      <c r="DA728" s="45" t="str">
        <v>Invest</v>
      </c>
      <c r="DU728" s="52"/>
      <c r="DV728" s="50"/>
    </row>
    <row r="729" spans="86:126" ht="23.5">
      <c r="CH729" s="45">
        <v>725</v>
      </c>
      <c r="CI729" s="45">
        <v>52.920620926527377</v>
      </c>
      <c r="CJ729" s="45" t="str">
        <v>Invest</v>
      </c>
      <c r="CM729" s="45">
        <v>725</v>
      </c>
      <c r="CN729" s="48">
        <v>2.3898425283596492</v>
      </c>
      <c r="CO729" s="45" t="str">
        <v>Invest</v>
      </c>
      <c r="CP729" s="61"/>
      <c r="CQ729" s="45">
        <v>725</v>
      </c>
      <c r="CR729" s="45">
        <v>46.309815012894347</v>
      </c>
      <c r="CS729" s="45" t="str">
        <v>Invest</v>
      </c>
      <c r="CT729" s="61"/>
      <c r="CU729" s="45">
        <v>725</v>
      </c>
      <c r="CV729" s="45">
        <v>0</v>
      </c>
      <c r="CW729" s="45" t="str">
        <v>Nothing</v>
      </c>
      <c r="CX729" s="61"/>
      <c r="CY729" s="45">
        <v>725</v>
      </c>
      <c r="CZ729" s="45">
        <v>0</v>
      </c>
      <c r="DA729" s="45" t="str">
        <v>Nothing</v>
      </c>
      <c r="DU729" s="52"/>
      <c r="DV729" s="50"/>
    </row>
    <row r="730" spans="86:126" ht="23.5">
      <c r="CH730" s="45">
        <v>726</v>
      </c>
      <c r="CI730" s="45">
        <v>53.897810436904948</v>
      </c>
      <c r="CJ730" s="45" t="str">
        <v>Invest</v>
      </c>
      <c r="CM730" s="45">
        <v>726</v>
      </c>
      <c r="CN730" s="48">
        <v>0</v>
      </c>
      <c r="CO730" s="45" t="str">
        <v>Nothing</v>
      </c>
      <c r="CP730" s="61"/>
      <c r="CQ730" s="45">
        <v>726</v>
      </c>
      <c r="CR730" s="45">
        <v>45.203270302884377</v>
      </c>
      <c r="CS730" s="45" t="str">
        <v>Invest</v>
      </c>
      <c r="CT730" s="61"/>
      <c r="CU730" s="45">
        <v>726</v>
      </c>
      <c r="CV730" s="45">
        <v>52.77548849139216</v>
      </c>
      <c r="CW730" s="45" t="str">
        <v>Invest</v>
      </c>
      <c r="CX730" s="61"/>
      <c r="CY730" s="45">
        <v>726</v>
      </c>
      <c r="CZ730" s="45">
        <v>6.040455823495515</v>
      </c>
      <c r="DA730" s="45" t="str">
        <v>Invest</v>
      </c>
      <c r="DU730" s="52"/>
      <c r="DV730" s="50"/>
    </row>
    <row r="731" spans="86:126" ht="23.5">
      <c r="CH731" s="45">
        <v>727</v>
      </c>
      <c r="CI731" s="45">
        <v>13.618738575436973</v>
      </c>
      <c r="CJ731" s="45" t="str">
        <v>Invest</v>
      </c>
      <c r="CM731" s="45">
        <v>727</v>
      </c>
      <c r="CN731" s="48">
        <v>13.677901095508174</v>
      </c>
      <c r="CO731" s="45" t="str">
        <v>Invest</v>
      </c>
      <c r="CP731" s="61"/>
      <c r="CQ731" s="45">
        <v>727</v>
      </c>
      <c r="CR731" s="45">
        <v>1.2737153041425406</v>
      </c>
      <c r="CS731" s="45" t="str">
        <v>Invest</v>
      </c>
      <c r="CT731" s="61"/>
      <c r="CU731" s="45">
        <v>727</v>
      </c>
      <c r="CV731" s="45">
        <v>11.24387954169573</v>
      </c>
      <c r="CW731" s="45" t="str">
        <v>Invest</v>
      </c>
      <c r="CX731" s="61"/>
      <c r="CY731" s="45">
        <v>727</v>
      </c>
      <c r="CZ731" s="45">
        <v>0</v>
      </c>
      <c r="DA731" s="45" t="str">
        <v>Nothing</v>
      </c>
      <c r="DU731" s="52"/>
      <c r="DV731" s="50"/>
    </row>
    <row r="732" spans="86:126" ht="23.5">
      <c r="CH732" s="45">
        <v>728</v>
      </c>
      <c r="CI732" s="45">
        <v>4.0673902996922742</v>
      </c>
      <c r="CJ732" s="45" t="str">
        <v>Invest</v>
      </c>
      <c r="CM732" s="45">
        <v>728</v>
      </c>
      <c r="CN732" s="48">
        <v>30.652136109694858</v>
      </c>
      <c r="CO732" s="45" t="str">
        <v>Invest</v>
      </c>
      <c r="CP732" s="61"/>
      <c r="CQ732" s="45">
        <v>728</v>
      </c>
      <c r="CR732" s="45">
        <v>0</v>
      </c>
      <c r="CS732" s="45" t="str">
        <v>Nothing</v>
      </c>
      <c r="CT732" s="61"/>
      <c r="CU732" s="45">
        <v>728</v>
      </c>
      <c r="CV732" s="45">
        <v>18.433791737921329</v>
      </c>
      <c r="CW732" s="45" t="str">
        <v>Invest</v>
      </c>
      <c r="CX732" s="61"/>
      <c r="CY732" s="45">
        <v>728</v>
      </c>
      <c r="CZ732" s="45">
        <v>37.080481631491018</v>
      </c>
      <c r="DA732" s="45" t="str">
        <v>Invest</v>
      </c>
      <c r="DU732" s="52"/>
      <c r="DV732" s="50"/>
    </row>
    <row r="733" spans="86:126" ht="23.5">
      <c r="CH733" s="45">
        <v>729</v>
      </c>
      <c r="CI733" s="45">
        <v>29.276831619527375</v>
      </c>
      <c r="CJ733" s="45" t="str">
        <v>Invest</v>
      </c>
      <c r="CM733" s="45">
        <v>729</v>
      </c>
      <c r="CN733" s="48">
        <v>44.55808318348226</v>
      </c>
      <c r="CO733" s="45" t="str">
        <v>Invest</v>
      </c>
      <c r="CP733" s="61"/>
      <c r="CQ733" s="45">
        <v>729</v>
      </c>
      <c r="CR733" s="45">
        <v>22.532883092717135</v>
      </c>
      <c r="CS733" s="45" t="str">
        <v>Invest</v>
      </c>
      <c r="CT733" s="61"/>
      <c r="CU733" s="45">
        <v>729</v>
      </c>
      <c r="CV733" s="45">
        <v>5.2847293617799505</v>
      </c>
      <c r="CW733" s="45" t="str">
        <v>Invest</v>
      </c>
      <c r="CX733" s="61"/>
      <c r="CY733" s="45">
        <v>729</v>
      </c>
      <c r="CZ733" s="45">
        <v>5.8138497184544367</v>
      </c>
      <c r="DA733" s="45" t="str">
        <v>Invest</v>
      </c>
      <c r="DU733" s="52"/>
      <c r="DV733" s="50"/>
    </row>
    <row r="734" spans="86:126" ht="23.5">
      <c r="CH734" s="45">
        <v>730</v>
      </c>
      <c r="CI734" s="45">
        <v>0</v>
      </c>
      <c r="CJ734" s="45" t="str">
        <v>Nothing</v>
      </c>
      <c r="CM734" s="45">
        <v>730</v>
      </c>
      <c r="CN734" s="48">
        <v>15.688644552559746</v>
      </c>
      <c r="CO734" s="45" t="str">
        <v>Invest</v>
      </c>
      <c r="CP734" s="61"/>
      <c r="CQ734" s="45">
        <v>730</v>
      </c>
      <c r="CR734" s="45">
        <v>16.550305257228551</v>
      </c>
      <c r="CS734" s="45" t="str">
        <v>Invest</v>
      </c>
      <c r="CT734" s="61"/>
      <c r="CU734" s="45">
        <v>730</v>
      </c>
      <c r="CV734" s="45">
        <v>35.956141800847462</v>
      </c>
      <c r="CW734" s="45" t="str">
        <v>Invest</v>
      </c>
      <c r="CX734" s="61"/>
      <c r="CY734" s="45">
        <v>730</v>
      </c>
      <c r="CZ734" s="45">
        <v>25.942072335686795</v>
      </c>
      <c r="DA734" s="45" t="str">
        <v>Invest</v>
      </c>
      <c r="DU734" s="52"/>
      <c r="DV734" s="50"/>
    </row>
    <row r="735" spans="86:126" ht="23.5">
      <c r="CH735" s="45">
        <v>731</v>
      </c>
      <c r="CI735" s="45">
        <v>24.6391943528958</v>
      </c>
      <c r="CJ735" s="45" t="str">
        <v>Invest</v>
      </c>
      <c r="CM735" s="45">
        <v>731</v>
      </c>
      <c r="CN735" s="48">
        <v>5.9149638776302762</v>
      </c>
      <c r="CO735" s="45" t="str">
        <v>Invest</v>
      </c>
      <c r="CP735" s="61"/>
      <c r="CQ735" s="45">
        <v>731</v>
      </c>
      <c r="CR735" s="45">
        <v>12.852487415054076</v>
      </c>
      <c r="CS735" s="45" t="str">
        <v>Invest</v>
      </c>
      <c r="CT735" s="61"/>
      <c r="CU735" s="45">
        <v>731</v>
      </c>
      <c r="CV735" s="45">
        <v>1.6599309843615728</v>
      </c>
      <c r="CW735" s="45" t="str">
        <v>Invest</v>
      </c>
      <c r="CX735" s="61"/>
      <c r="CY735" s="45">
        <v>731</v>
      </c>
      <c r="CZ735" s="45">
        <v>45.121314799148408</v>
      </c>
      <c r="DA735" s="45" t="str">
        <v>Invest</v>
      </c>
      <c r="DU735" s="52"/>
      <c r="DV735" s="50"/>
    </row>
    <row r="736" spans="86:126" ht="23.5">
      <c r="CH736" s="45">
        <v>732</v>
      </c>
      <c r="CI736" s="45">
        <v>0</v>
      </c>
      <c r="CJ736" s="45" t="str">
        <v>Nothing</v>
      </c>
      <c r="CM736" s="45">
        <v>732</v>
      </c>
      <c r="CN736" s="48">
        <v>1.4822481001135843</v>
      </c>
      <c r="CO736" s="45" t="str">
        <v>Invest</v>
      </c>
      <c r="CP736" s="61"/>
      <c r="CQ736" s="45">
        <v>732</v>
      </c>
      <c r="CR736" s="45">
        <v>0</v>
      </c>
      <c r="CS736" s="45" t="str">
        <v>Nothing</v>
      </c>
      <c r="CT736" s="61"/>
      <c r="CU736" s="45">
        <v>732</v>
      </c>
      <c r="CV736" s="45">
        <v>18.205300969656541</v>
      </c>
      <c r="CW736" s="45" t="str">
        <v>Invest</v>
      </c>
      <c r="CX736" s="61"/>
      <c r="CY736" s="45">
        <v>732</v>
      </c>
      <c r="CZ736" s="45">
        <v>0</v>
      </c>
      <c r="DA736" s="45" t="str">
        <v>Nothing</v>
      </c>
      <c r="DU736" s="52"/>
      <c r="DV736" s="50"/>
    </row>
    <row r="737" spans="86:126" ht="23.5">
      <c r="CH737" s="45">
        <v>733</v>
      </c>
      <c r="CI737" s="45">
        <v>29.966032732152158</v>
      </c>
      <c r="CJ737" s="45" t="str">
        <v>Invest</v>
      </c>
      <c r="CM737" s="45">
        <v>733</v>
      </c>
      <c r="CN737" s="48">
        <v>0</v>
      </c>
      <c r="CO737" s="45" t="str">
        <v>Nothing</v>
      </c>
      <c r="CP737" s="61"/>
      <c r="CQ737" s="45">
        <v>733</v>
      </c>
      <c r="CR737" s="45">
        <v>0</v>
      </c>
      <c r="CS737" s="45" t="str">
        <v>Nothing</v>
      </c>
      <c r="CT737" s="61"/>
      <c r="CU737" s="45">
        <v>733</v>
      </c>
      <c r="CV737" s="45">
        <v>20.131732791524325</v>
      </c>
      <c r="CW737" s="45" t="str">
        <v>Invest</v>
      </c>
      <c r="CX737" s="61"/>
      <c r="CY737" s="45">
        <v>733</v>
      </c>
      <c r="CZ737" s="45">
        <v>0</v>
      </c>
      <c r="DA737" s="45" t="str">
        <v>Nothing</v>
      </c>
      <c r="DU737" s="52"/>
      <c r="DV737" s="50"/>
    </row>
    <row r="738" spans="86:126" ht="23.5">
      <c r="CH738" s="45">
        <v>734</v>
      </c>
      <c r="CI738" s="45">
        <v>59.474269707268896</v>
      </c>
      <c r="CJ738" s="45" t="str">
        <v>Invest</v>
      </c>
      <c r="CM738" s="45">
        <v>734</v>
      </c>
      <c r="CN738" s="48">
        <v>2.3411948037756307</v>
      </c>
      <c r="CO738" s="45" t="str">
        <v>Invest</v>
      </c>
      <c r="CP738" s="61"/>
      <c r="CQ738" s="45">
        <v>734</v>
      </c>
      <c r="CR738" s="45">
        <v>2.8923506547764859</v>
      </c>
      <c r="CS738" s="45" t="str">
        <v>Invest</v>
      </c>
      <c r="CT738" s="61"/>
      <c r="CU738" s="45">
        <v>734</v>
      </c>
      <c r="CV738" s="45">
        <v>35.116065268343917</v>
      </c>
      <c r="CW738" s="45" t="str">
        <v>Invest</v>
      </c>
      <c r="CX738" s="61"/>
      <c r="CY738" s="45">
        <v>734</v>
      </c>
      <c r="CZ738" s="45">
        <v>49.83809659722435</v>
      </c>
      <c r="DA738" s="45" t="str">
        <v>Invest</v>
      </c>
      <c r="DU738" s="52"/>
      <c r="DV738" s="50"/>
    </row>
    <row r="739" spans="86:126" ht="23.5">
      <c r="CH739" s="45">
        <v>735</v>
      </c>
      <c r="CI739" s="45">
        <v>7.9047418740103126</v>
      </c>
      <c r="CJ739" s="45" t="str">
        <v>Invest</v>
      </c>
      <c r="CM739" s="45">
        <v>735</v>
      </c>
      <c r="CN739" s="48">
        <v>16.350112623375189</v>
      </c>
      <c r="CO739" s="45" t="str">
        <v>Invest</v>
      </c>
      <c r="CP739" s="61"/>
      <c r="CQ739" s="45">
        <v>735</v>
      </c>
      <c r="CR739" s="45">
        <v>5.3662845987329479</v>
      </c>
      <c r="CS739" s="45" t="str">
        <v>Invest</v>
      </c>
      <c r="CT739" s="61"/>
      <c r="CU739" s="45">
        <v>735</v>
      </c>
      <c r="CV739" s="45">
        <v>17.594533792573095</v>
      </c>
      <c r="CW739" s="45" t="str">
        <v>Invest</v>
      </c>
      <c r="CX739" s="61"/>
      <c r="CY739" s="45">
        <v>735</v>
      </c>
      <c r="CZ739" s="45">
        <v>0</v>
      </c>
      <c r="DA739" s="45" t="str">
        <v>Nothing</v>
      </c>
      <c r="DU739" s="52"/>
      <c r="DV739" s="50"/>
    </row>
    <row r="740" spans="86:126" ht="23.5">
      <c r="CH740" s="45">
        <v>736</v>
      </c>
      <c r="CI740" s="45">
        <v>0</v>
      </c>
      <c r="CJ740" s="45" t="str">
        <v>Nothing</v>
      </c>
      <c r="CM740" s="45">
        <v>736</v>
      </c>
      <c r="CN740" s="48">
        <v>23.214363014723684</v>
      </c>
      <c r="CO740" s="45" t="str">
        <v>Invest</v>
      </c>
      <c r="CP740" s="61"/>
      <c r="CQ740" s="45">
        <v>736</v>
      </c>
      <c r="CR740" s="45">
        <v>0</v>
      </c>
      <c r="CS740" s="45" t="str">
        <v>Nothing</v>
      </c>
      <c r="CT740" s="61"/>
      <c r="CU740" s="45">
        <v>736</v>
      </c>
      <c r="CV740" s="45">
        <v>0</v>
      </c>
      <c r="CW740" s="45" t="str">
        <v>Nothing</v>
      </c>
      <c r="CX740" s="61"/>
      <c r="CY740" s="45">
        <v>736</v>
      </c>
      <c r="CZ740" s="45">
        <v>0</v>
      </c>
      <c r="DA740" s="45" t="str">
        <v>Nothing</v>
      </c>
      <c r="DU740" s="52"/>
      <c r="DV740" s="50"/>
    </row>
    <row r="741" spans="86:126" ht="23.5">
      <c r="CH741" s="45">
        <v>737</v>
      </c>
      <c r="CI741" s="45">
        <v>12.353094654617715</v>
      </c>
      <c r="CJ741" s="45" t="str">
        <v>Invest</v>
      </c>
      <c r="CM741" s="45">
        <v>737</v>
      </c>
      <c r="CN741" s="48">
        <v>34.125496249652358</v>
      </c>
      <c r="CO741" s="45" t="str">
        <v>Invest</v>
      </c>
      <c r="CP741" s="61"/>
      <c r="CQ741" s="45">
        <v>737</v>
      </c>
      <c r="CR741" s="45">
        <v>1.0296553867345777</v>
      </c>
      <c r="CS741" s="45" t="str">
        <v>Invest</v>
      </c>
      <c r="CT741" s="61"/>
      <c r="CU741" s="45">
        <v>737</v>
      </c>
      <c r="CV741" s="45">
        <v>9.6925473263025381</v>
      </c>
      <c r="CW741" s="45" t="str">
        <v>Invest</v>
      </c>
      <c r="CX741" s="61"/>
      <c r="CY741" s="45">
        <v>737</v>
      </c>
      <c r="CZ741" s="45">
        <v>6.4655719149464872</v>
      </c>
      <c r="DA741" s="45" t="str">
        <v>Invest</v>
      </c>
      <c r="DU741" s="52"/>
      <c r="DV741" s="50"/>
    </row>
    <row r="742" spans="86:126" ht="23.5">
      <c r="CH742" s="45">
        <v>738</v>
      </c>
      <c r="CI742" s="45">
        <v>0</v>
      </c>
      <c r="CJ742" s="45" t="str">
        <v>Nothing</v>
      </c>
      <c r="CM742" s="45">
        <v>738</v>
      </c>
      <c r="CN742" s="48">
        <v>0</v>
      </c>
      <c r="CO742" s="45" t="str">
        <v>Nothing</v>
      </c>
      <c r="CP742" s="61"/>
      <c r="CQ742" s="45">
        <v>738</v>
      </c>
      <c r="CR742" s="45">
        <v>0</v>
      </c>
      <c r="CS742" s="45" t="str">
        <v>Nothing</v>
      </c>
      <c r="CT742" s="61"/>
      <c r="CU742" s="45">
        <v>738</v>
      </c>
      <c r="CV742" s="45">
        <v>17.149807663330662</v>
      </c>
      <c r="CW742" s="45" t="str">
        <v>Invest</v>
      </c>
      <c r="CX742" s="61"/>
      <c r="CY742" s="45">
        <v>738</v>
      </c>
      <c r="CZ742" s="45">
        <v>0</v>
      </c>
      <c r="DA742" s="45" t="str">
        <v>Nothing</v>
      </c>
      <c r="DU742" s="52"/>
      <c r="DV742" s="50"/>
    </row>
    <row r="743" spans="86:126" ht="23.5">
      <c r="CH743" s="45">
        <v>739</v>
      </c>
      <c r="CI743" s="45">
        <v>0</v>
      </c>
      <c r="CJ743" s="45" t="str">
        <v>Nothing</v>
      </c>
      <c r="CM743" s="45">
        <v>739</v>
      </c>
      <c r="CN743" s="48">
        <v>19.455644221861291</v>
      </c>
      <c r="CO743" s="45" t="str">
        <v>Invest</v>
      </c>
      <c r="CP743" s="61"/>
      <c r="CQ743" s="45">
        <v>739</v>
      </c>
      <c r="CR743" s="45">
        <v>26.687569776706049</v>
      </c>
      <c r="CS743" s="45" t="str">
        <v>Invest</v>
      </c>
      <c r="CT743" s="61"/>
      <c r="CU743" s="45">
        <v>739</v>
      </c>
      <c r="CV743" s="45">
        <v>44.819523387944145</v>
      </c>
      <c r="CW743" s="45" t="str">
        <v>Invest</v>
      </c>
      <c r="CX743" s="61"/>
      <c r="CY743" s="45">
        <v>739</v>
      </c>
      <c r="CZ743" s="45">
        <v>0</v>
      </c>
      <c r="DA743" s="45" t="str">
        <v>Nothing</v>
      </c>
      <c r="DU743" s="52"/>
      <c r="DV743" s="50"/>
    </row>
    <row r="744" spans="86:126" ht="23.5">
      <c r="CH744" s="45">
        <v>740</v>
      </c>
      <c r="CI744" s="45">
        <v>0</v>
      </c>
      <c r="CJ744" s="45" t="str">
        <v>Nothing</v>
      </c>
      <c r="CM744" s="45">
        <v>740</v>
      </c>
      <c r="CN744" s="48">
        <v>47.203240133507407</v>
      </c>
      <c r="CO744" s="45" t="str">
        <v>Invest</v>
      </c>
      <c r="CP744" s="61"/>
      <c r="CQ744" s="45">
        <v>740</v>
      </c>
      <c r="CR744" s="45">
        <v>15.484840625251831</v>
      </c>
      <c r="CS744" s="45" t="str">
        <v>Invest</v>
      </c>
      <c r="CT744" s="61"/>
      <c r="CU744" s="45">
        <v>740</v>
      </c>
      <c r="CV744" s="45">
        <v>0</v>
      </c>
      <c r="CW744" s="45" t="str">
        <v>Nothing</v>
      </c>
      <c r="CX744" s="61"/>
      <c r="CY744" s="45">
        <v>740</v>
      </c>
      <c r="CZ744" s="45">
        <v>20.781063535606378</v>
      </c>
      <c r="DA744" s="45" t="str">
        <v>Invest</v>
      </c>
      <c r="DU744" s="52"/>
      <c r="DV744" s="50"/>
    </row>
    <row r="745" spans="86:126" ht="23.5">
      <c r="CH745" s="45">
        <v>741</v>
      </c>
      <c r="CI745" s="45">
        <v>49.872605952241578</v>
      </c>
      <c r="CJ745" s="45" t="str">
        <v>Invest</v>
      </c>
      <c r="CM745" s="45">
        <v>741</v>
      </c>
      <c r="CN745" s="48">
        <v>52.582127429560991</v>
      </c>
      <c r="CO745" s="45" t="str">
        <v>Invest</v>
      </c>
      <c r="CP745" s="61"/>
      <c r="CQ745" s="45">
        <v>741</v>
      </c>
      <c r="CR745" s="45">
        <v>0</v>
      </c>
      <c r="CS745" s="45" t="str">
        <v>Nothing</v>
      </c>
      <c r="CT745" s="61"/>
      <c r="CU745" s="45">
        <v>741</v>
      </c>
      <c r="CV745" s="45">
        <v>0</v>
      </c>
      <c r="CW745" s="45" t="str">
        <v>Nothing</v>
      </c>
      <c r="CX745" s="61"/>
      <c r="CY745" s="45">
        <v>741</v>
      </c>
      <c r="CZ745" s="45">
        <v>6.4333627158952833</v>
      </c>
      <c r="DA745" s="45" t="str">
        <v>Invest</v>
      </c>
      <c r="DU745" s="52"/>
      <c r="DV745" s="50"/>
    </row>
    <row r="746" spans="86:126" ht="23.5">
      <c r="CH746" s="45">
        <v>742</v>
      </c>
      <c r="CI746" s="45">
        <v>27.601410744329893</v>
      </c>
      <c r="CJ746" s="45" t="str">
        <v>Invest</v>
      </c>
      <c r="CM746" s="45">
        <v>742</v>
      </c>
      <c r="CN746" s="48">
        <v>8.8504660658921956</v>
      </c>
      <c r="CO746" s="45" t="str">
        <v>Invest</v>
      </c>
      <c r="CP746" s="61"/>
      <c r="CQ746" s="45">
        <v>742</v>
      </c>
      <c r="CR746" s="45">
        <v>16.454104884944179</v>
      </c>
      <c r="CS746" s="45" t="str">
        <v>Invest</v>
      </c>
      <c r="CT746" s="61"/>
      <c r="CU746" s="45">
        <v>742</v>
      </c>
      <c r="CV746" s="45">
        <v>30.989582312275903</v>
      </c>
      <c r="CW746" s="45" t="str">
        <v>Invest</v>
      </c>
      <c r="CX746" s="61"/>
      <c r="CY746" s="45">
        <v>742</v>
      </c>
      <c r="CZ746" s="45">
        <v>25.947003338790221</v>
      </c>
      <c r="DA746" s="45" t="str">
        <v>Invest</v>
      </c>
      <c r="DU746" s="52"/>
      <c r="DV746" s="50"/>
    </row>
    <row r="747" spans="86:126" ht="23.5">
      <c r="CH747" s="45">
        <v>743</v>
      </c>
      <c r="CI747" s="45">
        <v>3.6925888715734523</v>
      </c>
      <c r="CJ747" s="45" t="str">
        <v>Invest</v>
      </c>
      <c r="CM747" s="45">
        <v>743</v>
      </c>
      <c r="CN747" s="48">
        <v>23.756109198589805</v>
      </c>
      <c r="CO747" s="45" t="str">
        <v>Invest</v>
      </c>
      <c r="CP747" s="61"/>
      <c r="CQ747" s="45">
        <v>743</v>
      </c>
      <c r="CR747" s="45">
        <v>14.699667905896369</v>
      </c>
      <c r="CS747" s="45" t="str">
        <v>Invest</v>
      </c>
      <c r="CT747" s="61"/>
      <c r="CU747" s="45">
        <v>743</v>
      </c>
      <c r="CV747" s="45">
        <v>24.410926313344788</v>
      </c>
      <c r="CW747" s="45" t="str">
        <v>Invest</v>
      </c>
      <c r="CX747" s="61"/>
      <c r="CY747" s="45">
        <v>743</v>
      </c>
      <c r="CZ747" s="45">
        <v>41.241022333610729</v>
      </c>
      <c r="DA747" s="45" t="str">
        <v>Invest</v>
      </c>
      <c r="DU747" s="52"/>
      <c r="DV747" s="50"/>
    </row>
    <row r="748" spans="86:126" ht="23.5">
      <c r="CH748" s="45">
        <v>744</v>
      </c>
      <c r="CI748" s="45">
        <v>36.310348180175133</v>
      </c>
      <c r="CJ748" s="45" t="str">
        <v>Invest</v>
      </c>
      <c r="CM748" s="45">
        <v>744</v>
      </c>
      <c r="CN748" s="48">
        <v>0</v>
      </c>
      <c r="CO748" s="45" t="str">
        <v>Nothing</v>
      </c>
      <c r="CP748" s="61"/>
      <c r="CQ748" s="45">
        <v>744</v>
      </c>
      <c r="CR748" s="45">
        <v>51.023511436389796</v>
      </c>
      <c r="CS748" s="45" t="str">
        <v>Invest</v>
      </c>
      <c r="CT748" s="61"/>
      <c r="CU748" s="45">
        <v>744</v>
      </c>
      <c r="CV748" s="45">
        <v>51.21950576794481</v>
      </c>
      <c r="CW748" s="45" t="str">
        <v>Invest</v>
      </c>
      <c r="CX748" s="61"/>
      <c r="CY748" s="45">
        <v>744</v>
      </c>
      <c r="CZ748" s="45">
        <v>55.921978028725619</v>
      </c>
      <c r="DA748" s="45" t="str">
        <v>Invest</v>
      </c>
      <c r="DU748" s="52"/>
      <c r="DV748" s="50"/>
    </row>
    <row r="749" spans="86:126" ht="23.5">
      <c r="CH749" s="45">
        <v>745</v>
      </c>
      <c r="CI749" s="45">
        <v>0.26237788447577604</v>
      </c>
      <c r="CJ749" s="45" t="str">
        <v>Invest</v>
      </c>
      <c r="CM749" s="45">
        <v>745</v>
      </c>
      <c r="CN749" s="48">
        <v>16.017753656729472</v>
      </c>
      <c r="CO749" s="45" t="str">
        <v>Invest</v>
      </c>
      <c r="CP749" s="61"/>
      <c r="CQ749" s="45">
        <v>745</v>
      </c>
      <c r="CR749" s="45">
        <v>0</v>
      </c>
      <c r="CS749" s="45" t="str">
        <v>Nothing</v>
      </c>
      <c r="CT749" s="61"/>
      <c r="CU749" s="45">
        <v>745</v>
      </c>
      <c r="CV749" s="45">
        <v>0</v>
      </c>
      <c r="CW749" s="45" t="str">
        <v>Nothing</v>
      </c>
      <c r="CX749" s="61"/>
      <c r="CY749" s="45">
        <v>745</v>
      </c>
      <c r="CZ749" s="45">
        <v>18.371828310214553</v>
      </c>
      <c r="DA749" s="45" t="str">
        <v>Invest</v>
      </c>
      <c r="DU749" s="52"/>
      <c r="DV749" s="50"/>
    </row>
    <row r="750" spans="86:126" ht="23.5">
      <c r="CH750" s="45">
        <v>746</v>
      </c>
      <c r="CI750" s="45">
        <v>18.805606698900576</v>
      </c>
      <c r="CJ750" s="45" t="str">
        <v>Invest</v>
      </c>
      <c r="CM750" s="45">
        <v>746</v>
      </c>
      <c r="CN750" s="48">
        <v>11.540900871333486</v>
      </c>
      <c r="CO750" s="45" t="str">
        <v>Invest</v>
      </c>
      <c r="CP750" s="61"/>
      <c r="CQ750" s="45">
        <v>746</v>
      </c>
      <c r="CR750" s="45">
        <v>1.3364143929968897</v>
      </c>
      <c r="CS750" s="45" t="str">
        <v>Invest</v>
      </c>
      <c r="CT750" s="61"/>
      <c r="CU750" s="45">
        <v>746</v>
      </c>
      <c r="CV750" s="45">
        <v>12.722063579952241</v>
      </c>
      <c r="CW750" s="45" t="str">
        <v>Invest</v>
      </c>
      <c r="CX750" s="61"/>
      <c r="CY750" s="45">
        <v>746</v>
      </c>
      <c r="CZ750" s="45">
        <v>49.927525462334984</v>
      </c>
      <c r="DA750" s="45" t="str">
        <v>Invest</v>
      </c>
      <c r="DU750" s="52"/>
      <c r="DV750" s="50"/>
    </row>
    <row r="751" spans="86:126" ht="23.5">
      <c r="CH751" s="45">
        <v>747</v>
      </c>
      <c r="CI751" s="45">
        <v>0</v>
      </c>
      <c r="CJ751" s="45" t="str">
        <v>Nothing</v>
      </c>
      <c r="CM751" s="45">
        <v>747</v>
      </c>
      <c r="CN751" s="48">
        <v>2.8575718219970661</v>
      </c>
      <c r="CO751" s="45" t="str">
        <v>Invest</v>
      </c>
      <c r="CP751" s="61"/>
      <c r="CQ751" s="45">
        <v>747</v>
      </c>
      <c r="CR751" s="45">
        <v>0</v>
      </c>
      <c r="CS751" s="45" t="str">
        <v>Nothing</v>
      </c>
      <c r="CT751" s="61"/>
      <c r="CU751" s="45">
        <v>747</v>
      </c>
      <c r="CV751" s="45">
        <v>39.145300689446032</v>
      </c>
      <c r="CW751" s="45" t="str">
        <v>Invest</v>
      </c>
      <c r="CX751" s="61"/>
      <c r="CY751" s="45">
        <v>747</v>
      </c>
      <c r="CZ751" s="45">
        <v>0</v>
      </c>
      <c r="DA751" s="45" t="str">
        <v>Nothing</v>
      </c>
      <c r="DU751" s="52"/>
      <c r="DV751" s="50"/>
    </row>
    <row r="752" spans="86:126" ht="23.5">
      <c r="CH752" s="45">
        <v>748</v>
      </c>
      <c r="CI752" s="45">
        <v>0.87207168692403858</v>
      </c>
      <c r="CJ752" s="45" t="str">
        <v>Invest</v>
      </c>
      <c r="CM752" s="45">
        <v>748</v>
      </c>
      <c r="CN752" s="48">
        <v>9.9044121168167329</v>
      </c>
      <c r="CO752" s="45" t="str">
        <v>Invest</v>
      </c>
      <c r="CP752" s="61"/>
      <c r="CQ752" s="45">
        <v>748</v>
      </c>
      <c r="CR752" s="45">
        <v>20.193808346079408</v>
      </c>
      <c r="CS752" s="45" t="str">
        <v>Invest</v>
      </c>
      <c r="CT752" s="61"/>
      <c r="CU752" s="45">
        <v>748</v>
      </c>
      <c r="CV752" s="45">
        <v>13.978496431588932</v>
      </c>
      <c r="CW752" s="45" t="str">
        <v>Invest</v>
      </c>
      <c r="CX752" s="61"/>
      <c r="CY752" s="45">
        <v>748</v>
      </c>
      <c r="CZ752" s="45">
        <v>0</v>
      </c>
      <c r="DA752" s="45" t="str">
        <v>Nothing</v>
      </c>
      <c r="DU752" s="52"/>
      <c r="DV752" s="50"/>
    </row>
    <row r="753" spans="86:126" ht="23.5">
      <c r="CH753" s="45">
        <v>749</v>
      </c>
      <c r="CI753" s="45">
        <v>12.81614262723323</v>
      </c>
      <c r="CJ753" s="45" t="str">
        <v>Invest</v>
      </c>
      <c r="CM753" s="45">
        <v>749</v>
      </c>
      <c r="CN753" s="48">
        <v>0</v>
      </c>
      <c r="CO753" s="45" t="str">
        <v>Nothing</v>
      </c>
      <c r="CP753" s="61"/>
      <c r="CQ753" s="45">
        <v>749</v>
      </c>
      <c r="CR753" s="45">
        <v>3.8938764416253324</v>
      </c>
      <c r="CS753" s="45" t="str">
        <v>Invest</v>
      </c>
      <c r="CT753" s="61"/>
      <c r="CU753" s="45">
        <v>749</v>
      </c>
      <c r="CV753" s="45">
        <v>0</v>
      </c>
      <c r="CW753" s="45" t="str">
        <v>Nothing</v>
      </c>
      <c r="CX753" s="61"/>
      <c r="CY753" s="45">
        <v>749</v>
      </c>
      <c r="CZ753" s="45">
        <v>0</v>
      </c>
      <c r="DA753" s="45" t="str">
        <v>Nothing</v>
      </c>
      <c r="DU753" s="52"/>
      <c r="DV753" s="50"/>
    </row>
    <row r="754" spans="86:126" ht="23.5">
      <c r="CH754" s="45">
        <v>750</v>
      </c>
      <c r="CI754" s="45">
        <v>0</v>
      </c>
      <c r="CJ754" s="45" t="str">
        <v>Nothing</v>
      </c>
      <c r="CM754" s="45">
        <v>750</v>
      </c>
      <c r="CN754" s="48">
        <v>3.9466353297124357</v>
      </c>
      <c r="CO754" s="45" t="str">
        <v>Invest</v>
      </c>
      <c r="CP754" s="61"/>
      <c r="CQ754" s="45">
        <v>750</v>
      </c>
      <c r="CR754" s="45">
        <v>12.172588885493822</v>
      </c>
      <c r="CS754" s="45" t="str">
        <v>Invest</v>
      </c>
      <c r="CT754" s="61"/>
      <c r="CU754" s="45">
        <v>750</v>
      </c>
      <c r="CV754" s="45">
        <v>21.877311999242306</v>
      </c>
      <c r="CW754" s="45" t="str">
        <v>Invest</v>
      </c>
      <c r="CX754" s="61"/>
      <c r="CY754" s="45">
        <v>750</v>
      </c>
      <c r="CZ754" s="45">
        <v>0</v>
      </c>
      <c r="DA754" s="45" t="str">
        <v>Nothing</v>
      </c>
      <c r="DU754" s="52"/>
      <c r="DV754" s="50"/>
    </row>
    <row r="755" spans="86:126" ht="23.5">
      <c r="CH755" s="45">
        <v>751</v>
      </c>
      <c r="CI755" s="45">
        <v>0</v>
      </c>
      <c r="CJ755" s="45" t="str">
        <v>Nothing</v>
      </c>
      <c r="CM755" s="45">
        <v>751</v>
      </c>
      <c r="CN755" s="48">
        <v>27.935387003222431</v>
      </c>
      <c r="CO755" s="45" t="str">
        <v>Invest</v>
      </c>
      <c r="CP755" s="61"/>
      <c r="CQ755" s="45">
        <v>751</v>
      </c>
      <c r="CR755" s="45">
        <v>20.946345882962163</v>
      </c>
      <c r="CS755" s="45" t="str">
        <v>Invest</v>
      </c>
      <c r="CT755" s="61"/>
      <c r="CU755" s="45">
        <v>751</v>
      </c>
      <c r="CV755" s="45">
        <v>29.984409127337955</v>
      </c>
      <c r="CW755" s="45" t="str">
        <v>Invest</v>
      </c>
      <c r="CX755" s="61"/>
      <c r="CY755" s="45">
        <v>751</v>
      </c>
      <c r="CZ755" s="45">
        <v>33.943342526637011</v>
      </c>
      <c r="DA755" s="45" t="str">
        <v>Invest</v>
      </c>
      <c r="DU755" s="52"/>
      <c r="DV755" s="50"/>
    </row>
    <row r="756" spans="86:126" ht="23.5">
      <c r="CH756" s="45">
        <v>752</v>
      </c>
      <c r="CI756" s="45">
        <v>0</v>
      </c>
      <c r="CJ756" s="45" t="str">
        <v>Nothing</v>
      </c>
      <c r="CM756" s="45">
        <v>752</v>
      </c>
      <c r="CN756" s="48">
        <v>48.473024249481327</v>
      </c>
      <c r="CO756" s="45" t="str">
        <v>Invest</v>
      </c>
      <c r="CP756" s="61"/>
      <c r="CQ756" s="45">
        <v>752</v>
      </c>
      <c r="CR756" s="45">
        <v>4.1246340577396534</v>
      </c>
      <c r="CS756" s="45" t="str">
        <v>Invest</v>
      </c>
      <c r="CT756" s="61"/>
      <c r="CU756" s="45">
        <v>752</v>
      </c>
      <c r="CV756" s="45">
        <v>3.6453977531381447</v>
      </c>
      <c r="CW756" s="45" t="str">
        <v>Invest</v>
      </c>
      <c r="CX756" s="61"/>
      <c r="CY756" s="45">
        <v>752</v>
      </c>
      <c r="CZ756" s="45">
        <v>10.862936752462531</v>
      </c>
      <c r="DA756" s="45" t="str">
        <v>Invest</v>
      </c>
      <c r="DU756" s="52"/>
      <c r="DV756" s="50"/>
    </row>
    <row r="757" spans="86:126" ht="23.5">
      <c r="CH757" s="45">
        <v>753</v>
      </c>
      <c r="CI757" s="45">
        <v>22.509573871413775</v>
      </c>
      <c r="CJ757" s="45" t="str">
        <v>Invest</v>
      </c>
      <c r="CM757" s="45">
        <v>753</v>
      </c>
      <c r="CN757" s="48">
        <v>0</v>
      </c>
      <c r="CO757" s="45" t="str">
        <v>Nothing</v>
      </c>
      <c r="CP757" s="61"/>
      <c r="CQ757" s="45">
        <v>753</v>
      </c>
      <c r="CR757" s="45">
        <v>8.2116159477135895</v>
      </c>
      <c r="CS757" s="45" t="str">
        <v>Invest</v>
      </c>
      <c r="CT757" s="61"/>
      <c r="CU757" s="45">
        <v>753</v>
      </c>
      <c r="CV757" s="45">
        <v>0</v>
      </c>
      <c r="CW757" s="45" t="str">
        <v>Nothing</v>
      </c>
      <c r="CX757" s="61"/>
      <c r="CY757" s="45">
        <v>753</v>
      </c>
      <c r="CZ757" s="45">
        <v>20.950135161223084</v>
      </c>
      <c r="DA757" s="45" t="str">
        <v>Invest</v>
      </c>
      <c r="DU757" s="52"/>
      <c r="DV757" s="50"/>
    </row>
    <row r="758" spans="86:126" ht="23.5">
      <c r="CH758" s="45">
        <v>754</v>
      </c>
      <c r="CI758" s="45">
        <v>0</v>
      </c>
      <c r="CJ758" s="45" t="str">
        <v>Nothing</v>
      </c>
      <c r="CM758" s="45">
        <v>754</v>
      </c>
      <c r="CN758" s="48">
        <v>48.819373281667914</v>
      </c>
      <c r="CO758" s="45" t="str">
        <v>Invest</v>
      </c>
      <c r="CP758" s="61"/>
      <c r="CQ758" s="45">
        <v>754</v>
      </c>
      <c r="CR758" s="45">
        <v>23.230933610409615</v>
      </c>
      <c r="CS758" s="45" t="str">
        <v>Invest</v>
      </c>
      <c r="CT758" s="61"/>
      <c r="CU758" s="45">
        <v>754</v>
      </c>
      <c r="CV758" s="45">
        <v>21.033840743671533</v>
      </c>
      <c r="CW758" s="45" t="str">
        <v>Invest</v>
      </c>
      <c r="CX758" s="61"/>
      <c r="CY758" s="45">
        <v>754</v>
      </c>
      <c r="CZ758" s="45">
        <v>0.23815189308630469</v>
      </c>
      <c r="DA758" s="45" t="str">
        <v>Invest</v>
      </c>
      <c r="DU758" s="52"/>
      <c r="DV758" s="50"/>
    </row>
    <row r="759" spans="86:126" ht="23.5">
      <c r="CH759" s="45">
        <v>755</v>
      </c>
      <c r="CI759" s="45">
        <v>0</v>
      </c>
      <c r="CJ759" s="45" t="str">
        <v>Nothing</v>
      </c>
      <c r="CM759" s="45">
        <v>755</v>
      </c>
      <c r="CN759" s="48">
        <v>22.461734711094252</v>
      </c>
      <c r="CO759" s="45" t="str">
        <v>Invest</v>
      </c>
      <c r="CP759" s="61"/>
      <c r="CQ759" s="45">
        <v>755</v>
      </c>
      <c r="CR759" s="45">
        <v>28.369047736839537</v>
      </c>
      <c r="CS759" s="45" t="str">
        <v>Invest</v>
      </c>
      <c r="CT759" s="61"/>
      <c r="CU759" s="45">
        <v>755</v>
      </c>
      <c r="CV759" s="45">
        <v>4.979262341363178</v>
      </c>
      <c r="CW759" s="45" t="str">
        <v>Invest</v>
      </c>
      <c r="CX759" s="61"/>
      <c r="CY759" s="45">
        <v>755</v>
      </c>
      <c r="CZ759" s="45">
        <v>38.757811003163823</v>
      </c>
      <c r="DA759" s="45" t="str">
        <v>Invest</v>
      </c>
      <c r="DU759" s="52"/>
      <c r="DV759" s="50"/>
    </row>
    <row r="760" spans="86:126" ht="23.5">
      <c r="CH760" s="45">
        <v>756</v>
      </c>
      <c r="CI760" s="45">
        <v>12.856191926585847</v>
      </c>
      <c r="CJ760" s="45" t="str">
        <v>Invest</v>
      </c>
      <c r="CM760" s="45">
        <v>756</v>
      </c>
      <c r="CN760" s="48">
        <v>10.444593339591865</v>
      </c>
      <c r="CO760" s="45" t="str">
        <v>Invest</v>
      </c>
      <c r="CP760" s="61"/>
      <c r="CQ760" s="45">
        <v>756</v>
      </c>
      <c r="CR760" s="45">
        <v>0</v>
      </c>
      <c r="CS760" s="45" t="str">
        <v>Nothing</v>
      </c>
      <c r="CT760" s="61"/>
      <c r="CU760" s="45">
        <v>756</v>
      </c>
      <c r="CV760" s="45">
        <v>0</v>
      </c>
      <c r="CW760" s="45" t="str">
        <v>Nothing</v>
      </c>
      <c r="CX760" s="61"/>
      <c r="CY760" s="45">
        <v>756</v>
      </c>
      <c r="CZ760" s="45">
        <v>18.751328448168582</v>
      </c>
      <c r="DA760" s="45" t="str">
        <v>Invest</v>
      </c>
      <c r="DU760" s="52"/>
      <c r="DV760" s="50"/>
    </row>
    <row r="761" spans="86:126" ht="23.5">
      <c r="CH761" s="45">
        <v>757</v>
      </c>
      <c r="CI761" s="45">
        <v>0</v>
      </c>
      <c r="CJ761" s="45" t="str">
        <v>Nothing</v>
      </c>
      <c r="CM761" s="45">
        <v>757</v>
      </c>
      <c r="CN761" s="48">
        <v>0</v>
      </c>
      <c r="CO761" s="45" t="str">
        <v>Nothing</v>
      </c>
      <c r="CP761" s="61"/>
      <c r="CQ761" s="45">
        <v>757</v>
      </c>
      <c r="CR761" s="45">
        <v>20.973723640718141</v>
      </c>
      <c r="CS761" s="45" t="str">
        <v>Invest</v>
      </c>
      <c r="CT761" s="61"/>
      <c r="CU761" s="45">
        <v>757</v>
      </c>
      <c r="CV761" s="45">
        <v>10.969969575315133</v>
      </c>
      <c r="CW761" s="45" t="str">
        <v>Invest</v>
      </c>
      <c r="CX761" s="61"/>
      <c r="CY761" s="45">
        <v>757</v>
      </c>
      <c r="CZ761" s="45">
        <v>36.5991374288404</v>
      </c>
      <c r="DA761" s="45" t="str">
        <v>Invest</v>
      </c>
      <c r="DU761" s="52"/>
      <c r="DV761" s="50"/>
    </row>
    <row r="762" spans="86:126" ht="23.5">
      <c r="CH762" s="45">
        <v>758</v>
      </c>
      <c r="CI762" s="45">
        <v>0.40539519258437551</v>
      </c>
      <c r="CJ762" s="45" t="str">
        <v>Invest</v>
      </c>
      <c r="CM762" s="45">
        <v>758</v>
      </c>
      <c r="CN762" s="48">
        <v>0</v>
      </c>
      <c r="CO762" s="45" t="str">
        <v>Nothing</v>
      </c>
      <c r="CP762" s="61"/>
      <c r="CQ762" s="45">
        <v>758</v>
      </c>
      <c r="CR762" s="45">
        <v>2.4429998921595697E-2</v>
      </c>
      <c r="CS762" s="45" t="str">
        <v>Invest</v>
      </c>
      <c r="CT762" s="61"/>
      <c r="CU762" s="45">
        <v>758</v>
      </c>
      <c r="CV762" s="45">
        <v>0</v>
      </c>
      <c r="CW762" s="45" t="str">
        <v>Nothing</v>
      </c>
      <c r="CX762" s="61"/>
      <c r="CY762" s="45">
        <v>758</v>
      </c>
      <c r="CZ762" s="45">
        <v>1.6621029371155611</v>
      </c>
      <c r="DA762" s="45" t="str">
        <v>Invest</v>
      </c>
      <c r="DU762" s="52"/>
      <c r="DV762" s="50"/>
    </row>
    <row r="763" spans="86:126" ht="23.5">
      <c r="CH763" s="45">
        <v>759</v>
      </c>
      <c r="CI763" s="45">
        <v>0</v>
      </c>
      <c r="CJ763" s="45" t="str">
        <v>Nothing</v>
      </c>
      <c r="CM763" s="45">
        <v>759</v>
      </c>
      <c r="CN763" s="48">
        <v>0</v>
      </c>
      <c r="CO763" s="45" t="str">
        <v>Nothing</v>
      </c>
      <c r="CP763" s="61"/>
      <c r="CQ763" s="45">
        <v>759</v>
      </c>
      <c r="CR763" s="45">
        <v>18.987712497218361</v>
      </c>
      <c r="CS763" s="45" t="str">
        <v>Invest</v>
      </c>
      <c r="CT763" s="61"/>
      <c r="CU763" s="45">
        <v>759</v>
      </c>
      <c r="CV763" s="45">
        <v>28.549696124929238</v>
      </c>
      <c r="CW763" s="45" t="str">
        <v>Invest</v>
      </c>
      <c r="CX763" s="61"/>
      <c r="CY763" s="45">
        <v>759</v>
      </c>
      <c r="CZ763" s="45">
        <v>0</v>
      </c>
      <c r="DA763" s="45" t="str">
        <v>Nothing</v>
      </c>
      <c r="DU763" s="52"/>
      <c r="DV763" s="50"/>
    </row>
    <row r="764" spans="86:126" ht="23.5">
      <c r="CH764" s="45">
        <v>760</v>
      </c>
      <c r="CI764" s="45">
        <v>0.20659015124189395</v>
      </c>
      <c r="CJ764" s="45" t="str">
        <v>Invest</v>
      </c>
      <c r="CM764" s="45">
        <v>760</v>
      </c>
      <c r="CN764" s="48">
        <v>38.507067076361622</v>
      </c>
      <c r="CO764" s="45" t="str">
        <v>Invest</v>
      </c>
      <c r="CP764" s="61"/>
      <c r="CQ764" s="45">
        <v>760</v>
      </c>
      <c r="CR764" s="45">
        <v>11.119847695070515</v>
      </c>
      <c r="CS764" s="45" t="str">
        <v>Invest</v>
      </c>
      <c r="CT764" s="61"/>
      <c r="CU764" s="45">
        <v>760</v>
      </c>
      <c r="CV764" s="45">
        <v>22.428186941678192</v>
      </c>
      <c r="CW764" s="45" t="str">
        <v>Invest</v>
      </c>
      <c r="CX764" s="61"/>
      <c r="CY764" s="45">
        <v>760</v>
      </c>
      <c r="CZ764" s="45">
        <v>49.375041290262715</v>
      </c>
      <c r="DA764" s="45" t="str">
        <v>Invest</v>
      </c>
      <c r="DU764" s="52"/>
      <c r="DV764" s="50"/>
    </row>
    <row r="765" spans="86:126" ht="23.5">
      <c r="CH765" s="45">
        <v>761</v>
      </c>
      <c r="CI765" s="45">
        <v>21.546457269690787</v>
      </c>
      <c r="CJ765" s="45" t="str">
        <v>Invest</v>
      </c>
      <c r="CM765" s="45">
        <v>761</v>
      </c>
      <c r="CN765" s="48">
        <v>19.482432190609551</v>
      </c>
      <c r="CO765" s="45" t="str">
        <v>Invest</v>
      </c>
      <c r="CP765" s="61"/>
      <c r="CQ765" s="45">
        <v>761</v>
      </c>
      <c r="CR765" s="45">
        <v>4.4966778445298843</v>
      </c>
      <c r="CS765" s="45" t="str">
        <v>Invest</v>
      </c>
      <c r="CT765" s="61"/>
      <c r="CU765" s="45">
        <v>761</v>
      </c>
      <c r="CV765" s="45">
        <v>28.124856792100495</v>
      </c>
      <c r="CW765" s="45" t="str">
        <v>Invest</v>
      </c>
      <c r="CX765" s="61"/>
      <c r="CY765" s="45">
        <v>761</v>
      </c>
      <c r="CZ765" s="45">
        <v>0.51618984954107816</v>
      </c>
      <c r="DA765" s="45" t="str">
        <v>Invest</v>
      </c>
      <c r="DU765" s="52"/>
      <c r="DV765" s="50"/>
    </row>
    <row r="766" spans="86:126" ht="23.5">
      <c r="CH766" s="45">
        <v>762</v>
      </c>
      <c r="CI766" s="45">
        <v>24.454751097408199</v>
      </c>
      <c r="CJ766" s="45" t="str">
        <v>Invest</v>
      </c>
      <c r="CM766" s="45">
        <v>762</v>
      </c>
      <c r="CN766" s="48">
        <v>12.302637560374443</v>
      </c>
      <c r="CO766" s="45" t="str">
        <v>Invest</v>
      </c>
      <c r="CP766" s="61"/>
      <c r="CQ766" s="45">
        <v>762</v>
      </c>
      <c r="CR766" s="45">
        <v>0</v>
      </c>
      <c r="CS766" s="45" t="str">
        <v>Nothing</v>
      </c>
      <c r="CT766" s="61"/>
      <c r="CU766" s="45">
        <v>762</v>
      </c>
      <c r="CV766" s="45">
        <v>11.402386481548406</v>
      </c>
      <c r="CW766" s="45" t="str">
        <v>Invest</v>
      </c>
      <c r="CX766" s="61"/>
      <c r="CY766" s="45">
        <v>762</v>
      </c>
      <c r="CZ766" s="45">
        <v>31.729503954824452</v>
      </c>
      <c r="DA766" s="45" t="str">
        <v>Invest</v>
      </c>
      <c r="DU766" s="52"/>
      <c r="DV766" s="50"/>
    </row>
    <row r="767" spans="86:126" ht="23.5">
      <c r="CH767" s="45">
        <v>763</v>
      </c>
      <c r="CI767" s="45">
        <v>6.7220547253435283</v>
      </c>
      <c r="CJ767" s="45" t="str">
        <v>Invest</v>
      </c>
      <c r="CM767" s="45">
        <v>763</v>
      </c>
      <c r="CN767" s="48">
        <v>46.729246112783272</v>
      </c>
      <c r="CO767" s="45" t="str">
        <v>Invest</v>
      </c>
      <c r="CP767" s="61"/>
      <c r="CQ767" s="45">
        <v>763</v>
      </c>
      <c r="CR767" s="45">
        <v>0</v>
      </c>
      <c r="CS767" s="45" t="str">
        <v>Nothing</v>
      </c>
      <c r="CT767" s="61"/>
      <c r="CU767" s="45">
        <v>763</v>
      </c>
      <c r="CV767" s="45">
        <v>4.9707572204575197</v>
      </c>
      <c r="CW767" s="45" t="str">
        <v>Invest</v>
      </c>
      <c r="CX767" s="61"/>
      <c r="CY767" s="45">
        <v>763</v>
      </c>
      <c r="CZ767" s="45">
        <v>5.3785558238397542</v>
      </c>
      <c r="DA767" s="45" t="str">
        <v>Invest</v>
      </c>
      <c r="DU767" s="52"/>
      <c r="DV767" s="50"/>
    </row>
    <row r="768" spans="86:126" ht="23.5">
      <c r="CH768" s="45">
        <v>764</v>
      </c>
      <c r="CI768" s="45">
        <v>2.6385500286630439</v>
      </c>
      <c r="CJ768" s="45" t="str">
        <v>Invest</v>
      </c>
      <c r="CM768" s="45">
        <v>764</v>
      </c>
      <c r="CN768" s="48">
        <v>27.643402400633619</v>
      </c>
      <c r="CO768" s="45" t="str">
        <v>Invest</v>
      </c>
      <c r="CP768" s="61"/>
      <c r="CQ768" s="45">
        <v>764</v>
      </c>
      <c r="CR768" s="45">
        <v>18.06302805201846</v>
      </c>
      <c r="CS768" s="45" t="str">
        <v>Invest</v>
      </c>
      <c r="CT768" s="61"/>
      <c r="CU768" s="45">
        <v>764</v>
      </c>
      <c r="CV768" s="45">
        <v>7.6928584324754699</v>
      </c>
      <c r="CW768" s="45" t="str">
        <v>Invest</v>
      </c>
      <c r="CX768" s="61"/>
      <c r="CY768" s="45">
        <v>764</v>
      </c>
      <c r="CZ768" s="45">
        <v>21.05283450061993</v>
      </c>
      <c r="DA768" s="45" t="str">
        <v>Invest</v>
      </c>
      <c r="DU768" s="52"/>
      <c r="DV768" s="50"/>
    </row>
    <row r="769" spans="86:126" ht="23.5">
      <c r="CH769" s="45">
        <v>765</v>
      </c>
      <c r="CI769" s="45">
        <v>0.63253159400789372</v>
      </c>
      <c r="CJ769" s="45" t="str">
        <v>Invest</v>
      </c>
      <c r="CM769" s="45">
        <v>765</v>
      </c>
      <c r="CN769" s="48">
        <v>0</v>
      </c>
      <c r="CO769" s="45" t="str">
        <v>Nothing</v>
      </c>
      <c r="CP769" s="61"/>
      <c r="CQ769" s="45">
        <v>765</v>
      </c>
      <c r="CR769" s="45">
        <v>0</v>
      </c>
      <c r="CS769" s="45" t="str">
        <v>Nothing</v>
      </c>
      <c r="CT769" s="61"/>
      <c r="CU769" s="45">
        <v>765</v>
      </c>
      <c r="CV769" s="45">
        <v>0</v>
      </c>
      <c r="CW769" s="45" t="str">
        <v>Nothing</v>
      </c>
      <c r="CX769" s="61"/>
      <c r="CY769" s="45">
        <v>765</v>
      </c>
      <c r="CZ769" s="45">
        <v>0</v>
      </c>
      <c r="DA769" s="45" t="str">
        <v>Nothing</v>
      </c>
      <c r="DU769" s="52"/>
      <c r="DV769" s="50"/>
    </row>
    <row r="770" spans="86:126" ht="23.5">
      <c r="CH770" s="45">
        <v>766</v>
      </c>
      <c r="CI770" s="45">
        <v>16.007398578288068</v>
      </c>
      <c r="CJ770" s="45" t="str">
        <v>Invest</v>
      </c>
      <c r="CM770" s="45">
        <v>766</v>
      </c>
      <c r="CN770" s="48">
        <v>15.691750689890922</v>
      </c>
      <c r="CO770" s="45" t="str">
        <v>Invest</v>
      </c>
      <c r="CP770" s="61"/>
      <c r="CQ770" s="45">
        <v>766</v>
      </c>
      <c r="CR770" s="45">
        <v>0</v>
      </c>
      <c r="CS770" s="45" t="str">
        <v>Nothing</v>
      </c>
      <c r="CT770" s="61"/>
      <c r="CU770" s="45">
        <v>766</v>
      </c>
      <c r="CV770" s="45">
        <v>16.189334813533215</v>
      </c>
      <c r="CW770" s="45" t="str">
        <v>Invest</v>
      </c>
      <c r="CX770" s="61"/>
      <c r="CY770" s="45">
        <v>766</v>
      </c>
      <c r="CZ770" s="45">
        <v>1.1665495623598421</v>
      </c>
      <c r="DA770" s="45" t="str">
        <v>Invest</v>
      </c>
      <c r="DU770" s="52"/>
      <c r="DV770" s="50"/>
    </row>
    <row r="771" spans="86:126" ht="23.5">
      <c r="CH771" s="45">
        <v>767</v>
      </c>
      <c r="CI771" s="45">
        <v>10.243862219157005</v>
      </c>
      <c r="CJ771" s="45" t="str">
        <v>Invest</v>
      </c>
      <c r="CM771" s="45">
        <v>767</v>
      </c>
      <c r="CN771" s="48">
        <v>22.965112067834887</v>
      </c>
      <c r="CO771" s="45" t="str">
        <v>Invest</v>
      </c>
      <c r="CP771" s="61"/>
      <c r="CQ771" s="45">
        <v>767</v>
      </c>
      <c r="CR771" s="45">
        <v>11.607007144314203</v>
      </c>
      <c r="CS771" s="45" t="str">
        <v>Invest</v>
      </c>
      <c r="CT771" s="61"/>
      <c r="CU771" s="45">
        <v>767</v>
      </c>
      <c r="CV771" s="45">
        <v>28.878334543087874</v>
      </c>
      <c r="CW771" s="45" t="str">
        <v>Invest</v>
      </c>
      <c r="CX771" s="61"/>
      <c r="CY771" s="45">
        <v>767</v>
      </c>
      <c r="CZ771" s="45">
        <v>3.7555514242482264</v>
      </c>
      <c r="DA771" s="45" t="str">
        <v>Invest</v>
      </c>
      <c r="DU771" s="52"/>
      <c r="DV771" s="50"/>
    </row>
    <row r="772" spans="86:126" ht="23.5">
      <c r="CH772" s="45">
        <v>768</v>
      </c>
      <c r="CI772" s="45">
        <v>0</v>
      </c>
      <c r="CJ772" s="45" t="str">
        <v>Nothing</v>
      </c>
      <c r="CM772" s="45">
        <v>768</v>
      </c>
      <c r="CN772" s="48">
        <v>39.526389879491013</v>
      </c>
      <c r="CO772" s="45" t="str">
        <v>Invest</v>
      </c>
      <c r="CP772" s="61"/>
      <c r="CQ772" s="45">
        <v>768</v>
      </c>
      <c r="CR772" s="45">
        <v>17.960405176272857</v>
      </c>
      <c r="CS772" s="45" t="str">
        <v>Invest</v>
      </c>
      <c r="CT772" s="61"/>
      <c r="CU772" s="45">
        <v>768</v>
      </c>
      <c r="CV772" s="45">
        <v>35.282532797899108</v>
      </c>
      <c r="CW772" s="45" t="str">
        <v>Invest</v>
      </c>
      <c r="CX772" s="61"/>
      <c r="CY772" s="45">
        <v>768</v>
      </c>
      <c r="CZ772" s="45">
        <v>0.90456901842383175</v>
      </c>
      <c r="DA772" s="45" t="str">
        <v>Invest</v>
      </c>
      <c r="DU772" s="52"/>
      <c r="DV772" s="50"/>
    </row>
    <row r="773" spans="86:126" ht="23.5">
      <c r="CH773" s="45">
        <v>769</v>
      </c>
      <c r="CI773" s="45">
        <v>6.3106786816058413</v>
      </c>
      <c r="CJ773" s="45" t="str">
        <v>Invest</v>
      </c>
      <c r="CM773" s="45">
        <v>769</v>
      </c>
      <c r="CN773" s="48">
        <v>0</v>
      </c>
      <c r="CO773" s="45" t="str">
        <v>Nothing</v>
      </c>
      <c r="CP773" s="61"/>
      <c r="CQ773" s="45">
        <v>769</v>
      </c>
      <c r="CR773" s="45">
        <v>36.113301052903317</v>
      </c>
      <c r="CS773" s="45" t="str">
        <v>Invest</v>
      </c>
      <c r="CT773" s="61"/>
      <c r="CU773" s="45">
        <v>769</v>
      </c>
      <c r="CV773" s="45">
        <v>0</v>
      </c>
      <c r="CW773" s="45" t="str">
        <v>Nothing</v>
      </c>
      <c r="CX773" s="61"/>
      <c r="CY773" s="45">
        <v>769</v>
      </c>
      <c r="CZ773" s="45">
        <v>5.652478815722878</v>
      </c>
      <c r="DA773" s="45" t="str">
        <v>Invest</v>
      </c>
      <c r="DU773" s="52"/>
      <c r="DV773" s="50"/>
    </row>
    <row r="774" spans="86:126" ht="23.5">
      <c r="CH774" s="45">
        <v>770</v>
      </c>
      <c r="CI774" s="45">
        <v>0</v>
      </c>
      <c r="CJ774" s="45" t="str">
        <v>Nothing</v>
      </c>
      <c r="CM774" s="45">
        <v>770</v>
      </c>
      <c r="CN774" s="48">
        <v>17.51880500821914</v>
      </c>
      <c r="CO774" s="45" t="str">
        <v>Invest</v>
      </c>
      <c r="CP774" s="61"/>
      <c r="CQ774" s="45">
        <v>770</v>
      </c>
      <c r="CR774" s="45">
        <v>20.021778390922055</v>
      </c>
      <c r="CS774" s="45" t="str">
        <v>Invest</v>
      </c>
      <c r="CT774" s="61"/>
      <c r="CU774" s="45">
        <v>770</v>
      </c>
      <c r="CV774" s="45">
        <v>16.877374418641306</v>
      </c>
      <c r="CW774" s="45" t="str">
        <v>Invest</v>
      </c>
      <c r="CX774" s="61"/>
      <c r="CY774" s="45">
        <v>770</v>
      </c>
      <c r="CZ774" s="45">
        <v>6.6469357444858241</v>
      </c>
      <c r="DA774" s="45" t="str">
        <v>Invest</v>
      </c>
      <c r="DU774" s="52"/>
      <c r="DV774" s="50"/>
    </row>
    <row r="775" spans="86:126" ht="23.5">
      <c r="CH775" s="45">
        <v>771</v>
      </c>
      <c r="CI775" s="45">
        <v>0</v>
      </c>
      <c r="CJ775" s="45" t="str">
        <v>Nothing</v>
      </c>
      <c r="CM775" s="45">
        <v>771</v>
      </c>
      <c r="CN775" s="48">
        <v>44.80174889787898</v>
      </c>
      <c r="CO775" s="45" t="str">
        <v>Invest</v>
      </c>
      <c r="CP775" s="61"/>
      <c r="CQ775" s="45">
        <v>771</v>
      </c>
      <c r="CR775" s="45">
        <v>10.942926367061764</v>
      </c>
      <c r="CS775" s="45" t="str">
        <v>Invest</v>
      </c>
      <c r="CT775" s="61"/>
      <c r="CU775" s="45">
        <v>771</v>
      </c>
      <c r="CV775" s="45">
        <v>13.450667170646513</v>
      </c>
      <c r="CW775" s="45" t="str">
        <v>Invest</v>
      </c>
      <c r="CX775" s="61"/>
      <c r="CY775" s="45">
        <v>771</v>
      </c>
      <c r="CZ775" s="45">
        <v>0</v>
      </c>
      <c r="DA775" s="45" t="str">
        <v>Nothing</v>
      </c>
      <c r="DU775" s="52"/>
      <c r="DV775" s="50"/>
    </row>
    <row r="776" spans="86:126" ht="23.5">
      <c r="CH776" s="45">
        <v>772</v>
      </c>
      <c r="CI776" s="45">
        <v>16.731217768013991</v>
      </c>
      <c r="CJ776" s="45" t="str">
        <v>Invest</v>
      </c>
      <c r="CM776" s="45">
        <v>772</v>
      </c>
      <c r="CN776" s="48">
        <v>44.282316024299462</v>
      </c>
      <c r="CO776" s="45" t="str">
        <v>Invest</v>
      </c>
      <c r="CP776" s="61"/>
      <c r="CQ776" s="45">
        <v>772</v>
      </c>
      <c r="CR776" s="45">
        <v>38.255896082278745</v>
      </c>
      <c r="CS776" s="45" t="str">
        <v>Invest</v>
      </c>
      <c r="CT776" s="61"/>
      <c r="CU776" s="45">
        <v>772</v>
      </c>
      <c r="CV776" s="45">
        <v>43.451796704591906</v>
      </c>
      <c r="CW776" s="45" t="str">
        <v>Invest</v>
      </c>
      <c r="CX776" s="61"/>
      <c r="CY776" s="45">
        <v>772</v>
      </c>
      <c r="CZ776" s="45">
        <v>0</v>
      </c>
      <c r="DA776" s="45" t="str">
        <v>Nothing</v>
      </c>
      <c r="DU776" s="52"/>
      <c r="DV776" s="50"/>
    </row>
    <row r="777" spans="86:126" ht="23.5">
      <c r="CH777" s="45">
        <v>773</v>
      </c>
      <c r="CI777" s="45">
        <v>7.0637286615361603</v>
      </c>
      <c r="CJ777" s="45" t="str">
        <v>Invest</v>
      </c>
      <c r="CM777" s="45">
        <v>773</v>
      </c>
      <c r="CN777" s="48">
        <v>23.14025294779076</v>
      </c>
      <c r="CO777" s="45" t="str">
        <v>Invest</v>
      </c>
      <c r="CP777" s="61"/>
      <c r="CQ777" s="45">
        <v>773</v>
      </c>
      <c r="CR777" s="45">
        <v>0</v>
      </c>
      <c r="CS777" s="45" t="str">
        <v>Nothing</v>
      </c>
      <c r="CT777" s="61"/>
      <c r="CU777" s="45">
        <v>773</v>
      </c>
      <c r="CV777" s="45">
        <v>17.21051764121022</v>
      </c>
      <c r="CW777" s="45" t="str">
        <v>Invest</v>
      </c>
      <c r="CX777" s="61"/>
      <c r="CY777" s="45">
        <v>773</v>
      </c>
      <c r="CZ777" s="45">
        <v>50.168435929140223</v>
      </c>
      <c r="DA777" s="45" t="str">
        <v>Invest</v>
      </c>
      <c r="DU777" s="52"/>
      <c r="DV777" s="50"/>
    </row>
    <row r="778" spans="86:126" ht="23.5">
      <c r="CH778" s="45">
        <v>774</v>
      </c>
      <c r="CI778" s="45">
        <v>0</v>
      </c>
      <c r="CJ778" s="45" t="str">
        <v>Nothing</v>
      </c>
      <c r="CM778" s="45">
        <v>774</v>
      </c>
      <c r="CN778" s="48">
        <v>10.851247925925641</v>
      </c>
      <c r="CO778" s="45" t="str">
        <v>Invest</v>
      </c>
      <c r="CP778" s="61"/>
      <c r="CQ778" s="45">
        <v>774</v>
      </c>
      <c r="CR778" s="45">
        <v>0</v>
      </c>
      <c r="CS778" s="45" t="str">
        <v>Nothing</v>
      </c>
      <c r="CT778" s="61"/>
      <c r="CU778" s="45">
        <v>774</v>
      </c>
      <c r="CV778" s="45">
        <v>1.5871532766973875</v>
      </c>
      <c r="CW778" s="45" t="str">
        <v>Invest</v>
      </c>
      <c r="CX778" s="61"/>
      <c r="CY778" s="45">
        <v>774</v>
      </c>
      <c r="CZ778" s="45">
        <v>26.811853019207838</v>
      </c>
      <c r="DA778" s="45" t="str">
        <v>Invest</v>
      </c>
      <c r="DU778" s="52"/>
      <c r="DV778" s="50"/>
    </row>
    <row r="779" spans="86:126" ht="23.5">
      <c r="CH779" s="45">
        <v>775</v>
      </c>
      <c r="CI779" s="45">
        <v>24.422301059290991</v>
      </c>
      <c r="CJ779" s="45" t="str">
        <v>Invest</v>
      </c>
      <c r="CM779" s="45">
        <v>775</v>
      </c>
      <c r="CN779" s="48">
        <v>12.367449698805729</v>
      </c>
      <c r="CO779" s="45" t="str">
        <v>Invest</v>
      </c>
      <c r="CP779" s="61"/>
      <c r="CQ779" s="45">
        <v>775</v>
      </c>
      <c r="CR779" s="45">
        <v>0</v>
      </c>
      <c r="CS779" s="45" t="str">
        <v>Nothing</v>
      </c>
      <c r="CT779" s="61"/>
      <c r="CU779" s="45">
        <v>775</v>
      </c>
      <c r="CV779" s="45">
        <v>31.836293342668611</v>
      </c>
      <c r="CW779" s="45" t="str">
        <v>Invest</v>
      </c>
      <c r="CX779" s="61"/>
      <c r="CY779" s="45">
        <v>775</v>
      </c>
      <c r="CZ779" s="45">
        <v>0</v>
      </c>
      <c r="DA779" s="45" t="str">
        <v>Nothing</v>
      </c>
      <c r="DU779" s="52"/>
      <c r="DV779" s="50"/>
    </row>
    <row r="780" spans="86:126" ht="23.5">
      <c r="CH780" s="45">
        <v>776</v>
      </c>
      <c r="CI780" s="45">
        <v>11.43801700760249</v>
      </c>
      <c r="CJ780" s="45" t="str">
        <v>Invest</v>
      </c>
      <c r="CM780" s="45">
        <v>776</v>
      </c>
      <c r="CN780" s="48">
        <v>5.7404043826228763</v>
      </c>
      <c r="CO780" s="45" t="str">
        <v>Invest</v>
      </c>
      <c r="CP780" s="61"/>
      <c r="CQ780" s="45">
        <v>776</v>
      </c>
      <c r="CR780" s="45">
        <v>31.280275163693727</v>
      </c>
      <c r="CS780" s="45" t="str">
        <v>Invest</v>
      </c>
      <c r="CT780" s="61"/>
      <c r="CU780" s="45">
        <v>776</v>
      </c>
      <c r="CV780" s="45">
        <v>0</v>
      </c>
      <c r="CW780" s="45" t="str">
        <v>Nothing</v>
      </c>
      <c r="CX780" s="61"/>
      <c r="CY780" s="45">
        <v>776</v>
      </c>
      <c r="CZ780" s="45">
        <v>15.631653404020879</v>
      </c>
      <c r="DA780" s="45" t="str">
        <v>Invest</v>
      </c>
      <c r="DU780" s="52"/>
      <c r="DV780" s="50"/>
    </row>
    <row r="781" spans="86:126" ht="23.5">
      <c r="CH781" s="45">
        <v>777</v>
      </c>
      <c r="CI781" s="45">
        <v>10.286523682944397</v>
      </c>
      <c r="CJ781" s="45" t="str">
        <v>Invest</v>
      </c>
      <c r="CM781" s="45">
        <v>777</v>
      </c>
      <c r="CN781" s="48">
        <v>0</v>
      </c>
      <c r="CO781" s="45" t="str">
        <v>Nothing</v>
      </c>
      <c r="CP781" s="61"/>
      <c r="CQ781" s="45">
        <v>777</v>
      </c>
      <c r="CR781" s="45">
        <v>11.436448572117676</v>
      </c>
      <c r="CS781" s="45" t="str">
        <v>Invest</v>
      </c>
      <c r="CT781" s="61"/>
      <c r="CU781" s="45">
        <v>777</v>
      </c>
      <c r="CV781" s="45">
        <v>18.983900762219989</v>
      </c>
      <c r="CW781" s="45" t="str">
        <v>Invest</v>
      </c>
      <c r="CX781" s="61"/>
      <c r="CY781" s="45">
        <v>777</v>
      </c>
      <c r="CZ781" s="45">
        <v>0</v>
      </c>
      <c r="DA781" s="45" t="str">
        <v>Nothing</v>
      </c>
      <c r="DU781" s="52"/>
      <c r="DV781" s="50"/>
    </row>
    <row r="782" spans="86:126" ht="23.5">
      <c r="CH782" s="45">
        <v>778</v>
      </c>
      <c r="CI782" s="45">
        <v>0</v>
      </c>
      <c r="CJ782" s="45" t="str">
        <v>Nothing</v>
      </c>
      <c r="CM782" s="45">
        <v>778</v>
      </c>
      <c r="CN782" s="48">
        <v>2.6390723260935784</v>
      </c>
      <c r="CO782" s="45" t="str">
        <v>Invest</v>
      </c>
      <c r="CP782" s="61"/>
      <c r="CQ782" s="45">
        <v>778</v>
      </c>
      <c r="CR782" s="45">
        <v>0</v>
      </c>
      <c r="CS782" s="45" t="str">
        <v>Nothing</v>
      </c>
      <c r="CT782" s="61"/>
      <c r="CU782" s="45">
        <v>778</v>
      </c>
      <c r="CV782" s="45">
        <v>1.4085048929566222</v>
      </c>
      <c r="CW782" s="45" t="str">
        <v>Invest</v>
      </c>
      <c r="CX782" s="61"/>
      <c r="CY782" s="45">
        <v>778</v>
      </c>
      <c r="CZ782" s="45">
        <v>7.7592503936925858</v>
      </c>
      <c r="DA782" s="45" t="str">
        <v>Invest</v>
      </c>
      <c r="DU782" s="52"/>
      <c r="DV782" s="50"/>
    </row>
    <row r="783" spans="86:126" ht="23.5">
      <c r="CH783" s="45">
        <v>779</v>
      </c>
      <c r="CI783" s="45">
        <v>22.401748735700728</v>
      </c>
      <c r="CJ783" s="45" t="str">
        <v>Invest</v>
      </c>
      <c r="CM783" s="45">
        <v>779</v>
      </c>
      <c r="CN783" s="48">
        <v>0</v>
      </c>
      <c r="CO783" s="45" t="str">
        <v>Nothing</v>
      </c>
      <c r="CP783" s="61"/>
      <c r="CQ783" s="45">
        <v>779</v>
      </c>
      <c r="CR783" s="45">
        <v>0</v>
      </c>
      <c r="CS783" s="45" t="str">
        <v>Nothing</v>
      </c>
      <c r="CT783" s="61"/>
      <c r="CU783" s="45">
        <v>779</v>
      </c>
      <c r="CV783" s="45">
        <v>0</v>
      </c>
      <c r="CW783" s="45" t="str">
        <v>Nothing</v>
      </c>
      <c r="CX783" s="61"/>
      <c r="CY783" s="45">
        <v>779</v>
      </c>
      <c r="CZ783" s="45">
        <v>6.7883413871240421</v>
      </c>
      <c r="DA783" s="45" t="str">
        <v>Invest</v>
      </c>
      <c r="DU783" s="52"/>
      <c r="DV783" s="50"/>
    </row>
    <row r="784" spans="86:126" ht="23.5">
      <c r="CH784" s="45">
        <v>780</v>
      </c>
      <c r="CI784" s="45">
        <v>0</v>
      </c>
      <c r="CJ784" s="45" t="str">
        <v>Nothing</v>
      </c>
      <c r="CM784" s="45">
        <v>780</v>
      </c>
      <c r="CN784" s="48">
        <v>1.4723337946450812</v>
      </c>
      <c r="CO784" s="45" t="str">
        <v>Invest</v>
      </c>
      <c r="CP784" s="61"/>
      <c r="CQ784" s="45">
        <v>780</v>
      </c>
      <c r="CR784" s="45">
        <v>12.234136535638303</v>
      </c>
      <c r="CS784" s="45" t="str">
        <v>Invest</v>
      </c>
      <c r="CT784" s="61"/>
      <c r="CU784" s="45">
        <v>780</v>
      </c>
      <c r="CV784" s="45">
        <v>10.727604712988725</v>
      </c>
      <c r="CW784" s="45" t="str">
        <v>Invest</v>
      </c>
      <c r="CX784" s="61"/>
      <c r="CY784" s="45">
        <v>780</v>
      </c>
      <c r="CZ784" s="45">
        <v>31.78811553463709</v>
      </c>
      <c r="DA784" s="45" t="str">
        <v>Invest</v>
      </c>
      <c r="DU784" s="52"/>
      <c r="DV784" s="50"/>
    </row>
    <row r="785" spans="86:126" ht="23.5">
      <c r="CH785" s="45">
        <v>781</v>
      </c>
      <c r="CI785" s="45">
        <v>0</v>
      </c>
      <c r="CJ785" s="45" t="str">
        <v>Nothing</v>
      </c>
      <c r="CM785" s="45">
        <v>781</v>
      </c>
      <c r="CN785" s="48">
        <v>3.3719051050515461</v>
      </c>
      <c r="CO785" s="45" t="str">
        <v>Invest</v>
      </c>
      <c r="CP785" s="61"/>
      <c r="CQ785" s="45">
        <v>781</v>
      </c>
      <c r="CR785" s="45">
        <v>0</v>
      </c>
      <c r="CS785" s="45" t="str">
        <v>Nothing</v>
      </c>
      <c r="CT785" s="61"/>
      <c r="CU785" s="45">
        <v>781</v>
      </c>
      <c r="CV785" s="45">
        <v>0</v>
      </c>
      <c r="CW785" s="45" t="str">
        <v>Nothing</v>
      </c>
      <c r="CX785" s="61"/>
      <c r="CY785" s="45">
        <v>781</v>
      </c>
      <c r="CZ785" s="45">
        <v>28.608359046536599</v>
      </c>
      <c r="DA785" s="45" t="str">
        <v>Invest</v>
      </c>
      <c r="DU785" s="52"/>
      <c r="DV785" s="50"/>
    </row>
    <row r="786" spans="86:126" ht="23.5">
      <c r="CH786" s="45">
        <v>782</v>
      </c>
      <c r="CI786" s="45">
        <v>19.365879755641465</v>
      </c>
      <c r="CJ786" s="45" t="str">
        <v>Invest</v>
      </c>
      <c r="CM786" s="45">
        <v>782</v>
      </c>
      <c r="CN786" s="48">
        <v>0</v>
      </c>
      <c r="CO786" s="45" t="str">
        <v>Nothing</v>
      </c>
      <c r="CP786" s="61"/>
      <c r="CQ786" s="45">
        <v>782</v>
      </c>
      <c r="CR786" s="45">
        <v>12.334987137163772</v>
      </c>
      <c r="CS786" s="45" t="str">
        <v>Invest</v>
      </c>
      <c r="CT786" s="61"/>
      <c r="CU786" s="45">
        <v>782</v>
      </c>
      <c r="CV786" s="45">
        <v>18.763560887396164</v>
      </c>
      <c r="CW786" s="45" t="str">
        <v>Invest</v>
      </c>
      <c r="CX786" s="61"/>
      <c r="CY786" s="45">
        <v>782</v>
      </c>
      <c r="CZ786" s="45">
        <v>14.194432215522447</v>
      </c>
      <c r="DA786" s="45" t="str">
        <v>Invest</v>
      </c>
      <c r="DU786" s="52"/>
      <c r="DV786" s="50"/>
    </row>
    <row r="787" spans="86:126" ht="23.5">
      <c r="CH787" s="45">
        <v>783</v>
      </c>
      <c r="CI787" s="45">
        <v>16.57868939642464</v>
      </c>
      <c r="CJ787" s="45" t="str">
        <v>Invest</v>
      </c>
      <c r="CM787" s="45">
        <v>783</v>
      </c>
      <c r="CN787" s="48">
        <v>0</v>
      </c>
      <c r="CO787" s="45" t="str">
        <v>Nothing</v>
      </c>
      <c r="CP787" s="61"/>
      <c r="CQ787" s="45">
        <v>783</v>
      </c>
      <c r="CR787" s="45">
        <v>2.2100122755842442</v>
      </c>
      <c r="CS787" s="45" t="str">
        <v>Invest</v>
      </c>
      <c r="CT787" s="61"/>
      <c r="CU787" s="45">
        <v>783</v>
      </c>
      <c r="CV787" s="45">
        <v>0</v>
      </c>
      <c r="CW787" s="45" t="str">
        <v>Nothing</v>
      </c>
      <c r="CX787" s="61"/>
      <c r="CY787" s="45">
        <v>783</v>
      </c>
      <c r="CZ787" s="45">
        <v>0</v>
      </c>
      <c r="DA787" s="45" t="str">
        <v>Nothing</v>
      </c>
      <c r="DU787" s="52"/>
      <c r="DV787" s="50"/>
    </row>
    <row r="788" spans="86:126" ht="23.5">
      <c r="CH788" s="45">
        <v>784</v>
      </c>
      <c r="CI788" s="45">
        <v>43.070234848927974</v>
      </c>
      <c r="CJ788" s="45" t="str">
        <v>Invest</v>
      </c>
      <c r="CM788" s="45">
        <v>784</v>
      </c>
      <c r="CN788" s="48">
        <v>45.073726206609166</v>
      </c>
      <c r="CO788" s="45" t="str">
        <v>Invest</v>
      </c>
      <c r="CP788" s="61"/>
      <c r="CQ788" s="45">
        <v>784</v>
      </c>
      <c r="CR788" s="45">
        <v>0</v>
      </c>
      <c r="CS788" s="45" t="str">
        <v>Nothing</v>
      </c>
      <c r="CT788" s="61"/>
      <c r="CU788" s="45">
        <v>784</v>
      </c>
      <c r="CV788" s="45">
        <v>0</v>
      </c>
      <c r="CW788" s="45" t="str">
        <v>Nothing</v>
      </c>
      <c r="CX788" s="61"/>
      <c r="CY788" s="45">
        <v>784</v>
      </c>
      <c r="CZ788" s="45">
        <v>27.946018028808325</v>
      </c>
      <c r="DA788" s="45" t="str">
        <v>Invest</v>
      </c>
      <c r="DU788" s="52"/>
      <c r="DV788" s="50"/>
    </row>
    <row r="789" spans="86:126" ht="23.5">
      <c r="CH789" s="45">
        <v>785</v>
      </c>
      <c r="CI789" s="45">
        <v>13.633751825251036</v>
      </c>
      <c r="CJ789" s="45" t="str">
        <v>Invest</v>
      </c>
      <c r="CM789" s="45">
        <v>785</v>
      </c>
      <c r="CN789" s="48">
        <v>40.376084871481751</v>
      </c>
      <c r="CO789" s="45" t="str">
        <v>Invest</v>
      </c>
      <c r="CP789" s="61"/>
      <c r="CQ789" s="45">
        <v>785</v>
      </c>
      <c r="CR789" s="45">
        <v>7.7480421044283814</v>
      </c>
      <c r="CS789" s="45" t="str">
        <v>Invest</v>
      </c>
      <c r="CT789" s="61"/>
      <c r="CU789" s="45">
        <v>785</v>
      </c>
      <c r="CV789" s="45">
        <v>0</v>
      </c>
      <c r="CW789" s="45" t="str">
        <v>Nothing</v>
      </c>
      <c r="CX789" s="61"/>
      <c r="CY789" s="45">
        <v>785</v>
      </c>
      <c r="CZ789" s="45">
        <v>0</v>
      </c>
      <c r="DA789" s="45" t="str">
        <v>Nothing</v>
      </c>
      <c r="DU789" s="52"/>
      <c r="DV789" s="50"/>
    </row>
    <row r="790" spans="86:126" ht="23.5">
      <c r="CH790" s="45">
        <v>786</v>
      </c>
      <c r="CI790" s="45">
        <v>3.905621547273384</v>
      </c>
      <c r="CJ790" s="45" t="str">
        <v>Invest</v>
      </c>
      <c r="CM790" s="45">
        <v>786</v>
      </c>
      <c r="CN790" s="48">
        <v>0</v>
      </c>
      <c r="CO790" s="45" t="str">
        <v>Nothing</v>
      </c>
      <c r="CP790" s="61"/>
      <c r="CQ790" s="45">
        <v>786</v>
      </c>
      <c r="CR790" s="45">
        <v>0</v>
      </c>
      <c r="CS790" s="45" t="str">
        <v>Nothing</v>
      </c>
      <c r="CT790" s="61"/>
      <c r="CU790" s="45">
        <v>786</v>
      </c>
      <c r="CV790" s="45">
        <v>0</v>
      </c>
      <c r="CW790" s="45" t="str">
        <v>Nothing</v>
      </c>
      <c r="CX790" s="61"/>
      <c r="CY790" s="45">
        <v>786</v>
      </c>
      <c r="CZ790" s="45">
        <v>38.817934885726665</v>
      </c>
      <c r="DA790" s="45" t="str">
        <v>Invest</v>
      </c>
      <c r="DU790" s="52"/>
      <c r="DV790" s="50"/>
    </row>
    <row r="791" spans="86:126" ht="23.5">
      <c r="CH791" s="45">
        <v>787</v>
      </c>
      <c r="CI791" s="45">
        <v>15.783530605402706</v>
      </c>
      <c r="CJ791" s="45" t="str">
        <v>Invest</v>
      </c>
      <c r="CM791" s="45">
        <v>787</v>
      </c>
      <c r="CN791" s="48">
        <v>23.237069543126069</v>
      </c>
      <c r="CO791" s="45" t="str">
        <v>Invest</v>
      </c>
      <c r="CP791" s="61"/>
      <c r="CQ791" s="45">
        <v>787</v>
      </c>
      <c r="CR791" s="45">
        <v>12.923005375270284</v>
      </c>
      <c r="CS791" s="45" t="str">
        <v>Invest</v>
      </c>
      <c r="CT791" s="61"/>
      <c r="CU791" s="45">
        <v>787</v>
      </c>
      <c r="CV791" s="45">
        <v>17.979168842644413</v>
      </c>
      <c r="CW791" s="45" t="str">
        <v>Invest</v>
      </c>
      <c r="CX791" s="61"/>
      <c r="CY791" s="45">
        <v>787</v>
      </c>
      <c r="CZ791" s="45">
        <v>0</v>
      </c>
      <c r="DA791" s="45" t="str">
        <v>Nothing</v>
      </c>
      <c r="DU791" s="52"/>
      <c r="DV791" s="50"/>
    </row>
    <row r="792" spans="86:126" ht="23.5">
      <c r="CH792" s="45">
        <v>788</v>
      </c>
      <c r="CI792" s="45">
        <v>2.4996284573964651</v>
      </c>
      <c r="CJ792" s="45" t="str">
        <v>Invest</v>
      </c>
      <c r="CM792" s="45">
        <v>788</v>
      </c>
      <c r="CN792" s="48">
        <v>7.3765501211773721</v>
      </c>
      <c r="CO792" s="45" t="str">
        <v>Invest</v>
      </c>
      <c r="CP792" s="61"/>
      <c r="CQ792" s="45">
        <v>788</v>
      </c>
      <c r="CR792" s="45">
        <v>10.042278267060247</v>
      </c>
      <c r="CS792" s="45" t="str">
        <v>Invest</v>
      </c>
      <c r="CT792" s="61"/>
      <c r="CU792" s="45">
        <v>788</v>
      </c>
      <c r="CV792" s="45">
        <v>0</v>
      </c>
      <c r="CW792" s="45" t="str">
        <v>Nothing</v>
      </c>
      <c r="CX792" s="61"/>
      <c r="CY792" s="45">
        <v>788</v>
      </c>
      <c r="CZ792" s="45">
        <v>5.8341071696461348</v>
      </c>
      <c r="DA792" s="45" t="str">
        <v>Invest</v>
      </c>
      <c r="DU792" s="52"/>
      <c r="DV792" s="50"/>
    </row>
    <row r="793" spans="86:126" ht="23.5">
      <c r="CH793" s="45">
        <v>789</v>
      </c>
      <c r="CI793" s="45">
        <v>32.019140550120277</v>
      </c>
      <c r="CJ793" s="45" t="str">
        <v>Invest</v>
      </c>
      <c r="CM793" s="45">
        <v>789</v>
      </c>
      <c r="CN793" s="48">
        <v>0</v>
      </c>
      <c r="CO793" s="45" t="str">
        <v>Nothing</v>
      </c>
      <c r="CP793" s="61"/>
      <c r="CQ793" s="45">
        <v>789</v>
      </c>
      <c r="CR793" s="45">
        <v>8.7979296790416477</v>
      </c>
      <c r="CS793" s="45" t="str">
        <v>Invest</v>
      </c>
      <c r="CT793" s="61"/>
      <c r="CU793" s="45">
        <v>789</v>
      </c>
      <c r="CV793" s="45">
        <v>0</v>
      </c>
      <c r="CW793" s="45" t="str">
        <v>Nothing</v>
      </c>
      <c r="CX793" s="61"/>
      <c r="CY793" s="45">
        <v>789</v>
      </c>
      <c r="CZ793" s="45">
        <v>0</v>
      </c>
      <c r="DA793" s="45" t="str">
        <v>Nothing</v>
      </c>
      <c r="DU793" s="52"/>
      <c r="DV793" s="50"/>
    </row>
    <row r="794" spans="86:126" ht="23.5">
      <c r="CH794" s="45">
        <v>790</v>
      </c>
      <c r="CI794" s="45">
        <v>26.168895865455703</v>
      </c>
      <c r="CJ794" s="45" t="str">
        <v>Invest</v>
      </c>
      <c r="CM794" s="45">
        <v>790</v>
      </c>
      <c r="CN794" s="48">
        <v>6.025009650935548</v>
      </c>
      <c r="CO794" s="45" t="str">
        <v>Invest</v>
      </c>
      <c r="CP794" s="61"/>
      <c r="CQ794" s="45">
        <v>790</v>
      </c>
      <c r="CR794" s="45">
        <v>16.931173096609697</v>
      </c>
      <c r="CS794" s="45" t="str">
        <v>Invest</v>
      </c>
      <c r="CT794" s="61"/>
      <c r="CU794" s="45">
        <v>790</v>
      </c>
      <c r="CV794" s="45">
        <v>51.329089634808099</v>
      </c>
      <c r="CW794" s="45" t="str">
        <v>Invest</v>
      </c>
      <c r="CX794" s="61"/>
      <c r="CY794" s="45">
        <v>790</v>
      </c>
      <c r="CZ794" s="45">
        <v>24.518363921065973</v>
      </c>
      <c r="DA794" s="45" t="str">
        <v>Invest</v>
      </c>
      <c r="DU794" s="52"/>
      <c r="DV794" s="50"/>
    </row>
    <row r="795" spans="86:126" ht="23.5">
      <c r="CH795" s="45">
        <v>791</v>
      </c>
      <c r="CI795" s="45">
        <v>3.4329528359801635</v>
      </c>
      <c r="CJ795" s="45" t="str">
        <v>Invest</v>
      </c>
      <c r="CM795" s="45">
        <v>791</v>
      </c>
      <c r="CN795" s="48">
        <v>47.806940817276839</v>
      </c>
      <c r="CO795" s="45" t="str">
        <v>Invest</v>
      </c>
      <c r="CP795" s="61"/>
      <c r="CQ795" s="45">
        <v>791</v>
      </c>
      <c r="CR795" s="45">
        <v>0</v>
      </c>
      <c r="CS795" s="45" t="str">
        <v>Nothing</v>
      </c>
      <c r="CT795" s="61"/>
      <c r="CU795" s="45">
        <v>791</v>
      </c>
      <c r="CV795" s="45">
        <v>44.58649169402652</v>
      </c>
      <c r="CW795" s="45" t="str">
        <v>Invest</v>
      </c>
      <c r="CX795" s="61"/>
      <c r="CY795" s="45">
        <v>791</v>
      </c>
      <c r="CZ795" s="45">
        <v>34.729794278634991</v>
      </c>
      <c r="DA795" s="45" t="str">
        <v>Invest</v>
      </c>
      <c r="DU795" s="52"/>
      <c r="DV795" s="50"/>
    </row>
    <row r="796" spans="86:126" ht="23.5">
      <c r="CH796" s="45">
        <v>792</v>
      </c>
      <c r="CI796" s="45">
        <v>14.877877334500967</v>
      </c>
      <c r="CJ796" s="45" t="str">
        <v>Invest</v>
      </c>
      <c r="CM796" s="45">
        <v>792</v>
      </c>
      <c r="CN796" s="48">
        <v>15.109838247648204</v>
      </c>
      <c r="CO796" s="45" t="str">
        <v>Invest</v>
      </c>
      <c r="CP796" s="61"/>
      <c r="CQ796" s="45">
        <v>792</v>
      </c>
      <c r="CR796" s="45">
        <v>13.598847438650601</v>
      </c>
      <c r="CS796" s="45" t="str">
        <v>Invest</v>
      </c>
      <c r="CT796" s="61"/>
      <c r="CU796" s="45">
        <v>792</v>
      </c>
      <c r="CV796" s="45">
        <v>19.893642843645402</v>
      </c>
      <c r="CW796" s="45" t="str">
        <v>Invest</v>
      </c>
      <c r="CX796" s="61"/>
      <c r="CY796" s="45">
        <v>792</v>
      </c>
      <c r="CZ796" s="45">
        <v>1.7468497980647086</v>
      </c>
      <c r="DA796" s="45" t="str">
        <v>Invest</v>
      </c>
      <c r="DU796" s="52"/>
      <c r="DV796" s="50"/>
    </row>
    <row r="797" spans="86:126" ht="23.5">
      <c r="CH797" s="45">
        <v>793</v>
      </c>
      <c r="CI797" s="45">
        <v>23.959588510357392</v>
      </c>
      <c r="CJ797" s="45" t="str">
        <v>Invest</v>
      </c>
      <c r="CM797" s="45">
        <v>793</v>
      </c>
      <c r="CN797" s="48">
        <v>41.219401319685318</v>
      </c>
      <c r="CO797" s="45" t="str">
        <v>Invest</v>
      </c>
      <c r="CP797" s="61"/>
      <c r="CQ797" s="45">
        <v>793</v>
      </c>
      <c r="CR797" s="45">
        <v>0</v>
      </c>
      <c r="CS797" s="45" t="str">
        <v>Nothing</v>
      </c>
      <c r="CT797" s="61"/>
      <c r="CU797" s="45">
        <v>793</v>
      </c>
      <c r="CV797" s="45">
        <v>3.5297038681077542</v>
      </c>
      <c r="CW797" s="45" t="str">
        <v>Invest</v>
      </c>
      <c r="CX797" s="61"/>
      <c r="CY797" s="45">
        <v>793</v>
      </c>
      <c r="CZ797" s="45">
        <v>3.8301165212675361</v>
      </c>
      <c r="DA797" s="45" t="str">
        <v>Invest</v>
      </c>
      <c r="DU797" s="52"/>
      <c r="DV797" s="50"/>
    </row>
    <row r="798" spans="86:126" ht="23.5">
      <c r="CH798" s="45">
        <v>794</v>
      </c>
      <c r="CI798" s="45">
        <v>43.715156894808381</v>
      </c>
      <c r="CJ798" s="45" t="str">
        <v>Invest</v>
      </c>
      <c r="CM798" s="45">
        <v>794</v>
      </c>
      <c r="CN798" s="48">
        <v>4.0732382689313944</v>
      </c>
      <c r="CO798" s="45" t="str">
        <v>Invest</v>
      </c>
      <c r="CP798" s="61"/>
      <c r="CQ798" s="45">
        <v>794</v>
      </c>
      <c r="CR798" s="45">
        <v>24.952699297105177</v>
      </c>
      <c r="CS798" s="45" t="str">
        <v>Invest</v>
      </c>
      <c r="CT798" s="61"/>
      <c r="CU798" s="45">
        <v>794</v>
      </c>
      <c r="CV798" s="45">
        <v>0</v>
      </c>
      <c r="CW798" s="45" t="str">
        <v>Nothing</v>
      </c>
      <c r="CX798" s="61"/>
      <c r="CY798" s="45">
        <v>794</v>
      </c>
      <c r="CZ798" s="45">
        <v>0</v>
      </c>
      <c r="DA798" s="45" t="str">
        <v>Nothing</v>
      </c>
      <c r="DU798" s="52"/>
      <c r="DV798" s="50"/>
    </row>
    <row r="799" spans="86:126" ht="23.5">
      <c r="CH799" s="45">
        <v>795</v>
      </c>
      <c r="CI799" s="45">
        <v>40.882086081436803</v>
      </c>
      <c r="CJ799" s="45" t="str">
        <v>Invest</v>
      </c>
      <c r="CM799" s="45">
        <v>795</v>
      </c>
      <c r="CN799" s="48">
        <v>41.161796244848766</v>
      </c>
      <c r="CO799" s="45" t="str">
        <v>Invest</v>
      </c>
      <c r="CP799" s="61"/>
      <c r="CQ799" s="45">
        <v>795</v>
      </c>
      <c r="CR799" s="45">
        <v>0</v>
      </c>
      <c r="CS799" s="45" t="str">
        <v>Nothing</v>
      </c>
      <c r="CT799" s="61"/>
      <c r="CU799" s="45">
        <v>795</v>
      </c>
      <c r="CV799" s="45">
        <v>21.844449170970673</v>
      </c>
      <c r="CW799" s="45" t="str">
        <v>Invest</v>
      </c>
      <c r="CX799" s="61"/>
      <c r="CY799" s="45">
        <v>795</v>
      </c>
      <c r="CZ799" s="45">
        <v>0</v>
      </c>
      <c r="DA799" s="45" t="str">
        <v>Nothing</v>
      </c>
      <c r="DU799" s="52"/>
      <c r="DV799" s="50"/>
    </row>
    <row r="800" spans="86:126" ht="23.5">
      <c r="CH800" s="45">
        <v>796</v>
      </c>
      <c r="CI800" s="45">
        <v>24.394812546768836</v>
      </c>
      <c r="CJ800" s="45" t="str">
        <v>Invest</v>
      </c>
      <c r="CM800" s="45">
        <v>796</v>
      </c>
      <c r="CN800" s="48">
        <v>41.040121909386727</v>
      </c>
      <c r="CO800" s="45" t="str">
        <v>Invest</v>
      </c>
      <c r="CP800" s="61"/>
      <c r="CQ800" s="45">
        <v>796</v>
      </c>
      <c r="CR800" s="45">
        <v>55.977735159918922</v>
      </c>
      <c r="CS800" s="45" t="str">
        <v>Invest</v>
      </c>
      <c r="CT800" s="61"/>
      <c r="CU800" s="45">
        <v>796</v>
      </c>
      <c r="CV800" s="45">
        <v>23.72156191584272</v>
      </c>
      <c r="CW800" s="45" t="str">
        <v>Invest</v>
      </c>
      <c r="CX800" s="61"/>
      <c r="CY800" s="45">
        <v>796</v>
      </c>
      <c r="CZ800" s="45">
        <v>36.697004579365171</v>
      </c>
      <c r="DA800" s="45" t="str">
        <v>Invest</v>
      </c>
      <c r="DU800" s="52"/>
      <c r="DV800" s="50"/>
    </row>
    <row r="801" spans="86:126" ht="23.5">
      <c r="CH801" s="45">
        <v>797</v>
      </c>
      <c r="CI801" s="45">
        <v>0</v>
      </c>
      <c r="CJ801" s="45" t="str">
        <v>Nothing</v>
      </c>
      <c r="CM801" s="45">
        <v>797</v>
      </c>
      <c r="CN801" s="48">
        <v>28.836093791523677</v>
      </c>
      <c r="CO801" s="45" t="str">
        <v>Invest</v>
      </c>
      <c r="CP801" s="61"/>
      <c r="CQ801" s="45">
        <v>797</v>
      </c>
      <c r="CR801" s="45">
        <v>51.763210589671125</v>
      </c>
      <c r="CS801" s="45" t="str">
        <v>Invest</v>
      </c>
      <c r="CT801" s="61"/>
      <c r="CU801" s="45">
        <v>797</v>
      </c>
      <c r="CV801" s="45">
        <v>1.1925146980391244</v>
      </c>
      <c r="CW801" s="45" t="str">
        <v>Invest</v>
      </c>
      <c r="CX801" s="61"/>
      <c r="CY801" s="45">
        <v>797</v>
      </c>
      <c r="CZ801" s="45">
        <v>51.462687107416308</v>
      </c>
      <c r="DA801" s="45" t="str">
        <v>Invest</v>
      </c>
      <c r="DU801" s="52"/>
      <c r="DV801" s="50"/>
    </row>
    <row r="802" spans="86:126" ht="23.5">
      <c r="CH802" s="45">
        <v>798</v>
      </c>
      <c r="CI802" s="45">
        <v>0</v>
      </c>
      <c r="CJ802" s="45" t="str">
        <v>Nothing</v>
      </c>
      <c r="CM802" s="45">
        <v>798</v>
      </c>
      <c r="CN802" s="48">
        <v>13.841323715153649</v>
      </c>
      <c r="CO802" s="45" t="str">
        <v>Invest</v>
      </c>
      <c r="CP802" s="61"/>
      <c r="CQ802" s="45">
        <v>798</v>
      </c>
      <c r="CR802" s="45">
        <v>17.784671740081443</v>
      </c>
      <c r="CS802" s="45" t="str">
        <v>Invest</v>
      </c>
      <c r="CT802" s="61"/>
      <c r="CU802" s="45">
        <v>798</v>
      </c>
      <c r="CV802" s="45">
        <v>27.350998387357016</v>
      </c>
      <c r="CW802" s="45" t="str">
        <v>Invest</v>
      </c>
      <c r="CX802" s="61"/>
      <c r="CY802" s="45">
        <v>798</v>
      </c>
      <c r="CZ802" s="45">
        <v>6.7542108693294693</v>
      </c>
      <c r="DA802" s="45" t="str">
        <v>Invest</v>
      </c>
      <c r="DU802" s="52"/>
      <c r="DV802" s="50"/>
    </row>
    <row r="803" spans="86:126" ht="23.5">
      <c r="CH803" s="45">
        <v>799</v>
      </c>
      <c r="CI803" s="45">
        <v>17.131264584614726</v>
      </c>
      <c r="CJ803" s="45" t="str">
        <v>Invest</v>
      </c>
      <c r="CM803" s="45">
        <v>799</v>
      </c>
      <c r="CN803" s="48">
        <v>0</v>
      </c>
      <c r="CO803" s="45" t="str">
        <v>Nothing</v>
      </c>
      <c r="CP803" s="61"/>
      <c r="CQ803" s="45">
        <v>799</v>
      </c>
      <c r="CR803" s="45">
        <v>53.320145498822313</v>
      </c>
      <c r="CS803" s="45" t="str">
        <v>Invest</v>
      </c>
      <c r="CT803" s="61"/>
      <c r="CU803" s="45">
        <v>799</v>
      </c>
      <c r="CV803" s="45">
        <v>3.4865470974469694</v>
      </c>
      <c r="CW803" s="45" t="str">
        <v>Invest</v>
      </c>
      <c r="CX803" s="61"/>
      <c r="CY803" s="45">
        <v>799</v>
      </c>
      <c r="CZ803" s="45">
        <v>54.775277703845148</v>
      </c>
      <c r="DA803" s="45" t="str">
        <v>Invest</v>
      </c>
      <c r="DU803" s="52"/>
      <c r="DV803" s="50"/>
    </row>
    <row r="804" spans="86:126" ht="23.5">
      <c r="CH804" s="45">
        <v>800</v>
      </c>
      <c r="CI804" s="45">
        <v>6.8833868739322028</v>
      </c>
      <c r="CJ804" s="45" t="str">
        <v>Invest</v>
      </c>
      <c r="CM804" s="45">
        <v>800</v>
      </c>
      <c r="CN804" s="48">
        <v>11.27465988715535</v>
      </c>
      <c r="CO804" s="45" t="str">
        <v>Invest</v>
      </c>
      <c r="CP804" s="61"/>
      <c r="CQ804" s="45">
        <v>800</v>
      </c>
      <c r="CR804" s="45">
        <v>35.134031345120931</v>
      </c>
      <c r="CS804" s="45" t="str">
        <v>Invest</v>
      </c>
      <c r="CT804" s="61"/>
      <c r="CU804" s="45">
        <v>800</v>
      </c>
      <c r="CV804" s="45">
        <v>13.521485766567094</v>
      </c>
      <c r="CW804" s="45" t="str">
        <v>Invest</v>
      </c>
      <c r="CX804" s="61"/>
      <c r="CY804" s="45">
        <v>800</v>
      </c>
      <c r="CZ804" s="45">
        <v>43.093247285142567</v>
      </c>
      <c r="DA804" s="45" t="str">
        <v>Invest</v>
      </c>
      <c r="DU804" s="52"/>
      <c r="DV804" s="50"/>
    </row>
    <row r="805" spans="86:126" ht="23.5">
      <c r="CH805" s="45">
        <v>801</v>
      </c>
      <c r="CI805" s="45">
        <v>10.005782564082878</v>
      </c>
      <c r="CJ805" s="45" t="str">
        <v>Invest</v>
      </c>
      <c r="CM805" s="45">
        <v>801</v>
      </c>
      <c r="CN805" s="48">
        <v>20.068173483434208</v>
      </c>
      <c r="CO805" s="45" t="str">
        <v>Invest</v>
      </c>
      <c r="CP805" s="61"/>
      <c r="CQ805" s="45">
        <v>801</v>
      </c>
      <c r="CR805" s="45">
        <v>3.5988016351162617</v>
      </c>
      <c r="CS805" s="45" t="str">
        <v>Invest</v>
      </c>
      <c r="CT805" s="61"/>
      <c r="CU805" s="45">
        <v>801</v>
      </c>
      <c r="CV805" s="45">
        <v>12.135614677607535</v>
      </c>
      <c r="CW805" s="45" t="str">
        <v>Invest</v>
      </c>
      <c r="CX805" s="61"/>
      <c r="CY805" s="45">
        <v>801</v>
      </c>
      <c r="CZ805" s="45">
        <v>21.725517791611097</v>
      </c>
      <c r="DA805" s="45" t="str">
        <v>Invest</v>
      </c>
      <c r="DU805" s="52"/>
      <c r="DV805" s="50"/>
    </row>
    <row r="806" spans="86:126" ht="23.5">
      <c r="CH806" s="45">
        <v>802</v>
      </c>
      <c r="CI806" s="45">
        <v>9.7323204274142636</v>
      </c>
      <c r="CJ806" s="45" t="str">
        <v>Invest</v>
      </c>
      <c r="CM806" s="45">
        <v>802</v>
      </c>
      <c r="CN806" s="48">
        <v>21.259645095228009</v>
      </c>
      <c r="CO806" s="45" t="str">
        <v>Invest</v>
      </c>
      <c r="CP806" s="61"/>
      <c r="CQ806" s="45">
        <v>802</v>
      </c>
      <c r="CR806" s="45">
        <v>4.2353138651737261</v>
      </c>
      <c r="CS806" s="45" t="str">
        <v>Invest</v>
      </c>
      <c r="CT806" s="61"/>
      <c r="CU806" s="45">
        <v>802</v>
      </c>
      <c r="CV806" s="45">
        <v>6.8416786890496013</v>
      </c>
      <c r="CW806" s="45" t="str">
        <v>Invest</v>
      </c>
      <c r="CX806" s="61"/>
      <c r="CY806" s="45">
        <v>802</v>
      </c>
      <c r="CZ806" s="45">
        <v>0</v>
      </c>
      <c r="DA806" s="45" t="str">
        <v>Nothing</v>
      </c>
      <c r="DU806" s="52"/>
      <c r="DV806" s="50"/>
    </row>
    <row r="807" spans="86:126" ht="23.5">
      <c r="CH807" s="45">
        <v>803</v>
      </c>
      <c r="CI807" s="45">
        <v>27.607352463260007</v>
      </c>
      <c r="CJ807" s="45" t="str">
        <v>Invest</v>
      </c>
      <c r="CM807" s="45">
        <v>803</v>
      </c>
      <c r="CN807" s="48">
        <v>8.9710265048126789</v>
      </c>
      <c r="CO807" s="45" t="str">
        <v>Invest</v>
      </c>
      <c r="CP807" s="61"/>
      <c r="CQ807" s="45">
        <v>803</v>
      </c>
      <c r="CR807" s="45">
        <v>7.1351375463226479</v>
      </c>
      <c r="CS807" s="45" t="str">
        <v>Invest</v>
      </c>
      <c r="CT807" s="61"/>
      <c r="CU807" s="45">
        <v>803</v>
      </c>
      <c r="CV807" s="45">
        <v>33.629424618824515</v>
      </c>
      <c r="CW807" s="45" t="str">
        <v>Invest</v>
      </c>
      <c r="CX807" s="61"/>
      <c r="CY807" s="45">
        <v>803</v>
      </c>
      <c r="CZ807" s="45">
        <v>0</v>
      </c>
      <c r="DA807" s="45" t="str">
        <v>Nothing</v>
      </c>
      <c r="DU807" s="52"/>
      <c r="DV807" s="50"/>
    </row>
    <row r="808" spans="86:126" ht="23.5">
      <c r="CH808" s="45">
        <v>804</v>
      </c>
      <c r="CI808" s="45">
        <v>19.320954105213389</v>
      </c>
      <c r="CJ808" s="45" t="str">
        <v>Invest</v>
      </c>
      <c r="CM808" s="45">
        <v>804</v>
      </c>
      <c r="CN808" s="48">
        <v>9.3117062295651465</v>
      </c>
      <c r="CO808" s="45" t="str">
        <v>Invest</v>
      </c>
      <c r="CP808" s="61"/>
      <c r="CQ808" s="45">
        <v>804</v>
      </c>
      <c r="CR808" s="45">
        <v>41.915711151184759</v>
      </c>
      <c r="CS808" s="45" t="str">
        <v>Invest</v>
      </c>
      <c r="CT808" s="61"/>
      <c r="CU808" s="45">
        <v>804</v>
      </c>
      <c r="CV808" s="45">
        <v>0</v>
      </c>
      <c r="CW808" s="45" t="str">
        <v>Nothing</v>
      </c>
      <c r="CX808" s="61"/>
      <c r="CY808" s="45">
        <v>804</v>
      </c>
      <c r="CZ808" s="45">
        <v>1.6110419328680639</v>
      </c>
      <c r="DA808" s="45" t="str">
        <v>Invest</v>
      </c>
      <c r="DU808" s="52"/>
      <c r="DV808" s="50"/>
    </row>
    <row r="809" spans="86:126" ht="23.5">
      <c r="CH809" s="45">
        <v>805</v>
      </c>
      <c r="CI809" s="45">
        <v>6.1694179587775828</v>
      </c>
      <c r="CJ809" s="45" t="str">
        <v>Invest</v>
      </c>
      <c r="CM809" s="45">
        <v>805</v>
      </c>
      <c r="CN809" s="48">
        <v>12.342958414361448</v>
      </c>
      <c r="CO809" s="45" t="str">
        <v>Invest</v>
      </c>
      <c r="CP809" s="61"/>
      <c r="CQ809" s="45">
        <v>805</v>
      </c>
      <c r="CR809" s="45">
        <v>5.9052465926426958</v>
      </c>
      <c r="CS809" s="45" t="str">
        <v>Invest</v>
      </c>
      <c r="CT809" s="61"/>
      <c r="CU809" s="45">
        <v>805</v>
      </c>
      <c r="CV809" s="45">
        <v>0</v>
      </c>
      <c r="CW809" s="45" t="str">
        <v>Nothing</v>
      </c>
      <c r="CX809" s="61"/>
      <c r="CY809" s="45">
        <v>805</v>
      </c>
      <c r="CZ809" s="45">
        <v>16.815654703769113</v>
      </c>
      <c r="DA809" s="45" t="str">
        <v>Invest</v>
      </c>
      <c r="DU809" s="52"/>
      <c r="DV809" s="50"/>
    </row>
    <row r="810" spans="86:126" ht="23.5">
      <c r="CH810" s="45">
        <v>806</v>
      </c>
      <c r="CI810" s="45">
        <v>30.276830104618611</v>
      </c>
      <c r="CJ810" s="45" t="str">
        <v>Invest</v>
      </c>
      <c r="CM810" s="45">
        <v>806</v>
      </c>
      <c r="CN810" s="48">
        <v>49.257619629717816</v>
      </c>
      <c r="CO810" s="45" t="str">
        <v>Invest</v>
      </c>
      <c r="CP810" s="61"/>
      <c r="CQ810" s="45">
        <v>806</v>
      </c>
      <c r="CR810" s="45">
        <v>4.9704474621190053</v>
      </c>
      <c r="CS810" s="45" t="str">
        <v>Invest</v>
      </c>
      <c r="CT810" s="61"/>
      <c r="CU810" s="45">
        <v>806</v>
      </c>
      <c r="CV810" s="45">
        <v>0</v>
      </c>
      <c r="CW810" s="45" t="str">
        <v>Nothing</v>
      </c>
      <c r="CX810" s="61"/>
      <c r="CY810" s="45">
        <v>806</v>
      </c>
      <c r="CZ810" s="45">
        <v>51.433744583307401</v>
      </c>
      <c r="DA810" s="45" t="str">
        <v>Invest</v>
      </c>
      <c r="DU810" s="52"/>
      <c r="DV810" s="50"/>
    </row>
    <row r="811" spans="86:126" ht="23.5">
      <c r="CH811" s="45">
        <v>807</v>
      </c>
      <c r="CI811" s="45">
        <v>23.910042494797814</v>
      </c>
      <c r="CJ811" s="45" t="str">
        <v>Invest</v>
      </c>
      <c r="CM811" s="45">
        <v>807</v>
      </c>
      <c r="CN811" s="48">
        <v>0</v>
      </c>
      <c r="CO811" s="45" t="str">
        <v>Nothing</v>
      </c>
      <c r="CP811" s="61"/>
      <c r="CQ811" s="45">
        <v>807</v>
      </c>
      <c r="CR811" s="45">
        <v>20.763175822921419</v>
      </c>
      <c r="CS811" s="45" t="str">
        <v>Invest</v>
      </c>
      <c r="CT811" s="61"/>
      <c r="CU811" s="45">
        <v>807</v>
      </c>
      <c r="CV811" s="45">
        <v>0</v>
      </c>
      <c r="CW811" s="45" t="str">
        <v>Nothing</v>
      </c>
      <c r="CX811" s="61"/>
      <c r="CY811" s="45">
        <v>807</v>
      </c>
      <c r="CZ811" s="45">
        <v>41.584180903133969</v>
      </c>
      <c r="DA811" s="45" t="str">
        <v>Invest</v>
      </c>
      <c r="DU811" s="52"/>
      <c r="DV811" s="50"/>
    </row>
    <row r="812" spans="86:126" ht="23.5">
      <c r="CH812" s="45">
        <v>808</v>
      </c>
      <c r="CI812" s="45">
        <v>25.981796513752045</v>
      </c>
      <c r="CJ812" s="45" t="str">
        <v>Invest</v>
      </c>
      <c r="CM812" s="45">
        <v>808</v>
      </c>
      <c r="CN812" s="48">
        <v>11.075881452187499</v>
      </c>
      <c r="CO812" s="45" t="str">
        <v>Invest</v>
      </c>
      <c r="CP812" s="61"/>
      <c r="CQ812" s="45">
        <v>808</v>
      </c>
      <c r="CR812" s="45">
        <v>0</v>
      </c>
      <c r="CS812" s="45" t="str">
        <v>Nothing</v>
      </c>
      <c r="CT812" s="61"/>
      <c r="CU812" s="45">
        <v>808</v>
      </c>
      <c r="CV812" s="45">
        <v>0</v>
      </c>
      <c r="CW812" s="45" t="str">
        <v>Nothing</v>
      </c>
      <c r="CX812" s="61"/>
      <c r="CY812" s="45">
        <v>808</v>
      </c>
      <c r="CZ812" s="45">
        <v>18.044008946287921</v>
      </c>
      <c r="DA812" s="45" t="str">
        <v>Invest</v>
      </c>
      <c r="DU812" s="52"/>
      <c r="DV812" s="50"/>
    </row>
    <row r="813" spans="86:126" ht="23.5">
      <c r="CH813" s="45">
        <v>809</v>
      </c>
      <c r="CI813" s="45">
        <v>4.6849272329556957</v>
      </c>
      <c r="CJ813" s="45" t="str">
        <v>Invest</v>
      </c>
      <c r="CM813" s="45">
        <v>809</v>
      </c>
      <c r="CN813" s="48">
        <v>40.608376412576575</v>
      </c>
      <c r="CO813" s="45" t="str">
        <v>Invest</v>
      </c>
      <c r="CP813" s="61"/>
      <c r="CQ813" s="45">
        <v>809</v>
      </c>
      <c r="CR813" s="45">
        <v>10.209974971827336</v>
      </c>
      <c r="CS813" s="45" t="str">
        <v>Invest</v>
      </c>
      <c r="CT813" s="61"/>
      <c r="CU813" s="45">
        <v>809</v>
      </c>
      <c r="CV813" s="45">
        <v>21.576627601432964</v>
      </c>
      <c r="CW813" s="45" t="str">
        <v>Invest</v>
      </c>
      <c r="CX813" s="61"/>
      <c r="CY813" s="45">
        <v>809</v>
      </c>
      <c r="CZ813" s="45">
        <v>0</v>
      </c>
      <c r="DA813" s="45" t="str">
        <v>Nothing</v>
      </c>
      <c r="DU813" s="52"/>
      <c r="DV813" s="50"/>
    </row>
    <row r="814" spans="86:126" ht="23.5">
      <c r="CH814" s="45">
        <v>810</v>
      </c>
      <c r="CI814" s="45">
        <v>0</v>
      </c>
      <c r="CJ814" s="45" t="str">
        <v>Nothing</v>
      </c>
      <c r="CM814" s="45">
        <v>810</v>
      </c>
      <c r="CN814" s="48">
        <v>11.839490294995933</v>
      </c>
      <c r="CO814" s="45" t="str">
        <v>Invest</v>
      </c>
      <c r="CP814" s="61"/>
      <c r="CQ814" s="45">
        <v>810</v>
      </c>
      <c r="CR814" s="45">
        <v>0</v>
      </c>
      <c r="CS814" s="45" t="str">
        <v>Nothing</v>
      </c>
      <c r="CT814" s="61"/>
      <c r="CU814" s="45">
        <v>810</v>
      </c>
      <c r="CV814" s="45">
        <v>2.1558420014987192</v>
      </c>
      <c r="CW814" s="45" t="str">
        <v>Invest</v>
      </c>
      <c r="CX814" s="61"/>
      <c r="CY814" s="45">
        <v>810</v>
      </c>
      <c r="CZ814" s="45">
        <v>4.1929554762386099</v>
      </c>
      <c r="DA814" s="45" t="str">
        <v>Invest</v>
      </c>
      <c r="DU814" s="52"/>
      <c r="DV814" s="50"/>
    </row>
    <row r="815" spans="86:126" ht="23.5">
      <c r="CH815" s="45">
        <v>811</v>
      </c>
      <c r="CI815" s="45">
        <v>0</v>
      </c>
      <c r="CJ815" s="45" t="str">
        <v>Nothing</v>
      </c>
      <c r="CM815" s="45">
        <v>811</v>
      </c>
      <c r="CN815" s="48">
        <v>32.537280343608693</v>
      </c>
      <c r="CO815" s="45" t="str">
        <v>Invest</v>
      </c>
      <c r="CP815" s="61"/>
      <c r="CQ815" s="45">
        <v>811</v>
      </c>
      <c r="CR815" s="45">
        <v>36.247069222462237</v>
      </c>
      <c r="CS815" s="45" t="str">
        <v>Invest</v>
      </c>
      <c r="CT815" s="61"/>
      <c r="CU815" s="45">
        <v>811</v>
      </c>
      <c r="CV815" s="45">
        <v>12.03938124594459</v>
      </c>
      <c r="CW815" s="45" t="str">
        <v>Invest</v>
      </c>
      <c r="CX815" s="61"/>
      <c r="CY815" s="45">
        <v>811</v>
      </c>
      <c r="CZ815" s="45">
        <v>47.175198506081216</v>
      </c>
      <c r="DA815" s="45" t="str">
        <v>Invest</v>
      </c>
      <c r="DU815" s="52"/>
      <c r="DV815" s="50"/>
    </row>
    <row r="816" spans="86:126" ht="23.5">
      <c r="CH816" s="45">
        <v>812</v>
      </c>
      <c r="CI816" s="45">
        <v>0</v>
      </c>
      <c r="CJ816" s="45" t="str">
        <v>Nothing</v>
      </c>
      <c r="CM816" s="45">
        <v>812</v>
      </c>
      <c r="CN816" s="48">
        <v>22.310749192619539</v>
      </c>
      <c r="CO816" s="45" t="str">
        <v>Invest</v>
      </c>
      <c r="CP816" s="61"/>
      <c r="CQ816" s="45">
        <v>812</v>
      </c>
      <c r="CR816" s="45">
        <v>3.9046623006450663</v>
      </c>
      <c r="CS816" s="45" t="str">
        <v>Invest</v>
      </c>
      <c r="CT816" s="61"/>
      <c r="CU816" s="45">
        <v>812</v>
      </c>
      <c r="CV816" s="45">
        <v>0</v>
      </c>
      <c r="CW816" s="45" t="str">
        <v>Nothing</v>
      </c>
      <c r="CX816" s="61"/>
      <c r="CY816" s="45">
        <v>812</v>
      </c>
      <c r="CZ816" s="45">
        <v>19.503919310834867</v>
      </c>
      <c r="DA816" s="45" t="str">
        <v>Invest</v>
      </c>
      <c r="DU816" s="52"/>
      <c r="DV816" s="50"/>
    </row>
    <row r="817" spans="86:126" ht="23.5">
      <c r="CH817" s="45">
        <v>813</v>
      </c>
      <c r="CI817" s="45">
        <v>10.590912389643796</v>
      </c>
      <c r="CJ817" s="45" t="str">
        <v>Invest</v>
      </c>
      <c r="CM817" s="45">
        <v>813</v>
      </c>
      <c r="CN817" s="48">
        <v>0</v>
      </c>
      <c r="CO817" s="45" t="str">
        <v>Nothing</v>
      </c>
      <c r="CP817" s="61"/>
      <c r="CQ817" s="45">
        <v>813</v>
      </c>
      <c r="CR817" s="45">
        <v>45.853485648045137</v>
      </c>
      <c r="CS817" s="45" t="str">
        <v>Invest</v>
      </c>
      <c r="CT817" s="61"/>
      <c r="CU817" s="45">
        <v>813</v>
      </c>
      <c r="CV817" s="45">
        <v>0</v>
      </c>
      <c r="CW817" s="45" t="str">
        <v>Nothing</v>
      </c>
      <c r="CX817" s="61"/>
      <c r="CY817" s="45">
        <v>813</v>
      </c>
      <c r="CZ817" s="45">
        <v>0</v>
      </c>
      <c r="DA817" s="45" t="str">
        <v>Nothing</v>
      </c>
      <c r="DU817" s="52"/>
      <c r="DV817" s="50"/>
    </row>
    <row r="818" spans="86:126" ht="23.5">
      <c r="CH818" s="45">
        <v>814</v>
      </c>
      <c r="CI818" s="45">
        <v>26.425092257128647</v>
      </c>
      <c r="CJ818" s="45" t="str">
        <v>Invest</v>
      </c>
      <c r="CM818" s="45">
        <v>814</v>
      </c>
      <c r="CN818" s="48">
        <v>1.0437949497261556</v>
      </c>
      <c r="CO818" s="45" t="str">
        <v>Invest</v>
      </c>
      <c r="CP818" s="61"/>
      <c r="CQ818" s="45">
        <v>814</v>
      </c>
      <c r="CR818" s="45">
        <v>9.9939246203451439</v>
      </c>
      <c r="CS818" s="45" t="str">
        <v>Invest</v>
      </c>
      <c r="CT818" s="61"/>
      <c r="CU818" s="45">
        <v>814</v>
      </c>
      <c r="CV818" s="45">
        <v>16.293690284623437</v>
      </c>
      <c r="CW818" s="45" t="str">
        <v>Invest</v>
      </c>
      <c r="CX818" s="61"/>
      <c r="CY818" s="45">
        <v>814</v>
      </c>
      <c r="CZ818" s="45">
        <v>25.675522029382279</v>
      </c>
      <c r="DA818" s="45" t="str">
        <v>Invest</v>
      </c>
      <c r="DU818" s="52"/>
      <c r="DV818" s="50"/>
    </row>
    <row r="819" spans="86:126" ht="23.5">
      <c r="CH819" s="45">
        <v>815</v>
      </c>
      <c r="CI819" s="45">
        <v>0</v>
      </c>
      <c r="CJ819" s="45" t="str">
        <v>Nothing</v>
      </c>
      <c r="CM819" s="45">
        <v>815</v>
      </c>
      <c r="CN819" s="48">
        <v>36.270204132102258</v>
      </c>
      <c r="CO819" s="45" t="str">
        <v>Invest</v>
      </c>
      <c r="CP819" s="61"/>
      <c r="CQ819" s="45">
        <v>815</v>
      </c>
      <c r="CR819" s="45">
        <v>0</v>
      </c>
      <c r="CS819" s="45" t="str">
        <v>Nothing</v>
      </c>
      <c r="CT819" s="61"/>
      <c r="CU819" s="45">
        <v>815</v>
      </c>
      <c r="CV819" s="45">
        <v>16.082357946368052</v>
      </c>
      <c r="CW819" s="45" t="str">
        <v>Invest</v>
      </c>
      <c r="CX819" s="61"/>
      <c r="CY819" s="45">
        <v>815</v>
      </c>
      <c r="CZ819" s="45">
        <v>2.3209144907779269</v>
      </c>
      <c r="DA819" s="45" t="str">
        <v>Invest</v>
      </c>
      <c r="DU819" s="52"/>
      <c r="DV819" s="50"/>
    </row>
    <row r="820" spans="86:126" ht="23.5">
      <c r="CH820" s="45">
        <v>816</v>
      </c>
      <c r="CI820" s="45">
        <v>0.97893254565246579</v>
      </c>
      <c r="CJ820" s="45" t="str">
        <v>Invest</v>
      </c>
      <c r="CM820" s="45">
        <v>816</v>
      </c>
      <c r="CN820" s="48">
        <v>23.011625097815799</v>
      </c>
      <c r="CO820" s="45" t="str">
        <v>Invest</v>
      </c>
      <c r="CP820" s="61"/>
      <c r="CQ820" s="45">
        <v>816</v>
      </c>
      <c r="CR820" s="45">
        <v>14.814912001801783</v>
      </c>
      <c r="CS820" s="45" t="str">
        <v>Invest</v>
      </c>
      <c r="CT820" s="61"/>
      <c r="CU820" s="45">
        <v>816</v>
      </c>
      <c r="CV820" s="45">
        <v>25.495338829729302</v>
      </c>
      <c r="CW820" s="45" t="str">
        <v>Invest</v>
      </c>
      <c r="CX820" s="61"/>
      <c r="CY820" s="45">
        <v>816</v>
      </c>
      <c r="CZ820" s="45">
        <v>15.863447058923809</v>
      </c>
      <c r="DA820" s="45" t="str">
        <v>Invest</v>
      </c>
      <c r="DU820" s="52"/>
      <c r="DV820" s="50"/>
    </row>
    <row r="821" spans="86:126" ht="23.5">
      <c r="CH821" s="45">
        <v>817</v>
      </c>
      <c r="CI821" s="45">
        <v>0</v>
      </c>
      <c r="CJ821" s="45" t="str">
        <v>Nothing</v>
      </c>
      <c r="CM821" s="45">
        <v>817</v>
      </c>
      <c r="CN821" s="48">
        <v>20.753530387125295</v>
      </c>
      <c r="CO821" s="45" t="str">
        <v>Invest</v>
      </c>
      <c r="CP821" s="61"/>
      <c r="CQ821" s="45">
        <v>817</v>
      </c>
      <c r="CR821" s="45">
        <v>5.038418920294351</v>
      </c>
      <c r="CS821" s="45" t="str">
        <v>Invest</v>
      </c>
      <c r="CT821" s="61"/>
      <c r="CU821" s="45">
        <v>817</v>
      </c>
      <c r="CV821" s="45">
        <v>14.069919484478067</v>
      </c>
      <c r="CW821" s="45" t="str">
        <v>Invest</v>
      </c>
      <c r="CX821" s="61"/>
      <c r="CY821" s="45">
        <v>817</v>
      </c>
      <c r="CZ821" s="45">
        <v>0</v>
      </c>
      <c r="DA821" s="45" t="str">
        <v>Nothing</v>
      </c>
      <c r="DU821" s="52"/>
      <c r="DV821" s="50"/>
    </row>
    <row r="822" spans="86:126" ht="23.5">
      <c r="CH822" s="45">
        <v>818</v>
      </c>
      <c r="CI822" s="45">
        <v>26.961297760441614</v>
      </c>
      <c r="CJ822" s="45" t="str">
        <v>Invest</v>
      </c>
      <c r="CM822" s="45">
        <v>818</v>
      </c>
      <c r="CN822" s="48">
        <v>1.8690627540564257</v>
      </c>
      <c r="CO822" s="45" t="str">
        <v>Invest</v>
      </c>
      <c r="CP822" s="61"/>
      <c r="CQ822" s="45">
        <v>818</v>
      </c>
      <c r="CR822" s="45">
        <v>35.061955066438173</v>
      </c>
      <c r="CS822" s="45" t="str">
        <v>Invest</v>
      </c>
      <c r="CT822" s="61"/>
      <c r="CU822" s="45">
        <v>818</v>
      </c>
      <c r="CV822" s="45">
        <v>22.179341968827565</v>
      </c>
      <c r="CW822" s="45" t="str">
        <v>Invest</v>
      </c>
      <c r="CX822" s="61"/>
      <c r="CY822" s="45">
        <v>818</v>
      </c>
      <c r="CZ822" s="45">
        <v>7.1759566278257854</v>
      </c>
      <c r="DA822" s="45" t="str">
        <v>Invest</v>
      </c>
      <c r="DU822" s="52"/>
      <c r="DV822" s="50"/>
    </row>
    <row r="823" spans="86:126" ht="23.5">
      <c r="CH823" s="45">
        <v>819</v>
      </c>
      <c r="CI823" s="45">
        <v>0</v>
      </c>
      <c r="CJ823" s="45" t="str">
        <v>Nothing</v>
      </c>
      <c r="CM823" s="45">
        <v>819</v>
      </c>
      <c r="CN823" s="48">
        <v>0</v>
      </c>
      <c r="CO823" s="45" t="str">
        <v>Nothing</v>
      </c>
      <c r="CP823" s="61"/>
      <c r="CQ823" s="45">
        <v>819</v>
      </c>
      <c r="CR823" s="45">
        <v>31.588628617126709</v>
      </c>
      <c r="CS823" s="45" t="str">
        <v>Invest</v>
      </c>
      <c r="CT823" s="61"/>
      <c r="CU823" s="45">
        <v>819</v>
      </c>
      <c r="CV823" s="45">
        <v>2.1472618766200817</v>
      </c>
      <c r="CW823" s="45" t="str">
        <v>Invest</v>
      </c>
      <c r="CX823" s="61"/>
      <c r="CY823" s="45">
        <v>819</v>
      </c>
      <c r="CZ823" s="45">
        <v>9.6157857802791309</v>
      </c>
      <c r="DA823" s="45" t="str">
        <v>Invest</v>
      </c>
      <c r="DU823" s="52"/>
      <c r="DV823" s="50"/>
    </row>
    <row r="824" spans="86:126" ht="23.5">
      <c r="CH824" s="45">
        <v>820</v>
      </c>
      <c r="CI824" s="45">
        <v>52.130889711864718</v>
      </c>
      <c r="CJ824" s="45" t="str">
        <v>Invest</v>
      </c>
      <c r="CM824" s="45">
        <v>820</v>
      </c>
      <c r="CN824" s="48">
        <v>3.5107311274877357</v>
      </c>
      <c r="CO824" s="45" t="str">
        <v>Invest</v>
      </c>
      <c r="CP824" s="61"/>
      <c r="CQ824" s="45">
        <v>820</v>
      </c>
      <c r="CR824" s="45">
        <v>65.416421627050099</v>
      </c>
      <c r="CS824" s="45" t="str">
        <v>Invest</v>
      </c>
      <c r="CT824" s="61"/>
      <c r="CU824" s="45">
        <v>820</v>
      </c>
      <c r="CV824" s="45">
        <v>23.936571183530695</v>
      </c>
      <c r="CW824" s="45" t="str">
        <v>Invest</v>
      </c>
      <c r="CX824" s="61"/>
      <c r="CY824" s="45">
        <v>820</v>
      </c>
      <c r="CZ824" s="45">
        <v>46.152338884111749</v>
      </c>
      <c r="DA824" s="45" t="str">
        <v>Invest</v>
      </c>
      <c r="DU824" s="52"/>
      <c r="DV824" s="50"/>
    </row>
    <row r="825" spans="86:126" ht="23.5">
      <c r="CH825" s="45">
        <v>821</v>
      </c>
      <c r="CI825" s="45">
        <v>51.007271262813141</v>
      </c>
      <c r="CJ825" s="45" t="str">
        <v>Invest</v>
      </c>
      <c r="CM825" s="45">
        <v>821</v>
      </c>
      <c r="CN825" s="48">
        <v>23.372760778067288</v>
      </c>
      <c r="CO825" s="45" t="str">
        <v>Invest</v>
      </c>
      <c r="CP825" s="61"/>
      <c r="CQ825" s="45">
        <v>821</v>
      </c>
      <c r="CR825" s="45">
        <v>4.2462036530793128</v>
      </c>
      <c r="CS825" s="45" t="str">
        <v>Invest</v>
      </c>
      <c r="CT825" s="61"/>
      <c r="CU825" s="45">
        <v>821</v>
      </c>
      <c r="CV825" s="45">
        <v>6.7489803285779857</v>
      </c>
      <c r="CW825" s="45" t="str">
        <v>Invest</v>
      </c>
      <c r="CX825" s="61"/>
      <c r="CY825" s="45">
        <v>821</v>
      </c>
      <c r="CZ825" s="45">
        <v>0</v>
      </c>
      <c r="DA825" s="45" t="str">
        <v>Nothing</v>
      </c>
      <c r="DU825" s="52"/>
      <c r="DV825" s="50"/>
    </row>
    <row r="826" spans="86:126" ht="23.5">
      <c r="CH826" s="45">
        <v>822</v>
      </c>
      <c r="CI826" s="45">
        <v>12.843420362008747</v>
      </c>
      <c r="CJ826" s="45" t="str">
        <v>Invest</v>
      </c>
      <c r="CM826" s="45">
        <v>822</v>
      </c>
      <c r="CN826" s="48">
        <v>42.290092730592079</v>
      </c>
      <c r="CO826" s="45" t="str">
        <v>Invest</v>
      </c>
      <c r="CP826" s="61"/>
      <c r="CQ826" s="45">
        <v>822</v>
      </c>
      <c r="CR826" s="45">
        <v>22.858096969134561</v>
      </c>
      <c r="CS826" s="45" t="str">
        <v>Invest</v>
      </c>
      <c r="CT826" s="61"/>
      <c r="CU826" s="45">
        <v>822</v>
      </c>
      <c r="CV826" s="45">
        <v>0</v>
      </c>
      <c r="CW826" s="45" t="str">
        <v>Nothing</v>
      </c>
      <c r="CX826" s="61"/>
      <c r="CY826" s="45">
        <v>822</v>
      </c>
      <c r="CZ826" s="45">
        <v>0</v>
      </c>
      <c r="DA826" s="45" t="str">
        <v>Nothing</v>
      </c>
      <c r="DU826" s="52"/>
      <c r="DV826" s="50"/>
    </row>
    <row r="827" spans="86:126" ht="23.5">
      <c r="CH827" s="45">
        <v>823</v>
      </c>
      <c r="CI827" s="45">
        <v>5.4918514569595303</v>
      </c>
      <c r="CJ827" s="45" t="str">
        <v>Invest</v>
      </c>
      <c r="CM827" s="45">
        <v>823</v>
      </c>
      <c r="CN827" s="48">
        <v>33.38911362693517</v>
      </c>
      <c r="CO827" s="45" t="str">
        <v>Invest</v>
      </c>
      <c r="CP827" s="61"/>
      <c r="CQ827" s="45">
        <v>823</v>
      </c>
      <c r="CR827" s="45">
        <v>23.864502742475366</v>
      </c>
      <c r="CS827" s="45" t="str">
        <v>Invest</v>
      </c>
      <c r="CT827" s="61"/>
      <c r="CU827" s="45">
        <v>823</v>
      </c>
      <c r="CV827" s="45">
        <v>0</v>
      </c>
      <c r="CW827" s="45" t="str">
        <v>Nothing</v>
      </c>
      <c r="CX827" s="61"/>
      <c r="CY827" s="45">
        <v>823</v>
      </c>
      <c r="CZ827" s="45">
        <v>50.278575957467801</v>
      </c>
      <c r="DA827" s="45" t="str">
        <v>Invest</v>
      </c>
      <c r="DU827" s="52"/>
      <c r="DV827" s="50"/>
    </row>
    <row r="828" spans="86:126" ht="23.5">
      <c r="CH828" s="45">
        <v>824</v>
      </c>
      <c r="CI828" s="45">
        <v>0</v>
      </c>
      <c r="CJ828" s="45" t="str">
        <v>Nothing</v>
      </c>
      <c r="CM828" s="45">
        <v>824</v>
      </c>
      <c r="CN828" s="48">
        <v>34.481854987460217</v>
      </c>
      <c r="CO828" s="45" t="str">
        <v>Invest</v>
      </c>
      <c r="CP828" s="61"/>
      <c r="CQ828" s="45">
        <v>824</v>
      </c>
      <c r="CR828" s="45">
        <v>3.3973931571483504</v>
      </c>
      <c r="CS828" s="45" t="str">
        <v>Invest</v>
      </c>
      <c r="CT828" s="61"/>
      <c r="CU828" s="45">
        <v>824</v>
      </c>
      <c r="CV828" s="45">
        <v>0</v>
      </c>
      <c r="CW828" s="45" t="str">
        <v>Nothing</v>
      </c>
      <c r="CX828" s="61"/>
      <c r="CY828" s="45">
        <v>824</v>
      </c>
      <c r="CZ828" s="45">
        <v>0</v>
      </c>
      <c r="DA828" s="45" t="str">
        <v>Nothing</v>
      </c>
      <c r="DU828" s="52"/>
      <c r="DV828" s="50"/>
    </row>
    <row r="829" spans="86:126" ht="23.5">
      <c r="CH829" s="45">
        <v>825</v>
      </c>
      <c r="CI829" s="45">
        <v>8.8385991534743233</v>
      </c>
      <c r="CJ829" s="45" t="str">
        <v>Invest</v>
      </c>
      <c r="CM829" s="45">
        <v>825</v>
      </c>
      <c r="CN829" s="48">
        <v>28.727484837182054</v>
      </c>
      <c r="CO829" s="45" t="str">
        <v>Invest</v>
      </c>
      <c r="CP829" s="61"/>
      <c r="CQ829" s="45">
        <v>825</v>
      </c>
      <c r="CR829" s="45">
        <v>0</v>
      </c>
      <c r="CS829" s="45" t="str">
        <v>Nothing</v>
      </c>
      <c r="CT829" s="61"/>
      <c r="CU829" s="45">
        <v>825</v>
      </c>
      <c r="CV829" s="45">
        <v>53.980188976325515</v>
      </c>
      <c r="CW829" s="45" t="str">
        <v>Invest</v>
      </c>
      <c r="CX829" s="61"/>
      <c r="CY829" s="45">
        <v>825</v>
      </c>
      <c r="CZ829" s="45">
        <v>0</v>
      </c>
      <c r="DA829" s="45" t="str">
        <v>Nothing</v>
      </c>
      <c r="DU829" s="52"/>
      <c r="DV829" s="50"/>
    </row>
    <row r="830" spans="86:126" ht="23.5">
      <c r="CH830" s="45">
        <v>826</v>
      </c>
      <c r="CI830" s="45">
        <v>17.442165481059341</v>
      </c>
      <c r="CJ830" s="45" t="str">
        <v>Invest</v>
      </c>
      <c r="CM830" s="45">
        <v>826</v>
      </c>
      <c r="CN830" s="48">
        <v>34.175587018136767</v>
      </c>
      <c r="CO830" s="45" t="str">
        <v>Invest</v>
      </c>
      <c r="CP830" s="61"/>
      <c r="CQ830" s="45">
        <v>826</v>
      </c>
      <c r="CR830" s="45">
        <v>8.8819659499753492</v>
      </c>
      <c r="CS830" s="45" t="str">
        <v>Invest</v>
      </c>
      <c r="CT830" s="61"/>
      <c r="CU830" s="45">
        <v>826</v>
      </c>
      <c r="CV830" s="45">
        <v>31.70305542695872</v>
      </c>
      <c r="CW830" s="45" t="str">
        <v>Invest</v>
      </c>
      <c r="CX830" s="61"/>
      <c r="CY830" s="45">
        <v>826</v>
      </c>
      <c r="CZ830" s="45">
        <v>0</v>
      </c>
      <c r="DA830" s="45" t="str">
        <v>Nothing</v>
      </c>
      <c r="DU830" s="52"/>
      <c r="DV830" s="50"/>
    </row>
    <row r="831" spans="86:126" ht="23.5">
      <c r="CH831" s="45">
        <v>827</v>
      </c>
      <c r="CI831" s="45">
        <v>0.23215528843097655</v>
      </c>
      <c r="CJ831" s="45" t="str">
        <v>Invest</v>
      </c>
      <c r="CM831" s="45">
        <v>827</v>
      </c>
      <c r="CN831" s="48">
        <v>0</v>
      </c>
      <c r="CO831" s="45" t="str">
        <v>Nothing</v>
      </c>
      <c r="CP831" s="61"/>
      <c r="CQ831" s="45">
        <v>827</v>
      </c>
      <c r="CR831" s="45">
        <v>20.914404159269843</v>
      </c>
      <c r="CS831" s="45" t="str">
        <v>Invest</v>
      </c>
      <c r="CT831" s="61"/>
      <c r="CU831" s="45">
        <v>827</v>
      </c>
      <c r="CV831" s="45">
        <v>26.85829065289667</v>
      </c>
      <c r="CW831" s="45" t="str">
        <v>Invest</v>
      </c>
      <c r="CX831" s="61"/>
      <c r="CY831" s="45">
        <v>827</v>
      </c>
      <c r="CZ831" s="45">
        <v>28.50157799350573</v>
      </c>
      <c r="DA831" s="45" t="str">
        <v>Invest</v>
      </c>
      <c r="DU831" s="52"/>
      <c r="DV831" s="50"/>
    </row>
    <row r="832" spans="86:126" ht="23.5">
      <c r="CH832" s="45">
        <v>828</v>
      </c>
      <c r="CI832" s="45">
        <v>9.3556238762557378</v>
      </c>
      <c r="CJ832" s="45" t="str">
        <v>Invest</v>
      </c>
      <c r="CM832" s="45">
        <v>828</v>
      </c>
      <c r="CN832" s="48">
        <v>18.36117237234788</v>
      </c>
      <c r="CO832" s="45" t="str">
        <v>Invest</v>
      </c>
      <c r="CP832" s="61"/>
      <c r="CQ832" s="45">
        <v>828</v>
      </c>
      <c r="CR832" s="45">
        <v>0</v>
      </c>
      <c r="CS832" s="45" t="str">
        <v>Nothing</v>
      </c>
      <c r="CT832" s="61"/>
      <c r="CU832" s="45">
        <v>828</v>
      </c>
      <c r="CV832" s="45">
        <v>0</v>
      </c>
      <c r="CW832" s="45" t="str">
        <v>Nothing</v>
      </c>
      <c r="CX832" s="61"/>
      <c r="CY832" s="45">
        <v>828</v>
      </c>
      <c r="CZ832" s="45">
        <v>0</v>
      </c>
      <c r="DA832" s="45" t="str">
        <v>Nothing</v>
      </c>
      <c r="DU832" s="52"/>
      <c r="DV832" s="50"/>
    </row>
    <row r="833" spans="86:126" ht="23.5">
      <c r="CH833" s="45">
        <v>829</v>
      </c>
      <c r="CI833" s="45">
        <v>17.046178523874531</v>
      </c>
      <c r="CJ833" s="45" t="str">
        <v>Invest</v>
      </c>
      <c r="CM833" s="45">
        <v>829</v>
      </c>
      <c r="CN833" s="48">
        <v>0</v>
      </c>
      <c r="CO833" s="45" t="str">
        <v>Nothing</v>
      </c>
      <c r="CP833" s="61"/>
      <c r="CQ833" s="45">
        <v>829</v>
      </c>
      <c r="CR833" s="45">
        <v>12.31995982816337</v>
      </c>
      <c r="CS833" s="45" t="str">
        <v>Invest</v>
      </c>
      <c r="CT833" s="61"/>
      <c r="CU833" s="45">
        <v>829</v>
      </c>
      <c r="CV833" s="45">
        <v>7.5266416202783608</v>
      </c>
      <c r="CW833" s="45" t="str">
        <v>Invest</v>
      </c>
      <c r="CX833" s="61"/>
      <c r="CY833" s="45">
        <v>829</v>
      </c>
      <c r="CZ833" s="45">
        <v>0</v>
      </c>
      <c r="DA833" s="45" t="str">
        <v>Nothing</v>
      </c>
      <c r="DU833" s="52"/>
      <c r="DV833" s="50"/>
    </row>
    <row r="834" spans="86:126" ht="23.5">
      <c r="CH834" s="45">
        <v>830</v>
      </c>
      <c r="CI834" s="45">
        <v>14.317072811239328</v>
      </c>
      <c r="CJ834" s="45" t="str">
        <v>Invest</v>
      </c>
      <c r="CM834" s="45">
        <v>830</v>
      </c>
      <c r="CN834" s="48">
        <v>24.208612906331464</v>
      </c>
      <c r="CO834" s="45" t="str">
        <v>Invest</v>
      </c>
      <c r="CP834" s="61"/>
      <c r="CQ834" s="45">
        <v>830</v>
      </c>
      <c r="CR834" s="45">
        <v>14.434603956826816</v>
      </c>
      <c r="CS834" s="45" t="str">
        <v>Invest</v>
      </c>
      <c r="CT834" s="61"/>
      <c r="CU834" s="45">
        <v>830</v>
      </c>
      <c r="CV834" s="45">
        <v>6.106722334219798</v>
      </c>
      <c r="CW834" s="45" t="str">
        <v>Invest</v>
      </c>
      <c r="CX834" s="61"/>
      <c r="CY834" s="45">
        <v>830</v>
      </c>
      <c r="CZ834" s="45">
        <v>38.437994047721446</v>
      </c>
      <c r="DA834" s="45" t="str">
        <v>Invest</v>
      </c>
      <c r="DU834" s="52"/>
      <c r="DV834" s="50"/>
    </row>
    <row r="835" spans="86:126" ht="23.5">
      <c r="CH835" s="45">
        <v>831</v>
      </c>
      <c r="CI835" s="45">
        <v>26.321820590672722</v>
      </c>
      <c r="CJ835" s="45" t="str">
        <v>Invest</v>
      </c>
      <c r="CM835" s="45">
        <v>831</v>
      </c>
      <c r="CN835" s="48">
        <v>14.727364534012361</v>
      </c>
      <c r="CO835" s="45" t="str">
        <v>Invest</v>
      </c>
      <c r="CP835" s="61"/>
      <c r="CQ835" s="45">
        <v>831</v>
      </c>
      <c r="CR835" s="45">
        <v>9.0087251590247384</v>
      </c>
      <c r="CS835" s="45" t="str">
        <v>Invest</v>
      </c>
      <c r="CT835" s="61"/>
      <c r="CU835" s="45">
        <v>831</v>
      </c>
      <c r="CV835" s="45">
        <v>0</v>
      </c>
      <c r="CW835" s="45" t="str">
        <v>Nothing</v>
      </c>
      <c r="CX835" s="61"/>
      <c r="CY835" s="45">
        <v>831</v>
      </c>
      <c r="CZ835" s="45">
        <v>21.426306707573385</v>
      </c>
      <c r="DA835" s="45" t="str">
        <v>Invest</v>
      </c>
      <c r="DU835" s="52"/>
      <c r="DV835" s="50"/>
    </row>
    <row r="836" spans="86:126" ht="23.5">
      <c r="CH836" s="45">
        <v>832</v>
      </c>
      <c r="CI836" s="45">
        <v>40.964048379991091</v>
      </c>
      <c r="CJ836" s="45" t="str">
        <v>Invest</v>
      </c>
      <c r="CM836" s="45">
        <v>832</v>
      </c>
      <c r="CN836" s="48">
        <v>15.329248838776499</v>
      </c>
      <c r="CO836" s="45" t="str">
        <v>Invest</v>
      </c>
      <c r="CP836" s="61"/>
      <c r="CQ836" s="45">
        <v>832</v>
      </c>
      <c r="CR836" s="45">
        <v>0</v>
      </c>
      <c r="CS836" s="45" t="str">
        <v>Nothing</v>
      </c>
      <c r="CT836" s="61"/>
      <c r="CU836" s="45">
        <v>832</v>
      </c>
      <c r="CV836" s="45">
        <v>1.5786867052446389</v>
      </c>
      <c r="CW836" s="45" t="str">
        <v>Invest</v>
      </c>
      <c r="CX836" s="61"/>
      <c r="CY836" s="45">
        <v>832</v>
      </c>
      <c r="CZ836" s="45">
        <v>11.317510329542515</v>
      </c>
      <c r="DA836" s="45" t="str">
        <v>Invest</v>
      </c>
      <c r="DU836" s="52"/>
      <c r="DV836" s="50"/>
    </row>
    <row r="837" spans="86:126" ht="23.5">
      <c r="CH837" s="45">
        <v>833</v>
      </c>
      <c r="CI837" s="45">
        <v>47.294247117000204</v>
      </c>
      <c r="CJ837" s="45" t="str">
        <v>Invest</v>
      </c>
      <c r="CM837" s="45">
        <v>833</v>
      </c>
      <c r="CN837" s="48">
        <v>36.714225737404526</v>
      </c>
      <c r="CO837" s="45" t="str">
        <v>Invest</v>
      </c>
      <c r="CP837" s="61"/>
      <c r="CQ837" s="45">
        <v>833</v>
      </c>
      <c r="CR837" s="45">
        <v>16.043307913083993</v>
      </c>
      <c r="CS837" s="45" t="str">
        <v>Invest</v>
      </c>
      <c r="CT837" s="61"/>
      <c r="CU837" s="45">
        <v>833</v>
      </c>
      <c r="CV837" s="45">
        <v>0</v>
      </c>
      <c r="CW837" s="45" t="str">
        <v>Nothing</v>
      </c>
      <c r="CX837" s="61"/>
      <c r="CY837" s="45">
        <v>833</v>
      </c>
      <c r="CZ837" s="45">
        <v>54.055502314300867</v>
      </c>
      <c r="DA837" s="45" t="str">
        <v>Invest</v>
      </c>
      <c r="DU837" s="52"/>
      <c r="DV837" s="50"/>
    </row>
    <row r="838" spans="86:126" ht="23.5">
      <c r="CH838" s="45">
        <v>834</v>
      </c>
      <c r="CI838" s="45">
        <v>20.414059234902872</v>
      </c>
      <c r="CJ838" s="45" t="str">
        <v>Invest</v>
      </c>
      <c r="CM838" s="45">
        <v>834</v>
      </c>
      <c r="CN838" s="48">
        <v>17.897124580679048</v>
      </c>
      <c r="CO838" s="45" t="str">
        <v>Invest</v>
      </c>
      <c r="CP838" s="61"/>
      <c r="CQ838" s="45">
        <v>834</v>
      </c>
      <c r="CR838" s="45">
        <v>0</v>
      </c>
      <c r="CS838" s="45" t="str">
        <v>Nothing</v>
      </c>
      <c r="CT838" s="61"/>
      <c r="CU838" s="45">
        <v>834</v>
      </c>
      <c r="CV838" s="45">
        <v>1.6112429024148049</v>
      </c>
      <c r="CW838" s="45" t="str">
        <v>Invest</v>
      </c>
      <c r="CX838" s="61"/>
      <c r="CY838" s="45">
        <v>834</v>
      </c>
      <c r="CZ838" s="45">
        <v>0</v>
      </c>
      <c r="DA838" s="45" t="str">
        <v>Nothing</v>
      </c>
      <c r="DU838" s="52"/>
      <c r="DV838" s="50"/>
    </row>
    <row r="839" spans="86:126" ht="23.5">
      <c r="CH839" s="45">
        <v>835</v>
      </c>
      <c r="CI839" s="45">
        <v>42.975899170150413</v>
      </c>
      <c r="CJ839" s="45" t="str">
        <v>Invest</v>
      </c>
      <c r="CM839" s="45">
        <v>835</v>
      </c>
      <c r="CN839" s="48">
        <v>39.364124076006718</v>
      </c>
      <c r="CO839" s="45" t="str">
        <v>Invest</v>
      </c>
      <c r="CP839" s="61"/>
      <c r="CQ839" s="45">
        <v>835</v>
      </c>
      <c r="CR839" s="45">
        <v>23.795242527141639</v>
      </c>
      <c r="CS839" s="45" t="str">
        <v>Invest</v>
      </c>
      <c r="CT839" s="61"/>
      <c r="CU839" s="45">
        <v>835</v>
      </c>
      <c r="CV839" s="45">
        <v>17.792273901546576</v>
      </c>
      <c r="CW839" s="45" t="str">
        <v>Invest</v>
      </c>
      <c r="CX839" s="61"/>
      <c r="CY839" s="45">
        <v>835</v>
      </c>
      <c r="CZ839" s="45">
        <v>0</v>
      </c>
      <c r="DA839" s="45" t="str">
        <v>Nothing</v>
      </c>
      <c r="DU839" s="52"/>
      <c r="DV839" s="50"/>
    </row>
    <row r="840" spans="86:126" ht="23.5">
      <c r="CH840" s="45">
        <v>836</v>
      </c>
      <c r="CI840" s="45">
        <v>25.385514776254432</v>
      </c>
      <c r="CJ840" s="45" t="str">
        <v>Invest</v>
      </c>
      <c r="CM840" s="45">
        <v>836</v>
      </c>
      <c r="CN840" s="48">
        <v>28.577782890769786</v>
      </c>
      <c r="CO840" s="45" t="str">
        <v>Invest</v>
      </c>
      <c r="CP840" s="61"/>
      <c r="CQ840" s="45">
        <v>836</v>
      </c>
      <c r="CR840" s="45">
        <v>8.6489408845724434</v>
      </c>
      <c r="CS840" s="45" t="str">
        <v>Invest</v>
      </c>
      <c r="CT840" s="61"/>
      <c r="CU840" s="45">
        <v>836</v>
      </c>
      <c r="CV840" s="45">
        <v>0</v>
      </c>
      <c r="CW840" s="45" t="str">
        <v>Nothing</v>
      </c>
      <c r="CX840" s="61"/>
      <c r="CY840" s="45">
        <v>836</v>
      </c>
      <c r="CZ840" s="45">
        <v>44.983899441630591</v>
      </c>
      <c r="DA840" s="45" t="str">
        <v>Invest</v>
      </c>
      <c r="DU840" s="52"/>
      <c r="DV840" s="50"/>
    </row>
    <row r="841" spans="86:126" ht="23.5">
      <c r="CH841" s="45">
        <v>837</v>
      </c>
      <c r="CI841" s="45">
        <v>7.2751664326896881</v>
      </c>
      <c r="CJ841" s="45" t="str">
        <v>Invest</v>
      </c>
      <c r="CM841" s="45">
        <v>837</v>
      </c>
      <c r="CN841" s="48">
        <v>0</v>
      </c>
      <c r="CO841" s="45" t="str">
        <v>Nothing</v>
      </c>
      <c r="CP841" s="61"/>
      <c r="CQ841" s="45">
        <v>837</v>
      </c>
      <c r="CR841" s="45">
        <v>25.026571277577251</v>
      </c>
      <c r="CS841" s="45" t="str">
        <v>Invest</v>
      </c>
      <c r="CT841" s="61"/>
      <c r="CU841" s="45">
        <v>837</v>
      </c>
      <c r="CV841" s="45">
        <v>43.979176763286688</v>
      </c>
      <c r="CW841" s="45" t="str">
        <v>Invest</v>
      </c>
      <c r="CX841" s="61"/>
      <c r="CY841" s="45">
        <v>837</v>
      </c>
      <c r="CZ841" s="45">
        <v>1.8365001026784338</v>
      </c>
      <c r="DA841" s="45" t="str">
        <v>Invest</v>
      </c>
      <c r="DU841" s="52"/>
      <c r="DV841" s="50"/>
    </row>
    <row r="842" spans="86:126" ht="23.5">
      <c r="CH842" s="45">
        <v>838</v>
      </c>
      <c r="CI842" s="45">
        <v>15.260479979489471</v>
      </c>
      <c r="CJ842" s="45" t="str">
        <v>Invest</v>
      </c>
      <c r="CM842" s="45">
        <v>838</v>
      </c>
      <c r="CN842" s="48">
        <v>33.013276355960912</v>
      </c>
      <c r="CO842" s="45" t="str">
        <v>Invest</v>
      </c>
      <c r="CP842" s="61"/>
      <c r="CQ842" s="45">
        <v>838</v>
      </c>
      <c r="CR842" s="45">
        <v>2.615710487139042</v>
      </c>
      <c r="CS842" s="45" t="str">
        <v>Invest</v>
      </c>
      <c r="CT842" s="61"/>
      <c r="CU842" s="45">
        <v>838</v>
      </c>
      <c r="CV842" s="45">
        <v>7.2500356432863269</v>
      </c>
      <c r="CW842" s="45" t="str">
        <v>Invest</v>
      </c>
      <c r="CX842" s="61"/>
      <c r="CY842" s="45">
        <v>838</v>
      </c>
      <c r="CZ842" s="45">
        <v>46.391327441386032</v>
      </c>
      <c r="DA842" s="45" t="str">
        <v>Invest</v>
      </c>
      <c r="DU842" s="52"/>
      <c r="DV842" s="50"/>
    </row>
    <row r="843" spans="86:126" ht="23.5">
      <c r="CH843" s="45">
        <v>839</v>
      </c>
      <c r="CI843" s="45">
        <v>0</v>
      </c>
      <c r="CJ843" s="45" t="str">
        <v>Nothing</v>
      </c>
      <c r="CM843" s="45">
        <v>839</v>
      </c>
      <c r="CN843" s="48">
        <v>17.89513460790651</v>
      </c>
      <c r="CO843" s="45" t="str">
        <v>Invest</v>
      </c>
      <c r="CP843" s="61"/>
      <c r="CQ843" s="45">
        <v>839</v>
      </c>
      <c r="CR843" s="45">
        <v>0</v>
      </c>
      <c r="CS843" s="45" t="str">
        <v>Nothing</v>
      </c>
      <c r="CT843" s="61"/>
      <c r="CU843" s="45">
        <v>839</v>
      </c>
      <c r="CV843" s="45">
        <v>0</v>
      </c>
      <c r="CW843" s="45" t="str">
        <v>Nothing</v>
      </c>
      <c r="CX843" s="61"/>
      <c r="CY843" s="45">
        <v>839</v>
      </c>
      <c r="CZ843" s="45">
        <v>19.824434861195666</v>
      </c>
      <c r="DA843" s="45" t="str">
        <v>Invest</v>
      </c>
      <c r="DU843" s="52"/>
      <c r="DV843" s="50"/>
    </row>
    <row r="844" spans="86:126" ht="23.5">
      <c r="CH844" s="45">
        <v>840</v>
      </c>
      <c r="CI844" s="45">
        <v>0</v>
      </c>
      <c r="CJ844" s="45" t="str">
        <v>Nothing</v>
      </c>
      <c r="CM844" s="45">
        <v>840</v>
      </c>
      <c r="CN844" s="48">
        <v>0</v>
      </c>
      <c r="CO844" s="45" t="str">
        <v>Nothing</v>
      </c>
      <c r="CP844" s="61"/>
      <c r="CQ844" s="45">
        <v>840</v>
      </c>
      <c r="CR844" s="45">
        <v>2.7774096695616421</v>
      </c>
      <c r="CS844" s="45" t="str">
        <v>Invest</v>
      </c>
      <c r="CT844" s="61"/>
      <c r="CU844" s="45">
        <v>840</v>
      </c>
      <c r="CV844" s="45">
        <v>54.262603050438628</v>
      </c>
      <c r="CW844" s="45" t="str">
        <v>Invest</v>
      </c>
      <c r="CX844" s="61"/>
      <c r="CY844" s="45">
        <v>840</v>
      </c>
      <c r="CZ844" s="45">
        <v>2.9277680694790842</v>
      </c>
      <c r="DA844" s="45" t="str">
        <v>Invest</v>
      </c>
      <c r="DU844" s="52"/>
      <c r="DV844" s="50"/>
    </row>
    <row r="845" spans="86:126" ht="23.5">
      <c r="CH845" s="45">
        <v>841</v>
      </c>
      <c r="CI845" s="45">
        <v>0</v>
      </c>
      <c r="CJ845" s="45" t="str">
        <v>Nothing</v>
      </c>
      <c r="CM845" s="45">
        <v>841</v>
      </c>
      <c r="CN845" s="48">
        <v>8.4605820467206811</v>
      </c>
      <c r="CO845" s="45" t="str">
        <v>Invest</v>
      </c>
      <c r="CP845" s="61"/>
      <c r="CQ845" s="45">
        <v>841</v>
      </c>
      <c r="CR845" s="45">
        <v>17.211229616764768</v>
      </c>
      <c r="CS845" s="45" t="str">
        <v>Invest</v>
      </c>
      <c r="CT845" s="61"/>
      <c r="CU845" s="45">
        <v>841</v>
      </c>
      <c r="CV845" s="45">
        <v>11.827055276812267</v>
      </c>
      <c r="CW845" s="45" t="str">
        <v>Invest</v>
      </c>
      <c r="CX845" s="61"/>
      <c r="CY845" s="45">
        <v>841</v>
      </c>
      <c r="CZ845" s="45">
        <v>13.592833761015756</v>
      </c>
      <c r="DA845" s="45" t="str">
        <v>Invest</v>
      </c>
      <c r="DU845" s="52"/>
      <c r="DV845" s="50"/>
    </row>
    <row r="846" spans="86:126" ht="23.5">
      <c r="CH846" s="45">
        <v>842</v>
      </c>
      <c r="CI846" s="45">
        <v>11.05916569350263</v>
      </c>
      <c r="CJ846" s="45" t="str">
        <v>Invest</v>
      </c>
      <c r="CM846" s="45">
        <v>842</v>
      </c>
      <c r="CN846" s="48">
        <v>4.6755114681146512</v>
      </c>
      <c r="CO846" s="45" t="str">
        <v>Invest</v>
      </c>
      <c r="CP846" s="61"/>
      <c r="CQ846" s="45">
        <v>842</v>
      </c>
      <c r="CR846" s="45">
        <v>0</v>
      </c>
      <c r="CS846" s="45" t="str">
        <v>Nothing</v>
      </c>
      <c r="CT846" s="61"/>
      <c r="CU846" s="45">
        <v>842</v>
      </c>
      <c r="CV846" s="45">
        <v>16.654160580543653</v>
      </c>
      <c r="CW846" s="45" t="str">
        <v>Invest</v>
      </c>
      <c r="CX846" s="61"/>
      <c r="CY846" s="45">
        <v>842</v>
      </c>
      <c r="CZ846" s="45">
        <v>22.661724839064249</v>
      </c>
      <c r="DA846" s="45" t="str">
        <v>Invest</v>
      </c>
      <c r="DU846" s="52"/>
      <c r="DV846" s="50"/>
    </row>
    <row r="847" spans="86:126" ht="23.5">
      <c r="CH847" s="45">
        <v>843</v>
      </c>
      <c r="CI847" s="45">
        <v>36.550700727937119</v>
      </c>
      <c r="CJ847" s="45" t="str">
        <v>Invest</v>
      </c>
      <c r="CM847" s="45">
        <v>843</v>
      </c>
      <c r="CN847" s="48">
        <v>0</v>
      </c>
      <c r="CO847" s="45" t="str">
        <v>Nothing</v>
      </c>
      <c r="CP847" s="61"/>
      <c r="CQ847" s="45">
        <v>843</v>
      </c>
      <c r="CR847" s="45">
        <v>28.232559537780627</v>
      </c>
      <c r="CS847" s="45" t="str">
        <v>Invest</v>
      </c>
      <c r="CT847" s="61"/>
      <c r="CU847" s="45">
        <v>843</v>
      </c>
      <c r="CV847" s="45">
        <v>13.989552606742203</v>
      </c>
      <c r="CW847" s="45" t="str">
        <v>Invest</v>
      </c>
      <c r="CX847" s="61"/>
      <c r="CY847" s="45">
        <v>843</v>
      </c>
      <c r="CZ847" s="45">
        <v>30.059937183285243</v>
      </c>
      <c r="DA847" s="45" t="str">
        <v>Invest</v>
      </c>
      <c r="DU847" s="52"/>
      <c r="DV847" s="50"/>
    </row>
    <row r="848" spans="86:126" ht="23.5">
      <c r="CH848" s="45">
        <v>844</v>
      </c>
      <c r="CI848" s="45">
        <v>41.549689092181417</v>
      </c>
      <c r="CJ848" s="45" t="str">
        <v>Invest</v>
      </c>
      <c r="CM848" s="45">
        <v>844</v>
      </c>
      <c r="CN848" s="48">
        <v>0</v>
      </c>
      <c r="CO848" s="45" t="str">
        <v>Nothing</v>
      </c>
      <c r="CP848" s="61"/>
      <c r="CQ848" s="45">
        <v>844</v>
      </c>
      <c r="CR848" s="45">
        <v>33.959260121259241</v>
      </c>
      <c r="CS848" s="45" t="str">
        <v>Invest</v>
      </c>
      <c r="CT848" s="61"/>
      <c r="CU848" s="45">
        <v>844</v>
      </c>
      <c r="CV848" s="45">
        <v>0</v>
      </c>
      <c r="CW848" s="45" t="str">
        <v>Nothing</v>
      </c>
      <c r="CX848" s="61"/>
      <c r="CY848" s="45">
        <v>844</v>
      </c>
      <c r="CZ848" s="45">
        <v>4.4056544947848923</v>
      </c>
      <c r="DA848" s="45" t="str">
        <v>Invest</v>
      </c>
      <c r="DU848" s="52"/>
      <c r="DV848" s="50"/>
    </row>
    <row r="849" spans="86:126" ht="23.5">
      <c r="CH849" s="45">
        <v>845</v>
      </c>
      <c r="CI849" s="45">
        <v>26.707583441335213</v>
      </c>
      <c r="CJ849" s="45" t="str">
        <v>Invest</v>
      </c>
      <c r="CM849" s="45">
        <v>845</v>
      </c>
      <c r="CN849" s="48">
        <v>25.767533720566085</v>
      </c>
      <c r="CO849" s="45" t="str">
        <v>Invest</v>
      </c>
      <c r="CP849" s="61"/>
      <c r="CQ849" s="45">
        <v>845</v>
      </c>
      <c r="CR849" s="45">
        <v>24.612685037841409</v>
      </c>
      <c r="CS849" s="45" t="str">
        <v>Invest</v>
      </c>
      <c r="CT849" s="61"/>
      <c r="CU849" s="45">
        <v>845</v>
      </c>
      <c r="CV849" s="45">
        <v>52.947053623821141</v>
      </c>
      <c r="CW849" s="45" t="str">
        <v>Invest</v>
      </c>
      <c r="CX849" s="61"/>
      <c r="CY849" s="45">
        <v>845</v>
      </c>
      <c r="CZ849" s="45">
        <v>55.948755657411937</v>
      </c>
      <c r="DA849" s="45" t="str">
        <v>Invest</v>
      </c>
      <c r="DU849" s="52"/>
      <c r="DV849" s="50"/>
    </row>
    <row r="850" spans="86:126" ht="23.5">
      <c r="CH850" s="45">
        <v>846</v>
      </c>
      <c r="CI850" s="45">
        <v>0.82564460696536912</v>
      </c>
      <c r="CJ850" s="45" t="str">
        <v>Invest</v>
      </c>
      <c r="CM850" s="45">
        <v>846</v>
      </c>
      <c r="CN850" s="48">
        <v>2.0720092670461927</v>
      </c>
      <c r="CO850" s="45" t="str">
        <v>Invest</v>
      </c>
      <c r="CP850" s="61"/>
      <c r="CQ850" s="45">
        <v>846</v>
      </c>
      <c r="CR850" s="45">
        <v>0</v>
      </c>
      <c r="CS850" s="45" t="str">
        <v>Nothing</v>
      </c>
      <c r="CT850" s="61"/>
      <c r="CU850" s="45">
        <v>846</v>
      </c>
      <c r="CV850" s="45">
        <v>11.462851212692016</v>
      </c>
      <c r="CW850" s="45" t="str">
        <v>Invest</v>
      </c>
      <c r="CX850" s="61"/>
      <c r="CY850" s="45">
        <v>846</v>
      </c>
      <c r="CZ850" s="45">
        <v>12.703837364417421</v>
      </c>
      <c r="DA850" s="45" t="str">
        <v>Invest</v>
      </c>
      <c r="DU850" s="52"/>
      <c r="DV850" s="50"/>
    </row>
    <row r="851" spans="86:126" ht="23.5">
      <c r="CH851" s="45">
        <v>847</v>
      </c>
      <c r="CI851" s="45">
        <v>0</v>
      </c>
      <c r="CJ851" s="45" t="str">
        <v>Nothing</v>
      </c>
      <c r="CM851" s="45">
        <v>847</v>
      </c>
      <c r="CN851" s="48">
        <v>42.567655307712698</v>
      </c>
      <c r="CO851" s="45" t="str">
        <v>Invest</v>
      </c>
      <c r="CP851" s="61"/>
      <c r="CQ851" s="45">
        <v>847</v>
      </c>
      <c r="CR851" s="45">
        <v>0</v>
      </c>
      <c r="CS851" s="45" t="str">
        <v>Nothing</v>
      </c>
      <c r="CT851" s="61"/>
      <c r="CU851" s="45">
        <v>847</v>
      </c>
      <c r="CV851" s="45">
        <v>0.43092676126986884</v>
      </c>
      <c r="CW851" s="45" t="str">
        <v>Invest</v>
      </c>
      <c r="CX851" s="61"/>
      <c r="CY851" s="45">
        <v>847</v>
      </c>
      <c r="CZ851" s="45">
        <v>0</v>
      </c>
      <c r="DA851" s="45" t="str">
        <v>Nothing</v>
      </c>
      <c r="DU851" s="52"/>
      <c r="DV851" s="50"/>
    </row>
    <row r="852" spans="86:126" ht="23.5">
      <c r="CH852" s="45">
        <v>848</v>
      </c>
      <c r="CI852" s="45">
        <v>0</v>
      </c>
      <c r="CJ852" s="45" t="str">
        <v>Nothing</v>
      </c>
      <c r="CM852" s="45">
        <v>848</v>
      </c>
      <c r="CN852" s="48">
        <v>7.2076457990202307</v>
      </c>
      <c r="CO852" s="45" t="str">
        <v>Invest</v>
      </c>
      <c r="CP852" s="61"/>
      <c r="CQ852" s="45">
        <v>848</v>
      </c>
      <c r="CR852" s="45">
        <v>33.857855367144218</v>
      </c>
      <c r="CS852" s="45" t="str">
        <v>Invest</v>
      </c>
      <c r="CT852" s="61"/>
      <c r="CU852" s="45">
        <v>848</v>
      </c>
      <c r="CV852" s="45">
        <v>31.611086458008138</v>
      </c>
      <c r="CW852" s="45" t="str">
        <v>Invest</v>
      </c>
      <c r="CX852" s="61"/>
      <c r="CY852" s="45">
        <v>848</v>
      </c>
      <c r="CZ852" s="45">
        <v>41.901289372536375</v>
      </c>
      <c r="DA852" s="45" t="str">
        <v>Invest</v>
      </c>
      <c r="DU852" s="52"/>
      <c r="DV852" s="50"/>
    </row>
    <row r="853" spans="86:126" ht="23.5">
      <c r="CH853" s="45">
        <v>849</v>
      </c>
      <c r="CI853" s="45">
        <v>40.655651500016866</v>
      </c>
      <c r="CJ853" s="45" t="str">
        <v>Invest</v>
      </c>
      <c r="CM853" s="45">
        <v>849</v>
      </c>
      <c r="CN853" s="48">
        <v>0</v>
      </c>
      <c r="CO853" s="45" t="str">
        <v>Nothing</v>
      </c>
      <c r="CP853" s="61"/>
      <c r="CQ853" s="45">
        <v>849</v>
      </c>
      <c r="CR853" s="45">
        <v>27.270311158704743</v>
      </c>
      <c r="CS853" s="45" t="str">
        <v>Invest</v>
      </c>
      <c r="CT853" s="61"/>
      <c r="CU853" s="45">
        <v>849</v>
      </c>
      <c r="CV853" s="45">
        <v>30.613383069269304</v>
      </c>
      <c r="CW853" s="45" t="str">
        <v>Invest</v>
      </c>
      <c r="CX853" s="61"/>
      <c r="CY853" s="45">
        <v>849</v>
      </c>
      <c r="CZ853" s="45">
        <v>58.57013285549543</v>
      </c>
      <c r="DA853" s="45" t="str">
        <v>Invest</v>
      </c>
      <c r="DU853" s="52"/>
      <c r="DV853" s="50"/>
    </row>
    <row r="854" spans="86:126" ht="23.5">
      <c r="CH854" s="45">
        <v>850</v>
      </c>
      <c r="CI854" s="45">
        <v>21.105394601984255</v>
      </c>
      <c r="CJ854" s="45" t="str">
        <v>Invest</v>
      </c>
      <c r="CM854" s="45">
        <v>850</v>
      </c>
      <c r="CN854" s="48">
        <v>0</v>
      </c>
      <c r="CO854" s="45" t="str">
        <v>Nothing</v>
      </c>
      <c r="CP854" s="61"/>
      <c r="CQ854" s="45">
        <v>850</v>
      </c>
      <c r="CR854" s="45">
        <v>3.5031827283777162</v>
      </c>
      <c r="CS854" s="45" t="str">
        <v>Invest</v>
      </c>
      <c r="CT854" s="61"/>
      <c r="CU854" s="45">
        <v>850</v>
      </c>
      <c r="CV854" s="45">
        <v>40.786628435159912</v>
      </c>
      <c r="CW854" s="45" t="str">
        <v>Invest</v>
      </c>
      <c r="CX854" s="61"/>
      <c r="CY854" s="45">
        <v>850</v>
      </c>
      <c r="CZ854" s="45">
        <v>27.727212520841764</v>
      </c>
      <c r="DA854" s="45" t="str">
        <v>Invest</v>
      </c>
      <c r="DU854" s="52"/>
      <c r="DV854" s="50"/>
    </row>
    <row r="855" spans="86:126" ht="23.5">
      <c r="CH855" s="45">
        <v>851</v>
      </c>
      <c r="CI855" s="45">
        <v>0</v>
      </c>
      <c r="CJ855" s="45" t="str">
        <v>Nothing</v>
      </c>
      <c r="CM855" s="45">
        <v>851</v>
      </c>
      <c r="CN855" s="48">
        <v>30.489236500098404</v>
      </c>
      <c r="CO855" s="45" t="str">
        <v>Invest</v>
      </c>
      <c r="CP855" s="61"/>
      <c r="CQ855" s="45">
        <v>851</v>
      </c>
      <c r="CR855" s="45">
        <v>1.2105040299666161</v>
      </c>
      <c r="CS855" s="45" t="str">
        <v>Invest</v>
      </c>
      <c r="CT855" s="61"/>
      <c r="CU855" s="45">
        <v>851</v>
      </c>
      <c r="CV855" s="45">
        <v>39.824329871926381</v>
      </c>
      <c r="CW855" s="45" t="str">
        <v>Invest</v>
      </c>
      <c r="CX855" s="61"/>
      <c r="CY855" s="45">
        <v>851</v>
      </c>
      <c r="CZ855" s="45">
        <v>7.5816072828479157</v>
      </c>
      <c r="DA855" s="45" t="str">
        <v>Invest</v>
      </c>
      <c r="DU855" s="52"/>
      <c r="DV855" s="50"/>
    </row>
    <row r="856" spans="86:126" ht="23.5">
      <c r="CH856" s="45">
        <v>852</v>
      </c>
      <c r="CI856" s="45">
        <v>39.688638610643331</v>
      </c>
      <c r="CJ856" s="45" t="str">
        <v>Invest</v>
      </c>
      <c r="CM856" s="45">
        <v>852</v>
      </c>
      <c r="CN856" s="48">
        <v>36.779346610716019</v>
      </c>
      <c r="CO856" s="45" t="str">
        <v>Invest</v>
      </c>
      <c r="CP856" s="61"/>
      <c r="CQ856" s="45">
        <v>852</v>
      </c>
      <c r="CR856" s="45">
        <v>33.046296009296135</v>
      </c>
      <c r="CS856" s="45" t="str">
        <v>Invest</v>
      </c>
      <c r="CT856" s="61"/>
      <c r="CU856" s="45">
        <v>852</v>
      </c>
      <c r="CV856" s="45">
        <v>1.2236196094672485</v>
      </c>
      <c r="CW856" s="45" t="str">
        <v>Invest</v>
      </c>
      <c r="CX856" s="61"/>
      <c r="CY856" s="45">
        <v>852</v>
      </c>
      <c r="CZ856" s="45">
        <v>3.0004927470830545</v>
      </c>
      <c r="DA856" s="45" t="str">
        <v>Invest</v>
      </c>
      <c r="DU856" s="52"/>
      <c r="DV856" s="50"/>
    </row>
    <row r="857" spans="86:126" ht="23.5">
      <c r="CH857" s="45">
        <v>853</v>
      </c>
      <c r="CI857" s="45">
        <v>0</v>
      </c>
      <c r="CJ857" s="45" t="str">
        <v>Nothing</v>
      </c>
      <c r="CM857" s="45">
        <v>853</v>
      </c>
      <c r="CN857" s="48">
        <v>23.611397148442386</v>
      </c>
      <c r="CO857" s="45" t="str">
        <v>Invest</v>
      </c>
      <c r="CP857" s="61"/>
      <c r="CQ857" s="45">
        <v>853</v>
      </c>
      <c r="CR857" s="45">
        <v>14.15716946147521</v>
      </c>
      <c r="CS857" s="45" t="str">
        <v>Invest</v>
      </c>
      <c r="CT857" s="61"/>
      <c r="CU857" s="45">
        <v>853</v>
      </c>
      <c r="CV857" s="45">
        <v>0</v>
      </c>
      <c r="CW857" s="45" t="str">
        <v>Nothing</v>
      </c>
      <c r="CX857" s="61"/>
      <c r="CY857" s="45">
        <v>853</v>
      </c>
      <c r="CZ857" s="45">
        <v>0</v>
      </c>
      <c r="DA857" s="45" t="str">
        <v>Nothing</v>
      </c>
      <c r="DU857" s="52"/>
      <c r="DV857" s="50"/>
    </row>
    <row r="858" spans="86:126" ht="23.5">
      <c r="CH858" s="45">
        <v>854</v>
      </c>
      <c r="CI858" s="45">
        <v>0</v>
      </c>
      <c r="CJ858" s="45" t="str">
        <v>Nothing</v>
      </c>
      <c r="CM858" s="45">
        <v>854</v>
      </c>
      <c r="CN858" s="48">
        <v>25.35328472243706</v>
      </c>
      <c r="CO858" s="45" t="str">
        <v>Invest</v>
      </c>
      <c r="CP858" s="61"/>
      <c r="CQ858" s="45">
        <v>854</v>
      </c>
      <c r="CR858" s="45">
        <v>0.21372854641986905</v>
      </c>
      <c r="CS858" s="45" t="str">
        <v>Invest</v>
      </c>
      <c r="CT858" s="61"/>
      <c r="CU858" s="45">
        <v>854</v>
      </c>
      <c r="CV858" s="45">
        <v>44.329701665975051</v>
      </c>
      <c r="CW858" s="45" t="str">
        <v>Invest</v>
      </c>
      <c r="CX858" s="61"/>
      <c r="CY858" s="45">
        <v>854</v>
      </c>
      <c r="CZ858" s="45">
        <v>9.0894389984722732</v>
      </c>
      <c r="DA858" s="45" t="str">
        <v>Invest</v>
      </c>
      <c r="DU858" s="52"/>
      <c r="DV858" s="50"/>
    </row>
    <row r="859" spans="86:126" ht="23.5">
      <c r="CH859" s="45">
        <v>855</v>
      </c>
      <c r="CI859" s="45">
        <v>34.546550783835578</v>
      </c>
      <c r="CJ859" s="45" t="str">
        <v>Invest</v>
      </c>
      <c r="CM859" s="45">
        <v>855</v>
      </c>
      <c r="CN859" s="48">
        <v>0</v>
      </c>
      <c r="CO859" s="45" t="str">
        <v>Nothing</v>
      </c>
      <c r="CP859" s="61"/>
      <c r="CQ859" s="45">
        <v>855</v>
      </c>
      <c r="CR859" s="45">
        <v>20.281895468227617</v>
      </c>
      <c r="CS859" s="45" t="str">
        <v>Invest</v>
      </c>
      <c r="CT859" s="61"/>
      <c r="CU859" s="45">
        <v>855</v>
      </c>
      <c r="CV859" s="45">
        <v>58.086859804646728</v>
      </c>
      <c r="CW859" s="45" t="str">
        <v>Invest</v>
      </c>
      <c r="CX859" s="61"/>
      <c r="CY859" s="45">
        <v>855</v>
      </c>
      <c r="CZ859" s="45">
        <v>26.34811253174303</v>
      </c>
      <c r="DA859" s="45" t="str">
        <v>Invest</v>
      </c>
      <c r="DU859" s="52"/>
      <c r="DV859" s="50"/>
    </row>
    <row r="860" spans="86:126" ht="23.5">
      <c r="CH860" s="45">
        <v>856</v>
      </c>
      <c r="CI860" s="45">
        <v>6.1448976066454293</v>
      </c>
      <c r="CJ860" s="45" t="str">
        <v>Invest</v>
      </c>
      <c r="CM860" s="45">
        <v>856</v>
      </c>
      <c r="CN860" s="48">
        <v>23.683470004281574</v>
      </c>
      <c r="CO860" s="45" t="str">
        <v>Invest</v>
      </c>
      <c r="CP860" s="61"/>
      <c r="CQ860" s="45">
        <v>856</v>
      </c>
      <c r="CR860" s="45">
        <v>0</v>
      </c>
      <c r="CS860" s="45" t="str">
        <v>Nothing</v>
      </c>
      <c r="CT860" s="61"/>
      <c r="CU860" s="45">
        <v>856</v>
      </c>
      <c r="CV860" s="45">
        <v>8.9542293787578764</v>
      </c>
      <c r="CW860" s="45" t="str">
        <v>Invest</v>
      </c>
      <c r="CX860" s="61"/>
      <c r="CY860" s="45">
        <v>856</v>
      </c>
      <c r="CZ860" s="45">
        <v>0</v>
      </c>
      <c r="DA860" s="45" t="str">
        <v>Nothing</v>
      </c>
      <c r="DU860" s="52"/>
      <c r="DV860" s="50"/>
    </row>
    <row r="861" spans="86:126" ht="23.5">
      <c r="CH861" s="45">
        <v>857</v>
      </c>
      <c r="CI861" s="45">
        <v>22.60762576549137</v>
      </c>
      <c r="CJ861" s="45" t="str">
        <v>Invest</v>
      </c>
      <c r="CM861" s="45">
        <v>857</v>
      </c>
      <c r="CN861" s="48">
        <v>0.68994868566443301</v>
      </c>
      <c r="CO861" s="45" t="str">
        <v>Invest</v>
      </c>
      <c r="CP861" s="61"/>
      <c r="CQ861" s="45">
        <v>857</v>
      </c>
      <c r="CR861" s="45">
        <v>63.543131583669556</v>
      </c>
      <c r="CS861" s="45" t="str">
        <v>Invest</v>
      </c>
      <c r="CT861" s="61"/>
      <c r="CU861" s="45">
        <v>857</v>
      </c>
      <c r="CV861" s="45">
        <v>8.1768985098729985</v>
      </c>
      <c r="CW861" s="45" t="str">
        <v>Invest</v>
      </c>
      <c r="CX861" s="61"/>
      <c r="CY861" s="45">
        <v>857</v>
      </c>
      <c r="CZ861" s="45">
        <v>9.0842660906087929</v>
      </c>
      <c r="DA861" s="45" t="str">
        <v>Invest</v>
      </c>
      <c r="DU861" s="52"/>
      <c r="DV861" s="50"/>
    </row>
    <row r="862" spans="86:126" ht="23.5">
      <c r="CH862" s="45">
        <v>858</v>
      </c>
      <c r="CI862" s="45">
        <v>10.740426775670699</v>
      </c>
      <c r="CJ862" s="45" t="str">
        <v>Invest</v>
      </c>
      <c r="CM862" s="45">
        <v>858</v>
      </c>
      <c r="CN862" s="48">
        <v>0</v>
      </c>
      <c r="CO862" s="45" t="str">
        <v>Nothing</v>
      </c>
      <c r="CP862" s="61"/>
      <c r="CQ862" s="45">
        <v>858</v>
      </c>
      <c r="CR862" s="45">
        <v>37.968856365765063</v>
      </c>
      <c r="CS862" s="45" t="str">
        <v>Invest</v>
      </c>
      <c r="CT862" s="61"/>
      <c r="CU862" s="45">
        <v>858</v>
      </c>
      <c r="CV862" s="45">
        <v>0</v>
      </c>
      <c r="CW862" s="45" t="str">
        <v>Nothing</v>
      </c>
      <c r="CX862" s="61"/>
      <c r="CY862" s="45">
        <v>858</v>
      </c>
      <c r="CZ862" s="45">
        <v>0</v>
      </c>
      <c r="DA862" s="45" t="str">
        <v>Nothing</v>
      </c>
      <c r="DU862" s="52"/>
      <c r="DV862" s="50"/>
    </row>
    <row r="863" spans="86:126" ht="23.5">
      <c r="CH863" s="45">
        <v>859</v>
      </c>
      <c r="CI863" s="45">
        <v>44.779931449596845</v>
      </c>
      <c r="CJ863" s="45" t="str">
        <v>Invest</v>
      </c>
      <c r="CM863" s="45">
        <v>859</v>
      </c>
      <c r="CN863" s="48">
        <v>20.211912550734276</v>
      </c>
      <c r="CO863" s="45" t="str">
        <v>Invest</v>
      </c>
      <c r="CP863" s="61"/>
      <c r="CQ863" s="45">
        <v>859</v>
      </c>
      <c r="CR863" s="45">
        <v>5.2590649127861546</v>
      </c>
      <c r="CS863" s="45" t="str">
        <v>Invest</v>
      </c>
      <c r="CT863" s="61"/>
      <c r="CU863" s="45">
        <v>859</v>
      </c>
      <c r="CV863" s="45">
        <v>0</v>
      </c>
      <c r="CW863" s="45" t="str">
        <v>Nothing</v>
      </c>
      <c r="CX863" s="61"/>
      <c r="CY863" s="45">
        <v>859</v>
      </c>
      <c r="CZ863" s="45">
        <v>2.8575219111686554</v>
      </c>
      <c r="DA863" s="45" t="str">
        <v>Invest</v>
      </c>
      <c r="DU863" s="52"/>
      <c r="DV863" s="50"/>
    </row>
    <row r="864" spans="86:126" ht="23.5">
      <c r="CH864" s="45">
        <v>860</v>
      </c>
      <c r="CI864" s="45">
        <v>34.163893845437045</v>
      </c>
      <c r="CJ864" s="45" t="str">
        <v>Invest</v>
      </c>
      <c r="CM864" s="45">
        <v>860</v>
      </c>
      <c r="CN864" s="48">
        <v>14.344325060059059</v>
      </c>
      <c r="CO864" s="45" t="str">
        <v>Invest</v>
      </c>
      <c r="CP864" s="61"/>
      <c r="CQ864" s="45">
        <v>860</v>
      </c>
      <c r="CR864" s="45">
        <v>0</v>
      </c>
      <c r="CS864" s="45" t="str">
        <v>Nothing</v>
      </c>
      <c r="CT864" s="61"/>
      <c r="CU864" s="45">
        <v>860</v>
      </c>
      <c r="CV864" s="45">
        <v>8.8724963124569936</v>
      </c>
      <c r="CW864" s="45" t="str">
        <v>Invest</v>
      </c>
      <c r="CX864" s="61"/>
      <c r="CY864" s="45">
        <v>860</v>
      </c>
      <c r="CZ864" s="45">
        <v>0</v>
      </c>
      <c r="DA864" s="45" t="str">
        <v>Nothing</v>
      </c>
      <c r="DU864" s="52"/>
      <c r="DV864" s="50"/>
    </row>
    <row r="865" spans="86:126" ht="23.5">
      <c r="CH865" s="45">
        <v>861</v>
      </c>
      <c r="CI865" s="45">
        <v>33.4074616211307</v>
      </c>
      <c r="CJ865" s="45" t="str">
        <v>Invest</v>
      </c>
      <c r="CM865" s="45">
        <v>861</v>
      </c>
      <c r="CN865" s="48">
        <v>48.653299552625036</v>
      </c>
      <c r="CO865" s="45" t="str">
        <v>Invest</v>
      </c>
      <c r="CP865" s="61"/>
      <c r="CQ865" s="45">
        <v>861</v>
      </c>
      <c r="CR865" s="45">
        <v>28.909090946314244</v>
      </c>
      <c r="CS865" s="45" t="str">
        <v>Invest</v>
      </c>
      <c r="CT865" s="61"/>
      <c r="CU865" s="45">
        <v>861</v>
      </c>
      <c r="CV865" s="45">
        <v>9.8596808052797975</v>
      </c>
      <c r="CW865" s="45" t="str">
        <v>Invest</v>
      </c>
      <c r="CX865" s="61"/>
      <c r="CY865" s="45">
        <v>861</v>
      </c>
      <c r="CZ865" s="45">
        <v>7.0823319496562096</v>
      </c>
      <c r="DA865" s="45" t="str">
        <v>Invest</v>
      </c>
      <c r="DU865" s="52"/>
      <c r="DV865" s="50"/>
    </row>
    <row r="866" spans="86:126" ht="23.5">
      <c r="CH866" s="45">
        <v>862</v>
      </c>
      <c r="CI866" s="45">
        <v>0</v>
      </c>
      <c r="CJ866" s="45" t="str">
        <v>Nothing</v>
      </c>
      <c r="CM866" s="45">
        <v>862</v>
      </c>
      <c r="CN866" s="48">
        <v>49.62027716291054</v>
      </c>
      <c r="CO866" s="45" t="str">
        <v>Invest</v>
      </c>
      <c r="CP866" s="61"/>
      <c r="CQ866" s="45">
        <v>862</v>
      </c>
      <c r="CR866" s="45">
        <v>0</v>
      </c>
      <c r="CS866" s="45" t="str">
        <v>Nothing</v>
      </c>
      <c r="CT866" s="61"/>
      <c r="CU866" s="45">
        <v>862</v>
      </c>
      <c r="CV866" s="45">
        <v>24.915405801308097</v>
      </c>
      <c r="CW866" s="45" t="str">
        <v>Invest</v>
      </c>
      <c r="CX866" s="61"/>
      <c r="CY866" s="45">
        <v>862</v>
      </c>
      <c r="CZ866" s="45">
        <v>48.539971575938125</v>
      </c>
      <c r="DA866" s="45" t="str">
        <v>Invest</v>
      </c>
      <c r="DU866" s="52"/>
      <c r="DV866" s="50"/>
    </row>
    <row r="867" spans="86:126" ht="23.5">
      <c r="CH867" s="45">
        <v>863</v>
      </c>
      <c r="CI867" s="45">
        <v>51.723115424853354</v>
      </c>
      <c r="CJ867" s="45" t="str">
        <v>Invest</v>
      </c>
      <c r="CM867" s="45">
        <v>863</v>
      </c>
      <c r="CN867" s="48">
        <v>26.005662141138412</v>
      </c>
      <c r="CO867" s="45" t="str">
        <v>Invest</v>
      </c>
      <c r="CP867" s="61"/>
      <c r="CQ867" s="45">
        <v>863</v>
      </c>
      <c r="CR867" s="45">
        <v>33.402407424742833</v>
      </c>
      <c r="CS867" s="45" t="str">
        <v>Invest</v>
      </c>
      <c r="CT867" s="61"/>
      <c r="CU867" s="45">
        <v>863</v>
      </c>
      <c r="CV867" s="45">
        <v>0</v>
      </c>
      <c r="CW867" s="45" t="str">
        <v>Nothing</v>
      </c>
      <c r="CX867" s="61"/>
      <c r="CY867" s="45">
        <v>863</v>
      </c>
      <c r="CZ867" s="45">
        <v>0.4014421088961484</v>
      </c>
      <c r="DA867" s="45" t="str">
        <v>Invest</v>
      </c>
      <c r="DU867" s="52"/>
      <c r="DV867" s="50"/>
    </row>
    <row r="868" spans="86:126" ht="23.5">
      <c r="CH868" s="45">
        <v>864</v>
      </c>
      <c r="CI868" s="45">
        <v>0</v>
      </c>
      <c r="CJ868" s="45" t="str">
        <v>Nothing</v>
      </c>
      <c r="CM868" s="45">
        <v>864</v>
      </c>
      <c r="CN868" s="48">
        <v>15.954873295741113</v>
      </c>
      <c r="CO868" s="45" t="str">
        <v>Invest</v>
      </c>
      <c r="CP868" s="61"/>
      <c r="CQ868" s="45">
        <v>864</v>
      </c>
      <c r="CR868" s="45">
        <v>8.3868788863153618</v>
      </c>
      <c r="CS868" s="45" t="str">
        <v>Invest</v>
      </c>
      <c r="CT868" s="61"/>
      <c r="CU868" s="45">
        <v>864</v>
      </c>
      <c r="CV868" s="45">
        <v>5.937053699010395</v>
      </c>
      <c r="CW868" s="45" t="str">
        <v>Invest</v>
      </c>
      <c r="CX868" s="61"/>
      <c r="CY868" s="45">
        <v>864</v>
      </c>
      <c r="CZ868" s="45">
        <v>25.385513061772038</v>
      </c>
      <c r="DA868" s="45" t="str">
        <v>Invest</v>
      </c>
      <c r="DU868" s="52"/>
      <c r="DV868" s="50"/>
    </row>
    <row r="869" spans="86:126" ht="23.5">
      <c r="CH869" s="45">
        <v>865</v>
      </c>
      <c r="CI869" s="45">
        <v>22.304697796270766</v>
      </c>
      <c r="CJ869" s="45" t="str">
        <v>Invest</v>
      </c>
      <c r="CM869" s="45">
        <v>865</v>
      </c>
      <c r="CN869" s="48">
        <v>4.8101508540971736</v>
      </c>
      <c r="CO869" s="45" t="str">
        <v>Invest</v>
      </c>
      <c r="CP869" s="61"/>
      <c r="CQ869" s="45">
        <v>865</v>
      </c>
      <c r="CR869" s="45">
        <v>1.1318770303663594</v>
      </c>
      <c r="CS869" s="45" t="str">
        <v>Invest</v>
      </c>
      <c r="CT869" s="61"/>
      <c r="CU869" s="45">
        <v>865</v>
      </c>
      <c r="CV869" s="45">
        <v>0</v>
      </c>
      <c r="CW869" s="45" t="str">
        <v>Nothing</v>
      </c>
      <c r="CX869" s="61"/>
      <c r="CY869" s="45">
        <v>865</v>
      </c>
      <c r="CZ869" s="45">
        <v>24.39537647104704</v>
      </c>
      <c r="DA869" s="45" t="str">
        <v>Invest</v>
      </c>
      <c r="DU869" s="52"/>
      <c r="DV869" s="50"/>
    </row>
    <row r="870" spans="86:126" ht="23.5">
      <c r="CH870" s="45">
        <v>866</v>
      </c>
      <c r="CI870" s="45">
        <v>16.936240717120132</v>
      </c>
      <c r="CJ870" s="45" t="str">
        <v>Invest</v>
      </c>
      <c r="CM870" s="45">
        <v>866</v>
      </c>
      <c r="CN870" s="48">
        <v>45.849211827791919</v>
      </c>
      <c r="CO870" s="45" t="str">
        <v>Invest</v>
      </c>
      <c r="CP870" s="61"/>
      <c r="CQ870" s="45">
        <v>866</v>
      </c>
      <c r="CR870" s="45">
        <v>0</v>
      </c>
      <c r="CS870" s="45" t="str">
        <v>Nothing</v>
      </c>
      <c r="CT870" s="61"/>
      <c r="CU870" s="45">
        <v>866</v>
      </c>
      <c r="CV870" s="45">
        <v>0</v>
      </c>
      <c r="CW870" s="45" t="str">
        <v>Nothing</v>
      </c>
      <c r="CX870" s="61"/>
      <c r="CY870" s="45">
        <v>866</v>
      </c>
      <c r="CZ870" s="45">
        <v>39.799573455474793</v>
      </c>
      <c r="DA870" s="45" t="str">
        <v>Invest</v>
      </c>
      <c r="DU870" s="52"/>
      <c r="DV870" s="50"/>
    </row>
    <row r="871" spans="86:126" ht="23.5">
      <c r="CH871" s="45">
        <v>867</v>
      </c>
      <c r="CI871" s="45">
        <v>1.5509998212999356</v>
      </c>
      <c r="CJ871" s="45" t="str">
        <v>Invest</v>
      </c>
      <c r="CM871" s="45">
        <v>867</v>
      </c>
      <c r="CN871" s="48">
        <v>0</v>
      </c>
      <c r="CO871" s="45" t="str">
        <v>Nothing</v>
      </c>
      <c r="CP871" s="61"/>
      <c r="CQ871" s="45">
        <v>867</v>
      </c>
      <c r="CR871" s="45">
        <v>0</v>
      </c>
      <c r="CS871" s="45" t="str">
        <v>Nothing</v>
      </c>
      <c r="CT871" s="61"/>
      <c r="CU871" s="45">
        <v>867</v>
      </c>
      <c r="CV871" s="45">
        <v>3.960837535178082</v>
      </c>
      <c r="CW871" s="45" t="str">
        <v>Invest</v>
      </c>
      <c r="CX871" s="61"/>
      <c r="CY871" s="45">
        <v>867</v>
      </c>
      <c r="CZ871" s="45">
        <v>21.243942649704699</v>
      </c>
      <c r="DA871" s="45" t="str">
        <v>Invest</v>
      </c>
      <c r="DU871" s="52"/>
      <c r="DV871" s="50"/>
    </row>
    <row r="872" spans="86:126" ht="23.5">
      <c r="CH872" s="45">
        <v>868</v>
      </c>
      <c r="CI872" s="45">
        <v>34.637450701285246</v>
      </c>
      <c r="CJ872" s="45" t="str">
        <v>Invest</v>
      </c>
      <c r="CM872" s="45">
        <v>868</v>
      </c>
      <c r="CN872" s="48">
        <v>8.67765521546748</v>
      </c>
      <c r="CO872" s="45" t="str">
        <v>Invest</v>
      </c>
      <c r="CP872" s="61"/>
      <c r="CQ872" s="45">
        <v>868</v>
      </c>
      <c r="CR872" s="45">
        <v>0</v>
      </c>
      <c r="CS872" s="45" t="str">
        <v>Nothing</v>
      </c>
      <c r="CT872" s="61"/>
      <c r="CU872" s="45">
        <v>868</v>
      </c>
      <c r="CV872" s="45">
        <v>10.721903014302221</v>
      </c>
      <c r="CW872" s="45" t="str">
        <v>Invest</v>
      </c>
      <c r="CX872" s="61"/>
      <c r="CY872" s="45">
        <v>868</v>
      </c>
      <c r="CZ872" s="45">
        <v>8.7260897726183089</v>
      </c>
      <c r="DA872" s="45" t="str">
        <v>Invest</v>
      </c>
      <c r="DU872" s="52"/>
      <c r="DV872" s="50"/>
    </row>
    <row r="873" spans="86:126" ht="23.5">
      <c r="CH873" s="45">
        <v>869</v>
      </c>
      <c r="CI873" s="45">
        <v>47.468385237037936</v>
      </c>
      <c r="CJ873" s="45" t="str">
        <v>Invest</v>
      </c>
      <c r="CM873" s="45">
        <v>869</v>
      </c>
      <c r="CN873" s="48">
        <v>15.782908355257325</v>
      </c>
      <c r="CO873" s="45" t="str">
        <v>Invest</v>
      </c>
      <c r="CP873" s="61"/>
      <c r="CQ873" s="45">
        <v>869</v>
      </c>
      <c r="CR873" s="45">
        <v>13.865274646068929</v>
      </c>
      <c r="CS873" s="45" t="str">
        <v>Invest</v>
      </c>
      <c r="CT873" s="61"/>
      <c r="CU873" s="45">
        <v>869</v>
      </c>
      <c r="CV873" s="45">
        <v>19.891379543516482</v>
      </c>
      <c r="CW873" s="45" t="str">
        <v>Invest</v>
      </c>
      <c r="CX873" s="61"/>
      <c r="CY873" s="45">
        <v>869</v>
      </c>
      <c r="CZ873" s="45">
        <v>19.551565046835037</v>
      </c>
      <c r="DA873" s="45" t="str">
        <v>Invest</v>
      </c>
      <c r="DU873" s="52"/>
      <c r="DV873" s="50"/>
    </row>
    <row r="874" spans="86:126" ht="23.5">
      <c r="CH874" s="45">
        <v>870</v>
      </c>
      <c r="CI874" s="45">
        <v>22.487450744896847</v>
      </c>
      <c r="CJ874" s="45" t="str">
        <v>Invest</v>
      </c>
      <c r="CM874" s="45">
        <v>870</v>
      </c>
      <c r="CN874" s="48">
        <v>19.709073143458731</v>
      </c>
      <c r="CO874" s="45" t="str">
        <v>Invest</v>
      </c>
      <c r="CP874" s="61"/>
      <c r="CQ874" s="45">
        <v>870</v>
      </c>
      <c r="CR874" s="45">
        <v>0</v>
      </c>
      <c r="CS874" s="45" t="str">
        <v>Nothing</v>
      </c>
      <c r="CT874" s="61"/>
      <c r="CU874" s="45">
        <v>870</v>
      </c>
      <c r="CV874" s="45">
        <v>12.089411174639123</v>
      </c>
      <c r="CW874" s="45" t="str">
        <v>Invest</v>
      </c>
      <c r="CX874" s="61"/>
      <c r="CY874" s="45">
        <v>870</v>
      </c>
      <c r="CZ874" s="45">
        <v>1.1972102357901555</v>
      </c>
      <c r="DA874" s="45" t="str">
        <v>Invest</v>
      </c>
      <c r="DU874" s="52"/>
      <c r="DV874" s="50"/>
    </row>
    <row r="875" spans="86:126" ht="23.5">
      <c r="CH875" s="45">
        <v>871</v>
      </c>
      <c r="CI875" s="45">
        <v>0</v>
      </c>
      <c r="CJ875" s="45" t="str">
        <v>Nothing</v>
      </c>
      <c r="CM875" s="45">
        <v>871</v>
      </c>
      <c r="CN875" s="48">
        <v>67.786494892730957</v>
      </c>
      <c r="CO875" s="45" t="str">
        <v>Invest</v>
      </c>
      <c r="CP875" s="61"/>
      <c r="CQ875" s="45">
        <v>871</v>
      </c>
      <c r="CR875" s="45">
        <v>0</v>
      </c>
      <c r="CS875" s="45" t="str">
        <v>Nothing</v>
      </c>
      <c r="CT875" s="61"/>
      <c r="CU875" s="45">
        <v>871</v>
      </c>
      <c r="CV875" s="45">
        <v>0</v>
      </c>
      <c r="CW875" s="45" t="str">
        <v>Nothing</v>
      </c>
      <c r="CX875" s="61"/>
      <c r="CY875" s="45">
        <v>871</v>
      </c>
      <c r="CZ875" s="45">
        <v>19.457891418572721</v>
      </c>
      <c r="DA875" s="45" t="str">
        <v>Invest</v>
      </c>
      <c r="DU875" s="52"/>
      <c r="DV875" s="50"/>
    </row>
    <row r="876" spans="86:126" ht="23.5">
      <c r="CH876" s="45">
        <v>872</v>
      </c>
      <c r="CI876" s="45">
        <v>9.5770256614806222</v>
      </c>
      <c r="CJ876" s="45" t="str">
        <v>Invest</v>
      </c>
      <c r="CM876" s="45">
        <v>872</v>
      </c>
      <c r="CN876" s="48">
        <v>37.220629298930341</v>
      </c>
      <c r="CO876" s="45" t="str">
        <v>Invest</v>
      </c>
      <c r="CP876" s="61"/>
      <c r="CQ876" s="45">
        <v>872</v>
      </c>
      <c r="CR876" s="45">
        <v>0</v>
      </c>
      <c r="CS876" s="45" t="str">
        <v>Nothing</v>
      </c>
      <c r="CT876" s="61"/>
      <c r="CU876" s="45">
        <v>872</v>
      </c>
      <c r="CV876" s="45">
        <v>22.779217272433186</v>
      </c>
      <c r="CW876" s="45" t="str">
        <v>Invest</v>
      </c>
      <c r="CX876" s="61"/>
      <c r="CY876" s="45">
        <v>872</v>
      </c>
      <c r="CZ876" s="45">
        <v>33.878971343496161</v>
      </c>
      <c r="DA876" s="45" t="str">
        <v>Invest</v>
      </c>
      <c r="DU876" s="52"/>
      <c r="DV876" s="50"/>
    </row>
    <row r="877" spans="86:126" ht="23.5">
      <c r="CH877" s="45">
        <v>873</v>
      </c>
      <c r="CI877" s="45">
        <v>22.269814100909933</v>
      </c>
      <c r="CJ877" s="45" t="str">
        <v>Invest</v>
      </c>
      <c r="CM877" s="45">
        <v>873</v>
      </c>
      <c r="CN877" s="48">
        <v>57.877592857555413</v>
      </c>
      <c r="CO877" s="45" t="str">
        <v>Invest</v>
      </c>
      <c r="CP877" s="61"/>
      <c r="CQ877" s="45">
        <v>873</v>
      </c>
      <c r="CR877" s="45">
        <v>0</v>
      </c>
      <c r="CS877" s="45" t="str">
        <v>Nothing</v>
      </c>
      <c r="CT877" s="61"/>
      <c r="CU877" s="45">
        <v>873</v>
      </c>
      <c r="CV877" s="45">
        <v>8.5265672394681271</v>
      </c>
      <c r="CW877" s="45" t="str">
        <v>Invest</v>
      </c>
      <c r="CX877" s="61"/>
      <c r="CY877" s="45">
        <v>873</v>
      </c>
      <c r="CZ877" s="45">
        <v>43.62268844092894</v>
      </c>
      <c r="DA877" s="45" t="str">
        <v>Invest</v>
      </c>
      <c r="DU877" s="52"/>
      <c r="DV877" s="50"/>
    </row>
    <row r="878" spans="86:126" ht="23.5">
      <c r="CH878" s="45">
        <v>874</v>
      </c>
      <c r="CI878" s="45">
        <v>59.036434728324608</v>
      </c>
      <c r="CJ878" s="45" t="str">
        <v>Invest</v>
      </c>
      <c r="CM878" s="45">
        <v>874</v>
      </c>
      <c r="CN878" s="48">
        <v>41.273447707941848</v>
      </c>
      <c r="CO878" s="45" t="str">
        <v>Invest</v>
      </c>
      <c r="CP878" s="61"/>
      <c r="CQ878" s="45">
        <v>874</v>
      </c>
      <c r="CR878" s="45">
        <v>37.333674263671583</v>
      </c>
      <c r="CS878" s="45" t="str">
        <v>Invest</v>
      </c>
      <c r="CT878" s="61"/>
      <c r="CU878" s="45">
        <v>874</v>
      </c>
      <c r="CV878" s="45">
        <v>3.9623306091751793</v>
      </c>
      <c r="CW878" s="45" t="str">
        <v>Invest</v>
      </c>
      <c r="CX878" s="61"/>
      <c r="CY878" s="45">
        <v>874</v>
      </c>
      <c r="CZ878" s="45">
        <v>2.0781539880685322</v>
      </c>
      <c r="DA878" s="45" t="str">
        <v>Invest</v>
      </c>
      <c r="DU878" s="52"/>
      <c r="DV878" s="50"/>
    </row>
    <row r="879" spans="86:126" ht="23.5">
      <c r="CH879" s="45">
        <v>875</v>
      </c>
      <c r="CI879" s="45">
        <v>18.478485092401719</v>
      </c>
      <c r="CJ879" s="45" t="str">
        <v>Invest</v>
      </c>
      <c r="CM879" s="45">
        <v>875</v>
      </c>
      <c r="CN879" s="48">
        <v>9.6463237581069983</v>
      </c>
      <c r="CO879" s="45" t="str">
        <v>Invest</v>
      </c>
      <c r="CP879" s="61"/>
      <c r="CQ879" s="45">
        <v>875</v>
      </c>
      <c r="CR879" s="45">
        <v>0</v>
      </c>
      <c r="CS879" s="45" t="str">
        <v>Nothing</v>
      </c>
      <c r="CT879" s="61"/>
      <c r="CU879" s="45">
        <v>875</v>
      </c>
      <c r="CV879" s="45">
        <v>1.5878442375089463</v>
      </c>
      <c r="CW879" s="45" t="str">
        <v>Invest</v>
      </c>
      <c r="CX879" s="61"/>
      <c r="CY879" s="45">
        <v>875</v>
      </c>
      <c r="CZ879" s="45">
        <v>0</v>
      </c>
      <c r="DA879" s="45" t="str">
        <v>Nothing</v>
      </c>
      <c r="DU879" s="52"/>
      <c r="DV879" s="50"/>
    </row>
    <row r="880" spans="86:126" ht="23.5">
      <c r="CH880" s="45">
        <v>876</v>
      </c>
      <c r="CI880" s="45">
        <v>0</v>
      </c>
      <c r="CJ880" s="45" t="str">
        <v>Nothing</v>
      </c>
      <c r="CM880" s="45">
        <v>876</v>
      </c>
      <c r="CN880" s="48">
        <v>7.0074865105984028</v>
      </c>
      <c r="CO880" s="45" t="str">
        <v>Invest</v>
      </c>
      <c r="CP880" s="61"/>
      <c r="CQ880" s="45">
        <v>876</v>
      </c>
      <c r="CR880" s="45">
        <v>33.267055903170984</v>
      </c>
      <c r="CS880" s="45" t="str">
        <v>Invest</v>
      </c>
      <c r="CT880" s="61"/>
      <c r="CU880" s="45">
        <v>876</v>
      </c>
      <c r="CV880" s="45">
        <v>3.8674438005191547E-2</v>
      </c>
      <c r="CW880" s="45" t="str">
        <v>Invest</v>
      </c>
      <c r="CX880" s="61"/>
      <c r="CY880" s="45">
        <v>876</v>
      </c>
      <c r="CZ880" s="45">
        <v>51.863464964298032</v>
      </c>
      <c r="DA880" s="45" t="str">
        <v>Invest</v>
      </c>
      <c r="DU880" s="52"/>
      <c r="DV880" s="50"/>
    </row>
    <row r="881" spans="86:126" ht="23.5">
      <c r="CH881" s="45">
        <v>877</v>
      </c>
      <c r="CI881" s="45">
        <v>45.703117740064485</v>
      </c>
      <c r="CJ881" s="45" t="str">
        <v>Invest</v>
      </c>
      <c r="CM881" s="45">
        <v>877</v>
      </c>
      <c r="CN881" s="48">
        <v>8.7070374626005957</v>
      </c>
      <c r="CO881" s="45" t="str">
        <v>Invest</v>
      </c>
      <c r="CP881" s="61"/>
      <c r="CQ881" s="45">
        <v>877</v>
      </c>
      <c r="CR881" s="45">
        <v>8.1780385257677004</v>
      </c>
      <c r="CS881" s="45" t="str">
        <v>Invest</v>
      </c>
      <c r="CT881" s="61"/>
      <c r="CU881" s="45">
        <v>877</v>
      </c>
      <c r="CV881" s="45">
        <v>21.570602691466071</v>
      </c>
      <c r="CW881" s="45" t="str">
        <v>Invest</v>
      </c>
      <c r="CX881" s="61"/>
      <c r="CY881" s="45">
        <v>877</v>
      </c>
      <c r="CZ881" s="45">
        <v>19.146700112616912</v>
      </c>
      <c r="DA881" s="45" t="str">
        <v>Invest</v>
      </c>
      <c r="DU881" s="52"/>
      <c r="DV881" s="50"/>
    </row>
    <row r="882" spans="86:126" ht="23.5">
      <c r="CH882" s="45">
        <v>878</v>
      </c>
      <c r="CI882" s="45">
        <v>0</v>
      </c>
      <c r="CJ882" s="45" t="str">
        <v>Nothing</v>
      </c>
      <c r="CM882" s="45">
        <v>878</v>
      </c>
      <c r="CN882" s="48">
        <v>38.275213518104806</v>
      </c>
      <c r="CO882" s="45" t="str">
        <v>Invest</v>
      </c>
      <c r="CP882" s="61"/>
      <c r="CQ882" s="45">
        <v>878</v>
      </c>
      <c r="CR882" s="45">
        <v>48.803148025328724</v>
      </c>
      <c r="CS882" s="45" t="str">
        <v>Invest</v>
      </c>
      <c r="CT882" s="61"/>
      <c r="CU882" s="45">
        <v>878</v>
      </c>
      <c r="CV882" s="45">
        <v>27.502297581593801</v>
      </c>
      <c r="CW882" s="45" t="str">
        <v>Invest</v>
      </c>
      <c r="CX882" s="61"/>
      <c r="CY882" s="45">
        <v>878</v>
      </c>
      <c r="CZ882" s="45">
        <v>33.428961484111795</v>
      </c>
      <c r="DA882" s="45" t="str">
        <v>Invest</v>
      </c>
      <c r="DU882" s="52"/>
      <c r="DV882" s="50"/>
    </row>
    <row r="883" spans="86:126" ht="23.5">
      <c r="CH883" s="45">
        <v>879</v>
      </c>
      <c r="CI883" s="45">
        <v>18.567895292667302</v>
      </c>
      <c r="CJ883" s="45" t="str">
        <v>Invest</v>
      </c>
      <c r="CM883" s="45">
        <v>879</v>
      </c>
      <c r="CN883" s="48">
        <v>0</v>
      </c>
      <c r="CO883" s="45" t="str">
        <v>Nothing</v>
      </c>
      <c r="CP883" s="61"/>
      <c r="CQ883" s="45">
        <v>879</v>
      </c>
      <c r="CR883" s="45">
        <v>10.577258898840977</v>
      </c>
      <c r="CS883" s="45" t="str">
        <v>Invest</v>
      </c>
      <c r="CT883" s="61"/>
      <c r="CU883" s="45">
        <v>879</v>
      </c>
      <c r="CV883" s="45">
        <v>37.479072726010379</v>
      </c>
      <c r="CW883" s="45" t="str">
        <v>Invest</v>
      </c>
      <c r="CX883" s="61"/>
      <c r="CY883" s="45">
        <v>879</v>
      </c>
      <c r="CZ883" s="45">
        <v>18.103540364470259</v>
      </c>
      <c r="DA883" s="45" t="str">
        <v>Invest</v>
      </c>
      <c r="DU883" s="52"/>
      <c r="DV883" s="50"/>
    </row>
    <row r="884" spans="86:126" ht="23.5">
      <c r="CH884" s="45">
        <v>880</v>
      </c>
      <c r="CI884" s="45">
        <v>1.683518387154912</v>
      </c>
      <c r="CJ884" s="45" t="str">
        <v>Invest</v>
      </c>
      <c r="CM884" s="45">
        <v>880</v>
      </c>
      <c r="CN884" s="48">
        <v>17.492556203135564</v>
      </c>
      <c r="CO884" s="45" t="str">
        <v>Invest</v>
      </c>
      <c r="CP884" s="61"/>
      <c r="CQ884" s="45">
        <v>880</v>
      </c>
      <c r="CR884" s="45">
        <v>33.677181791075597</v>
      </c>
      <c r="CS884" s="45" t="str">
        <v>Invest</v>
      </c>
      <c r="CT884" s="61"/>
      <c r="CU884" s="45">
        <v>880</v>
      </c>
      <c r="CV884" s="45">
        <v>10.550518422148286</v>
      </c>
      <c r="CW884" s="45" t="str">
        <v>Invest</v>
      </c>
      <c r="CX884" s="61"/>
      <c r="CY884" s="45">
        <v>880</v>
      </c>
      <c r="CZ884" s="45">
        <v>49.189882162473822</v>
      </c>
      <c r="DA884" s="45" t="str">
        <v>Invest</v>
      </c>
      <c r="DU884" s="52"/>
      <c r="DV884" s="50"/>
    </row>
    <row r="885" spans="86:126" ht="23.5">
      <c r="CH885" s="45">
        <v>881</v>
      </c>
      <c r="CI885" s="45">
        <v>25.724562203888233</v>
      </c>
      <c r="CJ885" s="45" t="str">
        <v>Invest</v>
      </c>
      <c r="CM885" s="45">
        <v>881</v>
      </c>
      <c r="CN885" s="48">
        <v>17.603234379581014</v>
      </c>
      <c r="CO885" s="45" t="str">
        <v>Invest</v>
      </c>
      <c r="CP885" s="61"/>
      <c r="CQ885" s="45">
        <v>881</v>
      </c>
      <c r="CR885" s="45">
        <v>42.17012065766562</v>
      </c>
      <c r="CS885" s="45" t="str">
        <v>Invest</v>
      </c>
      <c r="CT885" s="61"/>
      <c r="CU885" s="45">
        <v>881</v>
      </c>
      <c r="CV885" s="45">
        <v>30.522802424365256</v>
      </c>
      <c r="CW885" s="45" t="str">
        <v>Invest</v>
      </c>
      <c r="CX885" s="61"/>
      <c r="CY885" s="45">
        <v>881</v>
      </c>
      <c r="CZ885" s="45">
        <v>28.222402049976058</v>
      </c>
      <c r="DA885" s="45" t="str">
        <v>Invest</v>
      </c>
      <c r="DU885" s="52"/>
      <c r="DV885" s="50"/>
    </row>
    <row r="886" spans="86:126" ht="23.5">
      <c r="CH886" s="45">
        <v>882</v>
      </c>
      <c r="CI886" s="45">
        <v>0</v>
      </c>
      <c r="CJ886" s="45" t="str">
        <v>Nothing</v>
      </c>
      <c r="CM886" s="45">
        <v>882</v>
      </c>
      <c r="CN886" s="48">
        <v>0</v>
      </c>
      <c r="CO886" s="45" t="str">
        <v>Nothing</v>
      </c>
      <c r="CP886" s="61"/>
      <c r="CQ886" s="45">
        <v>882</v>
      </c>
      <c r="CR886" s="45">
        <v>0</v>
      </c>
      <c r="CS886" s="45" t="str">
        <v>Nothing</v>
      </c>
      <c r="CT886" s="61"/>
      <c r="CU886" s="45">
        <v>882</v>
      </c>
      <c r="CV886" s="45">
        <v>9.8487241888811745</v>
      </c>
      <c r="CW886" s="45" t="str">
        <v>Invest</v>
      </c>
      <c r="CX886" s="61"/>
      <c r="CY886" s="45">
        <v>882</v>
      </c>
      <c r="CZ886" s="45">
        <v>5.4276506570800755</v>
      </c>
      <c r="DA886" s="45" t="str">
        <v>Invest</v>
      </c>
      <c r="DU886" s="52"/>
      <c r="DV886" s="50"/>
    </row>
    <row r="887" spans="86:126" ht="23.5">
      <c r="CH887" s="45">
        <v>883</v>
      </c>
      <c r="CI887" s="45">
        <v>20.616023267442586</v>
      </c>
      <c r="CJ887" s="45" t="str">
        <v>Invest</v>
      </c>
      <c r="CM887" s="45">
        <v>883</v>
      </c>
      <c r="CN887" s="48">
        <v>0</v>
      </c>
      <c r="CO887" s="45" t="str">
        <v>Nothing</v>
      </c>
      <c r="CP887" s="61"/>
      <c r="CQ887" s="45">
        <v>883</v>
      </c>
      <c r="CR887" s="45">
        <v>42.397466626490797</v>
      </c>
      <c r="CS887" s="45" t="str">
        <v>Invest</v>
      </c>
      <c r="CT887" s="61"/>
      <c r="CU887" s="45">
        <v>883</v>
      </c>
      <c r="CV887" s="45">
        <v>28.955048465672132</v>
      </c>
      <c r="CW887" s="45" t="str">
        <v>Invest</v>
      </c>
      <c r="CX887" s="61"/>
      <c r="CY887" s="45">
        <v>883</v>
      </c>
      <c r="CZ887" s="45">
        <v>33.238117395129258</v>
      </c>
      <c r="DA887" s="45" t="str">
        <v>Invest</v>
      </c>
      <c r="DU887" s="52"/>
      <c r="DV887" s="50"/>
    </row>
    <row r="888" spans="86:126" ht="23.5">
      <c r="CH888" s="45">
        <v>884</v>
      </c>
      <c r="CI888" s="45">
        <v>41.615224995080851</v>
      </c>
      <c r="CJ888" s="45" t="str">
        <v>Invest</v>
      </c>
      <c r="CM888" s="45">
        <v>884</v>
      </c>
      <c r="CN888" s="48">
        <v>21.124830074324759</v>
      </c>
      <c r="CO888" s="45" t="str">
        <v>Invest</v>
      </c>
      <c r="CP888" s="61"/>
      <c r="CQ888" s="45">
        <v>884</v>
      </c>
      <c r="CR888" s="45">
        <v>29.599406037647327</v>
      </c>
      <c r="CS888" s="45" t="str">
        <v>Invest</v>
      </c>
      <c r="CT888" s="61"/>
      <c r="CU888" s="45">
        <v>884</v>
      </c>
      <c r="CV888" s="45">
        <v>14.36323975802393</v>
      </c>
      <c r="CW888" s="45" t="str">
        <v>Invest</v>
      </c>
      <c r="CX888" s="61"/>
      <c r="CY888" s="45">
        <v>884</v>
      </c>
      <c r="CZ888" s="45">
        <v>7.5478591904309376</v>
      </c>
      <c r="DA888" s="45" t="str">
        <v>Invest</v>
      </c>
      <c r="DU888" s="52"/>
      <c r="DV888" s="50"/>
    </row>
    <row r="889" spans="86:126" ht="23.5">
      <c r="CH889" s="45">
        <v>885</v>
      </c>
      <c r="CI889" s="45">
        <v>7.9039183558245565</v>
      </c>
      <c r="CJ889" s="45" t="str">
        <v>Invest</v>
      </c>
      <c r="CM889" s="45">
        <v>885</v>
      </c>
      <c r="CN889" s="48">
        <v>6.2744740144222924</v>
      </c>
      <c r="CO889" s="45" t="str">
        <v>Invest</v>
      </c>
      <c r="CP889" s="61"/>
      <c r="CQ889" s="45">
        <v>885</v>
      </c>
      <c r="CR889" s="45">
        <v>33.643403323485131</v>
      </c>
      <c r="CS889" s="45" t="str">
        <v>Invest</v>
      </c>
      <c r="CT889" s="61"/>
      <c r="CU889" s="45">
        <v>885</v>
      </c>
      <c r="CV889" s="45">
        <v>47.80378126697741</v>
      </c>
      <c r="CW889" s="45" t="str">
        <v>Invest</v>
      </c>
      <c r="CX889" s="61"/>
      <c r="CY889" s="45">
        <v>885</v>
      </c>
      <c r="CZ889" s="45">
        <v>0</v>
      </c>
      <c r="DA889" s="45" t="str">
        <v>Nothing</v>
      </c>
      <c r="DU889" s="52"/>
      <c r="DV889" s="50"/>
    </row>
    <row r="890" spans="86:126" ht="23.5">
      <c r="CH890" s="45">
        <v>886</v>
      </c>
      <c r="CI890" s="45">
        <v>9.8453286136401346</v>
      </c>
      <c r="CJ890" s="45" t="str">
        <v>Invest</v>
      </c>
      <c r="CM890" s="45">
        <v>886</v>
      </c>
      <c r="CN890" s="48">
        <v>22.573144340799168</v>
      </c>
      <c r="CO890" s="45" t="str">
        <v>Invest</v>
      </c>
      <c r="CP890" s="61"/>
      <c r="CQ890" s="45">
        <v>886</v>
      </c>
      <c r="CR890" s="45">
        <v>0</v>
      </c>
      <c r="CS890" s="45" t="str">
        <v>Nothing</v>
      </c>
      <c r="CT890" s="61"/>
      <c r="CU890" s="45">
        <v>886</v>
      </c>
      <c r="CV890" s="45">
        <v>0</v>
      </c>
      <c r="CW890" s="45" t="str">
        <v>Nothing</v>
      </c>
      <c r="CX890" s="61"/>
      <c r="CY890" s="45">
        <v>886</v>
      </c>
      <c r="CZ890" s="45">
        <v>4.7706206848958121</v>
      </c>
      <c r="DA890" s="45" t="str">
        <v>Invest</v>
      </c>
      <c r="DU890" s="52"/>
      <c r="DV890" s="50"/>
    </row>
    <row r="891" spans="86:126" ht="23.5">
      <c r="CH891" s="45">
        <v>887</v>
      </c>
      <c r="CI891" s="45">
        <v>0</v>
      </c>
      <c r="CJ891" s="45" t="str">
        <v>Nothing</v>
      </c>
      <c r="CM891" s="45">
        <v>887</v>
      </c>
      <c r="CN891" s="48">
        <v>0</v>
      </c>
      <c r="CO891" s="45" t="str">
        <v>Nothing</v>
      </c>
      <c r="CP891" s="61"/>
      <c r="CQ891" s="45">
        <v>887</v>
      </c>
      <c r="CR891" s="45">
        <v>48.783371800621815</v>
      </c>
      <c r="CS891" s="45" t="str">
        <v>Invest</v>
      </c>
      <c r="CT891" s="61"/>
      <c r="CU891" s="45">
        <v>887</v>
      </c>
      <c r="CV891" s="45">
        <v>32.348284787162939</v>
      </c>
      <c r="CW891" s="45" t="str">
        <v>Invest</v>
      </c>
      <c r="CX891" s="61"/>
      <c r="CY891" s="45">
        <v>887</v>
      </c>
      <c r="CZ891" s="45">
        <v>0</v>
      </c>
      <c r="DA891" s="45" t="str">
        <v>Nothing</v>
      </c>
      <c r="DU891" s="52"/>
      <c r="DV891" s="50"/>
    </row>
    <row r="892" spans="86:126" ht="23.5">
      <c r="CH892" s="45">
        <v>888</v>
      </c>
      <c r="CI892" s="45">
        <v>18.470397132495599</v>
      </c>
      <c r="CJ892" s="45" t="str">
        <v>Invest</v>
      </c>
      <c r="CM892" s="45">
        <v>888</v>
      </c>
      <c r="CN892" s="48">
        <v>0</v>
      </c>
      <c r="CO892" s="45" t="str">
        <v>Nothing</v>
      </c>
      <c r="CP892" s="61"/>
      <c r="CQ892" s="45">
        <v>888</v>
      </c>
      <c r="CR892" s="45">
        <v>16.021875311332288</v>
      </c>
      <c r="CS892" s="45" t="str">
        <v>Invest</v>
      </c>
      <c r="CT892" s="61"/>
      <c r="CU892" s="45">
        <v>888</v>
      </c>
      <c r="CV892" s="45">
        <v>0</v>
      </c>
      <c r="CW892" s="45" t="str">
        <v>Nothing</v>
      </c>
      <c r="CX892" s="61"/>
      <c r="CY892" s="45">
        <v>888</v>
      </c>
      <c r="CZ892" s="45">
        <v>0</v>
      </c>
      <c r="DA892" s="45" t="str">
        <v>Nothing</v>
      </c>
      <c r="DU892" s="52"/>
      <c r="DV892" s="50"/>
    </row>
    <row r="893" spans="86:126" ht="23.5">
      <c r="CH893" s="45">
        <v>889</v>
      </c>
      <c r="CI893" s="45">
        <v>0</v>
      </c>
      <c r="CJ893" s="45" t="str">
        <v>Nothing</v>
      </c>
      <c r="CM893" s="45">
        <v>889</v>
      </c>
      <c r="CN893" s="48">
        <v>0</v>
      </c>
      <c r="CO893" s="45" t="str">
        <v>Nothing</v>
      </c>
      <c r="CP893" s="61"/>
      <c r="CQ893" s="45">
        <v>889</v>
      </c>
      <c r="CR893" s="45">
        <v>9.2357999733165368</v>
      </c>
      <c r="CS893" s="45" t="str">
        <v>Invest</v>
      </c>
      <c r="CT893" s="61"/>
      <c r="CU893" s="45">
        <v>889</v>
      </c>
      <c r="CV893" s="45">
        <v>15.929429797904147</v>
      </c>
      <c r="CW893" s="45" t="str">
        <v>Invest</v>
      </c>
      <c r="CX893" s="61"/>
      <c r="CY893" s="45">
        <v>889</v>
      </c>
      <c r="CZ893" s="45">
        <v>8.9182010127214753</v>
      </c>
      <c r="DA893" s="45" t="str">
        <v>Invest</v>
      </c>
      <c r="DU893" s="52"/>
      <c r="DV893" s="50"/>
    </row>
    <row r="894" spans="86:126" ht="23.5">
      <c r="CH894" s="45">
        <v>890</v>
      </c>
      <c r="CI894" s="45">
        <v>0</v>
      </c>
      <c r="CJ894" s="45" t="str">
        <v>Nothing</v>
      </c>
      <c r="CM894" s="45">
        <v>890</v>
      </c>
      <c r="CN894" s="48">
        <v>0.72839451217054219</v>
      </c>
      <c r="CO894" s="45" t="str">
        <v>Invest</v>
      </c>
      <c r="CP894" s="61"/>
      <c r="CQ894" s="45">
        <v>890</v>
      </c>
      <c r="CR894" s="45">
        <v>0</v>
      </c>
      <c r="CS894" s="45" t="str">
        <v>Nothing</v>
      </c>
      <c r="CT894" s="61"/>
      <c r="CU894" s="45">
        <v>890</v>
      </c>
      <c r="CV894" s="45">
        <v>0</v>
      </c>
      <c r="CW894" s="45" t="str">
        <v>Nothing</v>
      </c>
      <c r="CX894" s="61"/>
      <c r="CY894" s="45">
        <v>890</v>
      </c>
      <c r="CZ894" s="45">
        <v>7.9531515691545245</v>
      </c>
      <c r="DA894" s="45" t="str">
        <v>Invest</v>
      </c>
      <c r="DU894" s="52"/>
      <c r="DV894" s="50"/>
    </row>
    <row r="895" spans="86:126" ht="23.5">
      <c r="CH895" s="45">
        <v>891</v>
      </c>
      <c r="CI895" s="45">
        <v>9.7233900719620507</v>
      </c>
      <c r="CJ895" s="45" t="str">
        <v>Invest</v>
      </c>
      <c r="CM895" s="45">
        <v>891</v>
      </c>
      <c r="CN895" s="48">
        <v>58.745131334535614</v>
      </c>
      <c r="CO895" s="45" t="str">
        <v>Invest</v>
      </c>
      <c r="CP895" s="61"/>
      <c r="CQ895" s="45">
        <v>891</v>
      </c>
      <c r="CR895" s="45">
        <v>0</v>
      </c>
      <c r="CS895" s="45" t="str">
        <v>Nothing</v>
      </c>
      <c r="CT895" s="61"/>
      <c r="CU895" s="45">
        <v>891</v>
      </c>
      <c r="CV895" s="45">
        <v>25.582683034905827</v>
      </c>
      <c r="CW895" s="45" t="str">
        <v>Invest</v>
      </c>
      <c r="CX895" s="61"/>
      <c r="CY895" s="45">
        <v>891</v>
      </c>
      <c r="CZ895" s="45">
        <v>20.280527155681057</v>
      </c>
      <c r="DA895" s="45" t="str">
        <v>Invest</v>
      </c>
      <c r="DU895" s="52"/>
      <c r="DV895" s="50"/>
    </row>
    <row r="896" spans="86:126" ht="23.5">
      <c r="CH896" s="45">
        <v>892</v>
      </c>
      <c r="CI896" s="45">
        <v>0</v>
      </c>
      <c r="CJ896" s="45" t="str">
        <v>Nothing</v>
      </c>
      <c r="CM896" s="45">
        <v>892</v>
      </c>
      <c r="CN896" s="48">
        <v>26.064951307488684</v>
      </c>
      <c r="CO896" s="45" t="str">
        <v>Invest</v>
      </c>
      <c r="CP896" s="61"/>
      <c r="CQ896" s="45">
        <v>892</v>
      </c>
      <c r="CR896" s="45">
        <v>30.088360218030935</v>
      </c>
      <c r="CS896" s="45" t="str">
        <v>Invest</v>
      </c>
      <c r="CT896" s="61"/>
      <c r="CU896" s="45">
        <v>892</v>
      </c>
      <c r="CV896" s="45">
        <v>0</v>
      </c>
      <c r="CW896" s="45" t="str">
        <v>Nothing</v>
      </c>
      <c r="CX896" s="61"/>
      <c r="CY896" s="45">
        <v>892</v>
      </c>
      <c r="CZ896" s="45">
        <v>8.9174326557786365</v>
      </c>
      <c r="DA896" s="45" t="str">
        <v>Invest</v>
      </c>
      <c r="DU896" s="52"/>
      <c r="DV896" s="50"/>
    </row>
    <row r="897" spans="86:126" ht="23.5">
      <c r="CH897" s="45">
        <v>893</v>
      </c>
      <c r="CI897" s="45">
        <v>23.557355165624102</v>
      </c>
      <c r="CJ897" s="45" t="str">
        <v>Invest</v>
      </c>
      <c r="CM897" s="45">
        <v>893</v>
      </c>
      <c r="CN897" s="48">
        <v>1.2571408071042161</v>
      </c>
      <c r="CO897" s="45" t="str">
        <v>Invest</v>
      </c>
      <c r="CP897" s="61"/>
      <c r="CQ897" s="45">
        <v>893</v>
      </c>
      <c r="CR897" s="45">
        <v>20.430584620545943</v>
      </c>
      <c r="CS897" s="45" t="str">
        <v>Invest</v>
      </c>
      <c r="CT897" s="61"/>
      <c r="CU897" s="45">
        <v>893</v>
      </c>
      <c r="CV897" s="45">
        <v>12.28486008181847</v>
      </c>
      <c r="CW897" s="45" t="str">
        <v>Invest</v>
      </c>
      <c r="CX897" s="61"/>
      <c r="CY897" s="45">
        <v>893</v>
      </c>
      <c r="CZ897" s="45">
        <v>8.6149132774035344</v>
      </c>
      <c r="DA897" s="45" t="str">
        <v>Invest</v>
      </c>
      <c r="DU897" s="52"/>
      <c r="DV897" s="50"/>
    </row>
    <row r="898" spans="86:126" ht="23.5">
      <c r="CH898" s="45">
        <v>894</v>
      </c>
      <c r="CI898" s="45">
        <v>1.0770678332700001</v>
      </c>
      <c r="CJ898" s="45" t="str">
        <v>Invest</v>
      </c>
      <c r="CM898" s="45">
        <v>894</v>
      </c>
      <c r="CN898" s="48">
        <v>3.0011478333295356</v>
      </c>
      <c r="CO898" s="45" t="str">
        <v>Invest</v>
      </c>
      <c r="CP898" s="61"/>
      <c r="CQ898" s="45">
        <v>894</v>
      </c>
      <c r="CR898" s="45">
        <v>0</v>
      </c>
      <c r="CS898" s="45" t="str">
        <v>Nothing</v>
      </c>
      <c r="CT898" s="61"/>
      <c r="CU898" s="45">
        <v>894</v>
      </c>
      <c r="CV898" s="45">
        <v>0</v>
      </c>
      <c r="CW898" s="45" t="str">
        <v>Nothing</v>
      </c>
      <c r="CX898" s="61"/>
      <c r="CY898" s="45">
        <v>894</v>
      </c>
      <c r="CZ898" s="45">
        <v>37.611715434555521</v>
      </c>
      <c r="DA898" s="45" t="str">
        <v>Invest</v>
      </c>
      <c r="DU898" s="52"/>
      <c r="DV898" s="50"/>
    </row>
    <row r="899" spans="86:126" ht="23.5">
      <c r="CH899" s="45">
        <v>895</v>
      </c>
      <c r="CI899" s="45">
        <v>0</v>
      </c>
      <c r="CJ899" s="45" t="str">
        <v>Nothing</v>
      </c>
      <c r="CM899" s="45">
        <v>895</v>
      </c>
      <c r="CN899" s="48">
        <v>11.791055081962895</v>
      </c>
      <c r="CO899" s="45" t="str">
        <v>Invest</v>
      </c>
      <c r="CP899" s="61"/>
      <c r="CQ899" s="45">
        <v>895</v>
      </c>
      <c r="CR899" s="45">
        <v>0</v>
      </c>
      <c r="CS899" s="45" t="str">
        <v>Nothing</v>
      </c>
      <c r="CT899" s="61"/>
      <c r="CU899" s="45">
        <v>895</v>
      </c>
      <c r="CV899" s="45">
        <v>33.561924089779438</v>
      </c>
      <c r="CW899" s="45" t="str">
        <v>Invest</v>
      </c>
      <c r="CX899" s="61"/>
      <c r="CY899" s="45">
        <v>895</v>
      </c>
      <c r="CZ899" s="45">
        <v>6.0328825046075174</v>
      </c>
      <c r="DA899" s="45" t="str">
        <v>Invest</v>
      </c>
      <c r="DU899" s="52"/>
      <c r="DV899" s="50"/>
    </row>
    <row r="900" spans="86:126" ht="23.5">
      <c r="CH900" s="45">
        <v>896</v>
      </c>
      <c r="CI900" s="45">
        <v>19.401179789251934</v>
      </c>
      <c r="CJ900" s="45" t="str">
        <v>Invest</v>
      </c>
      <c r="CM900" s="45">
        <v>896</v>
      </c>
      <c r="CN900" s="48">
        <v>0</v>
      </c>
      <c r="CO900" s="45" t="str">
        <v>Nothing</v>
      </c>
      <c r="CP900" s="61"/>
      <c r="CQ900" s="45">
        <v>896</v>
      </c>
      <c r="CR900" s="45">
        <v>8.0102630365247833</v>
      </c>
      <c r="CS900" s="45" t="str">
        <v>Invest</v>
      </c>
      <c r="CT900" s="61"/>
      <c r="CU900" s="45">
        <v>896</v>
      </c>
      <c r="CV900" s="45">
        <v>0</v>
      </c>
      <c r="CW900" s="45" t="str">
        <v>Nothing</v>
      </c>
      <c r="CX900" s="61"/>
      <c r="CY900" s="45">
        <v>896</v>
      </c>
      <c r="CZ900" s="45">
        <v>33.720752716538364</v>
      </c>
      <c r="DA900" s="45" t="str">
        <v>Invest</v>
      </c>
      <c r="DU900" s="52"/>
      <c r="DV900" s="50"/>
    </row>
    <row r="901" spans="86:126" ht="23.5">
      <c r="CH901" s="45">
        <v>897</v>
      </c>
      <c r="CI901" s="45">
        <v>0</v>
      </c>
      <c r="CJ901" s="45" t="str">
        <v>Nothing</v>
      </c>
      <c r="CM901" s="45">
        <v>897</v>
      </c>
      <c r="CN901" s="48">
        <v>14.711351756431371</v>
      </c>
      <c r="CO901" s="45" t="str">
        <v>Invest</v>
      </c>
      <c r="CP901" s="61"/>
      <c r="CQ901" s="45">
        <v>897</v>
      </c>
      <c r="CR901" s="45">
        <v>9.6604362856501602</v>
      </c>
      <c r="CS901" s="45" t="str">
        <v>Invest</v>
      </c>
      <c r="CT901" s="61"/>
      <c r="CU901" s="45">
        <v>897</v>
      </c>
      <c r="CV901" s="45">
        <v>0</v>
      </c>
      <c r="CW901" s="45" t="str">
        <v>Nothing</v>
      </c>
      <c r="CX901" s="61"/>
      <c r="CY901" s="45">
        <v>897</v>
      </c>
      <c r="CZ901" s="45">
        <v>22.074539770087679</v>
      </c>
      <c r="DA901" s="45" t="str">
        <v>Invest</v>
      </c>
      <c r="DU901" s="52"/>
      <c r="DV901" s="50"/>
    </row>
    <row r="902" spans="86:126" ht="23.5">
      <c r="CH902" s="45">
        <v>898</v>
      </c>
      <c r="CI902" s="45">
        <v>49.614038470298759</v>
      </c>
      <c r="CJ902" s="45" t="str">
        <v>Invest</v>
      </c>
      <c r="CM902" s="45">
        <v>898</v>
      </c>
      <c r="CN902" s="48">
        <v>29.61655459052843</v>
      </c>
      <c r="CO902" s="45" t="str">
        <v>Invest</v>
      </c>
      <c r="CP902" s="61"/>
      <c r="CQ902" s="45">
        <v>898</v>
      </c>
      <c r="CR902" s="45">
        <v>9.7533455502011357</v>
      </c>
      <c r="CS902" s="45" t="str">
        <v>Invest</v>
      </c>
      <c r="CT902" s="61"/>
      <c r="CU902" s="45">
        <v>898</v>
      </c>
      <c r="CV902" s="45">
        <v>26.41762140402259</v>
      </c>
      <c r="CW902" s="45" t="str">
        <v>Invest</v>
      </c>
      <c r="CX902" s="61"/>
      <c r="CY902" s="45">
        <v>898</v>
      </c>
      <c r="CZ902" s="45">
        <v>25.202468553728089</v>
      </c>
      <c r="DA902" s="45" t="str">
        <v>Invest</v>
      </c>
      <c r="DU902" s="52"/>
      <c r="DV902" s="50"/>
    </row>
    <row r="903" spans="86:126" ht="23.5">
      <c r="CH903" s="45">
        <v>899</v>
      </c>
      <c r="CI903" s="45">
        <v>35.768043804755813</v>
      </c>
      <c r="CJ903" s="45" t="str">
        <v>Invest</v>
      </c>
      <c r="CM903" s="45">
        <v>899</v>
      </c>
      <c r="CN903" s="48">
        <v>45.257605905035383</v>
      </c>
      <c r="CO903" s="45" t="str">
        <v>Invest</v>
      </c>
      <c r="CP903" s="61"/>
      <c r="CQ903" s="45">
        <v>899</v>
      </c>
      <c r="CR903" s="45">
        <v>0</v>
      </c>
      <c r="CS903" s="45" t="str">
        <v>Nothing</v>
      </c>
      <c r="CT903" s="61"/>
      <c r="CU903" s="45">
        <v>899</v>
      </c>
      <c r="CV903" s="45">
        <v>5.8388038777118609</v>
      </c>
      <c r="CW903" s="45" t="str">
        <v>Invest</v>
      </c>
      <c r="CX903" s="61"/>
      <c r="CY903" s="45">
        <v>899</v>
      </c>
      <c r="CZ903" s="45">
        <v>37.802051218020011</v>
      </c>
      <c r="DA903" s="45" t="str">
        <v>Invest</v>
      </c>
      <c r="DU903" s="52"/>
      <c r="DV903" s="50"/>
    </row>
    <row r="904" spans="86:126" ht="23.5">
      <c r="CH904" s="45">
        <v>900</v>
      </c>
      <c r="CI904" s="45">
        <v>2.3794132079373753</v>
      </c>
      <c r="CJ904" s="45" t="str">
        <v>Invest</v>
      </c>
      <c r="CM904" s="45">
        <v>900</v>
      </c>
      <c r="CN904" s="48">
        <v>7.0054793365824866</v>
      </c>
      <c r="CO904" s="45" t="str">
        <v>Invest</v>
      </c>
      <c r="CP904" s="61"/>
      <c r="CQ904" s="45">
        <v>900</v>
      </c>
      <c r="CR904" s="45">
        <v>23.459721550816617</v>
      </c>
      <c r="CS904" s="45" t="str">
        <v>Invest</v>
      </c>
      <c r="CT904" s="61"/>
      <c r="CU904" s="45">
        <v>900</v>
      </c>
      <c r="CV904" s="45">
        <v>30.958210646545311</v>
      </c>
      <c r="CW904" s="45" t="str">
        <v>Invest</v>
      </c>
      <c r="CX904" s="61"/>
      <c r="CY904" s="45">
        <v>900</v>
      </c>
      <c r="CZ904" s="45">
        <v>7.4247996540254686</v>
      </c>
      <c r="DA904" s="45" t="str">
        <v>Invest</v>
      </c>
      <c r="DU904" s="52"/>
      <c r="DV904" s="50"/>
    </row>
    <row r="905" spans="86:126" ht="23.5">
      <c r="CH905" s="45">
        <v>901</v>
      </c>
      <c r="CI905" s="45">
        <v>0</v>
      </c>
      <c r="CJ905" s="45" t="str">
        <v>Nothing</v>
      </c>
      <c r="CM905" s="45">
        <v>901</v>
      </c>
      <c r="CN905" s="48">
        <v>21.80045986762579</v>
      </c>
      <c r="CO905" s="45" t="str">
        <v>Invest</v>
      </c>
      <c r="CP905" s="61"/>
      <c r="CQ905" s="45">
        <v>901</v>
      </c>
      <c r="CR905" s="45">
        <v>0</v>
      </c>
      <c r="CS905" s="45" t="str">
        <v>Nothing</v>
      </c>
      <c r="CT905" s="61"/>
      <c r="CU905" s="45">
        <v>901</v>
      </c>
      <c r="CV905" s="45">
        <v>22.593489812597003</v>
      </c>
      <c r="CW905" s="45" t="str">
        <v>Invest</v>
      </c>
      <c r="CX905" s="61"/>
      <c r="CY905" s="45">
        <v>901</v>
      </c>
      <c r="CZ905" s="45">
        <v>4.810436138539373</v>
      </c>
      <c r="DA905" s="45" t="str">
        <v>Invest</v>
      </c>
      <c r="DU905" s="52"/>
      <c r="DV905" s="50"/>
    </row>
    <row r="906" spans="86:126" ht="23.5">
      <c r="CH906" s="45">
        <v>902</v>
      </c>
      <c r="CI906" s="45">
        <v>11.104311806704725</v>
      </c>
      <c r="CJ906" s="45" t="str">
        <v>Invest</v>
      </c>
      <c r="CM906" s="45">
        <v>902</v>
      </c>
      <c r="CN906" s="48">
        <v>31.61109494725941</v>
      </c>
      <c r="CO906" s="45" t="str">
        <v>Invest</v>
      </c>
      <c r="CP906" s="61"/>
      <c r="CQ906" s="45">
        <v>902</v>
      </c>
      <c r="CR906" s="45">
        <v>0</v>
      </c>
      <c r="CS906" s="45" t="str">
        <v>Nothing</v>
      </c>
      <c r="CT906" s="61"/>
      <c r="CU906" s="45">
        <v>902</v>
      </c>
      <c r="CV906" s="45">
        <v>44.596936545795117</v>
      </c>
      <c r="CW906" s="45" t="str">
        <v>Invest</v>
      </c>
      <c r="CX906" s="61"/>
      <c r="CY906" s="45">
        <v>902</v>
      </c>
      <c r="CZ906" s="45">
        <v>45.51584757727214</v>
      </c>
      <c r="DA906" s="45" t="str">
        <v>Invest</v>
      </c>
      <c r="DU906" s="52"/>
      <c r="DV906" s="50"/>
    </row>
    <row r="907" spans="86:126" ht="23.5">
      <c r="CH907" s="45">
        <v>903</v>
      </c>
      <c r="CI907" s="45">
        <v>0</v>
      </c>
      <c r="CJ907" s="45" t="str">
        <v>Nothing</v>
      </c>
      <c r="CM907" s="45">
        <v>903</v>
      </c>
      <c r="CN907" s="48">
        <v>10.105486470363457</v>
      </c>
      <c r="CO907" s="45" t="str">
        <v>Invest</v>
      </c>
      <c r="CP907" s="61"/>
      <c r="CQ907" s="45">
        <v>903</v>
      </c>
      <c r="CR907" s="45">
        <v>0</v>
      </c>
      <c r="CS907" s="45" t="str">
        <v>Nothing</v>
      </c>
      <c r="CT907" s="61"/>
      <c r="CU907" s="45">
        <v>903</v>
      </c>
      <c r="CV907" s="45">
        <v>32.330980857302002</v>
      </c>
      <c r="CW907" s="45" t="str">
        <v>Invest</v>
      </c>
      <c r="CX907" s="61"/>
      <c r="CY907" s="45">
        <v>903</v>
      </c>
      <c r="CZ907" s="45">
        <v>20.223571583705784</v>
      </c>
      <c r="DA907" s="45" t="str">
        <v>Invest</v>
      </c>
      <c r="DU907" s="52"/>
      <c r="DV907" s="50"/>
    </row>
    <row r="908" spans="86:126" ht="23.5">
      <c r="CH908" s="45">
        <v>904</v>
      </c>
      <c r="CI908" s="45">
        <v>44.169107415545596</v>
      </c>
      <c r="CJ908" s="45" t="str">
        <v>Invest</v>
      </c>
      <c r="CM908" s="45">
        <v>904</v>
      </c>
      <c r="CN908" s="48">
        <v>38.096491530745922</v>
      </c>
      <c r="CO908" s="45" t="str">
        <v>Invest</v>
      </c>
      <c r="CP908" s="61"/>
      <c r="CQ908" s="45">
        <v>904</v>
      </c>
      <c r="CR908" s="45">
        <v>55.8783176942379</v>
      </c>
      <c r="CS908" s="45" t="str">
        <v>Invest</v>
      </c>
      <c r="CT908" s="61"/>
      <c r="CU908" s="45">
        <v>904</v>
      </c>
      <c r="CV908" s="45">
        <v>22.339923261647179</v>
      </c>
      <c r="CW908" s="45" t="str">
        <v>Invest</v>
      </c>
      <c r="CX908" s="61"/>
      <c r="CY908" s="45">
        <v>904</v>
      </c>
      <c r="CZ908" s="45">
        <v>16.646343027980564</v>
      </c>
      <c r="DA908" s="45" t="str">
        <v>Invest</v>
      </c>
      <c r="DU908" s="52"/>
      <c r="DV908" s="50"/>
    </row>
    <row r="909" spans="86:126" ht="23.5">
      <c r="CH909" s="45">
        <v>905</v>
      </c>
      <c r="CI909" s="45">
        <v>4.1928200374514528</v>
      </c>
      <c r="CJ909" s="45" t="str">
        <v>Invest</v>
      </c>
      <c r="CM909" s="45">
        <v>905</v>
      </c>
      <c r="CN909" s="48">
        <v>3.4708393557390913</v>
      </c>
      <c r="CO909" s="45" t="str">
        <v>Invest</v>
      </c>
      <c r="CP909" s="61"/>
      <c r="CQ909" s="45">
        <v>905</v>
      </c>
      <c r="CR909" s="45">
        <v>11.190718507099055</v>
      </c>
      <c r="CS909" s="45" t="str">
        <v>Invest</v>
      </c>
      <c r="CT909" s="61"/>
      <c r="CU909" s="45">
        <v>905</v>
      </c>
      <c r="CV909" s="45">
        <v>22.354715227449418</v>
      </c>
      <c r="CW909" s="45" t="str">
        <v>Invest</v>
      </c>
      <c r="CX909" s="61"/>
      <c r="CY909" s="45">
        <v>905</v>
      </c>
      <c r="CZ909" s="45">
        <v>0</v>
      </c>
      <c r="DA909" s="45" t="str">
        <v>Nothing</v>
      </c>
      <c r="DU909" s="52"/>
      <c r="DV909" s="50"/>
    </row>
    <row r="910" spans="86:126" ht="23.5">
      <c r="CH910" s="45">
        <v>906</v>
      </c>
      <c r="CI910" s="45">
        <v>9.6074799883642275</v>
      </c>
      <c r="CJ910" s="45" t="str">
        <v>Invest</v>
      </c>
      <c r="CM910" s="45">
        <v>906</v>
      </c>
      <c r="CN910" s="48">
        <v>1.7252601011066515</v>
      </c>
      <c r="CO910" s="45" t="str">
        <v>Invest</v>
      </c>
      <c r="CP910" s="61"/>
      <c r="CQ910" s="45">
        <v>906</v>
      </c>
      <c r="CR910" s="45">
        <v>28.053535505092356</v>
      </c>
      <c r="CS910" s="45" t="str">
        <v>Invest</v>
      </c>
      <c r="CT910" s="61"/>
      <c r="CU910" s="45">
        <v>906</v>
      </c>
      <c r="CV910" s="45">
        <v>16.785048226587364</v>
      </c>
      <c r="CW910" s="45" t="str">
        <v>Invest</v>
      </c>
      <c r="CX910" s="61"/>
      <c r="CY910" s="45">
        <v>906</v>
      </c>
      <c r="CZ910" s="45">
        <v>19.62233649222987</v>
      </c>
      <c r="DA910" s="45" t="str">
        <v>Invest</v>
      </c>
      <c r="DU910" s="52"/>
      <c r="DV910" s="50"/>
    </row>
    <row r="911" spans="86:126" ht="23.5">
      <c r="CH911" s="45">
        <v>907</v>
      </c>
      <c r="CI911" s="45">
        <v>27.291064003385845</v>
      </c>
      <c r="CJ911" s="45" t="str">
        <v>Invest</v>
      </c>
      <c r="CM911" s="45">
        <v>907</v>
      </c>
      <c r="CN911" s="48">
        <v>39.152806736301386</v>
      </c>
      <c r="CO911" s="45" t="str">
        <v>Invest</v>
      </c>
      <c r="CP911" s="61"/>
      <c r="CQ911" s="45">
        <v>907</v>
      </c>
      <c r="CR911" s="45">
        <v>37.435708031515048</v>
      </c>
      <c r="CS911" s="45" t="str">
        <v>Invest</v>
      </c>
      <c r="CT911" s="61"/>
      <c r="CU911" s="45">
        <v>907</v>
      </c>
      <c r="CV911" s="45">
        <v>12.66975237243463</v>
      </c>
      <c r="CW911" s="45" t="str">
        <v>Invest</v>
      </c>
      <c r="CX911" s="61"/>
      <c r="CY911" s="45">
        <v>907</v>
      </c>
      <c r="CZ911" s="45">
        <v>6.912733435904439</v>
      </c>
      <c r="DA911" s="45" t="str">
        <v>Invest</v>
      </c>
      <c r="DU911" s="52"/>
      <c r="DV911" s="50"/>
    </row>
    <row r="912" spans="86:126" ht="23.5">
      <c r="CH912" s="45">
        <v>908</v>
      </c>
      <c r="CI912" s="45">
        <v>0</v>
      </c>
      <c r="CJ912" s="45" t="str">
        <v>Nothing</v>
      </c>
      <c r="CM912" s="45">
        <v>908</v>
      </c>
      <c r="CN912" s="48">
        <v>42.896749623565704</v>
      </c>
      <c r="CO912" s="45" t="str">
        <v>Invest</v>
      </c>
      <c r="CP912" s="61"/>
      <c r="CQ912" s="45">
        <v>908</v>
      </c>
      <c r="CR912" s="45">
        <v>0</v>
      </c>
      <c r="CS912" s="45" t="str">
        <v>Nothing</v>
      </c>
      <c r="CT912" s="61"/>
      <c r="CU912" s="45">
        <v>908</v>
      </c>
      <c r="CV912" s="45">
        <v>0</v>
      </c>
      <c r="CW912" s="45" t="str">
        <v>Nothing</v>
      </c>
      <c r="CX912" s="61"/>
      <c r="CY912" s="45">
        <v>908</v>
      </c>
      <c r="CZ912" s="45">
        <v>30.537053767315804</v>
      </c>
      <c r="DA912" s="45" t="str">
        <v>Invest</v>
      </c>
      <c r="DU912" s="52"/>
      <c r="DV912" s="50"/>
    </row>
    <row r="913" spans="86:126" ht="23.5">
      <c r="CH913" s="45">
        <v>909</v>
      </c>
      <c r="CI913" s="45">
        <v>2.9789423308191694</v>
      </c>
      <c r="CJ913" s="45" t="str">
        <v>Invest</v>
      </c>
      <c r="CM913" s="45">
        <v>909</v>
      </c>
      <c r="CN913" s="48">
        <v>41.932928451866985</v>
      </c>
      <c r="CO913" s="45" t="str">
        <v>Invest</v>
      </c>
      <c r="CP913" s="61"/>
      <c r="CQ913" s="45">
        <v>909</v>
      </c>
      <c r="CR913" s="45">
        <v>0</v>
      </c>
      <c r="CS913" s="45" t="str">
        <v>Nothing</v>
      </c>
      <c r="CT913" s="61"/>
      <c r="CU913" s="45">
        <v>909</v>
      </c>
      <c r="CV913" s="45">
        <v>4.4015813136300892</v>
      </c>
      <c r="CW913" s="45" t="str">
        <v>Invest</v>
      </c>
      <c r="CX913" s="61"/>
      <c r="CY913" s="45">
        <v>909</v>
      </c>
      <c r="CZ913" s="45">
        <v>23.050826843323158</v>
      </c>
      <c r="DA913" s="45" t="str">
        <v>Invest</v>
      </c>
      <c r="DU913" s="52"/>
      <c r="DV913" s="50"/>
    </row>
    <row r="914" spans="86:126" ht="23.5">
      <c r="CH914" s="45">
        <v>910</v>
      </c>
      <c r="CI914" s="45">
        <v>25.829160908352783</v>
      </c>
      <c r="CJ914" s="45" t="str">
        <v>Invest</v>
      </c>
      <c r="CM914" s="45">
        <v>910</v>
      </c>
      <c r="CN914" s="48">
        <v>38.237263328685074</v>
      </c>
      <c r="CO914" s="45" t="str">
        <v>Invest</v>
      </c>
      <c r="CP914" s="61"/>
      <c r="CQ914" s="45">
        <v>910</v>
      </c>
      <c r="CR914" s="45">
        <v>0</v>
      </c>
      <c r="CS914" s="45" t="str">
        <v>Nothing</v>
      </c>
      <c r="CT914" s="61"/>
      <c r="CU914" s="45">
        <v>910</v>
      </c>
      <c r="CV914" s="45">
        <v>0</v>
      </c>
      <c r="CW914" s="45" t="str">
        <v>Nothing</v>
      </c>
      <c r="CX914" s="61"/>
      <c r="CY914" s="45">
        <v>910</v>
      </c>
      <c r="CZ914" s="45">
        <v>12.934285748134783</v>
      </c>
      <c r="DA914" s="45" t="str">
        <v>Invest</v>
      </c>
      <c r="DU914" s="52"/>
      <c r="DV914" s="50"/>
    </row>
    <row r="915" spans="86:126" ht="23.5">
      <c r="CH915" s="45">
        <v>911</v>
      </c>
      <c r="CI915" s="45">
        <v>0</v>
      </c>
      <c r="CJ915" s="45" t="str">
        <v>Nothing</v>
      </c>
      <c r="CM915" s="45">
        <v>911</v>
      </c>
      <c r="CN915" s="48">
        <v>34.563137166844918</v>
      </c>
      <c r="CO915" s="45" t="str">
        <v>Invest</v>
      </c>
      <c r="CP915" s="61"/>
      <c r="CQ915" s="45">
        <v>911</v>
      </c>
      <c r="CR915" s="45">
        <v>0.62241893902421452</v>
      </c>
      <c r="CS915" s="45" t="str">
        <v>Invest</v>
      </c>
      <c r="CT915" s="61"/>
      <c r="CU915" s="45">
        <v>911</v>
      </c>
      <c r="CV915" s="45">
        <v>29.461964536623224</v>
      </c>
      <c r="CW915" s="45" t="str">
        <v>Invest</v>
      </c>
      <c r="CX915" s="61"/>
      <c r="CY915" s="45">
        <v>911</v>
      </c>
      <c r="CZ915" s="45">
        <v>27.082270094644947</v>
      </c>
      <c r="DA915" s="45" t="str">
        <v>Invest</v>
      </c>
      <c r="DU915" s="52"/>
      <c r="DV915" s="50"/>
    </row>
    <row r="916" spans="86:126" ht="23.5">
      <c r="CH916" s="45">
        <v>912</v>
      </c>
      <c r="CI916" s="45">
        <v>32.604678098463651</v>
      </c>
      <c r="CJ916" s="45" t="str">
        <v>Invest</v>
      </c>
      <c r="CM916" s="45">
        <v>912</v>
      </c>
      <c r="CN916" s="48">
        <v>17.807549835820119</v>
      </c>
      <c r="CO916" s="45" t="str">
        <v>Invest</v>
      </c>
      <c r="CP916" s="61"/>
      <c r="CQ916" s="45">
        <v>912</v>
      </c>
      <c r="CR916" s="45">
        <v>1.9418835064300985</v>
      </c>
      <c r="CS916" s="45" t="str">
        <v>Invest</v>
      </c>
      <c r="CT916" s="61"/>
      <c r="CU916" s="45">
        <v>912</v>
      </c>
      <c r="CV916" s="45">
        <v>12.173239694377896</v>
      </c>
      <c r="CW916" s="45" t="str">
        <v>Invest</v>
      </c>
      <c r="CX916" s="61"/>
      <c r="CY916" s="45">
        <v>912</v>
      </c>
      <c r="CZ916" s="45">
        <v>36.712013698792404</v>
      </c>
      <c r="DA916" s="45" t="str">
        <v>Invest</v>
      </c>
      <c r="DU916" s="52"/>
      <c r="DV916" s="50"/>
    </row>
    <row r="917" spans="86:126" ht="23.5">
      <c r="CH917" s="45">
        <v>913</v>
      </c>
      <c r="CI917" s="45">
        <v>35.052853147457803</v>
      </c>
      <c r="CJ917" s="45" t="str">
        <v>Invest</v>
      </c>
      <c r="CM917" s="45">
        <v>913</v>
      </c>
      <c r="CN917" s="48">
        <v>0</v>
      </c>
      <c r="CO917" s="45" t="str">
        <v>Nothing</v>
      </c>
      <c r="CP917" s="61"/>
      <c r="CQ917" s="45">
        <v>913</v>
      </c>
      <c r="CR917" s="45">
        <v>46.099449272862408</v>
      </c>
      <c r="CS917" s="45" t="str">
        <v>Invest</v>
      </c>
      <c r="CT917" s="61"/>
      <c r="CU917" s="45">
        <v>913</v>
      </c>
      <c r="CV917" s="45">
        <v>0</v>
      </c>
      <c r="CW917" s="45" t="str">
        <v>Nothing</v>
      </c>
      <c r="CX917" s="61"/>
      <c r="CY917" s="45">
        <v>913</v>
      </c>
      <c r="CZ917" s="45">
        <v>0</v>
      </c>
      <c r="DA917" s="45" t="str">
        <v>Nothing</v>
      </c>
      <c r="DU917" s="52"/>
      <c r="DV917" s="50"/>
    </row>
    <row r="918" spans="86:126" ht="23.5">
      <c r="CH918" s="45">
        <v>914</v>
      </c>
      <c r="CI918" s="45">
        <v>0</v>
      </c>
      <c r="CJ918" s="45" t="str">
        <v>Nothing</v>
      </c>
      <c r="CM918" s="45">
        <v>914</v>
      </c>
      <c r="CN918" s="48">
        <v>14.71270718121958</v>
      </c>
      <c r="CO918" s="45" t="str">
        <v>Invest</v>
      </c>
      <c r="CP918" s="61"/>
      <c r="CQ918" s="45">
        <v>914</v>
      </c>
      <c r="CR918" s="45">
        <v>30.609291100929251</v>
      </c>
      <c r="CS918" s="45" t="str">
        <v>Invest</v>
      </c>
      <c r="CT918" s="61"/>
      <c r="CU918" s="45">
        <v>914</v>
      </c>
      <c r="CV918" s="45">
        <v>24.032199577023594</v>
      </c>
      <c r="CW918" s="45" t="str">
        <v>Invest</v>
      </c>
      <c r="CX918" s="61"/>
      <c r="CY918" s="45">
        <v>914</v>
      </c>
      <c r="CZ918" s="45">
        <v>0</v>
      </c>
      <c r="DA918" s="45" t="str">
        <v>Nothing</v>
      </c>
      <c r="DU918" s="52"/>
      <c r="DV918" s="50"/>
    </row>
    <row r="919" spans="86:126" ht="23.5">
      <c r="CH919" s="45">
        <v>915</v>
      </c>
      <c r="CI919" s="45">
        <v>0</v>
      </c>
      <c r="CJ919" s="45" t="str">
        <v>Nothing</v>
      </c>
      <c r="CM919" s="45">
        <v>915</v>
      </c>
      <c r="CN919" s="48">
        <v>9.7318872937181968</v>
      </c>
      <c r="CO919" s="45" t="str">
        <v>Invest</v>
      </c>
      <c r="CP919" s="61"/>
      <c r="CQ919" s="45">
        <v>915</v>
      </c>
      <c r="CR919" s="45">
        <v>12.215203470483432</v>
      </c>
      <c r="CS919" s="45" t="str">
        <v>Invest</v>
      </c>
      <c r="CT919" s="61"/>
      <c r="CU919" s="45">
        <v>915</v>
      </c>
      <c r="CV919" s="45">
        <v>0</v>
      </c>
      <c r="CW919" s="45" t="str">
        <v>Nothing</v>
      </c>
      <c r="CX919" s="61"/>
      <c r="CY919" s="45">
        <v>915</v>
      </c>
      <c r="CZ919" s="45">
        <v>22.735126037990351</v>
      </c>
      <c r="DA919" s="45" t="str">
        <v>Invest</v>
      </c>
      <c r="DU919" s="52"/>
      <c r="DV919" s="50"/>
    </row>
    <row r="920" spans="86:126" ht="23.5">
      <c r="CH920" s="45">
        <v>916</v>
      </c>
      <c r="CI920" s="45">
        <v>5.4838537380622849</v>
      </c>
      <c r="CJ920" s="45" t="str">
        <v>Invest</v>
      </c>
      <c r="CM920" s="45">
        <v>916</v>
      </c>
      <c r="CN920" s="48">
        <v>28.369666841520001</v>
      </c>
      <c r="CO920" s="45" t="str">
        <v>Invest</v>
      </c>
      <c r="CP920" s="61"/>
      <c r="CQ920" s="45">
        <v>916</v>
      </c>
      <c r="CR920" s="45">
        <v>3.0552484639160795</v>
      </c>
      <c r="CS920" s="45" t="str">
        <v>Invest</v>
      </c>
      <c r="CT920" s="61"/>
      <c r="CU920" s="45">
        <v>916</v>
      </c>
      <c r="CV920" s="45">
        <v>22.1957477976697</v>
      </c>
      <c r="CW920" s="45" t="str">
        <v>Invest</v>
      </c>
      <c r="CX920" s="61"/>
      <c r="CY920" s="45">
        <v>916</v>
      </c>
      <c r="CZ920" s="45">
        <v>0</v>
      </c>
      <c r="DA920" s="45" t="str">
        <v>Nothing</v>
      </c>
      <c r="DU920" s="52"/>
      <c r="DV920" s="50"/>
    </row>
    <row r="921" spans="86:126" ht="23.5">
      <c r="CH921" s="45">
        <v>917</v>
      </c>
      <c r="CI921" s="45">
        <v>29.400352794846235</v>
      </c>
      <c r="CJ921" s="45" t="str">
        <v>Invest</v>
      </c>
      <c r="CM921" s="45">
        <v>917</v>
      </c>
      <c r="CN921" s="48">
        <v>23.434690757776231</v>
      </c>
      <c r="CO921" s="45" t="str">
        <v>Invest</v>
      </c>
      <c r="CP921" s="61"/>
      <c r="CQ921" s="45">
        <v>917</v>
      </c>
      <c r="CR921" s="45">
        <v>0.63311599919300487</v>
      </c>
      <c r="CS921" s="45" t="str">
        <v>Invest</v>
      </c>
      <c r="CT921" s="61"/>
      <c r="CU921" s="45">
        <v>917</v>
      </c>
      <c r="CV921" s="45">
        <v>32.159093698462151</v>
      </c>
      <c r="CW921" s="45" t="str">
        <v>Invest</v>
      </c>
      <c r="CX921" s="61"/>
      <c r="CY921" s="45">
        <v>917</v>
      </c>
      <c r="CZ921" s="45">
        <v>38.521714598376363</v>
      </c>
      <c r="DA921" s="45" t="str">
        <v>Invest</v>
      </c>
      <c r="DU921" s="52"/>
      <c r="DV921" s="50"/>
    </row>
    <row r="922" spans="86:126" ht="23.5">
      <c r="CH922" s="45">
        <v>918</v>
      </c>
      <c r="CI922" s="45">
        <v>27.022095216053895</v>
      </c>
      <c r="CJ922" s="45" t="str">
        <v>Invest</v>
      </c>
      <c r="CM922" s="45">
        <v>918</v>
      </c>
      <c r="CN922" s="48">
        <v>2.6132110536827717</v>
      </c>
      <c r="CO922" s="45" t="str">
        <v>Invest</v>
      </c>
      <c r="CP922" s="61"/>
      <c r="CQ922" s="45">
        <v>918</v>
      </c>
      <c r="CR922" s="45">
        <v>0</v>
      </c>
      <c r="CS922" s="45" t="str">
        <v>Nothing</v>
      </c>
      <c r="CT922" s="61"/>
      <c r="CU922" s="45">
        <v>918</v>
      </c>
      <c r="CV922" s="45">
        <v>10.317256600579146</v>
      </c>
      <c r="CW922" s="45" t="str">
        <v>Invest</v>
      </c>
      <c r="CX922" s="61"/>
      <c r="CY922" s="45">
        <v>918</v>
      </c>
      <c r="CZ922" s="45">
        <v>24.878183243478993</v>
      </c>
      <c r="DA922" s="45" t="str">
        <v>Invest</v>
      </c>
      <c r="DU922" s="52"/>
      <c r="DV922" s="50"/>
    </row>
    <row r="923" spans="86:126" ht="23.5">
      <c r="CH923" s="45">
        <v>919</v>
      </c>
      <c r="CI923" s="45">
        <v>24.300224276356374</v>
      </c>
      <c r="CJ923" s="45" t="str">
        <v>Invest</v>
      </c>
      <c r="CM923" s="45">
        <v>919</v>
      </c>
      <c r="CN923" s="48">
        <v>17.657351918933497</v>
      </c>
      <c r="CO923" s="45" t="str">
        <v>Invest</v>
      </c>
      <c r="CP923" s="61"/>
      <c r="CQ923" s="45">
        <v>919</v>
      </c>
      <c r="CR923" s="45">
        <v>8.6790931752208706</v>
      </c>
      <c r="CS923" s="45" t="str">
        <v>Invest</v>
      </c>
      <c r="CT923" s="61"/>
      <c r="CU923" s="45">
        <v>919</v>
      </c>
      <c r="CV923" s="45">
        <v>0</v>
      </c>
      <c r="CW923" s="45" t="str">
        <v>Nothing</v>
      </c>
      <c r="CX923" s="61"/>
      <c r="CY923" s="45">
        <v>919</v>
      </c>
      <c r="CZ923" s="45">
        <v>17.374447644590756</v>
      </c>
      <c r="DA923" s="45" t="str">
        <v>Invest</v>
      </c>
      <c r="DU923" s="52"/>
      <c r="DV923" s="50"/>
    </row>
    <row r="924" spans="86:126" ht="23.5">
      <c r="CH924" s="45">
        <v>920</v>
      </c>
      <c r="CI924" s="45">
        <v>0</v>
      </c>
      <c r="CJ924" s="45" t="str">
        <v>Nothing</v>
      </c>
      <c r="CM924" s="45">
        <v>920</v>
      </c>
      <c r="CN924" s="48">
        <v>0</v>
      </c>
      <c r="CO924" s="45" t="str">
        <v>Nothing</v>
      </c>
      <c r="CP924" s="61"/>
      <c r="CQ924" s="45">
        <v>920</v>
      </c>
      <c r="CR924" s="45">
        <v>0.2789874704413613</v>
      </c>
      <c r="CS924" s="45" t="str">
        <v>Invest</v>
      </c>
      <c r="CT924" s="61"/>
      <c r="CU924" s="45">
        <v>920</v>
      </c>
      <c r="CV924" s="45">
        <v>21.03312459476226</v>
      </c>
      <c r="CW924" s="45" t="str">
        <v>Invest</v>
      </c>
      <c r="CX924" s="61"/>
      <c r="CY924" s="45">
        <v>920</v>
      </c>
      <c r="CZ924" s="45">
        <v>41.58535903241615</v>
      </c>
      <c r="DA924" s="45" t="str">
        <v>Invest</v>
      </c>
      <c r="DU924" s="52"/>
      <c r="DV924" s="50"/>
    </row>
    <row r="925" spans="86:126" ht="23.5">
      <c r="CH925" s="45">
        <v>921</v>
      </c>
      <c r="CI925" s="45">
        <v>4.5956937988219142</v>
      </c>
      <c r="CJ925" s="45" t="str">
        <v>Invest</v>
      </c>
      <c r="CM925" s="45">
        <v>921</v>
      </c>
      <c r="CN925" s="48">
        <v>12.92563570370762</v>
      </c>
      <c r="CO925" s="45" t="str">
        <v>Invest</v>
      </c>
      <c r="CP925" s="61"/>
      <c r="CQ925" s="45">
        <v>921</v>
      </c>
      <c r="CR925" s="45">
        <v>54.881191159684988</v>
      </c>
      <c r="CS925" s="45" t="str">
        <v>Invest</v>
      </c>
      <c r="CT925" s="61"/>
      <c r="CU925" s="45">
        <v>921</v>
      </c>
      <c r="CV925" s="45">
        <v>31.642089060725521</v>
      </c>
      <c r="CW925" s="45" t="str">
        <v>Invest</v>
      </c>
      <c r="CX925" s="61"/>
      <c r="CY925" s="45">
        <v>921</v>
      </c>
      <c r="CZ925" s="45">
        <v>16.90619144823053</v>
      </c>
      <c r="DA925" s="45" t="str">
        <v>Invest</v>
      </c>
      <c r="DU925" s="52"/>
      <c r="DV925" s="50"/>
    </row>
    <row r="926" spans="86:126" ht="23.5">
      <c r="CH926" s="45">
        <v>922</v>
      </c>
      <c r="CI926" s="45">
        <v>21.370139233635665</v>
      </c>
      <c r="CJ926" s="45" t="str">
        <v>Invest</v>
      </c>
      <c r="CM926" s="45">
        <v>922</v>
      </c>
      <c r="CN926" s="48">
        <v>5.9976258902337891</v>
      </c>
      <c r="CO926" s="45" t="str">
        <v>Invest</v>
      </c>
      <c r="CP926" s="61"/>
      <c r="CQ926" s="45">
        <v>922</v>
      </c>
      <c r="CR926" s="45">
        <v>0</v>
      </c>
      <c r="CS926" s="45" t="str">
        <v>Nothing</v>
      </c>
      <c r="CT926" s="61"/>
      <c r="CU926" s="45">
        <v>922</v>
      </c>
      <c r="CV926" s="45">
        <v>13.537978587362208</v>
      </c>
      <c r="CW926" s="45" t="str">
        <v>Invest</v>
      </c>
      <c r="CX926" s="61"/>
      <c r="CY926" s="45">
        <v>922</v>
      </c>
      <c r="CZ926" s="45">
        <v>47.413699588291252</v>
      </c>
      <c r="DA926" s="45" t="str">
        <v>Invest</v>
      </c>
      <c r="DU926" s="52"/>
      <c r="DV926" s="50"/>
    </row>
    <row r="927" spans="86:126" ht="23.5">
      <c r="CH927" s="45">
        <v>923</v>
      </c>
      <c r="CI927" s="45">
        <v>9.1495469929466253</v>
      </c>
      <c r="CJ927" s="45" t="str">
        <v>Invest</v>
      </c>
      <c r="CM927" s="45">
        <v>923</v>
      </c>
      <c r="CN927" s="48">
        <v>21.563274975338445</v>
      </c>
      <c r="CO927" s="45" t="str">
        <v>Invest</v>
      </c>
      <c r="CP927" s="61"/>
      <c r="CQ927" s="45">
        <v>923</v>
      </c>
      <c r="CR927" s="45">
        <v>46.265707780008071</v>
      </c>
      <c r="CS927" s="45" t="str">
        <v>Invest</v>
      </c>
      <c r="CT927" s="61"/>
      <c r="CU927" s="45">
        <v>923</v>
      </c>
      <c r="CV927" s="45">
        <v>3.7268767240399772</v>
      </c>
      <c r="CW927" s="45" t="str">
        <v>Invest</v>
      </c>
      <c r="CX927" s="61"/>
      <c r="CY927" s="45">
        <v>923</v>
      </c>
      <c r="CZ927" s="45">
        <v>25.991162206831852</v>
      </c>
      <c r="DA927" s="45" t="str">
        <v>Invest</v>
      </c>
      <c r="DU927" s="52"/>
      <c r="DV927" s="50"/>
    </row>
    <row r="928" spans="86:126" ht="23.5">
      <c r="CH928" s="45">
        <v>924</v>
      </c>
      <c r="CI928" s="45">
        <v>18.217351085113556</v>
      </c>
      <c r="CJ928" s="45" t="str">
        <v>Invest</v>
      </c>
      <c r="CM928" s="45">
        <v>924</v>
      </c>
      <c r="CN928" s="48">
        <v>11.082338279761014</v>
      </c>
      <c r="CO928" s="45" t="str">
        <v>Invest</v>
      </c>
      <c r="CP928" s="61"/>
      <c r="CQ928" s="45">
        <v>924</v>
      </c>
      <c r="CR928" s="45">
        <v>27.91768089047256</v>
      </c>
      <c r="CS928" s="45" t="str">
        <v>Invest</v>
      </c>
      <c r="CT928" s="61"/>
      <c r="CU928" s="45">
        <v>924</v>
      </c>
      <c r="CV928" s="45">
        <v>2.7329155046660007</v>
      </c>
      <c r="CW928" s="45" t="str">
        <v>Invest</v>
      </c>
      <c r="CX928" s="61"/>
      <c r="CY928" s="45">
        <v>924</v>
      </c>
      <c r="CZ928" s="45">
        <v>3.0049645132340288</v>
      </c>
      <c r="DA928" s="45" t="str">
        <v>Invest</v>
      </c>
      <c r="DU928" s="52"/>
      <c r="DV928" s="50"/>
    </row>
    <row r="929" spans="86:126" ht="23.5">
      <c r="CH929" s="45">
        <v>925</v>
      </c>
      <c r="CI929" s="45">
        <v>0</v>
      </c>
      <c r="CJ929" s="45" t="str">
        <v>Nothing</v>
      </c>
      <c r="CM929" s="45">
        <v>925</v>
      </c>
      <c r="CN929" s="48">
        <v>31.500467227023364</v>
      </c>
      <c r="CO929" s="45" t="str">
        <v>Invest</v>
      </c>
      <c r="CP929" s="61"/>
      <c r="CQ929" s="45">
        <v>925</v>
      </c>
      <c r="CR929" s="45">
        <v>20.163103955559571</v>
      </c>
      <c r="CS929" s="45" t="str">
        <v>Invest</v>
      </c>
      <c r="CT929" s="61"/>
      <c r="CU929" s="45">
        <v>925</v>
      </c>
      <c r="CV929" s="45">
        <v>0</v>
      </c>
      <c r="CW929" s="45" t="str">
        <v>Nothing</v>
      </c>
      <c r="CX929" s="61"/>
      <c r="CY929" s="45">
        <v>925</v>
      </c>
      <c r="CZ929" s="45">
        <v>0</v>
      </c>
      <c r="DA929" s="45" t="str">
        <v>Nothing</v>
      </c>
      <c r="DU929" s="52"/>
      <c r="DV929" s="50"/>
    </row>
    <row r="930" spans="86:126" ht="23.5">
      <c r="CH930" s="45">
        <v>926</v>
      </c>
      <c r="CI930" s="45">
        <v>30.994413714713172</v>
      </c>
      <c r="CJ930" s="45" t="str">
        <v>Invest</v>
      </c>
      <c r="CM930" s="45">
        <v>926</v>
      </c>
      <c r="CN930" s="48">
        <v>15.347478215615016</v>
      </c>
      <c r="CO930" s="45" t="str">
        <v>Invest</v>
      </c>
      <c r="CP930" s="61"/>
      <c r="CQ930" s="45">
        <v>926</v>
      </c>
      <c r="CR930" s="45">
        <v>13.126408991778492</v>
      </c>
      <c r="CS930" s="45" t="str">
        <v>Invest</v>
      </c>
      <c r="CT930" s="61"/>
      <c r="CU930" s="45">
        <v>926</v>
      </c>
      <c r="CV930" s="45">
        <v>0</v>
      </c>
      <c r="CW930" s="45" t="str">
        <v>Nothing</v>
      </c>
      <c r="CX930" s="61"/>
      <c r="CY930" s="45">
        <v>926</v>
      </c>
      <c r="CZ930" s="45">
        <v>46.227228566505659</v>
      </c>
      <c r="DA930" s="45" t="str">
        <v>Invest</v>
      </c>
      <c r="DU930" s="52"/>
      <c r="DV930" s="50"/>
    </row>
    <row r="931" spans="86:126" ht="23.5">
      <c r="CH931" s="45">
        <v>927</v>
      </c>
      <c r="CI931" s="45">
        <v>0</v>
      </c>
      <c r="CJ931" s="45" t="str">
        <v>Nothing</v>
      </c>
      <c r="CM931" s="45">
        <v>927</v>
      </c>
      <c r="CN931" s="48">
        <v>22.40359348108851</v>
      </c>
      <c r="CO931" s="45" t="str">
        <v>Invest</v>
      </c>
      <c r="CP931" s="61"/>
      <c r="CQ931" s="45">
        <v>927</v>
      </c>
      <c r="CR931" s="45">
        <v>45.127844998036807</v>
      </c>
      <c r="CS931" s="45" t="str">
        <v>Invest</v>
      </c>
      <c r="CT931" s="61"/>
      <c r="CU931" s="45">
        <v>927</v>
      </c>
      <c r="CV931" s="45">
        <v>33.924177830877724</v>
      </c>
      <c r="CW931" s="45" t="str">
        <v>Invest</v>
      </c>
      <c r="CX931" s="61"/>
      <c r="CY931" s="45">
        <v>927</v>
      </c>
      <c r="CZ931" s="45">
        <v>0.79252861156954069</v>
      </c>
      <c r="DA931" s="45" t="str">
        <v>Invest</v>
      </c>
      <c r="DU931" s="52"/>
      <c r="DV931" s="50"/>
    </row>
    <row r="932" spans="86:126" ht="23.5">
      <c r="CH932" s="45">
        <v>928</v>
      </c>
      <c r="CI932" s="45">
        <v>0</v>
      </c>
      <c r="CJ932" s="45" t="str">
        <v>Nothing</v>
      </c>
      <c r="CM932" s="45">
        <v>928</v>
      </c>
      <c r="CN932" s="48">
        <v>2.6278062469518702</v>
      </c>
      <c r="CO932" s="45" t="str">
        <v>Invest</v>
      </c>
      <c r="CP932" s="61"/>
      <c r="CQ932" s="45">
        <v>928</v>
      </c>
      <c r="CR932" s="45">
        <v>3.2969153166929033</v>
      </c>
      <c r="CS932" s="45" t="str">
        <v>Invest</v>
      </c>
      <c r="CT932" s="61"/>
      <c r="CU932" s="45">
        <v>928</v>
      </c>
      <c r="CV932" s="45">
        <v>26.702520154147241</v>
      </c>
      <c r="CW932" s="45" t="str">
        <v>Invest</v>
      </c>
      <c r="CX932" s="61"/>
      <c r="CY932" s="45">
        <v>928</v>
      </c>
      <c r="CZ932" s="45">
        <v>0</v>
      </c>
      <c r="DA932" s="45" t="str">
        <v>Nothing</v>
      </c>
      <c r="DU932" s="52"/>
      <c r="DV932" s="50"/>
    </row>
    <row r="933" spans="86:126" ht="23.5">
      <c r="CH933" s="45">
        <v>929</v>
      </c>
      <c r="CI933" s="45">
        <v>40.444564116188623</v>
      </c>
      <c r="CJ933" s="45" t="str">
        <v>Invest</v>
      </c>
      <c r="CM933" s="45">
        <v>929</v>
      </c>
      <c r="CN933" s="48">
        <v>39.430246765847571</v>
      </c>
      <c r="CO933" s="45" t="str">
        <v>Invest</v>
      </c>
      <c r="CP933" s="61"/>
      <c r="CQ933" s="45">
        <v>929</v>
      </c>
      <c r="CR933" s="45">
        <v>4.7760560075820635</v>
      </c>
      <c r="CS933" s="45" t="str">
        <v>Invest</v>
      </c>
      <c r="CT933" s="61"/>
      <c r="CU933" s="45">
        <v>929</v>
      </c>
      <c r="CV933" s="45">
        <v>0</v>
      </c>
      <c r="CW933" s="45" t="str">
        <v>Nothing</v>
      </c>
      <c r="CX933" s="61"/>
      <c r="CY933" s="45">
        <v>929</v>
      </c>
      <c r="CZ933" s="45">
        <v>38.292761175181994</v>
      </c>
      <c r="DA933" s="45" t="str">
        <v>Invest</v>
      </c>
      <c r="DU933" s="52"/>
      <c r="DV933" s="50"/>
    </row>
    <row r="934" spans="86:126" ht="23.5">
      <c r="CH934" s="45">
        <v>930</v>
      </c>
      <c r="CI934" s="45">
        <v>0</v>
      </c>
      <c r="CJ934" s="45" t="str">
        <v>Nothing</v>
      </c>
      <c r="CM934" s="45">
        <v>930</v>
      </c>
      <c r="CN934" s="48">
        <v>0</v>
      </c>
      <c r="CO934" s="45" t="str">
        <v>Nothing</v>
      </c>
      <c r="CP934" s="61"/>
      <c r="CQ934" s="45">
        <v>930</v>
      </c>
      <c r="CR934" s="45">
        <v>58.230240943991902</v>
      </c>
      <c r="CS934" s="45" t="str">
        <v>Invest</v>
      </c>
      <c r="CT934" s="61"/>
      <c r="CU934" s="45">
        <v>930</v>
      </c>
      <c r="CV934" s="45">
        <v>21.318850892925852</v>
      </c>
      <c r="CW934" s="45" t="str">
        <v>Invest</v>
      </c>
      <c r="CX934" s="61"/>
      <c r="CY934" s="45">
        <v>930</v>
      </c>
      <c r="CZ934" s="45">
        <v>6.6726690053753384</v>
      </c>
      <c r="DA934" s="45" t="str">
        <v>Invest</v>
      </c>
      <c r="DU934" s="52"/>
      <c r="DV934" s="50"/>
    </row>
    <row r="935" spans="86:126" ht="23.5">
      <c r="CH935" s="45">
        <v>931</v>
      </c>
      <c r="CI935" s="45">
        <v>0</v>
      </c>
      <c r="CJ935" s="45" t="str">
        <v>Nothing</v>
      </c>
      <c r="CM935" s="45">
        <v>931</v>
      </c>
      <c r="CN935" s="48">
        <v>15.318774261864245</v>
      </c>
      <c r="CO935" s="45" t="str">
        <v>Invest</v>
      </c>
      <c r="CP935" s="61"/>
      <c r="CQ935" s="45">
        <v>931</v>
      </c>
      <c r="CR935" s="45">
        <v>0</v>
      </c>
      <c r="CS935" s="45" t="str">
        <v>Nothing</v>
      </c>
      <c r="CT935" s="61"/>
      <c r="CU935" s="45">
        <v>931</v>
      </c>
      <c r="CV935" s="45">
        <v>15.965560036617676</v>
      </c>
      <c r="CW935" s="45" t="str">
        <v>Invest</v>
      </c>
      <c r="CX935" s="61"/>
      <c r="CY935" s="45">
        <v>931</v>
      </c>
      <c r="CZ935" s="45">
        <v>48.945116622471609</v>
      </c>
      <c r="DA935" s="45" t="str">
        <v>Invest</v>
      </c>
      <c r="DU935" s="52"/>
      <c r="DV935" s="50"/>
    </row>
    <row r="936" spans="86:126" ht="23.5">
      <c r="CH936" s="45">
        <v>932</v>
      </c>
      <c r="CI936" s="45">
        <v>11.024492692505607</v>
      </c>
      <c r="CJ936" s="45" t="str">
        <v>Invest</v>
      </c>
      <c r="CM936" s="45">
        <v>932</v>
      </c>
      <c r="CN936" s="48">
        <v>12.98037667150917</v>
      </c>
      <c r="CO936" s="45" t="str">
        <v>Invest</v>
      </c>
      <c r="CP936" s="61"/>
      <c r="CQ936" s="45">
        <v>932</v>
      </c>
      <c r="CR936" s="45">
        <v>24.356649587006778</v>
      </c>
      <c r="CS936" s="45" t="str">
        <v>Invest</v>
      </c>
      <c r="CT936" s="61"/>
      <c r="CU936" s="45">
        <v>932</v>
      </c>
      <c r="CV936" s="45">
        <v>14.545884805907228</v>
      </c>
      <c r="CW936" s="45" t="str">
        <v>Invest</v>
      </c>
      <c r="CX936" s="61"/>
      <c r="CY936" s="45">
        <v>932</v>
      </c>
      <c r="CZ936" s="45">
        <v>8.3883611044700519</v>
      </c>
      <c r="DA936" s="45" t="str">
        <v>Invest</v>
      </c>
      <c r="DU936" s="52"/>
      <c r="DV936" s="50"/>
    </row>
    <row r="937" spans="86:126" ht="23.5">
      <c r="CH937" s="45">
        <v>933</v>
      </c>
      <c r="CI937" s="45">
        <v>20.559735744069645</v>
      </c>
      <c r="CJ937" s="45" t="str">
        <v>Invest</v>
      </c>
      <c r="CM937" s="45">
        <v>933</v>
      </c>
      <c r="CN937" s="48">
        <v>0</v>
      </c>
      <c r="CO937" s="45" t="str">
        <v>Nothing</v>
      </c>
      <c r="CP937" s="61"/>
      <c r="CQ937" s="45">
        <v>933</v>
      </c>
      <c r="CR937" s="45">
        <v>24.784693522243064</v>
      </c>
      <c r="CS937" s="45" t="str">
        <v>Invest</v>
      </c>
      <c r="CT937" s="61"/>
      <c r="CU937" s="45">
        <v>933</v>
      </c>
      <c r="CV937" s="45">
        <v>22.955741725694807</v>
      </c>
      <c r="CW937" s="45" t="str">
        <v>Invest</v>
      </c>
      <c r="CX937" s="61"/>
      <c r="CY937" s="45">
        <v>933</v>
      </c>
      <c r="CZ937" s="45">
        <v>45.162198588720784</v>
      </c>
      <c r="DA937" s="45" t="str">
        <v>Invest</v>
      </c>
      <c r="DU937" s="52"/>
      <c r="DV937" s="50"/>
    </row>
    <row r="938" spans="86:126" ht="23.5">
      <c r="CH938" s="45">
        <v>934</v>
      </c>
      <c r="CI938" s="45">
        <v>14.841313750360161</v>
      </c>
      <c r="CJ938" s="45" t="str">
        <v>Invest</v>
      </c>
      <c r="CM938" s="45">
        <v>934</v>
      </c>
      <c r="CN938" s="48">
        <v>62.454377942906319</v>
      </c>
      <c r="CO938" s="45" t="str">
        <v>Invest</v>
      </c>
      <c r="CP938" s="61"/>
      <c r="CQ938" s="45">
        <v>934</v>
      </c>
      <c r="CR938" s="45">
        <v>5.1436597348999875</v>
      </c>
      <c r="CS938" s="45" t="str">
        <v>Invest</v>
      </c>
      <c r="CT938" s="61"/>
      <c r="CU938" s="45">
        <v>934</v>
      </c>
      <c r="CV938" s="45">
        <v>34.50848664736781</v>
      </c>
      <c r="CW938" s="45" t="str">
        <v>Invest</v>
      </c>
      <c r="CX938" s="61"/>
      <c r="CY938" s="45">
        <v>934</v>
      </c>
      <c r="CZ938" s="45">
        <v>0</v>
      </c>
      <c r="DA938" s="45" t="str">
        <v>Nothing</v>
      </c>
      <c r="DU938" s="52"/>
      <c r="DV938" s="50"/>
    </row>
    <row r="939" spans="86:126" ht="23.5">
      <c r="CH939" s="45">
        <v>935</v>
      </c>
      <c r="CI939" s="45">
        <v>4.2547419878711361</v>
      </c>
      <c r="CJ939" s="45" t="str">
        <v>Invest</v>
      </c>
      <c r="CM939" s="45">
        <v>935</v>
      </c>
      <c r="CN939" s="48">
        <v>0</v>
      </c>
      <c r="CO939" s="45" t="str">
        <v>Nothing</v>
      </c>
      <c r="CP939" s="61"/>
      <c r="CQ939" s="45">
        <v>935</v>
      </c>
      <c r="CR939" s="45">
        <v>0</v>
      </c>
      <c r="CS939" s="45" t="str">
        <v>Nothing</v>
      </c>
      <c r="CT939" s="61"/>
      <c r="CU939" s="45">
        <v>935</v>
      </c>
      <c r="CV939" s="45">
        <v>13.228610479438025</v>
      </c>
      <c r="CW939" s="45" t="str">
        <v>Invest</v>
      </c>
      <c r="CX939" s="61"/>
      <c r="CY939" s="45">
        <v>935</v>
      </c>
      <c r="CZ939" s="45">
        <v>19.461680092853257</v>
      </c>
      <c r="DA939" s="45" t="str">
        <v>Invest</v>
      </c>
      <c r="DU939" s="52"/>
      <c r="DV939" s="50"/>
    </row>
    <row r="940" spans="86:126" ht="23.5">
      <c r="CH940" s="45">
        <v>936</v>
      </c>
      <c r="CI940" s="45">
        <v>16.662369065395328</v>
      </c>
      <c r="CJ940" s="45" t="str">
        <v>Invest</v>
      </c>
      <c r="CM940" s="45">
        <v>936</v>
      </c>
      <c r="CN940" s="48">
        <v>0</v>
      </c>
      <c r="CO940" s="45" t="str">
        <v>Nothing</v>
      </c>
      <c r="CP940" s="61"/>
      <c r="CQ940" s="45">
        <v>936</v>
      </c>
      <c r="CR940" s="45">
        <v>17.750672363663227</v>
      </c>
      <c r="CS940" s="45" t="str">
        <v>Invest</v>
      </c>
      <c r="CT940" s="61"/>
      <c r="CU940" s="45">
        <v>936</v>
      </c>
      <c r="CV940" s="45">
        <v>7.4226379350668026</v>
      </c>
      <c r="CW940" s="45" t="str">
        <v>Invest</v>
      </c>
      <c r="CX940" s="61"/>
      <c r="CY940" s="45">
        <v>936</v>
      </c>
      <c r="CZ940" s="45">
        <v>8.2921552192797492</v>
      </c>
      <c r="DA940" s="45" t="str">
        <v>Invest</v>
      </c>
      <c r="DU940" s="52"/>
      <c r="DV940" s="50"/>
    </row>
    <row r="941" spans="86:126" ht="23.5">
      <c r="CH941" s="45">
        <v>937</v>
      </c>
      <c r="CI941" s="45">
        <v>0</v>
      </c>
      <c r="CJ941" s="45" t="str">
        <v>Nothing</v>
      </c>
      <c r="CM941" s="45">
        <v>937</v>
      </c>
      <c r="CN941" s="48">
        <v>0</v>
      </c>
      <c r="CO941" s="45" t="str">
        <v>Nothing</v>
      </c>
      <c r="CP941" s="61"/>
      <c r="CQ941" s="45">
        <v>937</v>
      </c>
      <c r="CR941" s="45">
        <v>1.7655658903948961</v>
      </c>
      <c r="CS941" s="45" t="str">
        <v>Invest</v>
      </c>
      <c r="CT941" s="61"/>
      <c r="CU941" s="45">
        <v>937</v>
      </c>
      <c r="CV941" s="45">
        <v>24.516582562922849</v>
      </c>
      <c r="CW941" s="45" t="str">
        <v>Invest</v>
      </c>
      <c r="CX941" s="61"/>
      <c r="CY941" s="45">
        <v>937</v>
      </c>
      <c r="CZ941" s="45">
        <v>23.831369562303369</v>
      </c>
      <c r="DA941" s="45" t="str">
        <v>Invest</v>
      </c>
      <c r="DU941" s="52"/>
      <c r="DV941" s="50"/>
    </row>
    <row r="942" spans="86:126" ht="23.5">
      <c r="CH942" s="45">
        <v>938</v>
      </c>
      <c r="CI942" s="45">
        <v>0</v>
      </c>
      <c r="CJ942" s="45" t="str">
        <v>Nothing</v>
      </c>
      <c r="CM942" s="45">
        <v>938</v>
      </c>
      <c r="CN942" s="48">
        <v>0</v>
      </c>
      <c r="CO942" s="45" t="str">
        <v>Nothing</v>
      </c>
      <c r="CP942" s="61"/>
      <c r="CQ942" s="45">
        <v>938</v>
      </c>
      <c r="CR942" s="45">
        <v>5.6799815578982322</v>
      </c>
      <c r="CS942" s="45" t="str">
        <v>Invest</v>
      </c>
      <c r="CT942" s="61"/>
      <c r="CU942" s="45">
        <v>938</v>
      </c>
      <c r="CV942" s="45">
        <v>0</v>
      </c>
      <c r="CW942" s="45" t="str">
        <v>Nothing</v>
      </c>
      <c r="CX942" s="61"/>
      <c r="CY942" s="45">
        <v>938</v>
      </c>
      <c r="CZ942" s="45">
        <v>3.3693638767744698</v>
      </c>
      <c r="DA942" s="45" t="str">
        <v>Invest</v>
      </c>
      <c r="DU942" s="52"/>
      <c r="DV942" s="50"/>
    </row>
    <row r="943" spans="86:126" ht="23.5">
      <c r="CH943" s="45">
        <v>939</v>
      </c>
      <c r="CI943" s="45">
        <v>0</v>
      </c>
      <c r="CJ943" s="45" t="str">
        <v>Nothing</v>
      </c>
      <c r="CM943" s="45">
        <v>939</v>
      </c>
      <c r="CN943" s="48">
        <v>2.5120161941009584</v>
      </c>
      <c r="CO943" s="45" t="str">
        <v>Invest</v>
      </c>
      <c r="CP943" s="61"/>
      <c r="CQ943" s="45">
        <v>939</v>
      </c>
      <c r="CR943" s="45">
        <v>29.57033524640222</v>
      </c>
      <c r="CS943" s="45" t="str">
        <v>Invest</v>
      </c>
      <c r="CT943" s="61"/>
      <c r="CU943" s="45">
        <v>939</v>
      </c>
      <c r="CV943" s="45">
        <v>14.194710302232071</v>
      </c>
      <c r="CW943" s="45" t="str">
        <v>Invest</v>
      </c>
      <c r="CX943" s="61"/>
      <c r="CY943" s="45">
        <v>939</v>
      </c>
      <c r="CZ943" s="45">
        <v>0</v>
      </c>
      <c r="DA943" s="45" t="str">
        <v>Nothing</v>
      </c>
      <c r="DU943" s="52"/>
      <c r="DV943" s="50"/>
    </row>
    <row r="944" spans="86:126" ht="23.5">
      <c r="CH944" s="45">
        <v>940</v>
      </c>
      <c r="CI944" s="45">
        <v>40.315886746853039</v>
      </c>
      <c r="CJ944" s="45" t="str">
        <v>Invest</v>
      </c>
      <c r="CM944" s="45">
        <v>940</v>
      </c>
      <c r="CN944" s="48">
        <v>2.7389270397193073</v>
      </c>
      <c r="CO944" s="45" t="str">
        <v>Invest</v>
      </c>
      <c r="CP944" s="61"/>
      <c r="CQ944" s="45">
        <v>940</v>
      </c>
      <c r="CR944" s="45">
        <v>15.78513481422554</v>
      </c>
      <c r="CS944" s="45" t="str">
        <v>Invest</v>
      </c>
      <c r="CT944" s="61"/>
      <c r="CU944" s="45">
        <v>940</v>
      </c>
      <c r="CV944" s="45">
        <v>8.3083883248492398</v>
      </c>
      <c r="CW944" s="45" t="str">
        <v>Invest</v>
      </c>
      <c r="CX944" s="61"/>
      <c r="CY944" s="45">
        <v>940</v>
      </c>
      <c r="CZ944" s="45">
        <v>39.203835651617766</v>
      </c>
      <c r="DA944" s="45" t="str">
        <v>Invest</v>
      </c>
      <c r="DU944" s="52"/>
      <c r="DV944" s="50"/>
    </row>
    <row r="945" spans="86:126" ht="23.5">
      <c r="CH945" s="45">
        <v>941</v>
      </c>
      <c r="CI945" s="45">
        <v>0</v>
      </c>
      <c r="CJ945" s="45" t="str">
        <v>Nothing</v>
      </c>
      <c r="CM945" s="45">
        <v>941</v>
      </c>
      <c r="CN945" s="48">
        <v>4.0729519091028479</v>
      </c>
      <c r="CO945" s="45" t="str">
        <v>Invest</v>
      </c>
      <c r="CP945" s="61"/>
      <c r="CQ945" s="45">
        <v>941</v>
      </c>
      <c r="CR945" s="45">
        <v>31.86749547587155</v>
      </c>
      <c r="CS945" s="45" t="str">
        <v>Invest</v>
      </c>
      <c r="CT945" s="61"/>
      <c r="CU945" s="45">
        <v>941</v>
      </c>
      <c r="CV945" s="45">
        <v>45.882826067628557</v>
      </c>
      <c r="CW945" s="45" t="str">
        <v>Invest</v>
      </c>
      <c r="CX945" s="61"/>
      <c r="CY945" s="45">
        <v>941</v>
      </c>
      <c r="CZ945" s="45">
        <v>38.736348406983311</v>
      </c>
      <c r="DA945" s="45" t="str">
        <v>Invest</v>
      </c>
      <c r="DU945" s="52"/>
      <c r="DV945" s="50"/>
    </row>
    <row r="946" spans="86:126" ht="23.5">
      <c r="CH946" s="45">
        <v>942</v>
      </c>
      <c r="CI946" s="45">
        <v>26.911142935219097</v>
      </c>
      <c r="CJ946" s="45" t="str">
        <v>Invest</v>
      </c>
      <c r="CM946" s="45">
        <v>942</v>
      </c>
      <c r="CN946" s="48">
        <v>46.705908732575104</v>
      </c>
      <c r="CO946" s="45" t="str">
        <v>Invest</v>
      </c>
      <c r="CP946" s="61"/>
      <c r="CQ946" s="45">
        <v>942</v>
      </c>
      <c r="CR946" s="45">
        <v>26.014861228056752</v>
      </c>
      <c r="CS946" s="45" t="str">
        <v>Invest</v>
      </c>
      <c r="CT946" s="61"/>
      <c r="CU946" s="45">
        <v>942</v>
      </c>
      <c r="CV946" s="45">
        <v>21.817836373871383</v>
      </c>
      <c r="CW946" s="45" t="str">
        <v>Invest</v>
      </c>
      <c r="CX946" s="61"/>
      <c r="CY946" s="45">
        <v>942</v>
      </c>
      <c r="CZ946" s="45">
        <v>0</v>
      </c>
      <c r="DA946" s="45" t="str">
        <v>Nothing</v>
      </c>
      <c r="DU946" s="52"/>
      <c r="DV946" s="50"/>
    </row>
    <row r="947" spans="86:126" ht="23.5">
      <c r="CH947" s="45">
        <v>943</v>
      </c>
      <c r="CI947" s="45">
        <v>9.4829977549303717</v>
      </c>
      <c r="CJ947" s="45" t="str">
        <v>Invest</v>
      </c>
      <c r="CM947" s="45">
        <v>943</v>
      </c>
      <c r="CN947" s="48">
        <v>59.946247498522673</v>
      </c>
      <c r="CO947" s="45" t="str">
        <v>Invest</v>
      </c>
      <c r="CP947" s="61"/>
      <c r="CQ947" s="45">
        <v>943</v>
      </c>
      <c r="CR947" s="45">
        <v>25.523817287912482</v>
      </c>
      <c r="CS947" s="45" t="str">
        <v>Invest</v>
      </c>
      <c r="CT947" s="61"/>
      <c r="CU947" s="45">
        <v>943</v>
      </c>
      <c r="CV947" s="45">
        <v>0</v>
      </c>
      <c r="CW947" s="45" t="str">
        <v>Nothing</v>
      </c>
      <c r="CX947" s="61"/>
      <c r="CY947" s="45">
        <v>943</v>
      </c>
      <c r="CZ947" s="45">
        <v>7.3668093047326142</v>
      </c>
      <c r="DA947" s="45" t="str">
        <v>Invest</v>
      </c>
      <c r="DU947" s="52"/>
      <c r="DV947" s="50"/>
    </row>
    <row r="948" spans="86:126" ht="23.5">
      <c r="CH948" s="45">
        <v>944</v>
      </c>
      <c r="CI948" s="45">
        <v>0</v>
      </c>
      <c r="CJ948" s="45" t="str">
        <v>Nothing</v>
      </c>
      <c r="CM948" s="45">
        <v>944</v>
      </c>
      <c r="CN948" s="48">
        <v>24.725681323534133</v>
      </c>
      <c r="CO948" s="45" t="str">
        <v>Invest</v>
      </c>
      <c r="CP948" s="61"/>
      <c r="CQ948" s="45">
        <v>944</v>
      </c>
      <c r="CR948" s="45">
        <v>3.0843571538525918</v>
      </c>
      <c r="CS948" s="45" t="str">
        <v>Invest</v>
      </c>
      <c r="CT948" s="61"/>
      <c r="CU948" s="45">
        <v>944</v>
      </c>
      <c r="CV948" s="45">
        <v>24.014528441578754</v>
      </c>
      <c r="CW948" s="45" t="str">
        <v>Invest</v>
      </c>
      <c r="CX948" s="61"/>
      <c r="CY948" s="45">
        <v>944</v>
      </c>
      <c r="CZ948" s="45">
        <v>37.200381859033463</v>
      </c>
      <c r="DA948" s="45" t="str">
        <v>Invest</v>
      </c>
      <c r="DU948" s="52"/>
      <c r="DV948" s="50"/>
    </row>
    <row r="949" spans="86:126" ht="23.5">
      <c r="CH949" s="45">
        <v>945</v>
      </c>
      <c r="CI949" s="45">
        <v>0</v>
      </c>
      <c r="CJ949" s="45" t="str">
        <v>Nothing</v>
      </c>
      <c r="CM949" s="45">
        <v>945</v>
      </c>
      <c r="CN949" s="48">
        <v>8.6306080544773316</v>
      </c>
      <c r="CO949" s="45" t="str">
        <v>Invest</v>
      </c>
      <c r="CP949" s="61"/>
      <c r="CQ949" s="45">
        <v>945</v>
      </c>
      <c r="CR949" s="45">
        <v>0</v>
      </c>
      <c r="CS949" s="45" t="str">
        <v>Nothing</v>
      </c>
      <c r="CT949" s="61"/>
      <c r="CU949" s="45">
        <v>945</v>
      </c>
      <c r="CV949" s="45">
        <v>0.6539336798117219</v>
      </c>
      <c r="CW949" s="45" t="str">
        <v>Invest</v>
      </c>
      <c r="CX949" s="61"/>
      <c r="CY949" s="45">
        <v>945</v>
      </c>
      <c r="CZ949" s="45">
        <v>14.422114116883584</v>
      </c>
      <c r="DA949" s="45" t="str">
        <v>Invest</v>
      </c>
      <c r="DU949" s="52"/>
      <c r="DV949" s="50"/>
    </row>
    <row r="950" spans="86:126" ht="23.5">
      <c r="CH950" s="45">
        <v>946</v>
      </c>
      <c r="CI950" s="45">
        <v>44.061858706204781</v>
      </c>
      <c r="CJ950" s="45" t="str">
        <v>Invest</v>
      </c>
      <c r="CM950" s="45">
        <v>946</v>
      </c>
      <c r="CN950" s="48">
        <v>26.921052794939332</v>
      </c>
      <c r="CO950" s="45" t="str">
        <v>Invest</v>
      </c>
      <c r="CP950" s="61"/>
      <c r="CQ950" s="45">
        <v>946</v>
      </c>
      <c r="CR950" s="45">
        <v>19.124431204929152</v>
      </c>
      <c r="CS950" s="45" t="str">
        <v>Invest</v>
      </c>
      <c r="CT950" s="61"/>
      <c r="CU950" s="45">
        <v>946</v>
      </c>
      <c r="CV950" s="45">
        <v>4.9721262174691407</v>
      </c>
      <c r="CW950" s="45" t="str">
        <v>Invest</v>
      </c>
      <c r="CX950" s="61"/>
      <c r="CY950" s="45">
        <v>946</v>
      </c>
      <c r="CZ950" s="45">
        <v>0.62016320979876483</v>
      </c>
      <c r="DA950" s="45" t="str">
        <v>Invest</v>
      </c>
      <c r="DU950" s="52"/>
      <c r="DV950" s="50"/>
    </row>
    <row r="951" spans="86:126" ht="23.5">
      <c r="CH951" s="45">
        <v>947</v>
      </c>
      <c r="CI951" s="45">
        <v>0</v>
      </c>
      <c r="CJ951" s="45" t="str">
        <v>Nothing</v>
      </c>
      <c r="CM951" s="45">
        <v>947</v>
      </c>
      <c r="CN951" s="48">
        <v>0</v>
      </c>
      <c r="CO951" s="45" t="str">
        <v>Nothing</v>
      </c>
      <c r="CP951" s="61"/>
      <c r="CQ951" s="45">
        <v>947</v>
      </c>
      <c r="CR951" s="45">
        <v>8.0304562686256311</v>
      </c>
      <c r="CS951" s="45" t="str">
        <v>Invest</v>
      </c>
      <c r="CT951" s="61"/>
      <c r="CU951" s="45">
        <v>947</v>
      </c>
      <c r="CV951" s="45">
        <v>0</v>
      </c>
      <c r="CW951" s="45" t="str">
        <v>Nothing</v>
      </c>
      <c r="CX951" s="61"/>
      <c r="CY951" s="45">
        <v>947</v>
      </c>
      <c r="CZ951" s="45">
        <v>21.95012543070699</v>
      </c>
      <c r="DA951" s="45" t="str">
        <v>Invest</v>
      </c>
      <c r="DU951" s="52"/>
      <c r="DV951" s="50"/>
    </row>
    <row r="952" spans="86:126" ht="23.5">
      <c r="CH952" s="45">
        <v>948</v>
      </c>
      <c r="CI952" s="45">
        <v>11.791663015189723</v>
      </c>
      <c r="CJ952" s="45" t="str">
        <v>Invest</v>
      </c>
      <c r="CM952" s="45">
        <v>948</v>
      </c>
      <c r="CN952" s="48">
        <v>11.513960891247301</v>
      </c>
      <c r="CO952" s="45" t="str">
        <v>Invest</v>
      </c>
      <c r="CP952" s="61"/>
      <c r="CQ952" s="45">
        <v>948</v>
      </c>
      <c r="CR952" s="45">
        <v>49.950104068911905</v>
      </c>
      <c r="CS952" s="45" t="str">
        <v>Invest</v>
      </c>
      <c r="CT952" s="61"/>
      <c r="CU952" s="45">
        <v>948</v>
      </c>
      <c r="CV952" s="45">
        <v>59.356415830073459</v>
      </c>
      <c r="CW952" s="45" t="str">
        <v>Invest</v>
      </c>
      <c r="CX952" s="61"/>
      <c r="CY952" s="45">
        <v>948</v>
      </c>
      <c r="CZ952" s="45">
        <v>36.052501170294832</v>
      </c>
      <c r="DA952" s="45" t="str">
        <v>Invest</v>
      </c>
      <c r="DU952" s="52"/>
      <c r="DV952" s="50"/>
    </row>
    <row r="953" spans="86:126" ht="23.5">
      <c r="CH953" s="45">
        <v>949</v>
      </c>
      <c r="CI953" s="45">
        <v>23.428405664142375</v>
      </c>
      <c r="CJ953" s="45" t="str">
        <v>Invest</v>
      </c>
      <c r="CM953" s="45">
        <v>949</v>
      </c>
      <c r="CN953" s="48">
        <v>0</v>
      </c>
      <c r="CO953" s="45" t="str">
        <v>Nothing</v>
      </c>
      <c r="CP953" s="61"/>
      <c r="CQ953" s="45">
        <v>949</v>
      </c>
      <c r="CR953" s="45">
        <v>6.1103460989958123</v>
      </c>
      <c r="CS953" s="45" t="str">
        <v>Invest</v>
      </c>
      <c r="CT953" s="61"/>
      <c r="CU953" s="45">
        <v>949</v>
      </c>
      <c r="CV953" s="45">
        <v>28.044604816728736</v>
      </c>
      <c r="CW953" s="45" t="str">
        <v>Invest</v>
      </c>
      <c r="CX953" s="61"/>
      <c r="CY953" s="45">
        <v>949</v>
      </c>
      <c r="CZ953" s="45">
        <v>0</v>
      </c>
      <c r="DA953" s="45" t="str">
        <v>Nothing</v>
      </c>
      <c r="DU953" s="52"/>
      <c r="DV953" s="50"/>
    </row>
    <row r="954" spans="86:126" ht="23.5">
      <c r="CH954" s="45">
        <v>950</v>
      </c>
      <c r="CI954" s="45">
        <v>10.395174062358272</v>
      </c>
      <c r="CJ954" s="45" t="str">
        <v>Invest</v>
      </c>
      <c r="CM954" s="45">
        <v>950</v>
      </c>
      <c r="CN954" s="48">
        <v>1.7365218125918496</v>
      </c>
      <c r="CO954" s="45" t="str">
        <v>Invest</v>
      </c>
      <c r="CP954" s="61"/>
      <c r="CQ954" s="45">
        <v>950</v>
      </c>
      <c r="CR954" s="45">
        <v>16.228309233141189</v>
      </c>
      <c r="CS954" s="45" t="str">
        <v>Invest</v>
      </c>
      <c r="CT954" s="61"/>
      <c r="CU954" s="45">
        <v>950</v>
      </c>
      <c r="CV954" s="45">
        <v>15.342721537005836</v>
      </c>
      <c r="CW954" s="45" t="str">
        <v>Invest</v>
      </c>
      <c r="CX954" s="61"/>
      <c r="CY954" s="45">
        <v>950</v>
      </c>
      <c r="CZ954" s="45">
        <v>33.283260433667941</v>
      </c>
      <c r="DA954" s="45" t="str">
        <v>Invest</v>
      </c>
      <c r="DU954" s="52"/>
      <c r="DV954" s="50"/>
    </row>
    <row r="955" spans="86:126" ht="23.5">
      <c r="CH955" s="45">
        <v>951</v>
      </c>
      <c r="CI955" s="45">
        <v>16.246556303347994</v>
      </c>
      <c r="CJ955" s="45" t="str">
        <v>Invest</v>
      </c>
      <c r="CM955" s="45">
        <v>951</v>
      </c>
      <c r="CN955" s="48">
        <v>19.22339076253882</v>
      </c>
      <c r="CO955" s="45" t="str">
        <v>Invest</v>
      </c>
      <c r="CP955" s="61"/>
      <c r="CQ955" s="45">
        <v>951</v>
      </c>
      <c r="CR955" s="45">
        <v>3.2010392328273536</v>
      </c>
      <c r="CS955" s="45" t="str">
        <v>Invest</v>
      </c>
      <c r="CT955" s="61"/>
      <c r="CU955" s="45">
        <v>951</v>
      </c>
      <c r="CV955" s="45">
        <v>0</v>
      </c>
      <c r="CW955" s="45" t="str">
        <v>Nothing</v>
      </c>
      <c r="CX955" s="61"/>
      <c r="CY955" s="45">
        <v>951</v>
      </c>
      <c r="CZ955" s="45">
        <v>14.966887096273716</v>
      </c>
      <c r="DA955" s="45" t="str">
        <v>Invest</v>
      </c>
      <c r="DU955" s="52"/>
      <c r="DV955" s="50"/>
    </row>
    <row r="956" spans="86:126" ht="23.5">
      <c r="CH956" s="45">
        <v>952</v>
      </c>
      <c r="CI956" s="45">
        <v>4.6868961256778574</v>
      </c>
      <c r="CJ956" s="45" t="str">
        <v>Invest</v>
      </c>
      <c r="CM956" s="45">
        <v>952</v>
      </c>
      <c r="CN956" s="48">
        <v>55.527737776639185</v>
      </c>
      <c r="CO956" s="45" t="str">
        <v>Invest</v>
      </c>
      <c r="CP956" s="61"/>
      <c r="CQ956" s="45">
        <v>952</v>
      </c>
      <c r="CR956" s="45">
        <v>51.537131790123823</v>
      </c>
      <c r="CS956" s="45" t="str">
        <v>Invest</v>
      </c>
      <c r="CT956" s="61"/>
      <c r="CU956" s="45">
        <v>952</v>
      </c>
      <c r="CV956" s="45">
        <v>5.0260022908058595</v>
      </c>
      <c r="CW956" s="45" t="str">
        <v>Invest</v>
      </c>
      <c r="CX956" s="61"/>
      <c r="CY956" s="45">
        <v>952</v>
      </c>
      <c r="CZ956" s="45">
        <v>22.572229155332522</v>
      </c>
      <c r="DA956" s="45" t="str">
        <v>Invest</v>
      </c>
      <c r="DU956" s="52"/>
      <c r="DV956" s="50"/>
    </row>
    <row r="957" spans="86:126" ht="23.5">
      <c r="CH957" s="45">
        <v>953</v>
      </c>
      <c r="CI957" s="45">
        <v>9.7147049105284751</v>
      </c>
      <c r="CJ957" s="45" t="str">
        <v>Invest</v>
      </c>
      <c r="CM957" s="45">
        <v>953</v>
      </c>
      <c r="CN957" s="48">
        <v>47.35617893414895</v>
      </c>
      <c r="CO957" s="45" t="str">
        <v>Invest</v>
      </c>
      <c r="CP957" s="61"/>
      <c r="CQ957" s="45">
        <v>953</v>
      </c>
      <c r="CR957" s="45">
        <v>19.4334915222563</v>
      </c>
      <c r="CS957" s="45" t="str">
        <v>Invest</v>
      </c>
      <c r="CT957" s="61"/>
      <c r="CU957" s="45">
        <v>953</v>
      </c>
      <c r="CV957" s="45">
        <v>11.171086389173034</v>
      </c>
      <c r="CW957" s="45" t="str">
        <v>Invest</v>
      </c>
      <c r="CX957" s="61"/>
      <c r="CY957" s="45">
        <v>953</v>
      </c>
      <c r="CZ957" s="45">
        <v>49.379269160088839</v>
      </c>
      <c r="DA957" s="45" t="str">
        <v>Invest</v>
      </c>
      <c r="DU957" s="52"/>
      <c r="DV957" s="50"/>
    </row>
    <row r="958" spans="86:126" ht="23.5">
      <c r="CH958" s="45">
        <v>954</v>
      </c>
      <c r="CI958" s="45">
        <v>4.1805034793760143</v>
      </c>
      <c r="CJ958" s="45" t="str">
        <v>Invest</v>
      </c>
      <c r="CM958" s="45">
        <v>954</v>
      </c>
      <c r="CN958" s="48">
        <v>0</v>
      </c>
      <c r="CO958" s="45" t="str">
        <v>Nothing</v>
      </c>
      <c r="CP958" s="61"/>
      <c r="CQ958" s="45">
        <v>954</v>
      </c>
      <c r="CR958" s="45">
        <v>41.851653593807598</v>
      </c>
      <c r="CS958" s="45" t="str">
        <v>Invest</v>
      </c>
      <c r="CT958" s="61"/>
      <c r="CU958" s="45">
        <v>954</v>
      </c>
      <c r="CV958" s="45">
        <v>30.606627229989162</v>
      </c>
      <c r="CW958" s="45" t="str">
        <v>Invest</v>
      </c>
      <c r="CX958" s="61"/>
      <c r="CY958" s="45">
        <v>954</v>
      </c>
      <c r="CZ958" s="45">
        <v>0</v>
      </c>
      <c r="DA958" s="45" t="str">
        <v>Nothing</v>
      </c>
      <c r="DU958" s="52"/>
      <c r="DV958" s="50"/>
    </row>
    <row r="959" spans="86:126" ht="23.5">
      <c r="CH959" s="45">
        <v>955</v>
      </c>
      <c r="CI959" s="45">
        <v>17.55252639635107</v>
      </c>
      <c r="CJ959" s="45" t="str">
        <v>Invest</v>
      </c>
      <c r="CM959" s="45">
        <v>955</v>
      </c>
      <c r="CN959" s="48">
        <v>0</v>
      </c>
      <c r="CO959" s="45" t="str">
        <v>Nothing</v>
      </c>
      <c r="CP959" s="61"/>
      <c r="CQ959" s="45">
        <v>955</v>
      </c>
      <c r="CR959" s="45">
        <v>20.021786276371031</v>
      </c>
      <c r="CS959" s="45" t="str">
        <v>Invest</v>
      </c>
      <c r="CT959" s="61"/>
      <c r="CU959" s="45">
        <v>955</v>
      </c>
      <c r="CV959" s="45">
        <v>50.893534644126774</v>
      </c>
      <c r="CW959" s="45" t="str">
        <v>Invest</v>
      </c>
      <c r="CX959" s="61"/>
      <c r="CY959" s="45">
        <v>955</v>
      </c>
      <c r="CZ959" s="45">
        <v>24.157580758622835</v>
      </c>
      <c r="DA959" s="45" t="str">
        <v>Invest</v>
      </c>
      <c r="DU959" s="52"/>
      <c r="DV959" s="50"/>
    </row>
    <row r="960" spans="86:126" ht="23.5">
      <c r="CH960" s="45">
        <v>956</v>
      </c>
      <c r="CI960" s="45">
        <v>0</v>
      </c>
      <c r="CJ960" s="45" t="str">
        <v>Nothing</v>
      </c>
      <c r="CM960" s="45">
        <v>956</v>
      </c>
      <c r="CN960" s="48">
        <v>15.556105829405453</v>
      </c>
      <c r="CO960" s="45" t="str">
        <v>Invest</v>
      </c>
      <c r="CP960" s="61"/>
      <c r="CQ960" s="45">
        <v>956</v>
      </c>
      <c r="CR960" s="45">
        <v>24.088415551888396</v>
      </c>
      <c r="CS960" s="45" t="str">
        <v>Invest</v>
      </c>
      <c r="CT960" s="61"/>
      <c r="CU960" s="45">
        <v>956</v>
      </c>
      <c r="CV960" s="45">
        <v>0</v>
      </c>
      <c r="CW960" s="45" t="str">
        <v>Nothing</v>
      </c>
      <c r="CX960" s="61"/>
      <c r="CY960" s="45">
        <v>956</v>
      </c>
      <c r="CZ960" s="45">
        <v>20.179299051794075</v>
      </c>
      <c r="DA960" s="45" t="str">
        <v>Invest</v>
      </c>
      <c r="DU960" s="52"/>
      <c r="DV960" s="50"/>
    </row>
    <row r="961" spans="86:126" ht="23.5">
      <c r="CH961" s="45">
        <v>957</v>
      </c>
      <c r="CI961" s="45">
        <v>0</v>
      </c>
      <c r="CJ961" s="45" t="str">
        <v>Nothing</v>
      </c>
      <c r="CM961" s="45">
        <v>957</v>
      </c>
      <c r="CN961" s="48">
        <v>10.041442257960718</v>
      </c>
      <c r="CO961" s="45" t="str">
        <v>Invest</v>
      </c>
      <c r="CP961" s="61"/>
      <c r="CQ961" s="45">
        <v>957</v>
      </c>
      <c r="CR961" s="45">
        <v>20.047576515897738</v>
      </c>
      <c r="CS961" s="45" t="str">
        <v>Invest</v>
      </c>
      <c r="CT961" s="61"/>
      <c r="CU961" s="45">
        <v>957</v>
      </c>
      <c r="CV961" s="45">
        <v>28.512030445667925</v>
      </c>
      <c r="CW961" s="45" t="str">
        <v>Invest</v>
      </c>
      <c r="CX961" s="61"/>
      <c r="CY961" s="45">
        <v>957</v>
      </c>
      <c r="CZ961" s="45">
        <v>0</v>
      </c>
      <c r="DA961" s="45" t="str">
        <v>Nothing</v>
      </c>
      <c r="DU961" s="52"/>
      <c r="DV961" s="50"/>
    </row>
    <row r="962" spans="86:126" ht="23.5">
      <c r="CH962" s="45">
        <v>958</v>
      </c>
      <c r="CI962" s="45">
        <v>65.725160041163349</v>
      </c>
      <c r="CJ962" s="45" t="str">
        <v>Invest</v>
      </c>
      <c r="CM962" s="45">
        <v>958</v>
      </c>
      <c r="CN962" s="48">
        <v>42.175532334826464</v>
      </c>
      <c r="CO962" s="45" t="str">
        <v>Invest</v>
      </c>
      <c r="CP962" s="61"/>
      <c r="CQ962" s="45">
        <v>958</v>
      </c>
      <c r="CR962" s="45">
        <v>43.281390649769733</v>
      </c>
      <c r="CS962" s="45" t="str">
        <v>Invest</v>
      </c>
      <c r="CT962" s="61"/>
      <c r="CU962" s="45">
        <v>958</v>
      </c>
      <c r="CV962" s="45">
        <v>53.800028611999636</v>
      </c>
      <c r="CW962" s="45" t="str">
        <v>Invest</v>
      </c>
      <c r="CX962" s="61"/>
      <c r="CY962" s="45">
        <v>958</v>
      </c>
      <c r="CZ962" s="45">
        <v>23.928506154089177</v>
      </c>
      <c r="DA962" s="45" t="str">
        <v>Invest</v>
      </c>
      <c r="DU962" s="52"/>
      <c r="DV962" s="50"/>
    </row>
    <row r="963" spans="86:126" ht="23.5">
      <c r="CH963" s="45">
        <v>959</v>
      </c>
      <c r="CI963" s="45">
        <v>0</v>
      </c>
      <c r="CJ963" s="45" t="str">
        <v>Nothing</v>
      </c>
      <c r="CM963" s="45">
        <v>959</v>
      </c>
      <c r="CN963" s="48">
        <v>24.627513299539622</v>
      </c>
      <c r="CO963" s="45" t="str">
        <v>Invest</v>
      </c>
      <c r="CP963" s="61"/>
      <c r="CQ963" s="45">
        <v>959</v>
      </c>
      <c r="CR963" s="45">
        <v>34.499390399591995</v>
      </c>
      <c r="CS963" s="45" t="str">
        <v>Invest</v>
      </c>
      <c r="CT963" s="61"/>
      <c r="CU963" s="45">
        <v>959</v>
      </c>
      <c r="CV963" s="45">
        <v>22.643062812135572</v>
      </c>
      <c r="CW963" s="45" t="str">
        <v>Invest</v>
      </c>
      <c r="CX963" s="61"/>
      <c r="CY963" s="45">
        <v>959</v>
      </c>
      <c r="CZ963" s="45">
        <v>25.436577622186096</v>
      </c>
      <c r="DA963" s="45" t="str">
        <v>Invest</v>
      </c>
      <c r="DU963" s="52"/>
      <c r="DV963" s="50"/>
    </row>
    <row r="964" spans="86:126" ht="23.5">
      <c r="CH964" s="45">
        <v>960</v>
      </c>
      <c r="CI964" s="45">
        <v>7.9678842020603575</v>
      </c>
      <c r="CJ964" s="45" t="str">
        <v>Invest</v>
      </c>
      <c r="CM964" s="45">
        <v>960</v>
      </c>
      <c r="CN964" s="48">
        <v>32.163756754244609</v>
      </c>
      <c r="CO964" s="45" t="str">
        <v>Invest</v>
      </c>
      <c r="CP964" s="61"/>
      <c r="CQ964" s="45">
        <v>960</v>
      </c>
      <c r="CR964" s="45">
        <v>6.5224898369746747</v>
      </c>
      <c r="CS964" s="45" t="str">
        <v>Invest</v>
      </c>
      <c r="CT964" s="61"/>
      <c r="CU964" s="45">
        <v>960</v>
      </c>
      <c r="CV964" s="45">
        <v>37.285694588728525</v>
      </c>
      <c r="CW964" s="45" t="str">
        <v>Invest</v>
      </c>
      <c r="CX964" s="61"/>
      <c r="CY964" s="45">
        <v>960</v>
      </c>
      <c r="CZ964" s="45">
        <v>48.546701700526704</v>
      </c>
      <c r="DA964" s="45" t="str">
        <v>Invest</v>
      </c>
      <c r="DU964" s="52"/>
      <c r="DV964" s="50"/>
    </row>
    <row r="965" spans="86:126" ht="23.5">
      <c r="CH965" s="45">
        <v>961</v>
      </c>
      <c r="CI965" s="45">
        <v>51.358952674544916</v>
      </c>
      <c r="CJ965" s="45" t="str">
        <v>Invest</v>
      </c>
      <c r="CM965" s="45">
        <v>961</v>
      </c>
      <c r="CN965" s="48">
        <v>17.177349604563233</v>
      </c>
      <c r="CO965" s="45" t="str">
        <v>Invest</v>
      </c>
      <c r="CP965" s="61"/>
      <c r="CQ965" s="45">
        <v>961</v>
      </c>
      <c r="CR965" s="45">
        <v>50.718909462576413</v>
      </c>
      <c r="CS965" s="45" t="str">
        <v>Invest</v>
      </c>
      <c r="CT965" s="61"/>
      <c r="CU965" s="45">
        <v>961</v>
      </c>
      <c r="CV965" s="45">
        <v>12.351317660678106</v>
      </c>
      <c r="CW965" s="45" t="str">
        <v>Invest</v>
      </c>
      <c r="CX965" s="61"/>
      <c r="CY965" s="45">
        <v>961</v>
      </c>
      <c r="CZ965" s="45">
        <v>3.4006367160377717</v>
      </c>
      <c r="DA965" s="45" t="str">
        <v>Invest</v>
      </c>
      <c r="DU965" s="52"/>
      <c r="DV965" s="50"/>
    </row>
    <row r="966" spans="86:126" ht="23.5">
      <c r="CH966" s="45">
        <v>962</v>
      </c>
      <c r="CI966" s="45">
        <v>0</v>
      </c>
      <c r="CJ966" s="45" t="str">
        <v>Nothing</v>
      </c>
      <c r="CM966" s="45">
        <v>962</v>
      </c>
      <c r="CN966" s="48">
        <v>27.718151543799745</v>
      </c>
      <c r="CO966" s="45" t="str">
        <v>Invest</v>
      </c>
      <c r="CP966" s="61"/>
      <c r="CQ966" s="45">
        <v>962</v>
      </c>
      <c r="CR966" s="45">
        <v>0</v>
      </c>
      <c r="CS966" s="45" t="str">
        <v>Nothing</v>
      </c>
      <c r="CT966" s="61"/>
      <c r="CU966" s="45">
        <v>962</v>
      </c>
      <c r="CV966" s="45">
        <v>26.78424693180434</v>
      </c>
      <c r="CW966" s="45" t="str">
        <v>Invest</v>
      </c>
      <c r="CX966" s="61"/>
      <c r="CY966" s="45">
        <v>962</v>
      </c>
      <c r="CZ966" s="45">
        <v>12.086647627216813</v>
      </c>
      <c r="DA966" s="45" t="str">
        <v>Invest</v>
      </c>
      <c r="DU966" s="52"/>
      <c r="DV966" s="50"/>
    </row>
    <row r="967" spans="86:126" ht="23.5">
      <c r="CH967" s="45">
        <v>963</v>
      </c>
      <c r="CI967" s="45">
        <v>0</v>
      </c>
      <c r="CJ967" s="45" t="str">
        <v>Nothing</v>
      </c>
      <c r="CM967" s="45">
        <v>963</v>
      </c>
      <c r="CN967" s="48">
        <v>0</v>
      </c>
      <c r="CO967" s="45" t="str">
        <v>Nothing</v>
      </c>
      <c r="CP967" s="61"/>
      <c r="CQ967" s="45">
        <v>963</v>
      </c>
      <c r="CR967" s="45">
        <v>17.416053068385722</v>
      </c>
      <c r="CS967" s="45" t="str">
        <v>Invest</v>
      </c>
      <c r="CT967" s="61"/>
      <c r="CU967" s="45">
        <v>963</v>
      </c>
      <c r="CV967" s="45">
        <v>15.949344440034533</v>
      </c>
      <c r="CW967" s="45" t="str">
        <v>Invest</v>
      </c>
      <c r="CX967" s="61"/>
      <c r="CY967" s="45">
        <v>963</v>
      </c>
      <c r="CZ967" s="45">
        <v>14.42441951191114</v>
      </c>
      <c r="DA967" s="45" t="str">
        <v>Invest</v>
      </c>
      <c r="DU967" s="52"/>
      <c r="DV967" s="50"/>
    </row>
    <row r="968" spans="86:126" ht="23.5">
      <c r="CH968" s="45">
        <v>964</v>
      </c>
      <c r="CI968" s="45">
        <v>0</v>
      </c>
      <c r="CJ968" s="45" t="str">
        <v>Nothing</v>
      </c>
      <c r="CM968" s="45">
        <v>964</v>
      </c>
      <c r="CN968" s="48">
        <v>7.3918725801293714</v>
      </c>
      <c r="CO968" s="45" t="str">
        <v>Invest</v>
      </c>
      <c r="CP968" s="61"/>
      <c r="CQ968" s="45">
        <v>964</v>
      </c>
      <c r="CR968" s="45">
        <v>18.341698916082528</v>
      </c>
      <c r="CS968" s="45" t="str">
        <v>Invest</v>
      </c>
      <c r="CT968" s="61"/>
      <c r="CU968" s="45">
        <v>964</v>
      </c>
      <c r="CV968" s="45">
        <v>0</v>
      </c>
      <c r="CW968" s="45" t="str">
        <v>Nothing</v>
      </c>
      <c r="CX968" s="61"/>
      <c r="CY968" s="45">
        <v>964</v>
      </c>
      <c r="CZ968" s="45">
        <v>0</v>
      </c>
      <c r="DA968" s="45" t="str">
        <v>Nothing</v>
      </c>
      <c r="DU968" s="52"/>
      <c r="DV968" s="50"/>
    </row>
    <row r="969" spans="86:126" ht="23.5">
      <c r="CH969" s="45">
        <v>965</v>
      </c>
      <c r="CI969" s="45">
        <v>41.854430641282079</v>
      </c>
      <c r="CJ969" s="45" t="str">
        <v>Invest</v>
      </c>
      <c r="CM969" s="45">
        <v>965</v>
      </c>
      <c r="CN969" s="48">
        <v>10.26966874565616</v>
      </c>
      <c r="CO969" s="45" t="str">
        <v>Invest</v>
      </c>
      <c r="CP969" s="61"/>
      <c r="CQ969" s="45">
        <v>965</v>
      </c>
      <c r="CR969" s="45">
        <v>1.4897274529036473</v>
      </c>
      <c r="CS969" s="45" t="str">
        <v>Invest</v>
      </c>
      <c r="CT969" s="61"/>
      <c r="CU969" s="45">
        <v>965</v>
      </c>
      <c r="CV969" s="45">
        <v>7.9236769419614808</v>
      </c>
      <c r="CW969" s="45" t="str">
        <v>Invest</v>
      </c>
      <c r="CX969" s="61"/>
      <c r="CY969" s="45">
        <v>965</v>
      </c>
      <c r="CZ969" s="45">
        <v>7.0896726790145372</v>
      </c>
      <c r="DA969" s="45" t="str">
        <v>Invest</v>
      </c>
      <c r="DU969" s="52"/>
      <c r="DV969" s="50"/>
    </row>
    <row r="970" spans="86:126" ht="23.5">
      <c r="CH970" s="45">
        <v>966</v>
      </c>
      <c r="CI970" s="45">
        <v>0</v>
      </c>
      <c r="CJ970" s="45" t="str">
        <v>Nothing</v>
      </c>
      <c r="CM970" s="45">
        <v>966</v>
      </c>
      <c r="CN970" s="48">
        <v>58.618090487419977</v>
      </c>
      <c r="CO970" s="45" t="str">
        <v>Invest</v>
      </c>
      <c r="CP970" s="61"/>
      <c r="CQ970" s="45">
        <v>966</v>
      </c>
      <c r="CR970" s="45">
        <v>0</v>
      </c>
      <c r="CS970" s="45" t="str">
        <v>Nothing</v>
      </c>
      <c r="CT970" s="61"/>
      <c r="CU970" s="45">
        <v>966</v>
      </c>
      <c r="CV970" s="45">
        <v>6.4615914960161271</v>
      </c>
      <c r="CW970" s="45" t="str">
        <v>Invest</v>
      </c>
      <c r="CX970" s="61"/>
      <c r="CY970" s="45">
        <v>966</v>
      </c>
      <c r="CZ970" s="45">
        <v>2.5351550279730031</v>
      </c>
      <c r="DA970" s="45" t="str">
        <v>Invest</v>
      </c>
      <c r="DU970" s="52"/>
      <c r="DV970" s="50"/>
    </row>
    <row r="971" spans="86:126" ht="23.5">
      <c r="CH971" s="45">
        <v>967</v>
      </c>
      <c r="CI971" s="45">
        <v>46.625005185918852</v>
      </c>
      <c r="CJ971" s="45" t="str">
        <v>Invest</v>
      </c>
      <c r="CM971" s="45">
        <v>967</v>
      </c>
      <c r="CN971" s="48">
        <v>30.823428759520432</v>
      </c>
      <c r="CO971" s="45" t="str">
        <v>Invest</v>
      </c>
      <c r="CP971" s="61"/>
      <c r="CQ971" s="45">
        <v>967</v>
      </c>
      <c r="CR971" s="45">
        <v>4.9072840319178379</v>
      </c>
      <c r="CS971" s="45" t="str">
        <v>Invest</v>
      </c>
      <c r="CT971" s="61"/>
      <c r="CU971" s="45">
        <v>967</v>
      </c>
      <c r="CV971" s="45">
        <v>0</v>
      </c>
      <c r="CW971" s="45" t="str">
        <v>Nothing</v>
      </c>
      <c r="CX971" s="61"/>
      <c r="CY971" s="45">
        <v>967</v>
      </c>
      <c r="CZ971" s="45">
        <v>26.254477803835083</v>
      </c>
      <c r="DA971" s="45" t="str">
        <v>Invest</v>
      </c>
      <c r="DU971" s="52"/>
      <c r="DV971" s="50"/>
    </row>
    <row r="972" spans="86:126" ht="23.5">
      <c r="CH972" s="45">
        <v>968</v>
      </c>
      <c r="CI972" s="45">
        <v>0</v>
      </c>
      <c r="CJ972" s="45" t="str">
        <v>Nothing</v>
      </c>
      <c r="CM972" s="45">
        <v>968</v>
      </c>
      <c r="CN972" s="48">
        <v>21.902265772119819</v>
      </c>
      <c r="CO972" s="45" t="str">
        <v>Invest</v>
      </c>
      <c r="CP972" s="61"/>
      <c r="CQ972" s="45">
        <v>968</v>
      </c>
      <c r="CR972" s="45">
        <v>10.37561452993566</v>
      </c>
      <c r="CS972" s="45" t="str">
        <v>Invest</v>
      </c>
      <c r="CT972" s="61"/>
      <c r="CU972" s="45">
        <v>968</v>
      </c>
      <c r="CV972" s="45">
        <v>0</v>
      </c>
      <c r="CW972" s="45" t="str">
        <v>Nothing</v>
      </c>
      <c r="CX972" s="61"/>
      <c r="CY972" s="45">
        <v>968</v>
      </c>
      <c r="CZ972" s="45">
        <v>0</v>
      </c>
      <c r="DA972" s="45" t="str">
        <v>Nothing</v>
      </c>
      <c r="DU972" s="52"/>
      <c r="DV972" s="50"/>
    </row>
    <row r="973" spans="86:126" ht="23.5">
      <c r="CH973" s="45">
        <v>969</v>
      </c>
      <c r="CI973" s="45">
        <v>11.476966541028073</v>
      </c>
      <c r="CJ973" s="45" t="str">
        <v>Invest</v>
      </c>
      <c r="CM973" s="45">
        <v>969</v>
      </c>
      <c r="CN973" s="48">
        <v>19.428590774734488</v>
      </c>
      <c r="CO973" s="45" t="str">
        <v>Invest</v>
      </c>
      <c r="CP973" s="61"/>
      <c r="CQ973" s="45">
        <v>969</v>
      </c>
      <c r="CR973" s="45">
        <v>0</v>
      </c>
      <c r="CS973" s="45" t="str">
        <v>Nothing</v>
      </c>
      <c r="CT973" s="61"/>
      <c r="CU973" s="45">
        <v>969</v>
      </c>
      <c r="CV973" s="45">
        <v>15.645968709105967</v>
      </c>
      <c r="CW973" s="45" t="str">
        <v>Invest</v>
      </c>
      <c r="CX973" s="61"/>
      <c r="CY973" s="45">
        <v>969</v>
      </c>
      <c r="CZ973" s="45">
        <v>0</v>
      </c>
      <c r="DA973" s="45" t="str">
        <v>Nothing</v>
      </c>
      <c r="DU973" s="52"/>
      <c r="DV973" s="50"/>
    </row>
    <row r="974" spans="86:126" ht="23.5">
      <c r="CH974" s="45">
        <v>970</v>
      </c>
      <c r="CI974" s="45">
        <v>0.55025557716193418</v>
      </c>
      <c r="CJ974" s="45" t="str">
        <v>Invest</v>
      </c>
      <c r="CM974" s="45">
        <v>970</v>
      </c>
      <c r="CN974" s="48">
        <v>7.7949572339146194</v>
      </c>
      <c r="CO974" s="45" t="str">
        <v>Invest</v>
      </c>
      <c r="CP974" s="61"/>
      <c r="CQ974" s="45">
        <v>970</v>
      </c>
      <c r="CR974" s="45">
        <v>20.712607641827255</v>
      </c>
      <c r="CS974" s="45" t="str">
        <v>Invest</v>
      </c>
      <c r="CT974" s="61"/>
      <c r="CU974" s="45">
        <v>970</v>
      </c>
      <c r="CV974" s="45">
        <v>28.05361008473416</v>
      </c>
      <c r="CW974" s="45" t="str">
        <v>Invest</v>
      </c>
      <c r="CX974" s="61"/>
      <c r="CY974" s="45">
        <v>970</v>
      </c>
      <c r="CZ974" s="45">
        <v>5.6858223251102231</v>
      </c>
      <c r="DA974" s="45" t="str">
        <v>Invest</v>
      </c>
      <c r="DU974" s="52"/>
      <c r="DV974" s="50"/>
    </row>
    <row r="975" spans="86:126" ht="23.5">
      <c r="CH975" s="45">
        <v>971</v>
      </c>
      <c r="CI975" s="45">
        <v>21.786209688669224</v>
      </c>
      <c r="CJ975" s="45" t="str">
        <v>Invest</v>
      </c>
      <c r="CM975" s="45">
        <v>971</v>
      </c>
      <c r="CN975" s="48">
        <v>20.7907660905963</v>
      </c>
      <c r="CO975" s="45" t="str">
        <v>Invest</v>
      </c>
      <c r="CP975" s="61"/>
      <c r="CQ975" s="45">
        <v>971</v>
      </c>
      <c r="CR975" s="45">
        <v>24.83233589774823</v>
      </c>
      <c r="CS975" s="45" t="str">
        <v>Invest</v>
      </c>
      <c r="CT975" s="61"/>
      <c r="CU975" s="45">
        <v>971</v>
      </c>
      <c r="CV975" s="45">
        <v>0</v>
      </c>
      <c r="CW975" s="45" t="str">
        <v>Nothing</v>
      </c>
      <c r="CX975" s="61"/>
      <c r="CY975" s="45">
        <v>971</v>
      </c>
      <c r="CZ975" s="45">
        <v>8.8723325111906046</v>
      </c>
      <c r="DA975" s="45" t="str">
        <v>Invest</v>
      </c>
      <c r="DU975" s="52"/>
      <c r="DV975" s="50"/>
    </row>
    <row r="976" spans="86:126" ht="23.5">
      <c r="CH976" s="45">
        <v>972</v>
      </c>
      <c r="CI976" s="45">
        <v>0</v>
      </c>
      <c r="CJ976" s="45" t="str">
        <v>Nothing</v>
      </c>
      <c r="CM976" s="45">
        <v>972</v>
      </c>
      <c r="CN976" s="48">
        <v>16.427975470356557</v>
      </c>
      <c r="CO976" s="45" t="str">
        <v>Invest</v>
      </c>
      <c r="CP976" s="61"/>
      <c r="CQ976" s="45">
        <v>972</v>
      </c>
      <c r="CR976" s="45">
        <v>0</v>
      </c>
      <c r="CS976" s="45" t="str">
        <v>Nothing</v>
      </c>
      <c r="CT976" s="61"/>
      <c r="CU976" s="45">
        <v>972</v>
      </c>
      <c r="CV976" s="45">
        <v>11.286468721912941</v>
      </c>
      <c r="CW976" s="45" t="str">
        <v>Invest</v>
      </c>
      <c r="CX976" s="61"/>
      <c r="CY976" s="45">
        <v>972</v>
      </c>
      <c r="CZ976" s="45">
        <v>22.817764064960961</v>
      </c>
      <c r="DA976" s="45" t="str">
        <v>Invest</v>
      </c>
      <c r="DU976" s="52"/>
      <c r="DV976" s="50"/>
    </row>
    <row r="977" spans="86:126" ht="23.5">
      <c r="CH977" s="45">
        <v>973</v>
      </c>
      <c r="CI977" s="45">
        <v>0</v>
      </c>
      <c r="CJ977" s="45" t="str">
        <v>Nothing</v>
      </c>
      <c r="CM977" s="45">
        <v>973</v>
      </c>
      <c r="CN977" s="48">
        <v>18.474170744094714</v>
      </c>
      <c r="CO977" s="45" t="str">
        <v>Invest</v>
      </c>
      <c r="CP977" s="61"/>
      <c r="CQ977" s="45">
        <v>973</v>
      </c>
      <c r="CR977" s="45">
        <v>10.390916780691953</v>
      </c>
      <c r="CS977" s="45" t="str">
        <v>Invest</v>
      </c>
      <c r="CT977" s="61"/>
      <c r="CU977" s="45">
        <v>973</v>
      </c>
      <c r="CV977" s="45">
        <v>24.86397630284949</v>
      </c>
      <c r="CW977" s="45" t="str">
        <v>Invest</v>
      </c>
      <c r="CX977" s="61"/>
      <c r="CY977" s="45">
        <v>973</v>
      </c>
      <c r="CZ977" s="45">
        <v>30.584168346641121</v>
      </c>
      <c r="DA977" s="45" t="str">
        <v>Invest</v>
      </c>
      <c r="DU977" s="52"/>
      <c r="DV977" s="50"/>
    </row>
    <row r="978" spans="86:126" ht="23.5">
      <c r="CH978" s="45">
        <v>974</v>
      </c>
      <c r="CI978" s="45">
        <v>0</v>
      </c>
      <c r="CJ978" s="45" t="str">
        <v>Nothing</v>
      </c>
      <c r="CM978" s="45">
        <v>974</v>
      </c>
      <c r="CN978" s="48">
        <v>0</v>
      </c>
      <c r="CO978" s="45" t="str">
        <v>Nothing</v>
      </c>
      <c r="CP978" s="61"/>
      <c r="CQ978" s="45">
        <v>974</v>
      </c>
      <c r="CR978" s="45">
        <v>16.871552615370319</v>
      </c>
      <c r="CS978" s="45" t="str">
        <v>Invest</v>
      </c>
      <c r="CT978" s="61"/>
      <c r="CU978" s="45">
        <v>974</v>
      </c>
      <c r="CV978" s="45">
        <v>23.335794540001114</v>
      </c>
      <c r="CW978" s="45" t="str">
        <v>Invest</v>
      </c>
      <c r="CX978" s="61"/>
      <c r="CY978" s="45">
        <v>974</v>
      </c>
      <c r="CZ978" s="45">
        <v>28.779025405664392</v>
      </c>
      <c r="DA978" s="45" t="str">
        <v>Invest</v>
      </c>
      <c r="DU978" s="52"/>
      <c r="DV978" s="50"/>
    </row>
    <row r="979" spans="86:126" ht="23.5">
      <c r="CH979" s="45">
        <v>975</v>
      </c>
      <c r="CI979" s="45">
        <v>13.517950923905005</v>
      </c>
      <c r="CJ979" s="45" t="str">
        <v>Invest</v>
      </c>
      <c r="CM979" s="45">
        <v>975</v>
      </c>
      <c r="CN979" s="48">
        <v>5.11494176464738</v>
      </c>
      <c r="CO979" s="45" t="str">
        <v>Invest</v>
      </c>
      <c r="CP979" s="61"/>
      <c r="CQ979" s="45">
        <v>975</v>
      </c>
      <c r="CR979" s="45">
        <v>33.864103044388784</v>
      </c>
      <c r="CS979" s="45" t="str">
        <v>Invest</v>
      </c>
      <c r="CT979" s="61"/>
      <c r="CU979" s="45">
        <v>975</v>
      </c>
      <c r="CV979" s="45">
        <v>38.68452405951647</v>
      </c>
      <c r="CW979" s="45" t="str">
        <v>Invest</v>
      </c>
      <c r="CX979" s="61"/>
      <c r="CY979" s="45">
        <v>975</v>
      </c>
      <c r="CZ979" s="45">
        <v>34.854407629408023</v>
      </c>
      <c r="DA979" s="45" t="str">
        <v>Invest</v>
      </c>
      <c r="DU979" s="52"/>
      <c r="DV979" s="50"/>
    </row>
    <row r="980" spans="86:126" ht="23.5">
      <c r="CH980" s="45">
        <v>976</v>
      </c>
      <c r="CI980" s="45">
        <v>10.333771266694535</v>
      </c>
      <c r="CJ980" s="45" t="str">
        <v>Invest</v>
      </c>
      <c r="CM980" s="45">
        <v>976</v>
      </c>
      <c r="CN980" s="48">
        <v>44.339136123739721</v>
      </c>
      <c r="CO980" s="45" t="str">
        <v>Invest</v>
      </c>
      <c r="CP980" s="61"/>
      <c r="CQ980" s="45">
        <v>976</v>
      </c>
      <c r="CR980" s="45">
        <v>38.211390665939739</v>
      </c>
      <c r="CS980" s="45" t="str">
        <v>Invest</v>
      </c>
      <c r="CT980" s="61"/>
      <c r="CU980" s="45">
        <v>976</v>
      </c>
      <c r="CV980" s="45">
        <v>0</v>
      </c>
      <c r="CW980" s="45" t="str">
        <v>Nothing</v>
      </c>
      <c r="CX980" s="61"/>
      <c r="CY980" s="45">
        <v>976</v>
      </c>
      <c r="CZ980" s="45">
        <v>0</v>
      </c>
      <c r="DA980" s="45" t="str">
        <v>Nothing</v>
      </c>
      <c r="DU980" s="52"/>
      <c r="DV980" s="50"/>
    </row>
    <row r="981" spans="86:126" ht="23.5">
      <c r="CH981" s="45">
        <v>977</v>
      </c>
      <c r="CI981" s="45">
        <v>0</v>
      </c>
      <c r="CJ981" s="45" t="str">
        <v>Nothing</v>
      </c>
      <c r="CM981" s="45">
        <v>977</v>
      </c>
      <c r="CN981" s="48">
        <v>1.5652926982588564</v>
      </c>
      <c r="CO981" s="45" t="str">
        <v>Invest</v>
      </c>
      <c r="CP981" s="61"/>
      <c r="CQ981" s="45">
        <v>977</v>
      </c>
      <c r="CR981" s="45">
        <v>5.856444892090698</v>
      </c>
      <c r="CS981" s="45" t="str">
        <v>Invest</v>
      </c>
      <c r="CT981" s="61"/>
      <c r="CU981" s="45">
        <v>977</v>
      </c>
      <c r="CV981" s="45">
        <v>42.620342276001601</v>
      </c>
      <c r="CW981" s="45" t="str">
        <v>Invest</v>
      </c>
      <c r="CX981" s="61"/>
      <c r="CY981" s="45">
        <v>977</v>
      </c>
      <c r="CZ981" s="45">
        <v>0</v>
      </c>
      <c r="DA981" s="45" t="str">
        <v>Nothing</v>
      </c>
      <c r="DU981" s="52"/>
      <c r="DV981" s="50"/>
    </row>
    <row r="982" spans="86:126" ht="23.5">
      <c r="CH982" s="45">
        <v>978</v>
      </c>
      <c r="CI982" s="45">
        <v>11.264676757109328</v>
      </c>
      <c r="CJ982" s="45" t="str">
        <v>Invest</v>
      </c>
      <c r="CM982" s="45">
        <v>978</v>
      </c>
      <c r="CN982" s="48">
        <v>6.2585739301940535</v>
      </c>
      <c r="CO982" s="45" t="str">
        <v>Invest</v>
      </c>
      <c r="CP982" s="61"/>
      <c r="CQ982" s="45">
        <v>978</v>
      </c>
      <c r="CR982" s="45">
        <v>6.7575568956922627</v>
      </c>
      <c r="CS982" s="45" t="str">
        <v>Invest</v>
      </c>
      <c r="CT982" s="61"/>
      <c r="CU982" s="45">
        <v>978</v>
      </c>
      <c r="CV982" s="45">
        <v>6.2582747811814601</v>
      </c>
      <c r="CW982" s="45" t="str">
        <v>Invest</v>
      </c>
      <c r="CX982" s="61"/>
      <c r="CY982" s="45">
        <v>978</v>
      </c>
      <c r="CZ982" s="45">
        <v>23.355353573620715</v>
      </c>
      <c r="DA982" s="45" t="str">
        <v>Invest</v>
      </c>
      <c r="DU982" s="52"/>
      <c r="DV982" s="50"/>
    </row>
    <row r="983" spans="86:126" ht="23.5">
      <c r="CH983" s="45">
        <v>979</v>
      </c>
      <c r="CI983" s="45">
        <v>0.12870570532867021</v>
      </c>
      <c r="CJ983" s="45" t="str">
        <v>Invest</v>
      </c>
      <c r="CM983" s="45">
        <v>979</v>
      </c>
      <c r="CN983" s="48">
        <v>41.82247038943472</v>
      </c>
      <c r="CO983" s="45" t="str">
        <v>Invest</v>
      </c>
      <c r="CP983" s="61"/>
      <c r="CQ983" s="45">
        <v>979</v>
      </c>
      <c r="CR983" s="45">
        <v>0</v>
      </c>
      <c r="CS983" s="45" t="str">
        <v>Nothing</v>
      </c>
      <c r="CT983" s="61"/>
      <c r="CU983" s="45">
        <v>979</v>
      </c>
      <c r="CV983" s="45">
        <v>47.563919740152585</v>
      </c>
      <c r="CW983" s="45" t="str">
        <v>Invest</v>
      </c>
      <c r="CX983" s="61"/>
      <c r="CY983" s="45">
        <v>979</v>
      </c>
      <c r="CZ983" s="45">
        <v>3.3707448146432597</v>
      </c>
      <c r="DA983" s="45" t="str">
        <v>Invest</v>
      </c>
      <c r="DU983" s="52"/>
      <c r="DV983" s="50"/>
    </row>
    <row r="984" spans="86:126" ht="23.5">
      <c r="CH984" s="45">
        <v>980</v>
      </c>
      <c r="CI984" s="45">
        <v>29.529625397438693</v>
      </c>
      <c r="CJ984" s="45" t="str">
        <v>Invest</v>
      </c>
      <c r="CM984" s="45">
        <v>980</v>
      </c>
      <c r="CN984" s="48">
        <v>5.0554104280638121</v>
      </c>
      <c r="CO984" s="45" t="str">
        <v>Invest</v>
      </c>
      <c r="CP984" s="61"/>
      <c r="CQ984" s="45">
        <v>980</v>
      </c>
      <c r="CR984" s="45">
        <v>39.867444326500475</v>
      </c>
      <c r="CS984" s="45" t="str">
        <v>Invest</v>
      </c>
      <c r="CT984" s="61"/>
      <c r="CU984" s="45">
        <v>980</v>
      </c>
      <c r="CV984" s="45">
        <v>0.26604547064533079</v>
      </c>
      <c r="CW984" s="45" t="str">
        <v>Invest</v>
      </c>
      <c r="CX984" s="61"/>
      <c r="CY984" s="45">
        <v>980</v>
      </c>
      <c r="CZ984" s="45">
        <v>37.633787190713832</v>
      </c>
      <c r="DA984" s="45" t="str">
        <v>Invest</v>
      </c>
      <c r="DU984" s="52"/>
      <c r="DV984" s="50"/>
    </row>
    <row r="985" spans="86:126" ht="23.5">
      <c r="CH985" s="45">
        <v>981</v>
      </c>
      <c r="CI985" s="45">
        <v>21.408129988771865</v>
      </c>
      <c r="CJ985" s="45" t="str">
        <v>Invest</v>
      </c>
      <c r="CM985" s="45">
        <v>981</v>
      </c>
      <c r="CN985" s="48">
        <v>0.67716288976726347</v>
      </c>
      <c r="CO985" s="45" t="str">
        <v>Invest</v>
      </c>
      <c r="CP985" s="61"/>
      <c r="CQ985" s="45">
        <v>981</v>
      </c>
      <c r="CR985" s="45">
        <v>43.535269358245721</v>
      </c>
      <c r="CS985" s="45" t="str">
        <v>Invest</v>
      </c>
      <c r="CT985" s="61"/>
      <c r="CU985" s="45">
        <v>981</v>
      </c>
      <c r="CV985" s="45">
        <v>10.848441065230105</v>
      </c>
      <c r="CW985" s="45" t="str">
        <v>Invest</v>
      </c>
      <c r="CX985" s="61"/>
      <c r="CY985" s="45">
        <v>981</v>
      </c>
      <c r="CZ985" s="45">
        <v>8.3895939189791005</v>
      </c>
      <c r="DA985" s="45" t="str">
        <v>Invest</v>
      </c>
      <c r="DU985" s="52"/>
      <c r="DV985" s="50"/>
    </row>
    <row r="986" spans="86:126" ht="23.5">
      <c r="CH986" s="45">
        <v>982</v>
      </c>
      <c r="CI986" s="45">
        <v>36.26880020052198</v>
      </c>
      <c r="CJ986" s="45" t="str">
        <v>Invest</v>
      </c>
      <c r="CM986" s="45">
        <v>982</v>
      </c>
      <c r="CN986" s="48">
        <v>33.774824010436355</v>
      </c>
      <c r="CO986" s="45" t="str">
        <v>Invest</v>
      </c>
      <c r="CP986" s="61"/>
      <c r="CQ986" s="45">
        <v>982</v>
      </c>
      <c r="CR986" s="45">
        <v>0</v>
      </c>
      <c r="CS986" s="45" t="str">
        <v>Nothing</v>
      </c>
      <c r="CT986" s="61"/>
      <c r="CU986" s="45">
        <v>982</v>
      </c>
      <c r="CV986" s="45">
        <v>7.3538244945410334</v>
      </c>
      <c r="CW986" s="45" t="str">
        <v>Invest</v>
      </c>
      <c r="CX986" s="61"/>
      <c r="CY986" s="45">
        <v>982</v>
      </c>
      <c r="CZ986" s="45">
        <v>7.4966117040964164</v>
      </c>
      <c r="DA986" s="45" t="str">
        <v>Invest</v>
      </c>
      <c r="DU986" s="52"/>
      <c r="DV986" s="50"/>
    </row>
    <row r="987" spans="86:126" ht="23.5">
      <c r="CH987" s="45">
        <v>983</v>
      </c>
      <c r="CI987" s="45">
        <v>57.443306580624217</v>
      </c>
      <c r="CJ987" s="45" t="str">
        <v>Invest</v>
      </c>
      <c r="CM987" s="45">
        <v>983</v>
      </c>
      <c r="CN987" s="48">
        <v>57.563081566506767</v>
      </c>
      <c r="CO987" s="45" t="str">
        <v>Invest</v>
      </c>
      <c r="CP987" s="61"/>
      <c r="CQ987" s="45">
        <v>983</v>
      </c>
      <c r="CR987" s="45">
        <v>23.965858086420273</v>
      </c>
      <c r="CS987" s="45" t="str">
        <v>Invest</v>
      </c>
      <c r="CT987" s="61"/>
      <c r="CU987" s="45">
        <v>983</v>
      </c>
      <c r="CV987" s="45">
        <v>9.1247617640040026</v>
      </c>
      <c r="CW987" s="45" t="str">
        <v>Invest</v>
      </c>
      <c r="CX987" s="61"/>
      <c r="CY987" s="45">
        <v>983</v>
      </c>
      <c r="CZ987" s="45">
        <v>6.9931630819403061</v>
      </c>
      <c r="DA987" s="45" t="str">
        <v>Invest</v>
      </c>
      <c r="DU987" s="52"/>
      <c r="DV987" s="50"/>
    </row>
    <row r="988" spans="86:126" ht="23.5">
      <c r="CH988" s="45">
        <v>984</v>
      </c>
      <c r="CI988" s="45">
        <v>15.520591250833567</v>
      </c>
      <c r="CJ988" s="45" t="str">
        <v>Invest</v>
      </c>
      <c r="CM988" s="45">
        <v>984</v>
      </c>
      <c r="CN988" s="48">
        <v>13.55862927697763</v>
      </c>
      <c r="CO988" s="45" t="str">
        <v>Invest</v>
      </c>
      <c r="CP988" s="61"/>
      <c r="CQ988" s="45">
        <v>984</v>
      </c>
      <c r="CR988" s="45">
        <v>28.058350085580628</v>
      </c>
      <c r="CS988" s="45" t="str">
        <v>Invest</v>
      </c>
      <c r="CT988" s="61"/>
      <c r="CU988" s="45">
        <v>984</v>
      </c>
      <c r="CV988" s="45">
        <v>0</v>
      </c>
      <c r="CW988" s="45" t="str">
        <v>Nothing</v>
      </c>
      <c r="CX988" s="61"/>
      <c r="CY988" s="45">
        <v>984</v>
      </c>
      <c r="CZ988" s="45">
        <v>27.396224944815216</v>
      </c>
      <c r="DA988" s="45" t="str">
        <v>Invest</v>
      </c>
      <c r="DU988" s="52"/>
      <c r="DV988" s="50"/>
    </row>
    <row r="989" spans="86:126" ht="23.5">
      <c r="CH989" s="45">
        <v>985</v>
      </c>
      <c r="CI989" s="45">
        <v>32.460033805003732</v>
      </c>
      <c r="CJ989" s="45" t="str">
        <v>Invest</v>
      </c>
      <c r="CM989" s="45">
        <v>985</v>
      </c>
      <c r="CN989" s="48">
        <v>10.277057292951071</v>
      </c>
      <c r="CO989" s="45" t="str">
        <v>Invest</v>
      </c>
      <c r="CP989" s="61"/>
      <c r="CQ989" s="45">
        <v>985</v>
      </c>
      <c r="CR989" s="45">
        <v>2.5063217189625675</v>
      </c>
      <c r="CS989" s="45" t="str">
        <v>Invest</v>
      </c>
      <c r="CT989" s="61"/>
      <c r="CU989" s="45">
        <v>985</v>
      </c>
      <c r="CV989" s="45">
        <v>43.419488423678999</v>
      </c>
      <c r="CW989" s="45" t="str">
        <v>Invest</v>
      </c>
      <c r="CX989" s="61"/>
      <c r="CY989" s="45">
        <v>985</v>
      </c>
      <c r="CZ989" s="45">
        <v>59.24390655255138</v>
      </c>
      <c r="DA989" s="45" t="str">
        <v>Invest</v>
      </c>
      <c r="DU989" s="52"/>
      <c r="DV989" s="50"/>
    </row>
    <row r="990" spans="86:126" ht="23.5">
      <c r="CH990" s="45">
        <v>986</v>
      </c>
      <c r="CI990" s="45">
        <v>33.788885003446794</v>
      </c>
      <c r="CJ990" s="45" t="str">
        <v>Invest</v>
      </c>
      <c r="CM990" s="45">
        <v>986</v>
      </c>
      <c r="CN990" s="48">
        <v>32.97211627114234</v>
      </c>
      <c r="CO990" s="45" t="str">
        <v>Invest</v>
      </c>
      <c r="CP990" s="61"/>
      <c r="CQ990" s="45">
        <v>986</v>
      </c>
      <c r="CR990" s="45">
        <v>0</v>
      </c>
      <c r="CS990" s="45" t="str">
        <v>Nothing</v>
      </c>
      <c r="CT990" s="61"/>
      <c r="CU990" s="45">
        <v>986</v>
      </c>
      <c r="CV990" s="45">
        <v>12.036885273661616</v>
      </c>
      <c r="CW990" s="45" t="str">
        <v>Invest</v>
      </c>
      <c r="CX990" s="61"/>
      <c r="CY990" s="45">
        <v>986</v>
      </c>
      <c r="CZ990" s="45">
        <v>41.236265711969452</v>
      </c>
      <c r="DA990" s="45" t="str">
        <v>Invest</v>
      </c>
      <c r="DU990" s="52"/>
      <c r="DV990" s="50"/>
    </row>
    <row r="991" spans="86:126" ht="23.5">
      <c r="CH991" s="45">
        <v>987</v>
      </c>
      <c r="CI991" s="45">
        <v>1.7959977467068793</v>
      </c>
      <c r="CJ991" s="45" t="str">
        <v>Invest</v>
      </c>
      <c r="CM991" s="45">
        <v>987</v>
      </c>
      <c r="CN991" s="48">
        <v>33.27732280416614</v>
      </c>
      <c r="CO991" s="45" t="str">
        <v>Invest</v>
      </c>
      <c r="CP991" s="61"/>
      <c r="CQ991" s="45">
        <v>987</v>
      </c>
      <c r="CR991" s="45">
        <v>0</v>
      </c>
      <c r="CS991" s="45" t="str">
        <v>Nothing</v>
      </c>
      <c r="CT991" s="61"/>
      <c r="CU991" s="45">
        <v>987</v>
      </c>
      <c r="CV991" s="45">
        <v>0</v>
      </c>
      <c r="CW991" s="45" t="str">
        <v>Nothing</v>
      </c>
      <c r="CX991" s="61"/>
      <c r="CY991" s="45">
        <v>987</v>
      </c>
      <c r="CZ991" s="45">
        <v>29.862905333846673</v>
      </c>
      <c r="DA991" s="45" t="str">
        <v>Invest</v>
      </c>
      <c r="DU991" s="52"/>
      <c r="DV991" s="50"/>
    </row>
    <row r="992" spans="86:126" ht="23.5">
      <c r="CH992" s="45">
        <v>988</v>
      </c>
      <c r="CI992" s="45">
        <v>17.386104567410847</v>
      </c>
      <c r="CJ992" s="45" t="str">
        <v>Invest</v>
      </c>
      <c r="CM992" s="45">
        <v>988</v>
      </c>
      <c r="CN992" s="48">
        <v>8.8482867582184532</v>
      </c>
      <c r="CO992" s="45" t="str">
        <v>Invest</v>
      </c>
      <c r="CP992" s="61"/>
      <c r="CQ992" s="45">
        <v>988</v>
      </c>
      <c r="CR992" s="45">
        <v>43.240087727619262</v>
      </c>
      <c r="CS992" s="45" t="str">
        <v>Invest</v>
      </c>
      <c r="CT992" s="61"/>
      <c r="CU992" s="45">
        <v>988</v>
      </c>
      <c r="CV992" s="45">
        <v>21.684563063733663</v>
      </c>
      <c r="CW992" s="45" t="str">
        <v>Invest</v>
      </c>
      <c r="CX992" s="61"/>
      <c r="CY992" s="45">
        <v>988</v>
      </c>
      <c r="CZ992" s="45">
        <v>11.512274563430065</v>
      </c>
      <c r="DA992" s="45" t="str">
        <v>Invest</v>
      </c>
      <c r="DU992" s="52"/>
      <c r="DV992" s="50"/>
    </row>
    <row r="993" spans="86:126" ht="23.5">
      <c r="CH993" s="45">
        <v>989</v>
      </c>
      <c r="CI993" s="45">
        <v>0</v>
      </c>
      <c r="CJ993" s="45" t="str">
        <v>Nothing</v>
      </c>
      <c r="CM993" s="45">
        <v>989</v>
      </c>
      <c r="CN993" s="48">
        <v>14.402112414298653</v>
      </c>
      <c r="CO993" s="45" t="str">
        <v>Invest</v>
      </c>
      <c r="CP993" s="61"/>
      <c r="CQ993" s="45">
        <v>989</v>
      </c>
      <c r="CR993" s="45">
        <v>40.514390706489849</v>
      </c>
      <c r="CS993" s="45" t="str">
        <v>Invest</v>
      </c>
      <c r="CT993" s="61"/>
      <c r="CU993" s="45">
        <v>989</v>
      </c>
      <c r="CV993" s="45">
        <v>31.47140482532869</v>
      </c>
      <c r="CW993" s="45" t="str">
        <v>Invest</v>
      </c>
      <c r="CX993" s="61"/>
      <c r="CY993" s="45">
        <v>989</v>
      </c>
      <c r="CZ993" s="45">
        <v>19.785067161680374</v>
      </c>
      <c r="DA993" s="45" t="str">
        <v>Invest</v>
      </c>
      <c r="DU993" s="52"/>
      <c r="DV993" s="50"/>
    </row>
    <row r="994" spans="86:126" ht="23.5">
      <c r="CH994" s="45">
        <v>990</v>
      </c>
      <c r="CI994" s="45">
        <v>33.00108622643981</v>
      </c>
      <c r="CJ994" s="45" t="str">
        <v>Invest</v>
      </c>
      <c r="CM994" s="45">
        <v>990</v>
      </c>
      <c r="CN994" s="48">
        <v>0</v>
      </c>
      <c r="CO994" s="45" t="str">
        <v>Nothing</v>
      </c>
      <c r="CP994" s="61"/>
      <c r="CQ994" s="45">
        <v>990</v>
      </c>
      <c r="CR994" s="45">
        <v>15.63983046358117</v>
      </c>
      <c r="CS994" s="45" t="str">
        <v>Invest</v>
      </c>
      <c r="CT994" s="61"/>
      <c r="CU994" s="45">
        <v>990</v>
      </c>
      <c r="CV994" s="45">
        <v>6.9767180889326061</v>
      </c>
      <c r="CW994" s="45" t="str">
        <v>Invest</v>
      </c>
      <c r="CX994" s="61"/>
      <c r="CY994" s="45">
        <v>990</v>
      </c>
      <c r="CZ994" s="45">
        <v>48.215398404287185</v>
      </c>
      <c r="DA994" s="45" t="str">
        <v>Invest</v>
      </c>
      <c r="DU994" s="52"/>
      <c r="DV994" s="50"/>
    </row>
    <row r="995" spans="86:126" ht="23.5">
      <c r="CH995" s="45">
        <v>991</v>
      </c>
      <c r="CI995" s="45">
        <v>11.261188407746969</v>
      </c>
      <c r="CJ995" s="45" t="str">
        <v>Invest</v>
      </c>
      <c r="CM995" s="45">
        <v>991</v>
      </c>
      <c r="CN995" s="48">
        <v>31.499620254861284</v>
      </c>
      <c r="CO995" s="45" t="str">
        <v>Invest</v>
      </c>
      <c r="CP995" s="61"/>
      <c r="CQ995" s="45">
        <v>991</v>
      </c>
      <c r="CR995" s="45">
        <v>39.974040985193099</v>
      </c>
      <c r="CS995" s="45" t="str">
        <v>Invest</v>
      </c>
      <c r="CT995" s="61"/>
      <c r="CU995" s="45">
        <v>991</v>
      </c>
      <c r="CV995" s="45">
        <v>24.317096526724207</v>
      </c>
      <c r="CW995" s="45" t="str">
        <v>Invest</v>
      </c>
      <c r="CX995" s="61"/>
      <c r="CY995" s="45">
        <v>991</v>
      </c>
      <c r="CZ995" s="45">
        <v>0</v>
      </c>
      <c r="DA995" s="45" t="str">
        <v>Nothing</v>
      </c>
      <c r="DU995" s="52"/>
      <c r="DV995" s="50"/>
    </row>
    <row r="996" spans="86:126" ht="23.5">
      <c r="CH996" s="45">
        <v>992</v>
      </c>
      <c r="CI996" s="45">
        <v>7.4543899584522428</v>
      </c>
      <c r="CJ996" s="45" t="str">
        <v>Invest</v>
      </c>
      <c r="CM996" s="45">
        <v>992</v>
      </c>
      <c r="CN996" s="48">
        <v>0</v>
      </c>
      <c r="CO996" s="45" t="str">
        <v>Nothing</v>
      </c>
      <c r="CP996" s="61"/>
      <c r="CQ996" s="45">
        <v>992</v>
      </c>
      <c r="CR996" s="45">
        <v>32.37799632516019</v>
      </c>
      <c r="CS996" s="45" t="str">
        <v>Invest</v>
      </c>
      <c r="CT996" s="61"/>
      <c r="CU996" s="45">
        <v>992</v>
      </c>
      <c r="CV996" s="45">
        <v>57.067275301598322</v>
      </c>
      <c r="CW996" s="45" t="str">
        <v>Invest</v>
      </c>
      <c r="CX996" s="61"/>
      <c r="CY996" s="45">
        <v>992</v>
      </c>
      <c r="CZ996" s="45">
        <v>52.960801545471739</v>
      </c>
      <c r="DA996" s="45" t="str">
        <v>Invest</v>
      </c>
      <c r="DU996" s="52"/>
      <c r="DV996" s="50"/>
    </row>
    <row r="997" spans="86:126" ht="23.5">
      <c r="CH997" s="45">
        <v>993</v>
      </c>
      <c r="CI997" s="45">
        <v>0.93257243934894252</v>
      </c>
      <c r="CJ997" s="45" t="str">
        <v>Invest</v>
      </c>
      <c r="CM997" s="45">
        <v>993</v>
      </c>
      <c r="CN997" s="48">
        <v>34.790291212843066</v>
      </c>
      <c r="CO997" s="45" t="str">
        <v>Invest</v>
      </c>
      <c r="CP997" s="61"/>
      <c r="CQ997" s="45">
        <v>993</v>
      </c>
      <c r="CR997" s="45">
        <v>42.598296601093438</v>
      </c>
      <c r="CS997" s="45" t="str">
        <v>Invest</v>
      </c>
      <c r="CT997" s="61"/>
      <c r="CU997" s="45">
        <v>993</v>
      </c>
      <c r="CV997" s="45">
        <v>0</v>
      </c>
      <c r="CW997" s="45" t="str">
        <v>Nothing</v>
      </c>
      <c r="CX997" s="61"/>
      <c r="CY997" s="45">
        <v>993</v>
      </c>
      <c r="CZ997" s="45">
        <v>0</v>
      </c>
      <c r="DA997" s="45" t="str">
        <v>Nothing</v>
      </c>
      <c r="DU997" s="52"/>
      <c r="DV997" s="50"/>
    </row>
    <row r="998" spans="86:126" ht="23.5">
      <c r="CH998" s="45">
        <v>994</v>
      </c>
      <c r="CI998" s="45">
        <v>22.732540533051182</v>
      </c>
      <c r="CJ998" s="45" t="str">
        <v>Invest</v>
      </c>
      <c r="CM998" s="45">
        <v>994</v>
      </c>
      <c r="CN998" s="48">
        <v>7.4735181423570278</v>
      </c>
      <c r="CO998" s="45" t="str">
        <v>Invest</v>
      </c>
      <c r="CP998" s="61"/>
      <c r="CQ998" s="45">
        <v>994</v>
      </c>
      <c r="CR998" s="45">
        <v>55.122205173042424</v>
      </c>
      <c r="CS998" s="45" t="str">
        <v>Invest</v>
      </c>
      <c r="CT998" s="61"/>
      <c r="CU998" s="45">
        <v>994</v>
      </c>
      <c r="CV998" s="45">
        <v>0</v>
      </c>
      <c r="CW998" s="45" t="str">
        <v>Nothing</v>
      </c>
      <c r="CX998" s="61"/>
      <c r="CY998" s="45">
        <v>994</v>
      </c>
      <c r="CZ998" s="45">
        <v>36.142131673674548</v>
      </c>
      <c r="DA998" s="45" t="str">
        <v>Invest</v>
      </c>
      <c r="DU998" s="52"/>
      <c r="DV998" s="50"/>
    </row>
    <row r="999" spans="86:126" ht="23.5">
      <c r="CH999" s="45">
        <v>995</v>
      </c>
      <c r="CI999" s="45">
        <v>0</v>
      </c>
      <c r="CJ999" s="45" t="str">
        <v>Nothing</v>
      </c>
      <c r="CM999" s="45">
        <v>995</v>
      </c>
      <c r="CN999" s="48">
        <v>21.170396296789434</v>
      </c>
      <c r="CO999" s="45" t="str">
        <v>Invest</v>
      </c>
      <c r="CP999" s="61"/>
      <c r="CQ999" s="45">
        <v>995</v>
      </c>
      <c r="CR999" s="45">
        <v>0</v>
      </c>
      <c r="CS999" s="45" t="str">
        <v>Nothing</v>
      </c>
      <c r="CT999" s="61"/>
      <c r="CU999" s="45">
        <v>995</v>
      </c>
      <c r="CV999" s="45">
        <v>0</v>
      </c>
      <c r="CW999" s="45" t="str">
        <v>Nothing</v>
      </c>
      <c r="CX999" s="61"/>
      <c r="CY999" s="45">
        <v>995</v>
      </c>
      <c r="CZ999" s="45">
        <v>0</v>
      </c>
      <c r="DA999" s="45" t="str">
        <v>Nothing</v>
      </c>
      <c r="DU999" s="52"/>
      <c r="DV999" s="50"/>
    </row>
    <row r="1000" spans="86:126" ht="23.5">
      <c r="CH1000" s="45">
        <v>996</v>
      </c>
      <c r="CI1000" s="45">
        <v>22.548813960835162</v>
      </c>
      <c r="CJ1000" s="45" t="str">
        <v>Invest</v>
      </c>
      <c r="CM1000" s="45">
        <v>996</v>
      </c>
      <c r="CN1000" s="48">
        <v>0</v>
      </c>
      <c r="CO1000" s="45" t="str">
        <v>Nothing</v>
      </c>
      <c r="CP1000" s="61"/>
      <c r="CQ1000" s="45">
        <v>996</v>
      </c>
      <c r="CR1000" s="45">
        <v>19.818185766804277</v>
      </c>
      <c r="CS1000" s="45" t="str">
        <v>Invest</v>
      </c>
      <c r="CT1000" s="61"/>
      <c r="CU1000" s="45">
        <v>996</v>
      </c>
      <c r="CV1000" s="45">
        <v>29.153340940262748</v>
      </c>
      <c r="CW1000" s="45" t="str">
        <v>Invest</v>
      </c>
      <c r="CX1000" s="61"/>
      <c r="CY1000" s="45">
        <v>996</v>
      </c>
      <c r="CZ1000" s="45">
        <v>17.530576534532809</v>
      </c>
      <c r="DA1000" s="45" t="str">
        <v>Invest</v>
      </c>
      <c r="DU1000" s="52"/>
      <c r="DV1000" s="50"/>
    </row>
    <row r="1001" spans="86:126" ht="23.5">
      <c r="CH1001" s="45">
        <v>997</v>
      </c>
      <c r="CI1001" s="45">
        <v>7.5651051252409376</v>
      </c>
      <c r="CJ1001" s="45" t="str">
        <v>Invest</v>
      </c>
      <c r="CM1001" s="45">
        <v>997</v>
      </c>
      <c r="CN1001" s="48">
        <v>0</v>
      </c>
      <c r="CO1001" s="45" t="str">
        <v>Nothing</v>
      </c>
      <c r="CP1001" s="61"/>
      <c r="CQ1001" s="45">
        <v>997</v>
      </c>
      <c r="CR1001" s="45">
        <v>21.468232535599306</v>
      </c>
      <c r="CS1001" s="45" t="str">
        <v>Invest</v>
      </c>
      <c r="CT1001" s="61"/>
      <c r="CU1001" s="45">
        <v>997</v>
      </c>
      <c r="CV1001" s="45">
        <v>32.619169084713207</v>
      </c>
      <c r="CW1001" s="45" t="str">
        <v>Invest</v>
      </c>
      <c r="CX1001" s="61"/>
      <c r="CY1001" s="45">
        <v>997</v>
      </c>
      <c r="CZ1001" s="45">
        <v>0</v>
      </c>
      <c r="DA1001" s="45" t="str">
        <v>Nothing</v>
      </c>
      <c r="DU1001" s="52"/>
      <c r="DV1001" s="50"/>
    </row>
    <row r="1002" spans="86:126" ht="23.5">
      <c r="CH1002" s="45">
        <v>998</v>
      </c>
      <c r="CI1002" s="45">
        <v>55.641461953704649</v>
      </c>
      <c r="CJ1002" s="45" t="str">
        <v>Invest</v>
      </c>
      <c r="CM1002" s="45">
        <v>998</v>
      </c>
      <c r="CN1002" s="48">
        <v>0</v>
      </c>
      <c r="CO1002" s="45" t="str">
        <v>Nothing</v>
      </c>
      <c r="CP1002" s="61"/>
      <c r="CQ1002" s="45">
        <v>998</v>
      </c>
      <c r="CR1002" s="45">
        <v>13.534148314112251</v>
      </c>
      <c r="CS1002" s="45" t="str">
        <v>Invest</v>
      </c>
      <c r="CT1002" s="61"/>
      <c r="CU1002" s="45">
        <v>998</v>
      </c>
      <c r="CV1002" s="45">
        <v>10.610700199886978</v>
      </c>
      <c r="CW1002" s="45" t="str">
        <v>Invest</v>
      </c>
      <c r="CX1002" s="61"/>
      <c r="CY1002" s="45">
        <v>998</v>
      </c>
      <c r="CZ1002" s="45">
        <v>42.434865461670846</v>
      </c>
      <c r="DA1002" s="45" t="str">
        <v>Invest</v>
      </c>
      <c r="DU1002" s="52"/>
      <c r="DV1002" s="50"/>
    </row>
    <row r="1003" spans="86:126" ht="23.5">
      <c r="CH1003" s="45">
        <v>999</v>
      </c>
      <c r="CI1003" s="45">
        <v>9.3766716683667948</v>
      </c>
      <c r="CJ1003" s="45" t="str">
        <v>Invest</v>
      </c>
      <c r="CM1003" s="45">
        <v>999</v>
      </c>
      <c r="CN1003" s="48">
        <v>18.458785144940308</v>
      </c>
      <c r="CO1003" s="45" t="str">
        <v>Invest</v>
      </c>
      <c r="CP1003" s="61"/>
      <c r="CQ1003" s="45">
        <v>999</v>
      </c>
      <c r="CR1003" s="45">
        <v>13.68289087168538</v>
      </c>
      <c r="CS1003" s="45" t="str">
        <v>Invest</v>
      </c>
      <c r="CT1003" s="61"/>
      <c r="CU1003" s="45">
        <v>999</v>
      </c>
      <c r="CV1003" s="45">
        <v>12.960737021436014</v>
      </c>
      <c r="CW1003" s="45" t="str">
        <v>Invest</v>
      </c>
      <c r="CX1003" s="61"/>
      <c r="CY1003" s="45">
        <v>999</v>
      </c>
      <c r="CZ1003" s="45">
        <v>31.580878960965521</v>
      </c>
      <c r="DA1003" s="45" t="str">
        <v>Invest</v>
      </c>
      <c r="DU1003" s="52"/>
      <c r="DV1003" s="50"/>
    </row>
    <row r="1004" spans="86:126" ht="23.5">
      <c r="CH1004" s="45">
        <v>1000</v>
      </c>
      <c r="CI1004" s="45">
        <v>15.283505561743828</v>
      </c>
      <c r="CJ1004" s="45" t="str">
        <v>Invest</v>
      </c>
      <c r="CM1004" s="45">
        <v>1000</v>
      </c>
      <c r="CN1004" s="48">
        <v>17.448224459458814</v>
      </c>
      <c r="CO1004" s="45" t="str">
        <v>Invest</v>
      </c>
      <c r="CP1004" s="61"/>
      <c r="CQ1004" s="45">
        <v>1000</v>
      </c>
      <c r="CR1004" s="45">
        <v>21.491742148979942</v>
      </c>
      <c r="CS1004" s="45" t="str">
        <v>Invest</v>
      </c>
      <c r="CT1004" s="61"/>
      <c r="CU1004" s="45">
        <v>1000</v>
      </c>
      <c r="CV1004" s="45">
        <v>11.792400284861646</v>
      </c>
      <c r="CW1004" s="45" t="str">
        <v>Invest</v>
      </c>
      <c r="CX1004" s="61"/>
      <c r="CY1004" s="45">
        <v>1000</v>
      </c>
      <c r="CZ1004" s="45">
        <v>41.99278927392195</v>
      </c>
      <c r="DA1004" s="45" t="str">
        <v>Invest</v>
      </c>
      <c r="DU1004" s="52"/>
      <c r="DV1004" s="50"/>
    </row>
    <row r="1005" spans="86:126" ht="23.5">
      <c r="CM1005" s="45">
        <v>1001</v>
      </c>
      <c r="CN1005" s="48">
        <v>0</v>
      </c>
      <c r="CO1005" s="45" t="str">
        <v>Nothing</v>
      </c>
      <c r="CP1005" s="61"/>
      <c r="CQ1005" s="45">
        <v>1001</v>
      </c>
      <c r="CR1005" s="45">
        <v>22.927865553380848</v>
      </c>
      <c r="CS1005" s="45" t="str">
        <v>Invest</v>
      </c>
      <c r="CT1005" s="61"/>
      <c r="CU1005" s="45">
        <v>1001</v>
      </c>
      <c r="CV1005" s="45">
        <v>0</v>
      </c>
      <c r="CW1005" s="45" t="str">
        <v>Nothing</v>
      </c>
      <c r="CX1005" s="61"/>
      <c r="CY1005" s="45">
        <v>1001</v>
      </c>
      <c r="CZ1005" s="45">
        <v>39.537500106729617</v>
      </c>
      <c r="DA1005" s="45" t="str">
        <v>Invest</v>
      </c>
      <c r="DU1005" s="52"/>
      <c r="DV1005" s="50"/>
    </row>
    <row r="1006" spans="86:126" ht="23.5">
      <c r="CM1006" s="45">
        <v>1002</v>
      </c>
      <c r="CN1006" s="48">
        <v>30.079364257872228</v>
      </c>
      <c r="CO1006" s="45" t="str">
        <v>Invest</v>
      </c>
      <c r="CP1006" s="61"/>
      <c r="CQ1006" s="45">
        <v>1002</v>
      </c>
      <c r="CR1006" s="45">
        <v>10.636137654002818</v>
      </c>
      <c r="CS1006" s="45" t="str">
        <v>Invest</v>
      </c>
      <c r="CT1006" s="61"/>
      <c r="CU1006" s="45">
        <v>1002</v>
      </c>
      <c r="CV1006" s="45">
        <v>29.71770907582663</v>
      </c>
      <c r="CW1006" s="45" t="str">
        <v>Invest</v>
      </c>
      <c r="CX1006" s="61"/>
      <c r="CY1006" s="45">
        <v>1002</v>
      </c>
      <c r="CZ1006" s="45">
        <v>0</v>
      </c>
      <c r="DA1006" s="45" t="str">
        <v>Nothing</v>
      </c>
      <c r="DU1006" s="52"/>
      <c r="DV1006" s="50"/>
    </row>
    <row r="1007" spans="86:126" ht="23.5">
      <c r="CM1007" s="45">
        <v>1003</v>
      </c>
      <c r="CN1007" s="48">
        <v>26.244262368471745</v>
      </c>
      <c r="CO1007" s="45" t="str">
        <v>Invest</v>
      </c>
      <c r="CP1007" s="61"/>
      <c r="CQ1007" s="45">
        <v>1003</v>
      </c>
      <c r="CR1007" s="45">
        <v>0.1500415222877578</v>
      </c>
      <c r="CS1007" s="45" t="str">
        <v>Invest</v>
      </c>
      <c r="CT1007" s="61"/>
      <c r="CU1007" s="45">
        <v>1003</v>
      </c>
      <c r="CV1007" s="45">
        <v>45.349953523838501</v>
      </c>
      <c r="CW1007" s="45" t="str">
        <v>Invest</v>
      </c>
      <c r="CX1007" s="61"/>
      <c r="CY1007" s="45">
        <v>1003</v>
      </c>
      <c r="CZ1007" s="45">
        <v>0</v>
      </c>
      <c r="DA1007" s="45" t="str">
        <v>Nothing</v>
      </c>
      <c r="DU1007" s="52"/>
      <c r="DV1007" s="50"/>
    </row>
    <row r="1008" spans="86:126" ht="23.5">
      <c r="CM1008" s="45">
        <v>1004</v>
      </c>
      <c r="CN1008" s="48">
        <v>7.7890917369303825</v>
      </c>
      <c r="CO1008" s="45" t="str">
        <v>Invest</v>
      </c>
      <c r="CP1008" s="61"/>
      <c r="CQ1008" s="45">
        <v>1004</v>
      </c>
      <c r="CR1008" s="45">
        <v>0.92062961474202787</v>
      </c>
      <c r="CS1008" s="45" t="str">
        <v>Invest</v>
      </c>
      <c r="CT1008" s="61"/>
      <c r="CU1008" s="45">
        <v>1004</v>
      </c>
      <c r="CV1008" s="45">
        <v>6.703397920663555</v>
      </c>
      <c r="CW1008" s="45" t="str">
        <v>Invest</v>
      </c>
      <c r="CX1008" s="61"/>
      <c r="CY1008" s="45">
        <v>1004</v>
      </c>
      <c r="CZ1008" s="45">
        <v>7.7069049660261051</v>
      </c>
      <c r="DA1008" s="45" t="str">
        <v>Invest</v>
      </c>
      <c r="DU1008" s="52"/>
      <c r="DV1008" s="50"/>
    </row>
    <row r="1009" spans="91:126" ht="23.5">
      <c r="CM1009" s="45">
        <v>1005</v>
      </c>
      <c r="CN1009" s="48">
        <v>10.490818814941568</v>
      </c>
      <c r="CO1009" s="45" t="str">
        <v>Invest</v>
      </c>
      <c r="CP1009" s="61"/>
      <c r="CQ1009" s="45">
        <v>1005</v>
      </c>
      <c r="CR1009" s="45">
        <v>20.990529653254583</v>
      </c>
      <c r="CS1009" s="45" t="str">
        <v>Invest</v>
      </c>
      <c r="CT1009" s="61"/>
      <c r="CU1009" s="45">
        <v>1005</v>
      </c>
      <c r="CV1009" s="45">
        <v>5.550286318901513</v>
      </c>
      <c r="CW1009" s="45" t="str">
        <v>Invest</v>
      </c>
      <c r="CX1009" s="61"/>
      <c r="CY1009" s="45">
        <v>1005</v>
      </c>
      <c r="CZ1009" s="45">
        <v>18.594203022207072</v>
      </c>
      <c r="DA1009" s="45" t="str">
        <v>Invest</v>
      </c>
      <c r="DU1009" s="52"/>
      <c r="DV1009" s="50"/>
    </row>
    <row r="1010" spans="91:126" ht="23.5">
      <c r="CM1010" s="45">
        <v>1006</v>
      </c>
      <c r="CN1010" s="48">
        <v>42.231669051444165</v>
      </c>
      <c r="CO1010" s="45" t="str">
        <v>Invest</v>
      </c>
      <c r="CP1010" s="61"/>
      <c r="CQ1010" s="45">
        <v>1006</v>
      </c>
      <c r="CR1010" s="45">
        <v>42.105322977189019</v>
      </c>
      <c r="CS1010" s="45" t="str">
        <v>Invest</v>
      </c>
      <c r="CT1010" s="61"/>
      <c r="CU1010" s="45">
        <v>1006</v>
      </c>
      <c r="CV1010" s="45">
        <v>23.851471557295959</v>
      </c>
      <c r="CW1010" s="45" t="str">
        <v>Invest</v>
      </c>
      <c r="CX1010" s="61"/>
      <c r="CY1010" s="45">
        <v>1006</v>
      </c>
      <c r="CZ1010" s="45">
        <v>6.5253881718552194</v>
      </c>
      <c r="DA1010" s="45" t="str">
        <v>Invest</v>
      </c>
      <c r="DU1010" s="52"/>
      <c r="DV1010" s="50"/>
    </row>
    <row r="1011" spans="91:126" ht="23.5">
      <c r="CM1011" s="45">
        <v>1007</v>
      </c>
      <c r="CN1011" s="48">
        <v>7.0415891997923019</v>
      </c>
      <c r="CO1011" s="45" t="str">
        <v>Invest</v>
      </c>
      <c r="CP1011" s="61"/>
      <c r="CQ1011" s="45">
        <v>1007</v>
      </c>
      <c r="CR1011" s="45">
        <v>20.400603721846529</v>
      </c>
      <c r="CS1011" s="45" t="str">
        <v>Invest</v>
      </c>
      <c r="CT1011" s="61"/>
      <c r="CU1011" s="45">
        <v>1007</v>
      </c>
      <c r="CV1011" s="45">
        <v>0</v>
      </c>
      <c r="CW1011" s="45" t="str">
        <v>Nothing</v>
      </c>
      <c r="CX1011" s="61"/>
      <c r="CY1011" s="45">
        <v>1007</v>
      </c>
      <c r="CZ1011" s="45">
        <v>13.341020510015891</v>
      </c>
      <c r="DA1011" s="45" t="str">
        <v>Invest</v>
      </c>
      <c r="DU1011" s="52"/>
      <c r="DV1011" s="50"/>
    </row>
    <row r="1012" spans="91:126" ht="23.5">
      <c r="CM1012" s="45">
        <v>1008</v>
      </c>
      <c r="CN1012" s="48">
        <v>46.849601801058405</v>
      </c>
      <c r="CO1012" s="45" t="str">
        <v>Invest</v>
      </c>
      <c r="CP1012" s="61"/>
      <c r="CQ1012" s="45">
        <v>1008</v>
      </c>
      <c r="CR1012" s="45">
        <v>43.676296416763471</v>
      </c>
      <c r="CS1012" s="45" t="str">
        <v>Invest</v>
      </c>
      <c r="CT1012" s="61"/>
      <c r="CU1012" s="45">
        <v>1008</v>
      </c>
      <c r="CV1012" s="45">
        <v>0</v>
      </c>
      <c r="CW1012" s="45" t="str">
        <v>Nothing</v>
      </c>
      <c r="CX1012" s="61"/>
      <c r="CY1012" s="45">
        <v>1008</v>
      </c>
      <c r="CZ1012" s="45">
        <v>15.483841685855435</v>
      </c>
      <c r="DA1012" s="45" t="str">
        <v>Invest</v>
      </c>
      <c r="DU1012" s="52"/>
      <c r="DV1012" s="50"/>
    </row>
    <row r="1013" spans="91:126" ht="23.5">
      <c r="CM1013" s="45">
        <v>1009</v>
      </c>
      <c r="CN1013" s="48">
        <v>1.9088645883191653</v>
      </c>
      <c r="CO1013" s="45" t="str">
        <v>Invest</v>
      </c>
      <c r="CP1013" s="61"/>
      <c r="CQ1013" s="45">
        <v>1009</v>
      </c>
      <c r="CR1013" s="45">
        <v>16.595292637398416</v>
      </c>
      <c r="CS1013" s="45" t="str">
        <v>Invest</v>
      </c>
      <c r="CT1013" s="61"/>
      <c r="CU1013" s="45">
        <v>1009</v>
      </c>
      <c r="CV1013" s="45">
        <v>21.924267366083306</v>
      </c>
      <c r="CW1013" s="45" t="str">
        <v>Invest</v>
      </c>
      <c r="CX1013" s="61"/>
      <c r="CY1013" s="45">
        <v>1009</v>
      </c>
      <c r="CZ1013" s="45">
        <v>0</v>
      </c>
      <c r="DA1013" s="45" t="str">
        <v>Nothing</v>
      </c>
      <c r="DU1013" s="52"/>
      <c r="DV1013" s="50"/>
    </row>
    <row r="1014" spans="91:126" ht="23.5">
      <c r="CM1014" s="45">
        <v>1010</v>
      </c>
      <c r="CN1014" s="48">
        <v>17.856933695447708</v>
      </c>
      <c r="CO1014" s="45" t="str">
        <v>Invest</v>
      </c>
      <c r="CP1014" s="61"/>
      <c r="CQ1014" s="45">
        <v>1010</v>
      </c>
      <c r="CR1014" s="45">
        <v>13.283194137811311</v>
      </c>
      <c r="CS1014" s="45" t="str">
        <v>Invest</v>
      </c>
      <c r="CT1014" s="61"/>
      <c r="CU1014" s="45">
        <v>1010</v>
      </c>
      <c r="CV1014" s="45">
        <v>14.815892430179307</v>
      </c>
      <c r="CW1014" s="45" t="str">
        <v>Invest</v>
      </c>
      <c r="CX1014" s="61"/>
      <c r="CY1014" s="45">
        <v>1010</v>
      </c>
      <c r="CZ1014" s="45">
        <v>0.78885384974444861</v>
      </c>
      <c r="DA1014" s="45" t="str">
        <v>Invest</v>
      </c>
      <c r="DU1014" s="52"/>
      <c r="DV1014" s="50"/>
    </row>
    <row r="1015" spans="91:126" ht="23.5">
      <c r="CM1015" s="45">
        <v>1011</v>
      </c>
      <c r="CN1015" s="48">
        <v>11.1230315290119</v>
      </c>
      <c r="CO1015" s="45" t="str">
        <v>Invest</v>
      </c>
      <c r="CP1015" s="61"/>
      <c r="CQ1015" s="45">
        <v>1011</v>
      </c>
      <c r="CR1015" s="45">
        <v>0</v>
      </c>
      <c r="CS1015" s="45" t="str">
        <v>Nothing</v>
      </c>
      <c r="CT1015" s="61"/>
      <c r="CU1015" s="45">
        <v>1011</v>
      </c>
      <c r="CV1015" s="45">
        <v>5.1648214545764084</v>
      </c>
      <c r="CW1015" s="45" t="str">
        <v>Invest</v>
      </c>
      <c r="CX1015" s="61"/>
      <c r="CY1015" s="45">
        <v>1011</v>
      </c>
      <c r="CZ1015" s="45">
        <v>14.63609124064255</v>
      </c>
      <c r="DA1015" s="45" t="str">
        <v>Invest</v>
      </c>
      <c r="DU1015" s="52"/>
      <c r="DV1015" s="50"/>
    </row>
    <row r="1016" spans="91:126" ht="23.5">
      <c r="CM1016" s="45">
        <v>1012</v>
      </c>
      <c r="CN1016" s="48">
        <v>55.334447147860097</v>
      </c>
      <c r="CO1016" s="45" t="str">
        <v>Invest</v>
      </c>
      <c r="CP1016" s="61"/>
      <c r="CQ1016" s="45">
        <v>1012</v>
      </c>
      <c r="CR1016" s="45">
        <v>26.327773321981407</v>
      </c>
      <c r="CS1016" s="45" t="str">
        <v>Invest</v>
      </c>
      <c r="CT1016" s="61"/>
      <c r="CU1016" s="45">
        <v>1012</v>
      </c>
      <c r="CV1016" s="45">
        <v>10.200743125010581</v>
      </c>
      <c r="CW1016" s="45" t="str">
        <v>Invest</v>
      </c>
      <c r="CX1016" s="61"/>
      <c r="CY1016" s="45">
        <v>1012</v>
      </c>
      <c r="CZ1016" s="45">
        <v>18.368708524100558</v>
      </c>
      <c r="DA1016" s="45" t="str">
        <v>Invest</v>
      </c>
      <c r="DU1016" s="52"/>
      <c r="DV1016" s="50"/>
    </row>
    <row r="1017" spans="91:126" ht="23.5">
      <c r="CM1017" s="45">
        <v>1013</v>
      </c>
      <c r="CN1017" s="48">
        <v>31.202041334966268</v>
      </c>
      <c r="CO1017" s="45" t="str">
        <v>Invest</v>
      </c>
      <c r="CP1017" s="61"/>
      <c r="CQ1017" s="45">
        <v>1013</v>
      </c>
      <c r="CR1017" s="45">
        <v>0</v>
      </c>
      <c r="CS1017" s="45" t="str">
        <v>Nothing</v>
      </c>
      <c r="CT1017" s="61"/>
      <c r="CU1017" s="45">
        <v>1013</v>
      </c>
      <c r="CV1017" s="45">
        <v>2.0360383486730775</v>
      </c>
      <c r="CW1017" s="45" t="str">
        <v>Invest</v>
      </c>
      <c r="CX1017" s="61"/>
      <c r="CY1017" s="45">
        <v>1013</v>
      </c>
      <c r="CZ1017" s="45">
        <v>0</v>
      </c>
      <c r="DA1017" s="45" t="str">
        <v>Nothing</v>
      </c>
      <c r="DU1017" s="52"/>
      <c r="DV1017" s="50"/>
    </row>
    <row r="1018" spans="91:126" ht="23.5">
      <c r="CM1018" s="45">
        <v>1014</v>
      </c>
      <c r="CN1018" s="48">
        <v>0</v>
      </c>
      <c r="CO1018" s="45" t="str">
        <v>Nothing</v>
      </c>
      <c r="CP1018" s="61"/>
      <c r="CQ1018" s="45">
        <v>1014</v>
      </c>
      <c r="CR1018" s="45">
        <v>0</v>
      </c>
      <c r="CS1018" s="45" t="str">
        <v>Nothing</v>
      </c>
      <c r="CT1018" s="61"/>
      <c r="CU1018" s="45">
        <v>1014</v>
      </c>
      <c r="CV1018" s="45">
        <v>22.983682759798178</v>
      </c>
      <c r="CW1018" s="45" t="str">
        <v>Invest</v>
      </c>
      <c r="CX1018" s="61"/>
      <c r="CY1018" s="45">
        <v>1014</v>
      </c>
      <c r="CZ1018" s="45">
        <v>8.8382855123301614</v>
      </c>
      <c r="DA1018" s="45" t="str">
        <v>Invest</v>
      </c>
      <c r="DU1018" s="52"/>
      <c r="DV1018" s="50"/>
    </row>
    <row r="1019" spans="91:126" ht="23.5">
      <c r="CM1019" s="45">
        <v>1015</v>
      </c>
      <c r="CN1019" s="48">
        <v>0</v>
      </c>
      <c r="CO1019" s="45" t="str">
        <v>Nothing</v>
      </c>
      <c r="CP1019" s="61"/>
      <c r="CQ1019" s="45">
        <v>1015</v>
      </c>
      <c r="CR1019" s="45">
        <v>10.931378054965784</v>
      </c>
      <c r="CS1019" s="45" t="str">
        <v>Invest</v>
      </c>
      <c r="CT1019" s="61"/>
      <c r="CU1019" s="45">
        <v>1015</v>
      </c>
      <c r="CV1019" s="45">
        <v>48.40854718276475</v>
      </c>
      <c r="CW1019" s="45" t="str">
        <v>Invest</v>
      </c>
      <c r="CX1019" s="61"/>
      <c r="CY1019" s="45">
        <v>1015</v>
      </c>
      <c r="CZ1019" s="45">
        <v>0</v>
      </c>
      <c r="DA1019" s="45" t="str">
        <v>Nothing</v>
      </c>
      <c r="DU1019" s="52"/>
      <c r="DV1019" s="50"/>
    </row>
    <row r="1020" spans="91:126" ht="23.5">
      <c r="CM1020" s="45">
        <v>1016</v>
      </c>
      <c r="CN1020" s="48">
        <v>0</v>
      </c>
      <c r="CO1020" s="45" t="str">
        <v>Nothing</v>
      </c>
      <c r="CP1020" s="61"/>
      <c r="CQ1020" s="45">
        <v>1016</v>
      </c>
      <c r="CR1020" s="45">
        <v>5.6070504811740731</v>
      </c>
      <c r="CS1020" s="45" t="str">
        <v>Invest</v>
      </c>
      <c r="CT1020" s="61"/>
      <c r="CU1020" s="45">
        <v>1016</v>
      </c>
      <c r="CV1020" s="45">
        <v>40.926377184565659</v>
      </c>
      <c r="CW1020" s="45" t="str">
        <v>Invest</v>
      </c>
      <c r="CX1020" s="61"/>
      <c r="CY1020" s="45">
        <v>1016</v>
      </c>
      <c r="CZ1020" s="45">
        <v>6.4210785038910245</v>
      </c>
      <c r="DA1020" s="45" t="str">
        <v>Invest</v>
      </c>
      <c r="DU1020" s="52"/>
      <c r="DV1020" s="50"/>
    </row>
    <row r="1021" spans="91:126" ht="23.5">
      <c r="CM1021" s="45">
        <v>1017</v>
      </c>
      <c r="CN1021" s="48">
        <v>0</v>
      </c>
      <c r="CO1021" s="45" t="str">
        <v>Nothing</v>
      </c>
      <c r="CP1021" s="61"/>
      <c r="CQ1021" s="45">
        <v>1017</v>
      </c>
      <c r="CR1021" s="45">
        <v>0</v>
      </c>
      <c r="CS1021" s="45" t="str">
        <v>Nothing</v>
      </c>
      <c r="CT1021" s="61"/>
      <c r="CU1021" s="45">
        <v>1017</v>
      </c>
      <c r="CV1021" s="45">
        <v>15.700684294847003</v>
      </c>
      <c r="CW1021" s="45" t="str">
        <v>Invest</v>
      </c>
      <c r="CX1021" s="61"/>
      <c r="CY1021" s="45">
        <v>1017</v>
      </c>
      <c r="CZ1021" s="45">
        <v>14.083119830107041</v>
      </c>
      <c r="DA1021" s="45" t="str">
        <v>Invest</v>
      </c>
      <c r="DU1021" s="52"/>
      <c r="DV1021" s="50"/>
    </row>
    <row r="1022" spans="91:126" ht="23.5">
      <c r="CM1022" s="45">
        <v>1018</v>
      </c>
      <c r="CN1022" s="48">
        <v>33.158699700137738</v>
      </c>
      <c r="CO1022" s="45" t="str">
        <v>Invest</v>
      </c>
      <c r="CP1022" s="61"/>
      <c r="CQ1022" s="45">
        <v>1018</v>
      </c>
      <c r="CR1022" s="45">
        <v>41.880323095569004</v>
      </c>
      <c r="CS1022" s="45" t="str">
        <v>Invest</v>
      </c>
      <c r="CT1022" s="61"/>
      <c r="CU1022" s="45">
        <v>1018</v>
      </c>
      <c r="CV1022" s="45">
        <v>0</v>
      </c>
      <c r="CW1022" s="45" t="str">
        <v>Nothing</v>
      </c>
      <c r="CX1022" s="61"/>
      <c r="CY1022" s="45">
        <v>1018</v>
      </c>
      <c r="CZ1022" s="45">
        <v>2.3428491979463768</v>
      </c>
      <c r="DA1022" s="45" t="str">
        <v>Invest</v>
      </c>
      <c r="DU1022" s="52"/>
      <c r="DV1022" s="50"/>
    </row>
    <row r="1023" spans="91:126" ht="23.5">
      <c r="CM1023" s="45">
        <v>1019</v>
      </c>
      <c r="CN1023" s="48">
        <v>0</v>
      </c>
      <c r="CO1023" s="45" t="str">
        <v>Nothing</v>
      </c>
      <c r="CP1023" s="61"/>
      <c r="CQ1023" s="45">
        <v>1019</v>
      </c>
      <c r="CR1023" s="45">
        <v>2.3165285050537285</v>
      </c>
      <c r="CS1023" s="45" t="str">
        <v>Invest</v>
      </c>
      <c r="CT1023" s="61"/>
      <c r="CU1023" s="45">
        <v>1019</v>
      </c>
      <c r="CV1023" s="45">
        <v>27.77299959749751</v>
      </c>
      <c r="CW1023" s="45" t="str">
        <v>Invest</v>
      </c>
      <c r="CX1023" s="61"/>
      <c r="CY1023" s="45">
        <v>1019</v>
      </c>
      <c r="CZ1023" s="45">
        <v>9.4961239798695249</v>
      </c>
      <c r="DA1023" s="45" t="str">
        <v>Invest</v>
      </c>
      <c r="DU1023" s="52"/>
      <c r="DV1023" s="50"/>
    </row>
    <row r="1024" spans="91:126" ht="23.5">
      <c r="CM1024" s="45">
        <v>1020</v>
      </c>
      <c r="CN1024" s="48">
        <v>7.8845735948101918</v>
      </c>
      <c r="CO1024" s="45" t="str">
        <v>Invest</v>
      </c>
      <c r="CP1024" s="61"/>
      <c r="CQ1024" s="45">
        <v>1020</v>
      </c>
      <c r="CR1024" s="45">
        <v>0</v>
      </c>
      <c r="CS1024" s="45" t="str">
        <v>Nothing</v>
      </c>
      <c r="CT1024" s="61"/>
      <c r="CU1024" s="45">
        <v>1020</v>
      </c>
      <c r="CV1024" s="45">
        <v>56.415446726394869</v>
      </c>
      <c r="CW1024" s="45" t="str">
        <v>Invest</v>
      </c>
      <c r="CX1024" s="61"/>
      <c r="CY1024" s="45">
        <v>1020</v>
      </c>
      <c r="CZ1024" s="45">
        <v>0</v>
      </c>
      <c r="DA1024" s="45" t="str">
        <v>Nothing</v>
      </c>
      <c r="DU1024" s="52"/>
      <c r="DV1024" s="50"/>
    </row>
    <row r="1025" spans="91:126" ht="23.5">
      <c r="CM1025" s="45">
        <v>1021</v>
      </c>
      <c r="CN1025" s="48">
        <v>40.716587106493748</v>
      </c>
      <c r="CO1025" s="45" t="str">
        <v>Invest</v>
      </c>
      <c r="CP1025" s="61"/>
      <c r="CQ1025" s="45">
        <v>1021</v>
      </c>
      <c r="CR1025" s="45">
        <v>0</v>
      </c>
      <c r="CS1025" s="45" t="str">
        <v>Nothing</v>
      </c>
      <c r="CT1025" s="61"/>
      <c r="CU1025" s="45">
        <v>1021</v>
      </c>
      <c r="CV1025" s="45">
        <v>0</v>
      </c>
      <c r="CW1025" s="45" t="str">
        <v>Nothing</v>
      </c>
      <c r="CX1025" s="61"/>
      <c r="CY1025" s="45">
        <v>1021</v>
      </c>
      <c r="CZ1025" s="45">
        <v>0</v>
      </c>
      <c r="DA1025" s="45" t="str">
        <v>Nothing</v>
      </c>
      <c r="DU1025" s="52"/>
      <c r="DV1025" s="50"/>
    </row>
    <row r="1026" spans="91:126" ht="23.5">
      <c r="CM1026" s="45">
        <v>1022</v>
      </c>
      <c r="CN1026" s="48">
        <v>0</v>
      </c>
      <c r="CO1026" s="45" t="str">
        <v>Nothing</v>
      </c>
      <c r="CP1026" s="61"/>
      <c r="CQ1026" s="45">
        <v>1022</v>
      </c>
      <c r="CR1026" s="45">
        <v>9.8052962761560565</v>
      </c>
      <c r="CS1026" s="45" t="str">
        <v>Invest</v>
      </c>
      <c r="CT1026" s="61"/>
      <c r="CU1026" s="45">
        <v>1022</v>
      </c>
      <c r="CV1026" s="45">
        <v>0</v>
      </c>
      <c r="CW1026" s="45" t="str">
        <v>Nothing</v>
      </c>
      <c r="CX1026" s="61"/>
      <c r="CY1026" s="45">
        <v>1022</v>
      </c>
      <c r="CZ1026" s="45">
        <v>0</v>
      </c>
      <c r="DA1026" s="45" t="str">
        <v>Nothing</v>
      </c>
      <c r="DU1026" s="52"/>
      <c r="DV1026" s="50"/>
    </row>
    <row r="1027" spans="91:126" ht="23.5">
      <c r="CM1027" s="45">
        <v>1023</v>
      </c>
      <c r="CN1027" s="48">
        <v>33.679934770315981</v>
      </c>
      <c r="CO1027" s="45" t="str">
        <v>Invest</v>
      </c>
      <c r="CP1027" s="61"/>
      <c r="CQ1027" s="45">
        <v>1023</v>
      </c>
      <c r="CR1027" s="45">
        <v>4.7355205971771426</v>
      </c>
      <c r="CS1027" s="45" t="str">
        <v>Invest</v>
      </c>
      <c r="CT1027" s="61"/>
      <c r="CU1027" s="45">
        <v>1023</v>
      </c>
      <c r="CV1027" s="45">
        <v>0</v>
      </c>
      <c r="CW1027" s="45" t="str">
        <v>Nothing</v>
      </c>
      <c r="CX1027" s="61"/>
      <c r="CY1027" s="45">
        <v>1023</v>
      </c>
      <c r="CZ1027" s="45">
        <v>43.12638169638543</v>
      </c>
      <c r="DA1027" s="45" t="str">
        <v>Invest</v>
      </c>
      <c r="DU1027" s="52"/>
      <c r="DV1027" s="50"/>
    </row>
    <row r="1028" spans="91:126" ht="23.5">
      <c r="CM1028" s="45">
        <v>1024</v>
      </c>
      <c r="CN1028" s="48">
        <v>1.5833888794600641</v>
      </c>
      <c r="CO1028" s="45" t="str">
        <v>Invest</v>
      </c>
      <c r="CP1028" s="61"/>
      <c r="CQ1028" s="45">
        <v>1024</v>
      </c>
      <c r="CR1028" s="45">
        <v>0</v>
      </c>
      <c r="CS1028" s="45" t="str">
        <v>Nothing</v>
      </c>
      <c r="CT1028" s="61"/>
      <c r="CU1028" s="45">
        <v>1024</v>
      </c>
      <c r="CV1028" s="45">
        <v>39.757564067669442</v>
      </c>
      <c r="CW1028" s="45" t="str">
        <v>Invest</v>
      </c>
      <c r="CX1028" s="61"/>
      <c r="CY1028" s="45">
        <v>1024</v>
      </c>
      <c r="CZ1028" s="45">
        <v>14.828940349587196</v>
      </c>
      <c r="DA1028" s="45" t="str">
        <v>Invest</v>
      </c>
      <c r="DU1028" s="52"/>
      <c r="DV1028" s="50"/>
    </row>
    <row r="1029" spans="91:126" ht="23.5">
      <c r="CM1029" s="45">
        <v>1025</v>
      </c>
      <c r="CN1029" s="48">
        <v>0</v>
      </c>
      <c r="CO1029" s="45" t="str">
        <v>Nothing</v>
      </c>
      <c r="CP1029" s="61"/>
      <c r="CQ1029" s="45">
        <v>1025</v>
      </c>
      <c r="CR1029" s="45">
        <v>47.601292232423717</v>
      </c>
      <c r="CS1029" s="45" t="str">
        <v>Invest</v>
      </c>
      <c r="CT1029" s="61"/>
      <c r="CU1029" s="45">
        <v>1025</v>
      </c>
      <c r="CV1029" s="45">
        <v>16.690795133722698</v>
      </c>
      <c r="CW1029" s="45" t="str">
        <v>Invest</v>
      </c>
      <c r="CX1029" s="61"/>
      <c r="CY1029" s="45">
        <v>1025</v>
      </c>
      <c r="CZ1029" s="45">
        <v>0</v>
      </c>
      <c r="DA1029" s="45" t="str">
        <v>Nothing</v>
      </c>
      <c r="DU1029" s="52"/>
      <c r="DV1029" s="50"/>
    </row>
    <row r="1030" spans="91:126" ht="23.5">
      <c r="CM1030" s="45">
        <v>1026</v>
      </c>
      <c r="CN1030" s="48">
        <v>18.161942976114965</v>
      </c>
      <c r="CO1030" s="45" t="str">
        <v>Invest</v>
      </c>
      <c r="CP1030" s="61"/>
      <c r="CQ1030" s="45">
        <v>1026</v>
      </c>
      <c r="CR1030" s="45">
        <v>0</v>
      </c>
      <c r="CS1030" s="45" t="str">
        <v>Nothing</v>
      </c>
      <c r="CT1030" s="61"/>
      <c r="CU1030" s="45">
        <v>1026</v>
      </c>
      <c r="CV1030" s="45">
        <v>0</v>
      </c>
      <c r="CW1030" s="45" t="str">
        <v>Nothing</v>
      </c>
      <c r="CX1030" s="61"/>
      <c r="CY1030" s="45">
        <v>1026</v>
      </c>
      <c r="CZ1030" s="45">
        <v>44.145899573848695</v>
      </c>
      <c r="DA1030" s="45" t="str">
        <v>Invest</v>
      </c>
      <c r="DU1030" s="52"/>
      <c r="DV1030" s="50"/>
    </row>
    <row r="1031" spans="91:126" ht="23.5">
      <c r="CM1031" s="45">
        <v>1027</v>
      </c>
      <c r="CN1031" s="48">
        <v>35.839457279154715</v>
      </c>
      <c r="CO1031" s="45" t="str">
        <v>Invest</v>
      </c>
      <c r="CP1031" s="61"/>
      <c r="CQ1031" s="45">
        <v>1027</v>
      </c>
      <c r="CR1031" s="45">
        <v>15.832100273602252</v>
      </c>
      <c r="CS1031" s="45" t="str">
        <v>Invest</v>
      </c>
      <c r="CT1031" s="61"/>
      <c r="CU1031" s="45">
        <v>1027</v>
      </c>
      <c r="CV1031" s="45">
        <v>7.1271091599028376</v>
      </c>
      <c r="CW1031" s="45" t="str">
        <v>Invest</v>
      </c>
      <c r="CX1031" s="61"/>
      <c r="CY1031" s="45">
        <v>1027</v>
      </c>
      <c r="CZ1031" s="45">
        <v>5.3204958868446894</v>
      </c>
      <c r="DA1031" s="45" t="str">
        <v>Invest</v>
      </c>
      <c r="DU1031" s="52"/>
      <c r="DV1031" s="50"/>
    </row>
    <row r="1032" spans="91:126" ht="23.5">
      <c r="CM1032" s="45">
        <v>1028</v>
      </c>
      <c r="CN1032" s="48">
        <v>10.288196916915897</v>
      </c>
      <c r="CO1032" s="45" t="str">
        <v>Invest</v>
      </c>
      <c r="CP1032" s="61"/>
      <c r="CQ1032" s="45">
        <v>1028</v>
      </c>
      <c r="CR1032" s="45">
        <v>19.037674261983494</v>
      </c>
      <c r="CS1032" s="45" t="str">
        <v>Invest</v>
      </c>
      <c r="CT1032" s="61"/>
      <c r="CU1032" s="45">
        <v>1028</v>
      </c>
      <c r="CV1032" s="45">
        <v>0</v>
      </c>
      <c r="CW1032" s="45" t="str">
        <v>Nothing</v>
      </c>
      <c r="CX1032" s="61"/>
      <c r="CY1032" s="45">
        <v>1028</v>
      </c>
      <c r="CZ1032" s="45">
        <v>8.6064666906647389</v>
      </c>
      <c r="DA1032" s="45" t="str">
        <v>Invest</v>
      </c>
      <c r="DU1032" s="52"/>
      <c r="DV1032" s="50"/>
    </row>
    <row r="1033" spans="91:126" ht="23.5">
      <c r="CM1033" s="45">
        <v>1029</v>
      </c>
      <c r="CN1033" s="48">
        <v>11.132300363123685</v>
      </c>
      <c r="CO1033" s="45" t="str">
        <v>Invest</v>
      </c>
      <c r="CP1033" s="61"/>
      <c r="CQ1033" s="45">
        <v>1029</v>
      </c>
      <c r="CR1033" s="45">
        <v>3.3112410780945787</v>
      </c>
      <c r="CS1033" s="45" t="str">
        <v>Invest</v>
      </c>
      <c r="CT1033" s="61"/>
      <c r="CU1033" s="45">
        <v>1029</v>
      </c>
      <c r="CV1033" s="45">
        <v>43.979160875057111</v>
      </c>
      <c r="CW1033" s="45" t="str">
        <v>Invest</v>
      </c>
      <c r="CX1033" s="61"/>
      <c r="CY1033" s="45">
        <v>1029</v>
      </c>
      <c r="CZ1033" s="45">
        <v>27.479866716255941</v>
      </c>
      <c r="DA1033" s="45" t="str">
        <v>Invest</v>
      </c>
      <c r="DU1033" s="52"/>
      <c r="DV1033" s="50"/>
    </row>
    <row r="1034" spans="91:126" ht="23.5">
      <c r="CM1034" s="45">
        <v>1030</v>
      </c>
      <c r="CN1034" s="48">
        <v>49.667604463451511</v>
      </c>
      <c r="CO1034" s="45" t="str">
        <v>Invest</v>
      </c>
      <c r="CP1034" s="61"/>
      <c r="CQ1034" s="45">
        <v>1030</v>
      </c>
      <c r="CR1034" s="45">
        <v>40.959701330772106</v>
      </c>
      <c r="CS1034" s="45" t="str">
        <v>Invest</v>
      </c>
      <c r="CT1034" s="61"/>
      <c r="CU1034" s="45">
        <v>1030</v>
      </c>
      <c r="CV1034" s="45">
        <v>7.383933659016181</v>
      </c>
      <c r="CW1034" s="45" t="str">
        <v>Invest</v>
      </c>
      <c r="CX1034" s="61"/>
      <c r="CY1034" s="45">
        <v>1030</v>
      </c>
      <c r="CZ1034" s="45">
        <v>9.0460151864254517</v>
      </c>
      <c r="DA1034" s="45" t="str">
        <v>Invest</v>
      </c>
      <c r="DU1034" s="52"/>
      <c r="DV1034" s="50"/>
    </row>
    <row r="1035" spans="91:126" ht="23.5">
      <c r="CM1035" s="45">
        <v>1031</v>
      </c>
      <c r="CN1035" s="48">
        <v>47.999883610434161</v>
      </c>
      <c r="CO1035" s="45" t="str">
        <v>Invest</v>
      </c>
      <c r="CP1035" s="61"/>
      <c r="CQ1035" s="45">
        <v>1031</v>
      </c>
      <c r="CR1035" s="45">
        <v>33.856985502835407</v>
      </c>
      <c r="CS1035" s="45" t="str">
        <v>Invest</v>
      </c>
      <c r="CT1035" s="61"/>
      <c r="CU1035" s="45">
        <v>1031</v>
      </c>
      <c r="CV1035" s="45">
        <v>0</v>
      </c>
      <c r="CW1035" s="45" t="str">
        <v>Nothing</v>
      </c>
      <c r="CX1035" s="61"/>
      <c r="CY1035" s="45">
        <v>1031</v>
      </c>
      <c r="CZ1035" s="45">
        <v>57.232116908613349</v>
      </c>
      <c r="DA1035" s="45" t="str">
        <v>Invest</v>
      </c>
      <c r="DU1035" s="52"/>
      <c r="DV1035" s="50"/>
    </row>
    <row r="1036" spans="91:126" ht="23.5">
      <c r="CM1036" s="45">
        <v>1032</v>
      </c>
      <c r="CN1036" s="48">
        <v>0</v>
      </c>
      <c r="CO1036" s="45" t="str">
        <v>Nothing</v>
      </c>
      <c r="CP1036" s="61"/>
      <c r="CQ1036" s="45">
        <v>1032</v>
      </c>
      <c r="CR1036" s="45">
        <v>36.678052731178312</v>
      </c>
      <c r="CS1036" s="45" t="str">
        <v>Invest</v>
      </c>
      <c r="CT1036" s="61"/>
      <c r="CU1036" s="45">
        <v>1032</v>
      </c>
      <c r="CV1036" s="45">
        <v>33.235204401537679</v>
      </c>
      <c r="CW1036" s="45" t="str">
        <v>Invest</v>
      </c>
      <c r="CX1036" s="61"/>
      <c r="CY1036" s="45">
        <v>1032</v>
      </c>
      <c r="CZ1036" s="45">
        <v>20.03842755897459</v>
      </c>
      <c r="DA1036" s="45" t="str">
        <v>Invest</v>
      </c>
      <c r="DU1036" s="52"/>
      <c r="DV1036" s="50"/>
    </row>
    <row r="1037" spans="91:126" ht="23.5">
      <c r="CM1037" s="45">
        <v>1033</v>
      </c>
      <c r="CN1037" s="48">
        <v>18.538864173649735</v>
      </c>
      <c r="CO1037" s="45" t="str">
        <v>Invest</v>
      </c>
      <c r="CP1037" s="61"/>
      <c r="CQ1037" s="45">
        <v>1033</v>
      </c>
      <c r="CR1037" s="45">
        <v>43.625368966988177</v>
      </c>
      <c r="CS1037" s="45" t="str">
        <v>Invest</v>
      </c>
      <c r="CT1037" s="61"/>
      <c r="CU1037" s="45">
        <v>1033</v>
      </c>
      <c r="CV1037" s="45">
        <v>28.751616038297698</v>
      </c>
      <c r="CW1037" s="45" t="str">
        <v>Invest</v>
      </c>
      <c r="CX1037" s="61"/>
      <c r="CY1037" s="45">
        <v>1033</v>
      </c>
      <c r="CZ1037" s="45">
        <v>49.188368662036936</v>
      </c>
      <c r="DA1037" s="45" t="str">
        <v>Invest</v>
      </c>
      <c r="DU1037" s="52"/>
      <c r="DV1037" s="50"/>
    </row>
    <row r="1038" spans="91:126" ht="23.5">
      <c r="CM1038" s="45">
        <v>1034</v>
      </c>
      <c r="CN1038" s="48">
        <v>48.468753416208735</v>
      </c>
      <c r="CO1038" s="45" t="str">
        <v>Invest</v>
      </c>
      <c r="CP1038" s="61"/>
      <c r="CQ1038" s="45">
        <v>1034</v>
      </c>
      <c r="CR1038" s="45">
        <v>57.367991876637817</v>
      </c>
      <c r="CS1038" s="45" t="str">
        <v>Invest</v>
      </c>
      <c r="CT1038" s="61"/>
      <c r="CU1038" s="45">
        <v>1034</v>
      </c>
      <c r="CV1038" s="45">
        <v>11.89655764038492</v>
      </c>
      <c r="CW1038" s="45" t="str">
        <v>Invest</v>
      </c>
      <c r="CX1038" s="61"/>
      <c r="CY1038" s="45">
        <v>1034</v>
      </c>
      <c r="CZ1038" s="45">
        <v>39.66091701818776</v>
      </c>
      <c r="DA1038" s="45" t="str">
        <v>Invest</v>
      </c>
      <c r="DU1038" s="52"/>
      <c r="DV1038" s="50"/>
    </row>
    <row r="1039" spans="91:126" ht="23.5">
      <c r="CM1039" s="45">
        <v>1035</v>
      </c>
      <c r="CN1039" s="48">
        <v>0</v>
      </c>
      <c r="CO1039" s="45" t="str">
        <v>Nothing</v>
      </c>
      <c r="CP1039" s="61"/>
      <c r="CQ1039" s="45">
        <v>1035</v>
      </c>
      <c r="CR1039" s="45">
        <v>0</v>
      </c>
      <c r="CS1039" s="45" t="str">
        <v>Nothing</v>
      </c>
      <c r="CT1039" s="61"/>
      <c r="CU1039" s="45">
        <v>1035</v>
      </c>
      <c r="CV1039" s="45">
        <v>0</v>
      </c>
      <c r="CW1039" s="45" t="str">
        <v>Nothing</v>
      </c>
      <c r="CX1039" s="61"/>
      <c r="CY1039" s="45">
        <v>1035</v>
      </c>
      <c r="CZ1039" s="45">
        <v>0</v>
      </c>
      <c r="DA1039" s="45" t="str">
        <v>Nothing</v>
      </c>
      <c r="DU1039" s="52"/>
      <c r="DV1039" s="50"/>
    </row>
    <row r="1040" spans="91:126" ht="23.5">
      <c r="CM1040" s="45">
        <v>1036</v>
      </c>
      <c r="CN1040" s="48">
        <v>12.416009553211584</v>
      </c>
      <c r="CO1040" s="45" t="str">
        <v>Invest</v>
      </c>
      <c r="CP1040" s="61"/>
      <c r="CQ1040" s="45">
        <v>1036</v>
      </c>
      <c r="CR1040" s="45">
        <v>20.780015709003813</v>
      </c>
      <c r="CS1040" s="45" t="str">
        <v>Invest</v>
      </c>
      <c r="CT1040" s="61"/>
      <c r="CU1040" s="45">
        <v>1036</v>
      </c>
      <c r="CV1040" s="45">
        <v>46.333186532740115</v>
      </c>
      <c r="CW1040" s="45" t="str">
        <v>Invest</v>
      </c>
      <c r="CX1040" s="61"/>
      <c r="CY1040" s="45">
        <v>1036</v>
      </c>
      <c r="CZ1040" s="45">
        <v>30.944809400493277</v>
      </c>
      <c r="DA1040" s="45" t="str">
        <v>Invest</v>
      </c>
      <c r="DU1040" s="52"/>
      <c r="DV1040" s="50"/>
    </row>
    <row r="1041" spans="91:126" ht="23.5">
      <c r="CM1041" s="45">
        <v>1037</v>
      </c>
      <c r="CN1041" s="48">
        <v>0</v>
      </c>
      <c r="CO1041" s="45" t="str">
        <v>Nothing</v>
      </c>
      <c r="CP1041" s="61"/>
      <c r="CQ1041" s="45">
        <v>1037</v>
      </c>
      <c r="CR1041" s="45">
        <v>0.80264132161636681</v>
      </c>
      <c r="CS1041" s="45" t="str">
        <v>Invest</v>
      </c>
      <c r="CT1041" s="61"/>
      <c r="CU1041" s="45">
        <v>1037</v>
      </c>
      <c r="CV1041" s="45">
        <v>25.335183307370027</v>
      </c>
      <c r="CW1041" s="45" t="str">
        <v>Invest</v>
      </c>
      <c r="CX1041" s="61"/>
      <c r="CY1041" s="45">
        <v>1037</v>
      </c>
      <c r="CZ1041" s="45">
        <v>42.628800326563152</v>
      </c>
      <c r="DA1041" s="45" t="str">
        <v>Invest</v>
      </c>
      <c r="DU1041" s="52"/>
      <c r="DV1041" s="50"/>
    </row>
    <row r="1042" spans="91:126" ht="23.5">
      <c r="CM1042" s="45">
        <v>1038</v>
      </c>
      <c r="CN1042" s="48">
        <v>52.926493190178867</v>
      </c>
      <c r="CO1042" s="45" t="str">
        <v>Invest</v>
      </c>
      <c r="CP1042" s="61"/>
      <c r="CQ1042" s="45">
        <v>1038</v>
      </c>
      <c r="CR1042" s="45">
        <v>8.5179910146398772</v>
      </c>
      <c r="CS1042" s="45" t="str">
        <v>Invest</v>
      </c>
      <c r="CT1042" s="61"/>
      <c r="CU1042" s="45">
        <v>1038</v>
      </c>
      <c r="CV1042" s="45">
        <v>37.917191012141487</v>
      </c>
      <c r="CW1042" s="45" t="str">
        <v>Invest</v>
      </c>
      <c r="CX1042" s="61"/>
      <c r="CY1042" s="45">
        <v>1038</v>
      </c>
      <c r="CZ1042" s="45">
        <v>49.034505448507119</v>
      </c>
      <c r="DA1042" s="45" t="str">
        <v>Invest</v>
      </c>
      <c r="DU1042" s="52"/>
      <c r="DV1042" s="50"/>
    </row>
    <row r="1043" spans="91:126" ht="23.5">
      <c r="CM1043" s="45">
        <v>1039</v>
      </c>
      <c r="CN1043" s="48">
        <v>56.8492466466762</v>
      </c>
      <c r="CO1043" s="45" t="str">
        <v>Invest</v>
      </c>
      <c r="CP1043" s="61"/>
      <c r="CQ1043" s="45">
        <v>1039</v>
      </c>
      <c r="CR1043" s="45">
        <v>8.7647728512040128</v>
      </c>
      <c r="CS1043" s="45" t="str">
        <v>Invest</v>
      </c>
      <c r="CT1043" s="61"/>
      <c r="CU1043" s="45">
        <v>1039</v>
      </c>
      <c r="CV1043" s="45">
        <v>0</v>
      </c>
      <c r="CW1043" s="45" t="str">
        <v>Nothing</v>
      </c>
      <c r="CX1043" s="61"/>
      <c r="CY1043" s="45">
        <v>1039</v>
      </c>
      <c r="CZ1043" s="45">
        <v>0</v>
      </c>
      <c r="DA1043" s="45" t="str">
        <v>Nothing</v>
      </c>
      <c r="DU1043" s="52"/>
      <c r="DV1043" s="50"/>
    </row>
    <row r="1044" spans="91:126" ht="23.5">
      <c r="CM1044" s="45">
        <v>1040</v>
      </c>
      <c r="CN1044" s="48">
        <v>26.456219614989212</v>
      </c>
      <c r="CO1044" s="45" t="str">
        <v>Invest</v>
      </c>
      <c r="CP1044" s="61"/>
      <c r="CQ1044" s="45">
        <v>1040</v>
      </c>
      <c r="CR1044" s="45">
        <v>1.8755475683689369</v>
      </c>
      <c r="CS1044" s="45" t="str">
        <v>Invest</v>
      </c>
      <c r="CT1044" s="61"/>
      <c r="CU1044" s="45">
        <v>1040</v>
      </c>
      <c r="CV1044" s="45">
        <v>0</v>
      </c>
      <c r="CW1044" s="45" t="str">
        <v>Nothing</v>
      </c>
      <c r="CX1044" s="61"/>
      <c r="CY1044" s="45">
        <v>1040</v>
      </c>
      <c r="CZ1044" s="45">
        <v>16.147880009111638</v>
      </c>
      <c r="DA1044" s="45" t="str">
        <v>Invest</v>
      </c>
      <c r="DU1044" s="52"/>
      <c r="DV1044" s="50"/>
    </row>
    <row r="1045" spans="91:126" ht="23.5">
      <c r="CM1045" s="45">
        <v>1041</v>
      </c>
      <c r="CN1045" s="48">
        <v>20.453631791146162</v>
      </c>
      <c r="CO1045" s="45" t="str">
        <v>Invest</v>
      </c>
      <c r="CP1045" s="61"/>
      <c r="CQ1045" s="45">
        <v>1041</v>
      </c>
      <c r="CR1045" s="45">
        <v>0</v>
      </c>
      <c r="CS1045" s="45" t="str">
        <v>Nothing</v>
      </c>
      <c r="CT1045" s="61"/>
      <c r="CU1045" s="45">
        <v>1041</v>
      </c>
      <c r="CV1045" s="45">
        <v>7.476727871172411</v>
      </c>
      <c r="CW1045" s="45" t="str">
        <v>Invest</v>
      </c>
      <c r="CX1045" s="61"/>
      <c r="CY1045" s="45">
        <v>1041</v>
      </c>
      <c r="CZ1045" s="45">
        <v>25.664042927299128</v>
      </c>
      <c r="DA1045" s="45" t="str">
        <v>Invest</v>
      </c>
      <c r="DU1045" s="52"/>
      <c r="DV1045" s="50"/>
    </row>
    <row r="1046" spans="91:126" ht="23.5">
      <c r="CM1046" s="45">
        <v>1042</v>
      </c>
      <c r="CN1046" s="48">
        <v>2.4634813416688068</v>
      </c>
      <c r="CO1046" s="45" t="str">
        <v>Invest</v>
      </c>
      <c r="CP1046" s="61"/>
      <c r="CQ1046" s="45">
        <v>1042</v>
      </c>
      <c r="CR1046" s="45">
        <v>0</v>
      </c>
      <c r="CS1046" s="45" t="str">
        <v>Nothing</v>
      </c>
      <c r="CT1046" s="61"/>
      <c r="CU1046" s="45">
        <v>1042</v>
      </c>
      <c r="CV1046" s="45">
        <v>28.870859951332079</v>
      </c>
      <c r="CW1046" s="45" t="str">
        <v>Invest</v>
      </c>
      <c r="CX1046" s="61"/>
      <c r="CY1046" s="45">
        <v>1042</v>
      </c>
      <c r="CZ1046" s="45">
        <v>20.658159166514835</v>
      </c>
      <c r="DA1046" s="45" t="str">
        <v>Invest</v>
      </c>
      <c r="DU1046" s="52"/>
      <c r="DV1046" s="50"/>
    </row>
    <row r="1047" spans="91:126" ht="23.5">
      <c r="CM1047" s="45">
        <v>1043</v>
      </c>
      <c r="CN1047" s="48">
        <v>34.944104864765833</v>
      </c>
      <c r="CO1047" s="45" t="str">
        <v>Invest</v>
      </c>
      <c r="CP1047" s="61"/>
      <c r="CQ1047" s="45">
        <v>1043</v>
      </c>
      <c r="CR1047" s="45">
        <v>21.880551445068406</v>
      </c>
      <c r="CS1047" s="45" t="str">
        <v>Invest</v>
      </c>
      <c r="CT1047" s="61"/>
      <c r="CU1047" s="45">
        <v>1043</v>
      </c>
      <c r="CV1047" s="45">
        <v>0.79208959638435239</v>
      </c>
      <c r="CW1047" s="45" t="str">
        <v>Invest</v>
      </c>
      <c r="CX1047" s="61"/>
      <c r="CY1047" s="45">
        <v>1043</v>
      </c>
      <c r="CZ1047" s="45">
        <v>28.572493911801089</v>
      </c>
      <c r="DA1047" s="45" t="str">
        <v>Invest</v>
      </c>
      <c r="DU1047" s="52"/>
      <c r="DV1047" s="50"/>
    </row>
    <row r="1048" spans="91:126" ht="23.5">
      <c r="CM1048" s="45">
        <v>1044</v>
      </c>
      <c r="CN1048" s="48">
        <v>4.9144864649673696</v>
      </c>
      <c r="CO1048" s="45" t="str">
        <v>Invest</v>
      </c>
      <c r="CP1048" s="61"/>
      <c r="CQ1048" s="45">
        <v>1044</v>
      </c>
      <c r="CR1048" s="45">
        <v>35.84879970890502</v>
      </c>
      <c r="CS1048" s="45" t="str">
        <v>Invest</v>
      </c>
      <c r="CT1048" s="61"/>
      <c r="CU1048" s="45">
        <v>1044</v>
      </c>
      <c r="CV1048" s="45">
        <v>12.674709928114705</v>
      </c>
      <c r="CW1048" s="45" t="str">
        <v>Invest</v>
      </c>
      <c r="CX1048" s="61"/>
      <c r="CY1048" s="45">
        <v>1044</v>
      </c>
      <c r="CZ1048" s="45">
        <v>0</v>
      </c>
      <c r="DA1048" s="45" t="str">
        <v>Nothing</v>
      </c>
      <c r="DU1048" s="52"/>
      <c r="DV1048" s="50"/>
    </row>
    <row r="1049" spans="91:126" ht="23.5">
      <c r="CM1049" s="45">
        <v>1045</v>
      </c>
      <c r="CN1049" s="48">
        <v>39.39289012320765</v>
      </c>
      <c r="CO1049" s="45" t="str">
        <v>Invest</v>
      </c>
      <c r="CP1049" s="61"/>
      <c r="CQ1049" s="45">
        <v>1045</v>
      </c>
      <c r="CR1049" s="45">
        <v>14.419279190861959</v>
      </c>
      <c r="CS1049" s="45" t="str">
        <v>Invest</v>
      </c>
      <c r="CT1049" s="61"/>
      <c r="CU1049" s="45">
        <v>1045</v>
      </c>
      <c r="CV1049" s="45">
        <v>45.379055715717911</v>
      </c>
      <c r="CW1049" s="45" t="str">
        <v>Invest</v>
      </c>
      <c r="CX1049" s="61"/>
      <c r="CY1049" s="45">
        <v>1045</v>
      </c>
      <c r="CZ1049" s="45">
        <v>0</v>
      </c>
      <c r="DA1049" s="45" t="str">
        <v>Nothing</v>
      </c>
      <c r="DU1049" s="52"/>
      <c r="DV1049" s="50"/>
    </row>
    <row r="1050" spans="91:126" ht="23.5">
      <c r="CM1050" s="45">
        <v>1046</v>
      </c>
      <c r="CN1050" s="48">
        <v>0</v>
      </c>
      <c r="CO1050" s="45" t="str">
        <v>Nothing</v>
      </c>
      <c r="CP1050" s="61"/>
      <c r="CQ1050" s="45">
        <v>1046</v>
      </c>
      <c r="CR1050" s="45">
        <v>15.680098544857263</v>
      </c>
      <c r="CS1050" s="45" t="str">
        <v>Invest</v>
      </c>
      <c r="CT1050" s="61"/>
      <c r="CU1050" s="45">
        <v>1046</v>
      </c>
      <c r="CV1050" s="45">
        <v>0</v>
      </c>
      <c r="CW1050" s="45" t="str">
        <v>Nothing</v>
      </c>
      <c r="CX1050" s="61"/>
      <c r="CY1050" s="45">
        <v>1046</v>
      </c>
      <c r="CZ1050" s="45">
        <v>41.11111558260248</v>
      </c>
      <c r="DA1050" s="45" t="str">
        <v>Invest</v>
      </c>
      <c r="DU1050" s="52"/>
      <c r="DV1050" s="50"/>
    </row>
    <row r="1051" spans="91:126" ht="23.5">
      <c r="CM1051" s="45">
        <v>1047</v>
      </c>
      <c r="CN1051" s="48">
        <v>58.210736295788024</v>
      </c>
      <c r="CO1051" s="45" t="str">
        <v>Invest</v>
      </c>
      <c r="CP1051" s="61"/>
      <c r="CQ1051" s="45">
        <v>1047</v>
      </c>
      <c r="CR1051" s="45">
        <v>39.165699957273958</v>
      </c>
      <c r="CS1051" s="45" t="str">
        <v>Invest</v>
      </c>
      <c r="CT1051" s="61"/>
      <c r="CU1051" s="45">
        <v>1047</v>
      </c>
      <c r="CV1051" s="45">
        <v>12.221445505118474</v>
      </c>
      <c r="CW1051" s="45" t="str">
        <v>Invest</v>
      </c>
      <c r="CX1051" s="61"/>
      <c r="CY1051" s="45">
        <v>1047</v>
      </c>
      <c r="CZ1051" s="45">
        <v>2.3814527111411792</v>
      </c>
      <c r="DA1051" s="45" t="str">
        <v>Invest</v>
      </c>
      <c r="DU1051" s="52"/>
      <c r="DV1051" s="50"/>
    </row>
    <row r="1052" spans="91:126" ht="23.5">
      <c r="CM1052" s="45">
        <v>1048</v>
      </c>
      <c r="CN1052" s="48">
        <v>40.905230671654735</v>
      </c>
      <c r="CO1052" s="45" t="str">
        <v>Invest</v>
      </c>
      <c r="CP1052" s="61"/>
      <c r="CQ1052" s="45">
        <v>1048</v>
      </c>
      <c r="CR1052" s="45">
        <v>44.85271606191796</v>
      </c>
      <c r="CS1052" s="45" t="str">
        <v>Invest</v>
      </c>
      <c r="CT1052" s="61"/>
      <c r="CU1052" s="45">
        <v>1048</v>
      </c>
      <c r="CV1052" s="45">
        <v>0</v>
      </c>
      <c r="CW1052" s="45" t="str">
        <v>Nothing</v>
      </c>
      <c r="CX1052" s="61"/>
      <c r="CY1052" s="45">
        <v>1048</v>
      </c>
      <c r="CZ1052" s="45">
        <v>18.36136630239459</v>
      </c>
      <c r="DA1052" s="45" t="str">
        <v>Invest</v>
      </c>
      <c r="DU1052" s="52"/>
      <c r="DV1052" s="50"/>
    </row>
    <row r="1053" spans="91:126" ht="23.5">
      <c r="CM1053" s="45">
        <v>1049</v>
      </c>
      <c r="CN1053" s="48">
        <v>18.949326998606022</v>
      </c>
      <c r="CO1053" s="45" t="str">
        <v>Invest</v>
      </c>
      <c r="CP1053" s="61"/>
      <c r="CQ1053" s="45">
        <v>1049</v>
      </c>
      <c r="CR1053" s="45">
        <v>2.4686803492025522</v>
      </c>
      <c r="CS1053" s="45" t="str">
        <v>Invest</v>
      </c>
      <c r="CT1053" s="61"/>
      <c r="CU1053" s="45">
        <v>1049</v>
      </c>
      <c r="CV1053" s="45">
        <v>0</v>
      </c>
      <c r="CW1053" s="45" t="str">
        <v>Nothing</v>
      </c>
      <c r="CX1053" s="61"/>
      <c r="CY1053" s="45">
        <v>1049</v>
      </c>
      <c r="CZ1053" s="45">
        <v>21.525898915885097</v>
      </c>
      <c r="DA1053" s="45" t="str">
        <v>Invest</v>
      </c>
      <c r="DU1053" s="52"/>
      <c r="DV1053" s="50"/>
    </row>
    <row r="1054" spans="91:126" ht="23.5">
      <c r="CM1054" s="45">
        <v>1050</v>
      </c>
      <c r="CN1054" s="48">
        <v>0</v>
      </c>
      <c r="CO1054" s="45" t="str">
        <v>Nothing</v>
      </c>
      <c r="CP1054" s="61"/>
      <c r="CQ1054" s="45">
        <v>1050</v>
      </c>
      <c r="CR1054" s="45">
        <v>14.909393325446816</v>
      </c>
      <c r="CS1054" s="45" t="str">
        <v>Invest</v>
      </c>
      <c r="CT1054" s="61"/>
      <c r="CU1054" s="45">
        <v>1050</v>
      </c>
      <c r="CV1054" s="45">
        <v>0</v>
      </c>
      <c r="CW1054" s="45" t="str">
        <v>Nothing</v>
      </c>
      <c r="CX1054" s="61"/>
      <c r="CY1054" s="45">
        <v>1050</v>
      </c>
      <c r="CZ1054" s="45">
        <v>44.250040764108313</v>
      </c>
      <c r="DA1054" s="45" t="str">
        <v>Invest</v>
      </c>
      <c r="DU1054" s="52"/>
      <c r="DV1054" s="50"/>
    </row>
    <row r="1055" spans="91:126" ht="23.5">
      <c r="CM1055" s="45">
        <v>1051</v>
      </c>
      <c r="CN1055" s="48">
        <v>21.62529087248814</v>
      </c>
      <c r="CO1055" s="45" t="str">
        <v>Invest</v>
      </c>
      <c r="CP1055" s="61"/>
      <c r="CQ1055" s="45">
        <v>1051</v>
      </c>
      <c r="CR1055" s="45">
        <v>21.195082100580375</v>
      </c>
      <c r="CS1055" s="45" t="str">
        <v>Invest</v>
      </c>
      <c r="CT1055" s="61"/>
      <c r="CU1055" s="45">
        <v>1051</v>
      </c>
      <c r="CV1055" s="45">
        <v>20.048844075998957</v>
      </c>
      <c r="CW1055" s="45" t="str">
        <v>Invest</v>
      </c>
      <c r="CX1055" s="61"/>
      <c r="CY1055" s="45">
        <v>1051</v>
      </c>
      <c r="CZ1055" s="45">
        <v>25.010693482258631</v>
      </c>
      <c r="DA1055" s="45" t="str">
        <v>Invest</v>
      </c>
      <c r="DU1055" s="52"/>
      <c r="DV1055" s="50"/>
    </row>
    <row r="1056" spans="91:126" ht="23.5">
      <c r="CM1056" s="45">
        <v>1052</v>
      </c>
      <c r="CN1056" s="48">
        <v>0</v>
      </c>
      <c r="CO1056" s="45" t="str">
        <v>Nothing</v>
      </c>
      <c r="CP1056" s="61"/>
      <c r="CQ1056" s="45">
        <v>1052</v>
      </c>
      <c r="CR1056" s="45">
        <v>32.391150101978496</v>
      </c>
      <c r="CS1056" s="45" t="str">
        <v>Invest</v>
      </c>
      <c r="CT1056" s="61"/>
      <c r="CU1056" s="45">
        <v>1052</v>
      </c>
      <c r="CV1056" s="45">
        <v>11.8858121220838</v>
      </c>
      <c r="CW1056" s="45" t="str">
        <v>Invest</v>
      </c>
      <c r="CX1056" s="61"/>
      <c r="CY1056" s="45">
        <v>1052</v>
      </c>
      <c r="CZ1056" s="45">
        <v>0</v>
      </c>
      <c r="DA1056" s="45" t="str">
        <v>Nothing</v>
      </c>
      <c r="DU1056" s="52"/>
      <c r="DV1056" s="50"/>
    </row>
    <row r="1057" spans="91:126" ht="23.5">
      <c r="CM1057" s="45">
        <v>1053</v>
      </c>
      <c r="CN1057" s="48">
        <v>0</v>
      </c>
      <c r="CO1057" s="45" t="str">
        <v>Nothing</v>
      </c>
      <c r="CP1057" s="61"/>
      <c r="CQ1057" s="45">
        <v>1053</v>
      </c>
      <c r="CR1057" s="45">
        <v>29.726068058101724</v>
      </c>
      <c r="CS1057" s="45" t="str">
        <v>Invest</v>
      </c>
      <c r="CT1057" s="61"/>
      <c r="CU1057" s="45">
        <v>1053</v>
      </c>
      <c r="CV1057" s="45">
        <v>12.318002096575183</v>
      </c>
      <c r="CW1057" s="45" t="str">
        <v>Invest</v>
      </c>
      <c r="CX1057" s="61"/>
      <c r="CY1057" s="45">
        <v>1053</v>
      </c>
      <c r="CZ1057" s="45">
        <v>0</v>
      </c>
      <c r="DA1057" s="45" t="str">
        <v>Nothing</v>
      </c>
      <c r="DU1057" s="52"/>
      <c r="DV1057" s="50"/>
    </row>
    <row r="1058" spans="91:126" ht="23.5">
      <c r="CM1058" s="45">
        <v>1054</v>
      </c>
      <c r="CN1058" s="48">
        <v>13.395427151150944</v>
      </c>
      <c r="CO1058" s="45" t="str">
        <v>Invest</v>
      </c>
      <c r="CP1058" s="61"/>
      <c r="CQ1058" s="45">
        <v>1054</v>
      </c>
      <c r="CR1058" s="45">
        <v>6.1799083725708144</v>
      </c>
      <c r="CS1058" s="45" t="str">
        <v>Invest</v>
      </c>
      <c r="CT1058" s="61"/>
      <c r="CU1058" s="45">
        <v>1054</v>
      </c>
      <c r="CV1058" s="45">
        <v>42.075445134653663</v>
      </c>
      <c r="CW1058" s="45" t="str">
        <v>Invest</v>
      </c>
      <c r="CX1058" s="61"/>
      <c r="CY1058" s="45">
        <v>1054</v>
      </c>
      <c r="CZ1058" s="45">
        <v>13.442907903645004</v>
      </c>
      <c r="DA1058" s="45" t="str">
        <v>Invest</v>
      </c>
      <c r="DU1058" s="52"/>
      <c r="DV1058" s="50"/>
    </row>
    <row r="1059" spans="91:126" ht="23.5">
      <c r="CM1059" s="45">
        <v>1055</v>
      </c>
      <c r="CN1059" s="48">
        <v>0</v>
      </c>
      <c r="CO1059" s="45" t="str">
        <v>Nothing</v>
      </c>
      <c r="CP1059" s="61"/>
      <c r="CQ1059" s="45">
        <v>1055</v>
      </c>
      <c r="CR1059" s="45">
        <v>0</v>
      </c>
      <c r="CS1059" s="45" t="str">
        <v>Nothing</v>
      </c>
      <c r="CT1059" s="61"/>
      <c r="CU1059" s="45">
        <v>1055</v>
      </c>
      <c r="CV1059" s="45">
        <v>13.750906109153648</v>
      </c>
      <c r="CW1059" s="45" t="str">
        <v>Invest</v>
      </c>
      <c r="CX1059" s="61"/>
      <c r="CY1059" s="45">
        <v>1055</v>
      </c>
      <c r="CZ1059" s="45">
        <v>28.328775523941442</v>
      </c>
      <c r="DA1059" s="45" t="str">
        <v>Invest</v>
      </c>
      <c r="DU1059" s="52"/>
      <c r="DV1059" s="50"/>
    </row>
    <row r="1060" spans="91:126" ht="23.5">
      <c r="CM1060" s="45">
        <v>1056</v>
      </c>
      <c r="CN1060" s="48">
        <v>0</v>
      </c>
      <c r="CO1060" s="45" t="str">
        <v>Nothing</v>
      </c>
      <c r="CP1060" s="61"/>
      <c r="CQ1060" s="45">
        <v>1056</v>
      </c>
      <c r="CR1060" s="45">
        <v>3.6393111485260086</v>
      </c>
      <c r="CS1060" s="45" t="str">
        <v>Invest</v>
      </c>
      <c r="CT1060" s="61"/>
      <c r="CU1060" s="45">
        <v>1056</v>
      </c>
      <c r="CV1060" s="45">
        <v>34.734197751386354</v>
      </c>
      <c r="CW1060" s="45" t="str">
        <v>Invest</v>
      </c>
      <c r="CX1060" s="61"/>
      <c r="CY1060" s="45">
        <v>1056</v>
      </c>
      <c r="CZ1060" s="45">
        <v>26.205588593478819</v>
      </c>
      <c r="DA1060" s="45" t="str">
        <v>Invest</v>
      </c>
      <c r="DU1060" s="52"/>
      <c r="DV1060" s="50"/>
    </row>
    <row r="1061" spans="91:126" ht="23.5">
      <c r="CM1061" s="45">
        <v>1057</v>
      </c>
      <c r="CN1061" s="48">
        <v>49.856418368136595</v>
      </c>
      <c r="CO1061" s="45" t="str">
        <v>Invest</v>
      </c>
      <c r="CP1061" s="61"/>
      <c r="CQ1061" s="45">
        <v>1057</v>
      </c>
      <c r="CR1061" s="45">
        <v>0</v>
      </c>
      <c r="CS1061" s="45" t="str">
        <v>Nothing</v>
      </c>
      <c r="CT1061" s="61"/>
      <c r="CU1061" s="45">
        <v>1057</v>
      </c>
      <c r="CV1061" s="45">
        <v>37.333620758708797</v>
      </c>
      <c r="CW1061" s="45" t="str">
        <v>Invest</v>
      </c>
      <c r="CX1061" s="61"/>
      <c r="CY1061" s="45">
        <v>1057</v>
      </c>
      <c r="CZ1061" s="45">
        <v>18.517688935823035</v>
      </c>
      <c r="DA1061" s="45" t="str">
        <v>Invest</v>
      </c>
      <c r="DU1061" s="52"/>
      <c r="DV1061" s="50"/>
    </row>
    <row r="1062" spans="91:126" ht="23.5">
      <c r="CM1062" s="45">
        <v>1058</v>
      </c>
      <c r="CN1062" s="48">
        <v>0</v>
      </c>
      <c r="CO1062" s="45" t="str">
        <v>Nothing</v>
      </c>
      <c r="CP1062" s="61"/>
      <c r="CQ1062" s="45">
        <v>1058</v>
      </c>
      <c r="CR1062" s="45">
        <v>23.187874735548338</v>
      </c>
      <c r="CS1062" s="45" t="str">
        <v>Invest</v>
      </c>
      <c r="CT1062" s="61"/>
      <c r="CU1062" s="45">
        <v>1058</v>
      </c>
      <c r="CV1062" s="45">
        <v>12.104895086520923</v>
      </c>
      <c r="CW1062" s="45" t="str">
        <v>Invest</v>
      </c>
      <c r="CX1062" s="61"/>
      <c r="CY1062" s="45">
        <v>1058</v>
      </c>
      <c r="CZ1062" s="45">
        <v>26.484461574342063</v>
      </c>
      <c r="DA1062" s="45" t="str">
        <v>Invest</v>
      </c>
      <c r="DU1062" s="52"/>
      <c r="DV1062" s="50"/>
    </row>
    <row r="1063" spans="91:126" ht="23.5">
      <c r="CM1063" s="45">
        <v>1059</v>
      </c>
      <c r="CN1063" s="48">
        <v>0</v>
      </c>
      <c r="CO1063" s="45" t="str">
        <v>Nothing</v>
      </c>
      <c r="CP1063" s="61"/>
      <c r="CQ1063" s="45">
        <v>1059</v>
      </c>
      <c r="CR1063" s="45">
        <v>2.4592118044672779</v>
      </c>
      <c r="CS1063" s="45" t="str">
        <v>Invest</v>
      </c>
      <c r="CT1063" s="61"/>
      <c r="CU1063" s="45">
        <v>1059</v>
      </c>
      <c r="CV1063" s="45">
        <v>34.831962534475686</v>
      </c>
      <c r="CW1063" s="45" t="str">
        <v>Invest</v>
      </c>
      <c r="CX1063" s="61"/>
      <c r="CY1063" s="45">
        <v>1059</v>
      </c>
      <c r="CZ1063" s="45">
        <v>25.730757721608263</v>
      </c>
      <c r="DA1063" s="45" t="str">
        <v>Invest</v>
      </c>
      <c r="DU1063" s="52"/>
      <c r="DV1063" s="50"/>
    </row>
    <row r="1064" spans="91:126" ht="23.5">
      <c r="CM1064" s="45">
        <v>1060</v>
      </c>
      <c r="CN1064" s="48">
        <v>31.717075384121294</v>
      </c>
      <c r="CO1064" s="45" t="str">
        <v>Invest</v>
      </c>
      <c r="CP1064" s="61"/>
      <c r="CQ1064" s="45">
        <v>1060</v>
      </c>
      <c r="CR1064" s="45">
        <v>0</v>
      </c>
      <c r="CS1064" s="45" t="str">
        <v>Nothing</v>
      </c>
      <c r="CT1064" s="61"/>
      <c r="CU1064" s="45">
        <v>1060</v>
      </c>
      <c r="CV1064" s="45">
        <v>7.8274985297787687</v>
      </c>
      <c r="CW1064" s="45" t="str">
        <v>Invest</v>
      </c>
      <c r="CX1064" s="61"/>
      <c r="CY1064" s="45">
        <v>1060</v>
      </c>
      <c r="CZ1064" s="45">
        <v>0</v>
      </c>
      <c r="DA1064" s="45" t="str">
        <v>Nothing</v>
      </c>
      <c r="DU1064" s="52"/>
      <c r="DV1064" s="50"/>
    </row>
    <row r="1065" spans="91:126" ht="23.5">
      <c r="CM1065" s="45">
        <v>1061</v>
      </c>
      <c r="CN1065" s="48">
        <v>42.716043509579677</v>
      </c>
      <c r="CO1065" s="45" t="str">
        <v>Invest</v>
      </c>
      <c r="CP1065" s="61"/>
      <c r="CQ1065" s="45">
        <v>1061</v>
      </c>
      <c r="CR1065" s="45">
        <v>7.399497156162365</v>
      </c>
      <c r="CS1065" s="45" t="str">
        <v>Invest</v>
      </c>
      <c r="CT1065" s="61"/>
      <c r="CU1065" s="45">
        <v>1061</v>
      </c>
      <c r="CV1065" s="45">
        <v>0</v>
      </c>
      <c r="CW1065" s="45" t="str">
        <v>Nothing</v>
      </c>
      <c r="CX1065" s="61"/>
      <c r="CY1065" s="45">
        <v>1061</v>
      </c>
      <c r="CZ1065" s="45">
        <v>9.0556771595771686</v>
      </c>
      <c r="DA1065" s="45" t="str">
        <v>Invest</v>
      </c>
      <c r="DU1065" s="52"/>
      <c r="DV1065" s="50"/>
    </row>
    <row r="1066" spans="91:126" ht="23.5">
      <c r="CM1066" s="45">
        <v>1062</v>
      </c>
      <c r="CN1066" s="48">
        <v>15.919823167109595</v>
      </c>
      <c r="CO1066" s="45" t="str">
        <v>Invest</v>
      </c>
      <c r="CP1066" s="61"/>
      <c r="CQ1066" s="45">
        <v>1062</v>
      </c>
      <c r="CR1066" s="45">
        <v>53.727323698870848</v>
      </c>
      <c r="CS1066" s="45" t="str">
        <v>Invest</v>
      </c>
      <c r="CT1066" s="61"/>
      <c r="CU1066" s="45">
        <v>1062</v>
      </c>
      <c r="CV1066" s="45">
        <v>4.1995532199927652</v>
      </c>
      <c r="CW1066" s="45" t="str">
        <v>Invest</v>
      </c>
      <c r="CX1066" s="61"/>
      <c r="CY1066" s="45">
        <v>1062</v>
      </c>
      <c r="CZ1066" s="45">
        <v>26.700435009851951</v>
      </c>
      <c r="DA1066" s="45" t="str">
        <v>Invest</v>
      </c>
      <c r="DU1066" s="52"/>
      <c r="DV1066" s="50"/>
    </row>
    <row r="1067" spans="91:126" ht="23.5">
      <c r="CM1067" s="45">
        <v>1063</v>
      </c>
      <c r="CN1067" s="48">
        <v>0</v>
      </c>
      <c r="CO1067" s="45" t="str">
        <v>Nothing</v>
      </c>
      <c r="CP1067" s="61"/>
      <c r="CQ1067" s="45">
        <v>1063</v>
      </c>
      <c r="CR1067" s="45">
        <v>7.1319537201255869</v>
      </c>
      <c r="CS1067" s="45" t="str">
        <v>Invest</v>
      </c>
      <c r="CT1067" s="61"/>
      <c r="CU1067" s="45">
        <v>1063</v>
      </c>
      <c r="CV1067" s="45">
        <v>0</v>
      </c>
      <c r="CW1067" s="45" t="str">
        <v>Nothing</v>
      </c>
      <c r="CX1067" s="61"/>
      <c r="CY1067" s="45">
        <v>1063</v>
      </c>
      <c r="CZ1067" s="45">
        <v>53.914549679113186</v>
      </c>
      <c r="DA1067" s="45" t="str">
        <v>Invest</v>
      </c>
      <c r="DU1067" s="52"/>
      <c r="DV1067" s="50"/>
    </row>
    <row r="1068" spans="91:126" ht="23.5">
      <c r="CM1068" s="45">
        <v>1064</v>
      </c>
      <c r="CN1068" s="48">
        <v>7.228904307773071</v>
      </c>
      <c r="CO1068" s="45" t="str">
        <v>Invest</v>
      </c>
      <c r="CP1068" s="61"/>
      <c r="CQ1068" s="45">
        <v>1064</v>
      </c>
      <c r="CR1068" s="45">
        <v>24.531380717692798</v>
      </c>
      <c r="CS1068" s="45" t="str">
        <v>Invest</v>
      </c>
      <c r="CT1068" s="61"/>
      <c r="CU1068" s="45">
        <v>1064</v>
      </c>
      <c r="CV1068" s="45">
        <v>0</v>
      </c>
      <c r="CW1068" s="45" t="str">
        <v>Nothing</v>
      </c>
      <c r="CX1068" s="61"/>
      <c r="CY1068" s="45">
        <v>1064</v>
      </c>
      <c r="CZ1068" s="45">
        <v>0</v>
      </c>
      <c r="DA1068" s="45" t="str">
        <v>Nothing</v>
      </c>
      <c r="DU1068" s="52"/>
      <c r="DV1068" s="50"/>
    </row>
    <row r="1069" spans="91:126" ht="23.5">
      <c r="CM1069" s="45">
        <v>1065</v>
      </c>
      <c r="CN1069" s="48">
        <v>11.960811073333574</v>
      </c>
      <c r="CO1069" s="45" t="str">
        <v>Invest</v>
      </c>
      <c r="CP1069" s="61"/>
      <c r="CQ1069" s="45">
        <v>1065</v>
      </c>
      <c r="CR1069" s="45">
        <v>0.79480762534563532</v>
      </c>
      <c r="CS1069" s="45" t="str">
        <v>Invest</v>
      </c>
      <c r="CT1069" s="61"/>
      <c r="CU1069" s="45">
        <v>1065</v>
      </c>
      <c r="CV1069" s="45">
        <v>28.281374631758169</v>
      </c>
      <c r="CW1069" s="45" t="str">
        <v>Invest</v>
      </c>
      <c r="CX1069" s="61"/>
      <c r="CY1069" s="45">
        <v>1065</v>
      </c>
      <c r="CZ1069" s="45">
        <v>5.088112970859612</v>
      </c>
      <c r="DA1069" s="45" t="str">
        <v>Invest</v>
      </c>
      <c r="DU1069" s="52"/>
      <c r="DV1069" s="50"/>
    </row>
    <row r="1070" spans="91:126" ht="23.5">
      <c r="CM1070" s="45">
        <v>1066</v>
      </c>
      <c r="CN1070" s="48">
        <v>12.146742284155444</v>
      </c>
      <c r="CO1070" s="45" t="str">
        <v>Invest</v>
      </c>
      <c r="CP1070" s="61"/>
      <c r="CQ1070" s="45">
        <v>1066</v>
      </c>
      <c r="CR1070" s="45">
        <v>0</v>
      </c>
      <c r="CS1070" s="45" t="str">
        <v>Nothing</v>
      </c>
      <c r="CT1070" s="61"/>
      <c r="CU1070" s="45">
        <v>1066</v>
      </c>
      <c r="CV1070" s="45">
        <v>45.843895449358698</v>
      </c>
      <c r="CW1070" s="45" t="str">
        <v>Invest</v>
      </c>
      <c r="CX1070" s="61"/>
      <c r="CY1070" s="45">
        <v>1066</v>
      </c>
      <c r="CZ1070" s="45">
        <v>0</v>
      </c>
      <c r="DA1070" s="45" t="str">
        <v>Nothing</v>
      </c>
      <c r="DU1070" s="52"/>
      <c r="DV1070" s="50"/>
    </row>
    <row r="1071" spans="91:126" ht="23.5">
      <c r="CM1071" s="45">
        <v>1067</v>
      </c>
      <c r="CN1071" s="48">
        <v>18.756544006292238</v>
      </c>
      <c r="CO1071" s="45" t="str">
        <v>Invest</v>
      </c>
      <c r="CP1071" s="61"/>
      <c r="CQ1071" s="45">
        <v>1067</v>
      </c>
      <c r="CR1071" s="45">
        <v>0</v>
      </c>
      <c r="CS1071" s="45" t="str">
        <v>Nothing</v>
      </c>
      <c r="CT1071" s="61"/>
      <c r="CU1071" s="45">
        <v>1067</v>
      </c>
      <c r="CV1071" s="45">
        <v>0</v>
      </c>
      <c r="CW1071" s="45" t="str">
        <v>Nothing</v>
      </c>
      <c r="CX1071" s="61"/>
      <c r="CY1071" s="45">
        <v>1067</v>
      </c>
      <c r="CZ1071" s="45">
        <v>61.787597397436009</v>
      </c>
      <c r="DA1071" s="45" t="str">
        <v>Invest</v>
      </c>
      <c r="DU1071" s="52"/>
      <c r="DV1071" s="50"/>
    </row>
    <row r="1072" spans="91:126" ht="23.5">
      <c r="CM1072" s="45">
        <v>1068</v>
      </c>
      <c r="CN1072" s="48">
        <v>0</v>
      </c>
      <c r="CO1072" s="45" t="str">
        <v>Nothing</v>
      </c>
      <c r="CP1072" s="61"/>
      <c r="CQ1072" s="45">
        <v>1068</v>
      </c>
      <c r="CR1072" s="45">
        <v>0</v>
      </c>
      <c r="CS1072" s="45" t="str">
        <v>Nothing</v>
      </c>
      <c r="CT1072" s="61"/>
      <c r="CU1072" s="45">
        <v>1068</v>
      </c>
      <c r="CV1072" s="45">
        <v>54.099279118943926</v>
      </c>
      <c r="CW1072" s="45" t="str">
        <v>Invest</v>
      </c>
      <c r="CX1072" s="61"/>
      <c r="CY1072" s="45">
        <v>1068</v>
      </c>
      <c r="CZ1072" s="45">
        <v>3.8213630784103554</v>
      </c>
      <c r="DA1072" s="45" t="str">
        <v>Invest</v>
      </c>
      <c r="DU1072" s="52"/>
      <c r="DV1072" s="50"/>
    </row>
    <row r="1073" spans="91:126" ht="23.5">
      <c r="CM1073" s="45">
        <v>1069</v>
      </c>
      <c r="CN1073" s="48">
        <v>36.700721003515717</v>
      </c>
      <c r="CO1073" s="45" t="str">
        <v>Invest</v>
      </c>
      <c r="CP1073" s="61"/>
      <c r="CQ1073" s="45">
        <v>1069</v>
      </c>
      <c r="CR1073" s="45">
        <v>21.366758574870552</v>
      </c>
      <c r="CS1073" s="45" t="str">
        <v>Invest</v>
      </c>
      <c r="CT1073" s="61"/>
      <c r="CU1073" s="45">
        <v>1069</v>
      </c>
      <c r="CV1073" s="45">
        <v>10.492896848630975</v>
      </c>
      <c r="CW1073" s="45" t="str">
        <v>Invest</v>
      </c>
      <c r="CX1073" s="61"/>
      <c r="CY1073" s="45">
        <v>1069</v>
      </c>
      <c r="CZ1073" s="45">
        <v>46.167214442859986</v>
      </c>
      <c r="DA1073" s="45" t="str">
        <v>Invest</v>
      </c>
      <c r="DU1073" s="52"/>
      <c r="DV1073" s="50"/>
    </row>
    <row r="1074" spans="91:126" ht="23.5">
      <c r="CM1074" s="45">
        <v>1070</v>
      </c>
      <c r="CN1074" s="48">
        <v>0</v>
      </c>
      <c r="CO1074" s="45" t="str">
        <v>Nothing</v>
      </c>
      <c r="CP1074" s="61"/>
      <c r="CQ1074" s="45">
        <v>1070</v>
      </c>
      <c r="CR1074" s="45">
        <v>18.994025162571809</v>
      </c>
      <c r="CS1074" s="45" t="str">
        <v>Invest</v>
      </c>
      <c r="CT1074" s="61"/>
      <c r="CU1074" s="45">
        <v>1070</v>
      </c>
      <c r="CV1074" s="45">
        <v>38.682246670621453</v>
      </c>
      <c r="CW1074" s="45" t="str">
        <v>Invest</v>
      </c>
      <c r="CX1074" s="61"/>
      <c r="CY1074" s="45">
        <v>1070</v>
      </c>
      <c r="CZ1074" s="45">
        <v>28.11595401443719</v>
      </c>
      <c r="DA1074" s="45" t="str">
        <v>Invest</v>
      </c>
      <c r="DU1074" s="52"/>
      <c r="DV1074" s="50"/>
    </row>
    <row r="1075" spans="91:126" ht="23.5">
      <c r="CM1075" s="45">
        <v>1071</v>
      </c>
      <c r="CN1075" s="48">
        <v>16.642333974586251</v>
      </c>
      <c r="CO1075" s="45" t="str">
        <v>Invest</v>
      </c>
      <c r="CP1075" s="61"/>
      <c r="CQ1075" s="45">
        <v>1071</v>
      </c>
      <c r="CR1075" s="45">
        <v>0</v>
      </c>
      <c r="CS1075" s="45" t="str">
        <v>Nothing</v>
      </c>
      <c r="CT1075" s="61"/>
      <c r="CU1075" s="45">
        <v>1071</v>
      </c>
      <c r="CV1075" s="45">
        <v>0</v>
      </c>
      <c r="CW1075" s="45" t="str">
        <v>Nothing</v>
      </c>
      <c r="CX1075" s="61"/>
      <c r="CY1075" s="45">
        <v>1071</v>
      </c>
      <c r="CZ1075" s="45">
        <v>50.406486615343283</v>
      </c>
      <c r="DA1075" s="45" t="str">
        <v>Invest</v>
      </c>
      <c r="DU1075" s="52"/>
      <c r="DV1075" s="50"/>
    </row>
    <row r="1076" spans="91:126" ht="23.5">
      <c r="CM1076" s="45">
        <v>1072</v>
      </c>
      <c r="CN1076" s="48">
        <v>11.056539249592046</v>
      </c>
      <c r="CO1076" s="45" t="str">
        <v>Invest</v>
      </c>
      <c r="CP1076" s="61"/>
      <c r="CQ1076" s="45">
        <v>1072</v>
      </c>
      <c r="CR1076" s="45">
        <v>0</v>
      </c>
      <c r="CS1076" s="45" t="str">
        <v>Nothing</v>
      </c>
      <c r="CT1076" s="61"/>
      <c r="CU1076" s="45">
        <v>1072</v>
      </c>
      <c r="CV1076" s="45">
        <v>53.537018653703853</v>
      </c>
      <c r="CW1076" s="45" t="str">
        <v>Invest</v>
      </c>
      <c r="CX1076" s="61"/>
      <c r="CY1076" s="45">
        <v>1072</v>
      </c>
      <c r="CZ1076" s="45">
        <v>26.128888548384815</v>
      </c>
      <c r="DA1076" s="45" t="str">
        <v>Invest</v>
      </c>
      <c r="DU1076" s="52"/>
      <c r="DV1076" s="50"/>
    </row>
    <row r="1077" spans="91:126" ht="23.5">
      <c r="CM1077" s="45">
        <v>1073</v>
      </c>
      <c r="CN1077" s="48">
        <v>38.448273112469067</v>
      </c>
      <c r="CO1077" s="45" t="str">
        <v>Invest</v>
      </c>
      <c r="CP1077" s="61"/>
      <c r="CQ1077" s="45">
        <v>1073</v>
      </c>
      <c r="CR1077" s="45">
        <v>12.686170339669909</v>
      </c>
      <c r="CS1077" s="45" t="str">
        <v>Invest</v>
      </c>
      <c r="CT1077" s="61"/>
      <c r="CU1077" s="45">
        <v>1073</v>
      </c>
      <c r="CV1077" s="45">
        <v>22.505870865409705</v>
      </c>
      <c r="CW1077" s="45" t="str">
        <v>Invest</v>
      </c>
      <c r="CX1077" s="61"/>
      <c r="CY1077" s="45">
        <v>1073</v>
      </c>
      <c r="CZ1077" s="45">
        <v>19.176038107131603</v>
      </c>
      <c r="DA1077" s="45" t="str">
        <v>Invest</v>
      </c>
      <c r="DU1077" s="52"/>
      <c r="DV1077" s="50"/>
    </row>
    <row r="1078" spans="91:126" ht="23.5">
      <c r="CM1078" s="45">
        <v>1074</v>
      </c>
      <c r="CN1078" s="48">
        <v>6.9743233435810499</v>
      </c>
      <c r="CO1078" s="45" t="str">
        <v>Invest</v>
      </c>
      <c r="CP1078" s="61"/>
      <c r="CQ1078" s="45">
        <v>1074</v>
      </c>
      <c r="CR1078" s="45">
        <v>37.485425942762348</v>
      </c>
      <c r="CS1078" s="45" t="str">
        <v>Invest</v>
      </c>
      <c r="CT1078" s="61"/>
      <c r="CU1078" s="45">
        <v>1074</v>
      </c>
      <c r="CV1078" s="45">
        <v>0</v>
      </c>
      <c r="CW1078" s="45" t="str">
        <v>Nothing</v>
      </c>
      <c r="CX1078" s="61"/>
      <c r="CY1078" s="45">
        <v>1074</v>
      </c>
      <c r="CZ1078" s="45">
        <v>6.9027388624373316</v>
      </c>
      <c r="DA1078" s="45" t="str">
        <v>Invest</v>
      </c>
      <c r="DU1078" s="52"/>
      <c r="DV1078" s="50"/>
    </row>
    <row r="1079" spans="91:126" ht="23.5">
      <c r="CM1079" s="45">
        <v>1075</v>
      </c>
      <c r="CN1079" s="48">
        <v>23.893145844506993</v>
      </c>
      <c r="CO1079" s="45" t="str">
        <v>Invest</v>
      </c>
      <c r="CP1079" s="61"/>
      <c r="CQ1079" s="45">
        <v>1075</v>
      </c>
      <c r="CR1079" s="45">
        <v>49.420998549496915</v>
      </c>
      <c r="CS1079" s="45" t="str">
        <v>Invest</v>
      </c>
      <c r="CT1079" s="61"/>
      <c r="CU1079" s="45">
        <v>1075</v>
      </c>
      <c r="CV1079" s="45">
        <v>5.2700071450802319</v>
      </c>
      <c r="CW1079" s="45" t="str">
        <v>Invest</v>
      </c>
      <c r="CX1079" s="61"/>
      <c r="CY1079" s="45">
        <v>1075</v>
      </c>
      <c r="CZ1079" s="45">
        <v>0</v>
      </c>
      <c r="DA1079" s="45" t="str">
        <v>Nothing</v>
      </c>
      <c r="DU1079" s="52"/>
      <c r="DV1079" s="50"/>
    </row>
    <row r="1080" spans="91:126" ht="23.5">
      <c r="CM1080" s="45">
        <v>1076</v>
      </c>
      <c r="CN1080" s="48">
        <v>13.731629022978195</v>
      </c>
      <c r="CO1080" s="45" t="str">
        <v>Invest</v>
      </c>
      <c r="CP1080" s="61"/>
      <c r="CQ1080" s="45">
        <v>1076</v>
      </c>
      <c r="CR1080" s="45">
        <v>5.5248027875884667</v>
      </c>
      <c r="CS1080" s="45" t="str">
        <v>Invest</v>
      </c>
      <c r="CT1080" s="61"/>
      <c r="CU1080" s="45">
        <v>1076</v>
      </c>
      <c r="CV1080" s="45">
        <v>42.611446653648287</v>
      </c>
      <c r="CW1080" s="45" t="str">
        <v>Invest</v>
      </c>
      <c r="CX1080" s="61"/>
      <c r="CY1080" s="45">
        <v>1076</v>
      </c>
      <c r="CZ1080" s="45">
        <v>22.486634470978409</v>
      </c>
      <c r="DA1080" s="45" t="str">
        <v>Invest</v>
      </c>
      <c r="DU1080" s="52"/>
      <c r="DV1080" s="50"/>
    </row>
    <row r="1081" spans="91:126" ht="23.5">
      <c r="CM1081" s="45">
        <v>1077</v>
      </c>
      <c r="CN1081" s="48">
        <v>18.129992544323976</v>
      </c>
      <c r="CO1081" s="45" t="str">
        <v>Invest</v>
      </c>
      <c r="CP1081" s="61"/>
      <c r="CQ1081" s="45">
        <v>1077</v>
      </c>
      <c r="CR1081" s="45">
        <v>19.588997686698043</v>
      </c>
      <c r="CS1081" s="45" t="str">
        <v>Invest</v>
      </c>
      <c r="CT1081" s="61"/>
      <c r="CU1081" s="45">
        <v>1077</v>
      </c>
      <c r="CV1081" s="45">
        <v>37.55182136156418</v>
      </c>
      <c r="CW1081" s="45" t="str">
        <v>Invest</v>
      </c>
      <c r="CX1081" s="61"/>
      <c r="CY1081" s="45">
        <v>1077</v>
      </c>
      <c r="CZ1081" s="45">
        <v>0</v>
      </c>
      <c r="DA1081" s="45" t="str">
        <v>Nothing</v>
      </c>
      <c r="DU1081" s="52"/>
      <c r="DV1081" s="50"/>
    </row>
    <row r="1082" spans="91:126" ht="23.5">
      <c r="CM1082" s="45">
        <v>1078</v>
      </c>
      <c r="CN1082" s="48">
        <v>0</v>
      </c>
      <c r="CO1082" s="45" t="str">
        <v>Nothing</v>
      </c>
      <c r="CP1082" s="61"/>
      <c r="CQ1082" s="45">
        <v>1078</v>
      </c>
      <c r="CR1082" s="45">
        <v>26.164553829810295</v>
      </c>
      <c r="CS1082" s="45" t="str">
        <v>Invest</v>
      </c>
      <c r="CT1082" s="61"/>
      <c r="CU1082" s="45">
        <v>1078</v>
      </c>
      <c r="CV1082" s="45">
        <v>0</v>
      </c>
      <c r="CW1082" s="45" t="str">
        <v>Nothing</v>
      </c>
      <c r="CX1082" s="61"/>
      <c r="CY1082" s="45">
        <v>1078</v>
      </c>
      <c r="CZ1082" s="45">
        <v>61.635654368756832</v>
      </c>
      <c r="DA1082" s="45" t="str">
        <v>Invest</v>
      </c>
      <c r="DU1082" s="52"/>
      <c r="DV1082" s="50"/>
    </row>
    <row r="1083" spans="91:126" ht="23.5">
      <c r="CM1083" s="45">
        <v>1079</v>
      </c>
      <c r="CN1083" s="48">
        <v>50.022993503926074</v>
      </c>
      <c r="CO1083" s="45" t="str">
        <v>Invest</v>
      </c>
      <c r="CP1083" s="61"/>
      <c r="CQ1083" s="45">
        <v>1079</v>
      </c>
      <c r="CR1083" s="45">
        <v>31.644592333470005</v>
      </c>
      <c r="CS1083" s="45" t="str">
        <v>Invest</v>
      </c>
      <c r="CT1083" s="61"/>
      <c r="CU1083" s="45">
        <v>1079</v>
      </c>
      <c r="CV1083" s="45">
        <v>0</v>
      </c>
      <c r="CW1083" s="45" t="str">
        <v>Nothing</v>
      </c>
      <c r="CX1083" s="61"/>
      <c r="CY1083" s="45">
        <v>1079</v>
      </c>
      <c r="CZ1083" s="45">
        <v>27.433431599977709</v>
      </c>
      <c r="DA1083" s="45" t="str">
        <v>Invest</v>
      </c>
      <c r="DU1083" s="52"/>
      <c r="DV1083" s="50"/>
    </row>
    <row r="1084" spans="91:126" ht="23.5">
      <c r="CM1084" s="45">
        <v>1080</v>
      </c>
      <c r="CN1084" s="48">
        <v>0</v>
      </c>
      <c r="CO1084" s="45" t="str">
        <v>Nothing</v>
      </c>
      <c r="CP1084" s="61"/>
      <c r="CQ1084" s="45">
        <v>1080</v>
      </c>
      <c r="CR1084" s="45">
        <v>0</v>
      </c>
      <c r="CS1084" s="45" t="str">
        <v>Nothing</v>
      </c>
      <c r="CT1084" s="61"/>
      <c r="CU1084" s="45">
        <v>1080</v>
      </c>
      <c r="CV1084" s="45">
        <v>13.655935887808477</v>
      </c>
      <c r="CW1084" s="45" t="str">
        <v>Invest</v>
      </c>
      <c r="CX1084" s="61"/>
      <c r="CY1084" s="45">
        <v>1080</v>
      </c>
      <c r="CZ1084" s="45">
        <v>7.6887822270742827</v>
      </c>
      <c r="DA1084" s="45" t="str">
        <v>Invest</v>
      </c>
      <c r="DU1084" s="52"/>
      <c r="DV1084" s="50"/>
    </row>
    <row r="1085" spans="91:126" ht="23.5">
      <c r="CM1085" s="45">
        <v>1081</v>
      </c>
      <c r="CN1085" s="48">
        <v>38.827619269123247</v>
      </c>
      <c r="CO1085" s="45" t="str">
        <v>Invest</v>
      </c>
      <c r="CP1085" s="61"/>
      <c r="CQ1085" s="45">
        <v>1081</v>
      </c>
      <c r="CR1085" s="45">
        <v>0</v>
      </c>
      <c r="CS1085" s="45" t="str">
        <v>Nothing</v>
      </c>
      <c r="CT1085" s="61"/>
      <c r="CU1085" s="45">
        <v>1081</v>
      </c>
      <c r="CV1085" s="45">
        <v>0</v>
      </c>
      <c r="CW1085" s="45" t="str">
        <v>Nothing</v>
      </c>
      <c r="CX1085" s="61"/>
      <c r="CY1085" s="45">
        <v>1081</v>
      </c>
      <c r="CZ1085" s="45">
        <v>36.54402775933562</v>
      </c>
      <c r="DA1085" s="45" t="str">
        <v>Invest</v>
      </c>
      <c r="DU1085" s="52"/>
      <c r="DV1085" s="50"/>
    </row>
    <row r="1086" spans="91:126" ht="23.5">
      <c r="CM1086" s="45">
        <v>1082</v>
      </c>
      <c r="CN1086" s="48">
        <v>6.5943529339980245</v>
      </c>
      <c r="CO1086" s="45" t="str">
        <v>Invest</v>
      </c>
      <c r="CP1086" s="61"/>
      <c r="CQ1086" s="45">
        <v>1082</v>
      </c>
      <c r="CR1086" s="45">
        <v>27.683383335219812</v>
      </c>
      <c r="CS1086" s="45" t="str">
        <v>Invest</v>
      </c>
      <c r="CT1086" s="61"/>
      <c r="CU1086" s="45">
        <v>1082</v>
      </c>
      <c r="CV1086" s="45">
        <v>0</v>
      </c>
      <c r="CW1086" s="45" t="str">
        <v>Nothing</v>
      </c>
      <c r="CX1086" s="61"/>
      <c r="CY1086" s="45">
        <v>1082</v>
      </c>
      <c r="CZ1086" s="45">
        <v>50.75087525528626</v>
      </c>
      <c r="DA1086" s="45" t="str">
        <v>Invest</v>
      </c>
      <c r="DU1086" s="52"/>
      <c r="DV1086" s="50"/>
    </row>
    <row r="1087" spans="91:126" ht="23.5">
      <c r="CM1087" s="45">
        <v>1083</v>
      </c>
      <c r="CN1087" s="48">
        <v>22.292008785761254</v>
      </c>
      <c r="CO1087" s="45" t="str">
        <v>Invest</v>
      </c>
      <c r="CP1087" s="61"/>
      <c r="CQ1087" s="45">
        <v>1083</v>
      </c>
      <c r="CR1087" s="45">
        <v>4.0690228686602463</v>
      </c>
      <c r="CS1087" s="45" t="str">
        <v>Invest</v>
      </c>
      <c r="CT1087" s="61"/>
      <c r="CU1087" s="45">
        <v>1083</v>
      </c>
      <c r="CV1087" s="45">
        <v>32.640088536177117</v>
      </c>
      <c r="CW1087" s="45" t="str">
        <v>Invest</v>
      </c>
      <c r="CX1087" s="61"/>
      <c r="CY1087" s="45">
        <v>1083</v>
      </c>
      <c r="CZ1087" s="45">
        <v>26.297030607447645</v>
      </c>
      <c r="DA1087" s="45" t="str">
        <v>Invest</v>
      </c>
      <c r="DU1087" s="52"/>
      <c r="DV1087" s="50"/>
    </row>
    <row r="1088" spans="91:126" ht="23.5">
      <c r="CM1088" s="45">
        <v>1084</v>
      </c>
      <c r="CN1088" s="48">
        <v>14.469950560545129</v>
      </c>
      <c r="CO1088" s="45" t="str">
        <v>Invest</v>
      </c>
      <c r="CP1088" s="61"/>
      <c r="CQ1088" s="45">
        <v>1084</v>
      </c>
      <c r="CR1088" s="45">
        <v>4.9985079479997694</v>
      </c>
      <c r="CS1088" s="45" t="str">
        <v>Invest</v>
      </c>
      <c r="CT1088" s="61"/>
      <c r="CU1088" s="45">
        <v>1084</v>
      </c>
      <c r="CV1088" s="45">
        <v>3.5816313500359946</v>
      </c>
      <c r="CW1088" s="45" t="str">
        <v>Invest</v>
      </c>
      <c r="CX1088" s="61"/>
      <c r="CY1088" s="45">
        <v>1084</v>
      </c>
      <c r="CZ1088" s="45">
        <v>41.493502426230421</v>
      </c>
      <c r="DA1088" s="45" t="str">
        <v>Invest</v>
      </c>
      <c r="DU1088" s="52"/>
      <c r="DV1088" s="50"/>
    </row>
    <row r="1089" spans="91:126" ht="23.5">
      <c r="CM1089" s="45">
        <v>1085</v>
      </c>
      <c r="CN1089" s="48">
        <v>31.22457927289534</v>
      </c>
      <c r="CO1089" s="45" t="str">
        <v>Invest</v>
      </c>
      <c r="CP1089" s="61"/>
      <c r="CQ1089" s="45">
        <v>1085</v>
      </c>
      <c r="CR1089" s="45">
        <v>4.9893983448751378</v>
      </c>
      <c r="CS1089" s="45" t="str">
        <v>Invest</v>
      </c>
      <c r="CT1089" s="61"/>
      <c r="CU1089" s="45">
        <v>1085</v>
      </c>
      <c r="CV1089" s="45">
        <v>18.493400029353914</v>
      </c>
      <c r="CW1089" s="45" t="str">
        <v>Invest</v>
      </c>
      <c r="CX1089" s="61"/>
      <c r="CY1089" s="45">
        <v>1085</v>
      </c>
      <c r="CZ1089" s="45">
        <v>42.376147331253378</v>
      </c>
      <c r="DA1089" s="45" t="str">
        <v>Invest</v>
      </c>
      <c r="DU1089" s="52"/>
      <c r="DV1089" s="50"/>
    </row>
    <row r="1090" spans="91:126" ht="23.5">
      <c r="CM1090" s="45">
        <v>1086</v>
      </c>
      <c r="CN1090" s="48">
        <v>33.789964544361013</v>
      </c>
      <c r="CO1090" s="45" t="str">
        <v>Invest</v>
      </c>
      <c r="CP1090" s="61"/>
      <c r="CQ1090" s="45">
        <v>1086</v>
      </c>
      <c r="CR1090" s="45">
        <v>0</v>
      </c>
      <c r="CS1090" s="45" t="str">
        <v>Nothing</v>
      </c>
      <c r="CT1090" s="61"/>
      <c r="CU1090" s="45">
        <v>1086</v>
      </c>
      <c r="CV1090" s="45">
        <v>40.967747841680804</v>
      </c>
      <c r="CW1090" s="45" t="str">
        <v>Invest</v>
      </c>
      <c r="CX1090" s="61"/>
      <c r="CY1090" s="45">
        <v>1086</v>
      </c>
      <c r="CZ1090" s="45">
        <v>44.478408477871469</v>
      </c>
      <c r="DA1090" s="45" t="str">
        <v>Invest</v>
      </c>
      <c r="DU1090" s="52"/>
      <c r="DV1090" s="50"/>
    </row>
    <row r="1091" spans="91:126" ht="23.5">
      <c r="CM1091" s="45">
        <v>1087</v>
      </c>
      <c r="CN1091" s="48">
        <v>0</v>
      </c>
      <c r="CO1091" s="45" t="str">
        <v>Nothing</v>
      </c>
      <c r="CP1091" s="61"/>
      <c r="CQ1091" s="45">
        <v>1087</v>
      </c>
      <c r="CR1091" s="45">
        <v>8.5930691834642836</v>
      </c>
      <c r="CS1091" s="45" t="str">
        <v>Invest</v>
      </c>
      <c r="CT1091" s="61"/>
      <c r="CU1091" s="45">
        <v>1087</v>
      </c>
      <c r="CV1091" s="45">
        <v>7.0716919585456974</v>
      </c>
      <c r="CW1091" s="45" t="str">
        <v>Invest</v>
      </c>
      <c r="CX1091" s="61"/>
      <c r="CY1091" s="45">
        <v>1087</v>
      </c>
      <c r="CZ1091" s="45">
        <v>34.306979104336811</v>
      </c>
      <c r="DA1091" s="45" t="str">
        <v>Invest</v>
      </c>
      <c r="DU1091" s="52"/>
      <c r="DV1091" s="50"/>
    </row>
    <row r="1092" spans="91:126" ht="23.5">
      <c r="CM1092" s="45">
        <v>1088</v>
      </c>
      <c r="CN1092" s="48">
        <v>6.3788172848592666</v>
      </c>
      <c r="CO1092" s="45" t="str">
        <v>Invest</v>
      </c>
      <c r="CP1092" s="61"/>
      <c r="CQ1092" s="45">
        <v>1088</v>
      </c>
      <c r="CR1092" s="45">
        <v>32.09580674111622</v>
      </c>
      <c r="CS1092" s="45" t="str">
        <v>Invest</v>
      </c>
      <c r="CT1092" s="61"/>
      <c r="CU1092" s="45">
        <v>1088</v>
      </c>
      <c r="CV1092" s="45">
        <v>25.296481254630883</v>
      </c>
      <c r="CW1092" s="45" t="str">
        <v>Invest</v>
      </c>
      <c r="CX1092" s="61"/>
      <c r="CY1092" s="45">
        <v>1088</v>
      </c>
      <c r="CZ1092" s="45">
        <v>30.894763456837929</v>
      </c>
      <c r="DA1092" s="45" t="str">
        <v>Invest</v>
      </c>
      <c r="DU1092" s="52"/>
      <c r="DV1092" s="50"/>
    </row>
    <row r="1093" spans="91:126" ht="23.5">
      <c r="CM1093" s="45">
        <v>1089</v>
      </c>
      <c r="CN1093" s="48">
        <v>4.7043954046558021</v>
      </c>
      <c r="CO1093" s="45" t="str">
        <v>Invest</v>
      </c>
      <c r="CP1093" s="61"/>
      <c r="CQ1093" s="45">
        <v>1089</v>
      </c>
      <c r="CR1093" s="45">
        <v>0</v>
      </c>
      <c r="CS1093" s="45" t="str">
        <v>Nothing</v>
      </c>
      <c r="CT1093" s="61"/>
      <c r="CU1093" s="45">
        <v>1089</v>
      </c>
      <c r="CV1093" s="45">
        <v>0</v>
      </c>
      <c r="CW1093" s="45" t="str">
        <v>Nothing</v>
      </c>
      <c r="CX1093" s="61"/>
      <c r="CY1093" s="45">
        <v>1089</v>
      </c>
      <c r="CZ1093" s="45">
        <v>4.7658237503870744</v>
      </c>
      <c r="DA1093" s="45" t="str">
        <v>Invest</v>
      </c>
      <c r="DU1093" s="52"/>
      <c r="DV1093" s="50"/>
    </row>
    <row r="1094" spans="91:126" ht="23.5">
      <c r="CM1094" s="45">
        <v>1090</v>
      </c>
      <c r="CN1094" s="48">
        <v>24.313545338901768</v>
      </c>
      <c r="CO1094" s="45" t="str">
        <v>Invest</v>
      </c>
      <c r="CP1094" s="61"/>
      <c r="CQ1094" s="45">
        <v>1090</v>
      </c>
      <c r="CR1094" s="45">
        <v>0</v>
      </c>
      <c r="CS1094" s="45" t="str">
        <v>Nothing</v>
      </c>
      <c r="CT1094" s="61"/>
      <c r="CU1094" s="45">
        <v>1090</v>
      </c>
      <c r="CV1094" s="45">
        <v>0</v>
      </c>
      <c r="CW1094" s="45" t="str">
        <v>Nothing</v>
      </c>
      <c r="CX1094" s="61"/>
      <c r="CY1094" s="45">
        <v>1090</v>
      </c>
      <c r="CZ1094" s="45">
        <v>25.34165246496887</v>
      </c>
      <c r="DA1094" s="45" t="str">
        <v>Invest</v>
      </c>
      <c r="DU1094" s="52"/>
      <c r="DV1094" s="50"/>
    </row>
    <row r="1095" spans="91:126" ht="23.5">
      <c r="CM1095" s="45">
        <v>1091</v>
      </c>
      <c r="CN1095" s="48">
        <v>0</v>
      </c>
      <c r="CO1095" s="45" t="str">
        <v>Nothing</v>
      </c>
      <c r="CP1095" s="61"/>
      <c r="CQ1095" s="45">
        <v>1091</v>
      </c>
      <c r="CR1095" s="45">
        <v>36.021103820797016</v>
      </c>
      <c r="CS1095" s="45" t="str">
        <v>Invest</v>
      </c>
      <c r="CT1095" s="61"/>
      <c r="CU1095" s="45">
        <v>1091</v>
      </c>
      <c r="CV1095" s="45">
        <v>0</v>
      </c>
      <c r="CW1095" s="45" t="str">
        <v>Nothing</v>
      </c>
      <c r="CX1095" s="61"/>
      <c r="CY1095" s="45">
        <v>1091</v>
      </c>
      <c r="CZ1095" s="45">
        <v>0.18327964357660775</v>
      </c>
      <c r="DA1095" s="45" t="str">
        <v>Invest</v>
      </c>
      <c r="DU1095" s="52"/>
      <c r="DV1095" s="50"/>
    </row>
    <row r="1096" spans="91:126" ht="23.5">
      <c r="CM1096" s="45">
        <v>1092</v>
      </c>
      <c r="CN1096" s="48">
        <v>22.146957871964581</v>
      </c>
      <c r="CO1096" s="45" t="str">
        <v>Invest</v>
      </c>
      <c r="CP1096" s="61"/>
      <c r="CQ1096" s="45">
        <v>1092</v>
      </c>
      <c r="CR1096" s="45">
        <v>7.9349678587721186</v>
      </c>
      <c r="CS1096" s="45" t="str">
        <v>Invest</v>
      </c>
      <c r="CT1096" s="61"/>
      <c r="CU1096" s="45">
        <v>1092</v>
      </c>
      <c r="CV1096" s="45">
        <v>0</v>
      </c>
      <c r="CW1096" s="45" t="str">
        <v>Nothing</v>
      </c>
      <c r="CX1096" s="61"/>
      <c r="CY1096" s="45">
        <v>1092</v>
      </c>
      <c r="CZ1096" s="45">
        <v>38.215174204745068</v>
      </c>
      <c r="DA1096" s="45" t="str">
        <v>Invest</v>
      </c>
      <c r="DU1096" s="52"/>
      <c r="DV1096" s="50"/>
    </row>
    <row r="1097" spans="91:126" ht="23.5">
      <c r="CM1097" s="45">
        <v>1093</v>
      </c>
      <c r="CN1097" s="48">
        <v>28.335049412048079</v>
      </c>
      <c r="CO1097" s="45" t="str">
        <v>Invest</v>
      </c>
      <c r="CP1097" s="61"/>
      <c r="CQ1097" s="45">
        <v>1093</v>
      </c>
      <c r="CR1097" s="45">
        <v>11.388949704039547</v>
      </c>
      <c r="CS1097" s="45" t="str">
        <v>Invest</v>
      </c>
      <c r="CT1097" s="61"/>
      <c r="CU1097" s="45">
        <v>1093</v>
      </c>
      <c r="CV1097" s="45">
        <v>15.818602858945685</v>
      </c>
      <c r="CW1097" s="45" t="str">
        <v>Invest</v>
      </c>
      <c r="CX1097" s="61"/>
      <c r="CY1097" s="45">
        <v>1093</v>
      </c>
      <c r="CZ1097" s="45">
        <v>53.66321846919621</v>
      </c>
      <c r="DA1097" s="45" t="str">
        <v>Invest</v>
      </c>
      <c r="DU1097" s="52"/>
      <c r="DV1097" s="50"/>
    </row>
    <row r="1098" spans="91:126" ht="23.5">
      <c r="CM1098" s="45">
        <v>1094</v>
      </c>
      <c r="CN1098" s="48">
        <v>7.5390738635811738</v>
      </c>
      <c r="CO1098" s="45" t="str">
        <v>Invest</v>
      </c>
      <c r="CP1098" s="61"/>
      <c r="CQ1098" s="45">
        <v>1094</v>
      </c>
      <c r="CR1098" s="45">
        <v>5.4891269918533521</v>
      </c>
      <c r="CS1098" s="45" t="str">
        <v>Invest</v>
      </c>
      <c r="CT1098" s="61"/>
      <c r="CU1098" s="45">
        <v>1094</v>
      </c>
      <c r="CV1098" s="45">
        <v>34.814426755019412</v>
      </c>
      <c r="CW1098" s="45" t="str">
        <v>Invest</v>
      </c>
      <c r="CX1098" s="61"/>
      <c r="CY1098" s="45">
        <v>1094</v>
      </c>
      <c r="CZ1098" s="45">
        <v>25.117074540793272</v>
      </c>
      <c r="DA1098" s="45" t="str">
        <v>Invest</v>
      </c>
      <c r="DU1098" s="52"/>
      <c r="DV1098" s="50"/>
    </row>
    <row r="1099" spans="91:126" ht="23.5">
      <c r="CM1099" s="45">
        <v>1095</v>
      </c>
      <c r="CN1099" s="48">
        <v>50.869576613623046</v>
      </c>
      <c r="CO1099" s="45" t="str">
        <v>Invest</v>
      </c>
      <c r="CP1099" s="61"/>
      <c r="CQ1099" s="45">
        <v>1095</v>
      </c>
      <c r="CR1099" s="45">
        <v>0.40099924399540932</v>
      </c>
      <c r="CS1099" s="45" t="str">
        <v>Invest</v>
      </c>
      <c r="CT1099" s="61"/>
      <c r="CU1099" s="45">
        <v>1095</v>
      </c>
      <c r="CV1099" s="45">
        <v>2.1422766780741647</v>
      </c>
      <c r="CW1099" s="45" t="str">
        <v>Invest</v>
      </c>
      <c r="CX1099" s="61"/>
      <c r="CY1099" s="45">
        <v>1095</v>
      </c>
      <c r="CZ1099" s="45">
        <v>5.37032171756635</v>
      </c>
      <c r="DA1099" s="45" t="str">
        <v>Invest</v>
      </c>
      <c r="DU1099" s="52"/>
      <c r="DV1099" s="50"/>
    </row>
    <row r="1100" spans="91:126" ht="23.5">
      <c r="CM1100" s="45">
        <v>1096</v>
      </c>
      <c r="CN1100" s="48">
        <v>43.863448368379821</v>
      </c>
      <c r="CO1100" s="45" t="str">
        <v>Invest</v>
      </c>
      <c r="CP1100" s="61"/>
      <c r="CQ1100" s="45">
        <v>1096</v>
      </c>
      <c r="CR1100" s="45">
        <v>26.778016707055443</v>
      </c>
      <c r="CS1100" s="45" t="str">
        <v>Invest</v>
      </c>
      <c r="CT1100" s="61"/>
      <c r="CU1100" s="45">
        <v>1096</v>
      </c>
      <c r="CV1100" s="45">
        <v>19.516924053881347</v>
      </c>
      <c r="CW1100" s="45" t="str">
        <v>Invest</v>
      </c>
      <c r="CX1100" s="61"/>
      <c r="CY1100" s="45">
        <v>1096</v>
      </c>
      <c r="CZ1100" s="45">
        <v>15.838265009029209</v>
      </c>
      <c r="DA1100" s="45" t="str">
        <v>Invest</v>
      </c>
      <c r="DU1100" s="52"/>
      <c r="DV1100" s="50"/>
    </row>
    <row r="1101" spans="91:126" ht="23.5">
      <c r="CM1101" s="45">
        <v>1097</v>
      </c>
      <c r="CN1101" s="48">
        <v>22.35386852876681</v>
      </c>
      <c r="CO1101" s="45" t="str">
        <v>Invest</v>
      </c>
      <c r="CP1101" s="61"/>
      <c r="CQ1101" s="45">
        <v>1097</v>
      </c>
      <c r="CR1101" s="45">
        <v>12.555606479782947</v>
      </c>
      <c r="CS1101" s="45" t="str">
        <v>Invest</v>
      </c>
      <c r="CT1101" s="61"/>
      <c r="CU1101" s="45">
        <v>1097</v>
      </c>
      <c r="CV1101" s="45">
        <v>38.615950345644059</v>
      </c>
      <c r="CW1101" s="45" t="str">
        <v>Invest</v>
      </c>
      <c r="CX1101" s="61"/>
      <c r="CY1101" s="45">
        <v>1097</v>
      </c>
      <c r="CZ1101" s="45">
        <v>6.8975639405821463</v>
      </c>
      <c r="DA1101" s="45" t="str">
        <v>Invest</v>
      </c>
      <c r="DU1101" s="52"/>
      <c r="DV1101" s="50"/>
    </row>
    <row r="1102" spans="91:126" ht="23.5">
      <c r="CM1102" s="45">
        <v>1098</v>
      </c>
      <c r="CN1102" s="48">
        <v>25.867510971772269</v>
      </c>
      <c r="CO1102" s="45" t="str">
        <v>Invest</v>
      </c>
      <c r="CP1102" s="61"/>
      <c r="CQ1102" s="45">
        <v>1098</v>
      </c>
      <c r="CR1102" s="45">
        <v>11.059943769742507</v>
      </c>
      <c r="CS1102" s="45" t="str">
        <v>Invest</v>
      </c>
      <c r="CT1102" s="61"/>
      <c r="CU1102" s="45">
        <v>1098</v>
      </c>
      <c r="CV1102" s="45">
        <v>0</v>
      </c>
      <c r="CW1102" s="45" t="str">
        <v>Nothing</v>
      </c>
      <c r="CX1102" s="61"/>
      <c r="CY1102" s="45">
        <v>1098</v>
      </c>
      <c r="CZ1102" s="45">
        <v>0</v>
      </c>
      <c r="DA1102" s="45" t="str">
        <v>Nothing</v>
      </c>
      <c r="DU1102" s="52"/>
      <c r="DV1102" s="50"/>
    </row>
    <row r="1103" spans="91:126" ht="23.5">
      <c r="CM1103" s="45">
        <v>1099</v>
      </c>
      <c r="CN1103" s="48">
        <v>0.77348714630288562</v>
      </c>
      <c r="CO1103" s="45" t="str">
        <v>Invest</v>
      </c>
      <c r="CP1103" s="61"/>
      <c r="CQ1103" s="45">
        <v>1099</v>
      </c>
      <c r="CR1103" s="45">
        <v>40.285416006133154</v>
      </c>
      <c r="CS1103" s="45" t="str">
        <v>Invest</v>
      </c>
      <c r="CT1103" s="61"/>
      <c r="CU1103" s="45">
        <v>1099</v>
      </c>
      <c r="CV1103" s="45">
        <v>20.134040823642025</v>
      </c>
      <c r="CW1103" s="45" t="str">
        <v>Invest</v>
      </c>
      <c r="CX1103" s="61"/>
      <c r="CY1103" s="45">
        <v>1099</v>
      </c>
      <c r="CZ1103" s="45">
        <v>60.847012136048221</v>
      </c>
      <c r="DA1103" s="45" t="str">
        <v>Invest</v>
      </c>
      <c r="DU1103" s="52"/>
      <c r="DV1103" s="50"/>
    </row>
    <row r="1104" spans="91:126" ht="23.5">
      <c r="CM1104" s="45">
        <v>1100</v>
      </c>
      <c r="CN1104" s="48">
        <v>0</v>
      </c>
      <c r="CO1104" s="45" t="str">
        <v>Nothing</v>
      </c>
      <c r="CP1104" s="61"/>
      <c r="CQ1104" s="45">
        <v>1100</v>
      </c>
      <c r="CR1104" s="45">
        <v>0</v>
      </c>
      <c r="CS1104" s="45" t="str">
        <v>Nothing</v>
      </c>
      <c r="CT1104" s="61"/>
      <c r="CU1104" s="45">
        <v>1100</v>
      </c>
      <c r="CV1104" s="45">
        <v>0</v>
      </c>
      <c r="CW1104" s="45" t="str">
        <v>Nothing</v>
      </c>
      <c r="CX1104" s="61"/>
      <c r="CY1104" s="45">
        <v>1100</v>
      </c>
      <c r="CZ1104" s="45">
        <v>10.123477397118236</v>
      </c>
      <c r="DA1104" s="45" t="str">
        <v>Invest</v>
      </c>
      <c r="DU1104" s="52"/>
      <c r="DV1104" s="50"/>
    </row>
    <row r="1105" spans="91:126" ht="23.5">
      <c r="CM1105" s="45">
        <v>1101</v>
      </c>
      <c r="CN1105" s="48">
        <v>39.926042220230244</v>
      </c>
      <c r="CO1105" s="45" t="str">
        <v>Invest</v>
      </c>
      <c r="CP1105" s="61"/>
      <c r="CQ1105" s="45">
        <v>1101</v>
      </c>
      <c r="CR1105" s="45">
        <v>8.6022721081702862</v>
      </c>
      <c r="CS1105" s="45" t="str">
        <v>Invest</v>
      </c>
      <c r="CT1105" s="61"/>
      <c r="CU1105" s="45">
        <v>1101</v>
      </c>
      <c r="CV1105" s="45">
        <v>19.466306904796532</v>
      </c>
      <c r="CW1105" s="45" t="str">
        <v>Invest</v>
      </c>
      <c r="CX1105" s="61"/>
      <c r="CY1105" s="45">
        <v>1101</v>
      </c>
      <c r="CZ1105" s="45">
        <v>48.218879966085062</v>
      </c>
      <c r="DA1105" s="45" t="str">
        <v>Invest</v>
      </c>
      <c r="DU1105" s="52"/>
      <c r="DV1105" s="50"/>
    </row>
    <row r="1106" spans="91:126" ht="23.5">
      <c r="CM1106" s="45">
        <v>1102</v>
      </c>
      <c r="CN1106" s="48">
        <v>11.554465946220157</v>
      </c>
      <c r="CO1106" s="45" t="str">
        <v>Invest</v>
      </c>
      <c r="CP1106" s="61"/>
      <c r="CQ1106" s="45">
        <v>1102</v>
      </c>
      <c r="CR1106" s="45">
        <v>42.914500859591861</v>
      </c>
      <c r="CS1106" s="45" t="str">
        <v>Invest</v>
      </c>
      <c r="CT1106" s="61"/>
      <c r="CU1106" s="45">
        <v>1102</v>
      </c>
      <c r="CV1106" s="45">
        <v>0</v>
      </c>
      <c r="CW1106" s="45" t="str">
        <v>Nothing</v>
      </c>
      <c r="CX1106" s="61"/>
      <c r="CY1106" s="45">
        <v>1102</v>
      </c>
      <c r="CZ1106" s="45">
        <v>0</v>
      </c>
      <c r="DA1106" s="45" t="str">
        <v>Nothing</v>
      </c>
      <c r="DU1106" s="52"/>
      <c r="DV1106" s="50"/>
    </row>
    <row r="1107" spans="91:126" ht="23.5">
      <c r="CM1107" s="45">
        <v>1103</v>
      </c>
      <c r="CN1107" s="48">
        <v>7.1084689305360662</v>
      </c>
      <c r="CO1107" s="45" t="str">
        <v>Invest</v>
      </c>
      <c r="CP1107" s="61"/>
      <c r="CQ1107" s="45">
        <v>1103</v>
      </c>
      <c r="CR1107" s="45">
        <v>0</v>
      </c>
      <c r="CS1107" s="45" t="str">
        <v>Nothing</v>
      </c>
      <c r="CT1107" s="61"/>
      <c r="CU1107" s="45">
        <v>1103</v>
      </c>
      <c r="CV1107" s="45">
        <v>0</v>
      </c>
      <c r="CW1107" s="45" t="str">
        <v>Nothing</v>
      </c>
      <c r="CX1107" s="61"/>
      <c r="CY1107" s="45">
        <v>1103</v>
      </c>
      <c r="CZ1107" s="45">
        <v>0</v>
      </c>
      <c r="DA1107" s="45" t="str">
        <v>Nothing</v>
      </c>
      <c r="DU1107" s="52"/>
      <c r="DV1107" s="50"/>
    </row>
    <row r="1108" spans="91:126" ht="23.5">
      <c r="CM1108" s="45">
        <v>1104</v>
      </c>
      <c r="CN1108" s="48">
        <v>20.141640765976295</v>
      </c>
      <c r="CO1108" s="45" t="str">
        <v>Invest</v>
      </c>
      <c r="CP1108" s="61"/>
      <c r="CQ1108" s="45">
        <v>1104</v>
      </c>
      <c r="CR1108" s="45">
        <v>0</v>
      </c>
      <c r="CS1108" s="45" t="str">
        <v>Nothing</v>
      </c>
      <c r="CT1108" s="61"/>
      <c r="CU1108" s="45">
        <v>1104</v>
      </c>
      <c r="CV1108" s="45">
        <v>20.648493648680617</v>
      </c>
      <c r="CW1108" s="45" t="str">
        <v>Invest</v>
      </c>
      <c r="CX1108" s="61"/>
      <c r="CY1108" s="45">
        <v>1104</v>
      </c>
      <c r="CZ1108" s="45">
        <v>0</v>
      </c>
      <c r="DA1108" s="45" t="str">
        <v>Nothing</v>
      </c>
      <c r="DU1108" s="52"/>
      <c r="DV1108" s="50"/>
    </row>
    <row r="1109" spans="91:126" ht="23.5">
      <c r="CM1109" s="45">
        <v>1105</v>
      </c>
      <c r="CN1109" s="48">
        <v>22.634111142293374</v>
      </c>
      <c r="CO1109" s="45" t="str">
        <v>Invest</v>
      </c>
      <c r="CP1109" s="61"/>
      <c r="CQ1109" s="45">
        <v>1105</v>
      </c>
      <c r="CR1109" s="45">
        <v>38.701763014063623</v>
      </c>
      <c r="CS1109" s="45" t="str">
        <v>Invest</v>
      </c>
      <c r="CT1109" s="61"/>
      <c r="CU1109" s="45">
        <v>1105</v>
      </c>
      <c r="CV1109" s="45">
        <v>0</v>
      </c>
      <c r="CW1109" s="45" t="str">
        <v>Nothing</v>
      </c>
      <c r="CX1109" s="61"/>
      <c r="CY1109" s="45">
        <v>1105</v>
      </c>
      <c r="CZ1109" s="45">
        <v>12.804171772951918</v>
      </c>
      <c r="DA1109" s="45" t="str">
        <v>Invest</v>
      </c>
      <c r="DU1109" s="52"/>
      <c r="DV1109" s="50"/>
    </row>
    <row r="1110" spans="91:126" ht="23.5">
      <c r="CM1110" s="45">
        <v>1106</v>
      </c>
      <c r="CN1110" s="48">
        <v>1.0309429015586566</v>
      </c>
      <c r="CO1110" s="45" t="str">
        <v>Invest</v>
      </c>
      <c r="CP1110" s="61"/>
      <c r="CQ1110" s="45">
        <v>1106</v>
      </c>
      <c r="CR1110" s="45">
        <v>6.1327997278759225</v>
      </c>
      <c r="CS1110" s="45" t="str">
        <v>Invest</v>
      </c>
      <c r="CT1110" s="61"/>
      <c r="CU1110" s="45">
        <v>1106</v>
      </c>
      <c r="CV1110" s="45">
        <v>10.549292781045928</v>
      </c>
      <c r="CW1110" s="45" t="str">
        <v>Invest</v>
      </c>
      <c r="CX1110" s="61"/>
      <c r="CY1110" s="45">
        <v>1106</v>
      </c>
      <c r="CZ1110" s="45">
        <v>0</v>
      </c>
      <c r="DA1110" s="45" t="str">
        <v>Nothing</v>
      </c>
      <c r="DU1110" s="52"/>
      <c r="DV1110" s="50"/>
    </row>
    <row r="1111" spans="91:126" ht="23.5">
      <c r="CM1111" s="45">
        <v>1107</v>
      </c>
      <c r="CN1111" s="48">
        <v>26.675981326300821</v>
      </c>
      <c r="CO1111" s="45" t="str">
        <v>Invest</v>
      </c>
      <c r="CP1111" s="61"/>
      <c r="CQ1111" s="45">
        <v>1107</v>
      </c>
      <c r="CR1111" s="45">
        <v>2.7230137221898545</v>
      </c>
      <c r="CS1111" s="45" t="str">
        <v>Invest</v>
      </c>
      <c r="CT1111" s="61"/>
      <c r="CU1111" s="45">
        <v>1107</v>
      </c>
      <c r="CV1111" s="45">
        <v>0</v>
      </c>
      <c r="CW1111" s="45" t="str">
        <v>Nothing</v>
      </c>
      <c r="CX1111" s="61"/>
      <c r="CY1111" s="45">
        <v>1107</v>
      </c>
      <c r="CZ1111" s="45">
        <v>34.934760992361028</v>
      </c>
      <c r="DA1111" s="45" t="str">
        <v>Invest</v>
      </c>
      <c r="DU1111" s="52"/>
      <c r="DV1111" s="50"/>
    </row>
    <row r="1112" spans="91:126" ht="23.5">
      <c r="CM1112" s="45">
        <v>1108</v>
      </c>
      <c r="CN1112" s="48">
        <v>11.25773249130388</v>
      </c>
      <c r="CO1112" s="45" t="str">
        <v>Invest</v>
      </c>
      <c r="CP1112" s="61"/>
      <c r="CQ1112" s="45">
        <v>1108</v>
      </c>
      <c r="CR1112" s="45">
        <v>0</v>
      </c>
      <c r="CS1112" s="45" t="str">
        <v>Nothing</v>
      </c>
      <c r="CT1112" s="61"/>
      <c r="CU1112" s="45">
        <v>1108</v>
      </c>
      <c r="CV1112" s="45">
        <v>14.692000792516065</v>
      </c>
      <c r="CW1112" s="45" t="str">
        <v>Invest</v>
      </c>
      <c r="CX1112" s="61"/>
      <c r="CY1112" s="45">
        <v>1108</v>
      </c>
      <c r="CZ1112" s="45">
        <v>29.007721986217749</v>
      </c>
      <c r="DA1112" s="45" t="str">
        <v>Invest</v>
      </c>
      <c r="DU1112" s="52"/>
      <c r="DV1112" s="50"/>
    </row>
    <row r="1113" spans="91:126" ht="23.5">
      <c r="CM1113" s="45">
        <v>1109</v>
      </c>
      <c r="CN1113" s="48">
        <v>33.63831142157072</v>
      </c>
      <c r="CO1113" s="45" t="str">
        <v>Invest</v>
      </c>
      <c r="CP1113" s="61"/>
      <c r="CQ1113" s="45">
        <v>1109</v>
      </c>
      <c r="CR1113" s="45">
        <v>0</v>
      </c>
      <c r="CS1113" s="45" t="str">
        <v>Nothing</v>
      </c>
      <c r="CT1113" s="61"/>
      <c r="CU1113" s="45">
        <v>1109</v>
      </c>
      <c r="CV1113" s="45">
        <v>8.1746547697010428</v>
      </c>
      <c r="CW1113" s="45" t="str">
        <v>Invest</v>
      </c>
      <c r="CX1113" s="61"/>
      <c r="CY1113" s="45">
        <v>1109</v>
      </c>
      <c r="CZ1113" s="45">
        <v>7.0980206192493878</v>
      </c>
      <c r="DA1113" s="45" t="str">
        <v>Invest</v>
      </c>
      <c r="DU1113" s="52"/>
      <c r="DV1113" s="50"/>
    </row>
    <row r="1114" spans="91:126" ht="23.5">
      <c r="CM1114" s="45">
        <v>1110</v>
      </c>
      <c r="CN1114" s="48">
        <v>40.825327097701013</v>
      </c>
      <c r="CO1114" s="45" t="str">
        <v>Invest</v>
      </c>
      <c r="CP1114" s="61"/>
      <c r="CQ1114" s="45">
        <v>1110</v>
      </c>
      <c r="CR1114" s="45">
        <v>0</v>
      </c>
      <c r="CS1114" s="45" t="str">
        <v>Nothing</v>
      </c>
      <c r="CT1114" s="61"/>
      <c r="CU1114" s="45">
        <v>1110</v>
      </c>
      <c r="CV1114" s="45">
        <v>26.362451439317596</v>
      </c>
      <c r="CW1114" s="45" t="str">
        <v>Invest</v>
      </c>
      <c r="CX1114" s="61"/>
      <c r="CY1114" s="45">
        <v>1110</v>
      </c>
      <c r="CZ1114" s="45">
        <v>0</v>
      </c>
      <c r="DA1114" s="45" t="str">
        <v>Nothing</v>
      </c>
      <c r="DU1114" s="52"/>
      <c r="DV1114" s="50"/>
    </row>
    <row r="1115" spans="91:126" ht="23.5">
      <c r="CM1115" s="45">
        <v>1111</v>
      </c>
      <c r="CN1115" s="48">
        <v>0</v>
      </c>
      <c r="CO1115" s="45" t="str">
        <v>Nothing</v>
      </c>
      <c r="CP1115" s="61"/>
      <c r="CQ1115" s="45">
        <v>1111</v>
      </c>
      <c r="CR1115" s="45">
        <v>34.611126494034174</v>
      </c>
      <c r="CS1115" s="45" t="str">
        <v>Invest</v>
      </c>
      <c r="CT1115" s="61"/>
      <c r="CU1115" s="45">
        <v>1111</v>
      </c>
      <c r="CV1115" s="45">
        <v>26.225261395264084</v>
      </c>
      <c r="CW1115" s="45" t="str">
        <v>Invest</v>
      </c>
      <c r="CX1115" s="61"/>
      <c r="CY1115" s="45">
        <v>1111</v>
      </c>
      <c r="CZ1115" s="45">
        <v>0</v>
      </c>
      <c r="DA1115" s="45" t="str">
        <v>Nothing</v>
      </c>
      <c r="DU1115" s="52"/>
      <c r="DV1115" s="50"/>
    </row>
    <row r="1116" spans="91:126" ht="23.5">
      <c r="CM1116" s="45">
        <v>1112</v>
      </c>
      <c r="CN1116" s="48">
        <v>21.603241657346825</v>
      </c>
      <c r="CO1116" s="45" t="str">
        <v>Invest</v>
      </c>
      <c r="CP1116" s="61"/>
      <c r="CQ1116" s="45">
        <v>1112</v>
      </c>
      <c r="CR1116" s="45">
        <v>0</v>
      </c>
      <c r="CS1116" s="45" t="str">
        <v>Nothing</v>
      </c>
      <c r="CT1116" s="61"/>
      <c r="CU1116" s="45">
        <v>1112</v>
      </c>
      <c r="CV1116" s="45">
        <v>1.4567337764128663</v>
      </c>
      <c r="CW1116" s="45" t="str">
        <v>Invest</v>
      </c>
      <c r="CX1116" s="61"/>
      <c r="CY1116" s="45">
        <v>1112</v>
      </c>
      <c r="CZ1116" s="45">
        <v>0</v>
      </c>
      <c r="DA1116" s="45" t="str">
        <v>Nothing</v>
      </c>
      <c r="DU1116" s="52"/>
      <c r="DV1116" s="50"/>
    </row>
    <row r="1117" spans="91:126" ht="23.5">
      <c r="CM1117" s="45">
        <v>1113</v>
      </c>
      <c r="CN1117" s="48">
        <v>19.546732369376855</v>
      </c>
      <c r="CO1117" s="45" t="str">
        <v>Invest</v>
      </c>
      <c r="CP1117" s="61"/>
      <c r="CQ1117" s="45">
        <v>1113</v>
      </c>
      <c r="CR1117" s="45">
        <v>18.65919819350917</v>
      </c>
      <c r="CS1117" s="45" t="str">
        <v>Invest</v>
      </c>
      <c r="CT1117" s="61"/>
      <c r="CU1117" s="45">
        <v>1113</v>
      </c>
      <c r="CV1117" s="45">
        <v>15.950440835979345</v>
      </c>
      <c r="CW1117" s="45" t="str">
        <v>Invest</v>
      </c>
      <c r="CX1117" s="61"/>
      <c r="CY1117" s="45">
        <v>1113</v>
      </c>
      <c r="CZ1117" s="45">
        <v>0</v>
      </c>
      <c r="DA1117" s="45" t="str">
        <v>Nothing</v>
      </c>
      <c r="DU1117" s="52"/>
      <c r="DV1117" s="50"/>
    </row>
    <row r="1118" spans="91:126" ht="23.5">
      <c r="CM1118" s="45">
        <v>1114</v>
      </c>
      <c r="CN1118" s="48">
        <v>9.7266464424160439</v>
      </c>
      <c r="CO1118" s="45" t="str">
        <v>Invest</v>
      </c>
      <c r="CP1118" s="61"/>
      <c r="CQ1118" s="45">
        <v>1114</v>
      </c>
      <c r="CR1118" s="45">
        <v>7.8941598636967267</v>
      </c>
      <c r="CS1118" s="45" t="str">
        <v>Invest</v>
      </c>
      <c r="CT1118" s="61"/>
      <c r="CU1118" s="45">
        <v>1114</v>
      </c>
      <c r="CV1118" s="45">
        <v>6.6243594657914766</v>
      </c>
      <c r="CW1118" s="45" t="str">
        <v>Invest</v>
      </c>
      <c r="CX1118" s="61"/>
      <c r="CY1118" s="45">
        <v>1114</v>
      </c>
      <c r="CZ1118" s="45">
        <v>21.663513575697536</v>
      </c>
      <c r="DA1118" s="45" t="str">
        <v>Invest</v>
      </c>
      <c r="DU1118" s="52"/>
      <c r="DV1118" s="50"/>
    </row>
    <row r="1119" spans="91:126" ht="23.5">
      <c r="CM1119" s="45">
        <v>1115</v>
      </c>
      <c r="CN1119" s="48">
        <v>7.7388656368721556</v>
      </c>
      <c r="CO1119" s="45" t="str">
        <v>Invest</v>
      </c>
      <c r="CP1119" s="61"/>
      <c r="CQ1119" s="45">
        <v>1115</v>
      </c>
      <c r="CR1119" s="45">
        <v>0</v>
      </c>
      <c r="CS1119" s="45" t="str">
        <v>Nothing</v>
      </c>
      <c r="CT1119" s="61"/>
      <c r="CU1119" s="45">
        <v>1115</v>
      </c>
      <c r="CV1119" s="45">
        <v>4.7797277970160135</v>
      </c>
      <c r="CW1119" s="45" t="str">
        <v>Invest</v>
      </c>
      <c r="CX1119" s="61"/>
      <c r="CY1119" s="45">
        <v>1115</v>
      </c>
      <c r="CZ1119" s="45">
        <v>13.261601021891185</v>
      </c>
      <c r="DA1119" s="45" t="str">
        <v>Invest</v>
      </c>
      <c r="DU1119" s="52"/>
      <c r="DV1119" s="50"/>
    </row>
    <row r="1120" spans="91:126" ht="23.5">
      <c r="CM1120" s="45">
        <v>1116</v>
      </c>
      <c r="CN1120" s="48">
        <v>24.468102741477821</v>
      </c>
      <c r="CO1120" s="45" t="str">
        <v>Invest</v>
      </c>
      <c r="CP1120" s="61"/>
      <c r="CQ1120" s="45">
        <v>1116</v>
      </c>
      <c r="CR1120" s="45">
        <v>27.394026340247414</v>
      </c>
      <c r="CS1120" s="45" t="str">
        <v>Invest</v>
      </c>
      <c r="CT1120" s="61"/>
      <c r="CU1120" s="45">
        <v>1116</v>
      </c>
      <c r="CV1120" s="45">
        <v>0</v>
      </c>
      <c r="CW1120" s="45" t="str">
        <v>Nothing</v>
      </c>
      <c r="CX1120" s="61"/>
      <c r="CY1120" s="45">
        <v>1116</v>
      </c>
      <c r="CZ1120" s="45">
        <v>45.118845827136496</v>
      </c>
      <c r="DA1120" s="45" t="str">
        <v>Invest</v>
      </c>
      <c r="DU1120" s="52"/>
      <c r="DV1120" s="50"/>
    </row>
    <row r="1121" spans="91:126" ht="23.5">
      <c r="CM1121" s="45">
        <v>1117</v>
      </c>
      <c r="CN1121" s="48">
        <v>15.66653682433742</v>
      </c>
      <c r="CO1121" s="45" t="str">
        <v>Invest</v>
      </c>
      <c r="CP1121" s="61"/>
      <c r="CQ1121" s="45">
        <v>1117</v>
      </c>
      <c r="CR1121" s="45">
        <v>0</v>
      </c>
      <c r="CS1121" s="45" t="str">
        <v>Nothing</v>
      </c>
      <c r="CT1121" s="61"/>
      <c r="CU1121" s="45">
        <v>1117</v>
      </c>
      <c r="CV1121" s="45">
        <v>13.383773349680403</v>
      </c>
      <c r="CW1121" s="45" t="str">
        <v>Invest</v>
      </c>
      <c r="CX1121" s="61"/>
      <c r="CY1121" s="45">
        <v>1117</v>
      </c>
      <c r="CZ1121" s="45">
        <v>0.4331026775771285</v>
      </c>
      <c r="DA1121" s="45" t="str">
        <v>Invest</v>
      </c>
      <c r="DU1121" s="52"/>
      <c r="DV1121" s="50"/>
    </row>
    <row r="1122" spans="91:126" ht="23.5">
      <c r="CM1122" s="45">
        <v>1118</v>
      </c>
      <c r="CN1122" s="48">
        <v>0</v>
      </c>
      <c r="CO1122" s="45" t="str">
        <v>Nothing</v>
      </c>
      <c r="CP1122" s="61"/>
      <c r="CQ1122" s="45">
        <v>1118</v>
      </c>
      <c r="CR1122" s="45">
        <v>39.514182038126016</v>
      </c>
      <c r="CS1122" s="45" t="str">
        <v>Invest</v>
      </c>
      <c r="CT1122" s="61"/>
      <c r="CU1122" s="45">
        <v>1118</v>
      </c>
      <c r="CV1122" s="45">
        <v>9.5986929706509585</v>
      </c>
      <c r="CW1122" s="45" t="str">
        <v>Invest</v>
      </c>
      <c r="CX1122" s="61"/>
      <c r="CY1122" s="45">
        <v>1118</v>
      </c>
      <c r="CZ1122" s="45">
        <v>20.713616801384504</v>
      </c>
      <c r="DA1122" s="45" t="str">
        <v>Invest</v>
      </c>
      <c r="DU1122" s="52"/>
      <c r="DV1122" s="50"/>
    </row>
    <row r="1123" spans="91:126" ht="23.5">
      <c r="CM1123" s="45">
        <v>1119</v>
      </c>
      <c r="CN1123" s="48">
        <v>39.119157271239601</v>
      </c>
      <c r="CO1123" s="45" t="str">
        <v>Invest</v>
      </c>
      <c r="CP1123" s="61"/>
      <c r="CQ1123" s="45">
        <v>1119</v>
      </c>
      <c r="CR1123" s="45">
        <v>18.808752863453471</v>
      </c>
      <c r="CS1123" s="45" t="str">
        <v>Invest</v>
      </c>
      <c r="CT1123" s="61"/>
      <c r="CU1123" s="45">
        <v>1119</v>
      </c>
      <c r="CV1123" s="45">
        <v>46.516632942971732</v>
      </c>
      <c r="CW1123" s="45" t="str">
        <v>Invest</v>
      </c>
      <c r="CX1123" s="61"/>
      <c r="CY1123" s="45">
        <v>1119</v>
      </c>
      <c r="CZ1123" s="45">
        <v>41.180788397086729</v>
      </c>
      <c r="DA1123" s="45" t="str">
        <v>Invest</v>
      </c>
      <c r="DU1123" s="52"/>
      <c r="DV1123" s="50"/>
    </row>
    <row r="1124" spans="91:126" ht="23.5">
      <c r="CM1124" s="45">
        <v>1120</v>
      </c>
      <c r="CN1124" s="48">
        <v>0</v>
      </c>
      <c r="CO1124" s="45" t="str">
        <v>Nothing</v>
      </c>
      <c r="CP1124" s="61"/>
      <c r="CQ1124" s="45">
        <v>1120</v>
      </c>
      <c r="CR1124" s="45">
        <v>0</v>
      </c>
      <c r="CS1124" s="45" t="str">
        <v>Nothing</v>
      </c>
      <c r="CT1124" s="61"/>
      <c r="CU1124" s="45">
        <v>1120</v>
      </c>
      <c r="CV1124" s="45">
        <v>11.444370980180686</v>
      </c>
      <c r="CW1124" s="45" t="str">
        <v>Invest</v>
      </c>
      <c r="CX1124" s="61"/>
      <c r="CY1124" s="45">
        <v>1120</v>
      </c>
      <c r="CZ1124" s="45">
        <v>16.708854481909427</v>
      </c>
      <c r="DA1124" s="45" t="str">
        <v>Invest</v>
      </c>
      <c r="DU1124" s="52"/>
      <c r="DV1124" s="50"/>
    </row>
    <row r="1125" spans="91:126" ht="23.5">
      <c r="CM1125" s="45">
        <v>1121</v>
      </c>
      <c r="CN1125" s="48">
        <v>59.336597987335715</v>
      </c>
      <c r="CO1125" s="45" t="str">
        <v>Invest</v>
      </c>
      <c r="CP1125" s="61"/>
      <c r="CQ1125" s="45">
        <v>1121</v>
      </c>
      <c r="CR1125" s="45">
        <v>18.30505653575505</v>
      </c>
      <c r="CS1125" s="45" t="str">
        <v>Invest</v>
      </c>
      <c r="CT1125" s="61"/>
      <c r="CU1125" s="45">
        <v>1121</v>
      </c>
      <c r="CV1125" s="45">
        <v>15.379494922792128</v>
      </c>
      <c r="CW1125" s="45" t="str">
        <v>Invest</v>
      </c>
      <c r="CX1125" s="61"/>
      <c r="CY1125" s="45">
        <v>1121</v>
      </c>
      <c r="CZ1125" s="45">
        <v>34.297012797041681</v>
      </c>
      <c r="DA1125" s="45" t="str">
        <v>Invest</v>
      </c>
      <c r="DU1125" s="52"/>
      <c r="DV1125" s="50"/>
    </row>
    <row r="1126" spans="91:126" ht="23.5">
      <c r="CM1126" s="45">
        <v>1122</v>
      </c>
      <c r="CN1126" s="48">
        <v>46.697393290495874</v>
      </c>
      <c r="CO1126" s="45" t="str">
        <v>Invest</v>
      </c>
      <c r="CP1126" s="61"/>
      <c r="CQ1126" s="45">
        <v>1122</v>
      </c>
      <c r="CR1126" s="45">
        <v>30.882625472694393</v>
      </c>
      <c r="CS1126" s="45" t="str">
        <v>Invest</v>
      </c>
      <c r="CT1126" s="61"/>
      <c r="CU1126" s="45">
        <v>1122</v>
      </c>
      <c r="CV1126" s="45">
        <v>0</v>
      </c>
      <c r="CW1126" s="45" t="str">
        <v>Nothing</v>
      </c>
      <c r="CX1126" s="61"/>
      <c r="CY1126" s="45">
        <v>1122</v>
      </c>
      <c r="CZ1126" s="45">
        <v>27.519068552912092</v>
      </c>
      <c r="DA1126" s="45" t="str">
        <v>Invest</v>
      </c>
      <c r="DU1126" s="52"/>
      <c r="DV1126" s="50"/>
    </row>
    <row r="1127" spans="91:126" ht="23.5">
      <c r="CM1127" s="45">
        <v>1123</v>
      </c>
      <c r="CN1127" s="48">
        <v>0</v>
      </c>
      <c r="CO1127" s="45" t="str">
        <v>Nothing</v>
      </c>
      <c r="CP1127" s="61"/>
      <c r="CQ1127" s="45">
        <v>1123</v>
      </c>
      <c r="CR1127" s="45">
        <v>10.968850430161067</v>
      </c>
      <c r="CS1127" s="45" t="str">
        <v>Invest</v>
      </c>
      <c r="CT1127" s="61"/>
      <c r="CU1127" s="45">
        <v>1123</v>
      </c>
      <c r="CV1127" s="45">
        <v>31.874178225915351</v>
      </c>
      <c r="CW1127" s="45" t="str">
        <v>Invest</v>
      </c>
      <c r="CX1127" s="61"/>
      <c r="CY1127" s="45">
        <v>1123</v>
      </c>
      <c r="CZ1127" s="45">
        <v>14.989022195901445</v>
      </c>
      <c r="DA1127" s="45" t="str">
        <v>Invest</v>
      </c>
      <c r="DU1127" s="52"/>
      <c r="DV1127" s="50"/>
    </row>
    <row r="1128" spans="91:126" ht="23.5">
      <c r="CM1128" s="45">
        <v>1124</v>
      </c>
      <c r="CN1128" s="48">
        <v>0</v>
      </c>
      <c r="CO1128" s="45" t="str">
        <v>Nothing</v>
      </c>
      <c r="CP1128" s="61"/>
      <c r="CQ1128" s="45">
        <v>1124</v>
      </c>
      <c r="CR1128" s="45">
        <v>21.501872405067758</v>
      </c>
      <c r="CS1128" s="45" t="str">
        <v>Invest</v>
      </c>
      <c r="CT1128" s="61"/>
      <c r="CU1128" s="45">
        <v>1124</v>
      </c>
      <c r="CV1128" s="45">
        <v>4.2859412690222332</v>
      </c>
      <c r="CW1128" s="45" t="str">
        <v>Invest</v>
      </c>
      <c r="CX1128" s="61"/>
      <c r="CY1128" s="45">
        <v>1124</v>
      </c>
      <c r="CZ1128" s="45">
        <v>0</v>
      </c>
      <c r="DA1128" s="45" t="str">
        <v>Nothing</v>
      </c>
      <c r="DU1128" s="52"/>
      <c r="DV1128" s="50"/>
    </row>
    <row r="1129" spans="91:126" ht="23.5">
      <c r="CM1129" s="45">
        <v>1125</v>
      </c>
      <c r="CN1129" s="48">
        <v>11.725622648347215</v>
      </c>
      <c r="CO1129" s="45" t="str">
        <v>Invest</v>
      </c>
      <c r="CP1129" s="61"/>
      <c r="CQ1129" s="45">
        <v>1125</v>
      </c>
      <c r="CR1129" s="45">
        <v>0</v>
      </c>
      <c r="CS1129" s="45" t="str">
        <v>Nothing</v>
      </c>
      <c r="CT1129" s="61"/>
      <c r="CU1129" s="45">
        <v>1125</v>
      </c>
      <c r="CV1129" s="45">
        <v>0</v>
      </c>
      <c r="CW1129" s="45" t="str">
        <v>Nothing</v>
      </c>
      <c r="CX1129" s="61"/>
      <c r="CY1129" s="45">
        <v>1125</v>
      </c>
      <c r="CZ1129" s="45">
        <v>9.0666159185142696</v>
      </c>
      <c r="DA1129" s="45" t="str">
        <v>Invest</v>
      </c>
      <c r="DU1129" s="52"/>
      <c r="DV1129" s="50"/>
    </row>
    <row r="1130" spans="91:126" ht="23.5">
      <c r="CM1130" s="45">
        <v>1126</v>
      </c>
      <c r="CN1130" s="48">
        <v>0</v>
      </c>
      <c r="CO1130" s="45" t="str">
        <v>Nothing</v>
      </c>
      <c r="CP1130" s="61"/>
      <c r="CQ1130" s="45">
        <v>1126</v>
      </c>
      <c r="CR1130" s="45">
        <v>0</v>
      </c>
      <c r="CS1130" s="45" t="str">
        <v>Nothing</v>
      </c>
      <c r="CT1130" s="61"/>
      <c r="CU1130" s="45">
        <v>1126</v>
      </c>
      <c r="CV1130" s="45">
        <v>2.0533483989928403</v>
      </c>
      <c r="CW1130" s="45" t="str">
        <v>Invest</v>
      </c>
      <c r="CX1130" s="61"/>
      <c r="CY1130" s="45">
        <v>1126</v>
      </c>
      <c r="CZ1130" s="45">
        <v>43.766786960014358</v>
      </c>
      <c r="DA1130" s="45" t="str">
        <v>Invest</v>
      </c>
      <c r="DU1130" s="52"/>
      <c r="DV1130" s="50"/>
    </row>
    <row r="1131" spans="91:126" ht="23.5">
      <c r="CM1131" s="45">
        <v>1127</v>
      </c>
      <c r="CN1131" s="48">
        <v>0</v>
      </c>
      <c r="CO1131" s="45" t="str">
        <v>Nothing</v>
      </c>
      <c r="CP1131" s="61"/>
      <c r="CQ1131" s="45">
        <v>1127</v>
      </c>
      <c r="CR1131" s="45">
        <v>42.836896666266831</v>
      </c>
      <c r="CS1131" s="45" t="str">
        <v>Invest</v>
      </c>
      <c r="CT1131" s="61"/>
      <c r="CU1131" s="45">
        <v>1127</v>
      </c>
      <c r="CV1131" s="45">
        <v>31.249574758552569</v>
      </c>
      <c r="CW1131" s="45" t="str">
        <v>Invest</v>
      </c>
      <c r="CX1131" s="61"/>
      <c r="CY1131" s="45">
        <v>1127</v>
      </c>
      <c r="CZ1131" s="45">
        <v>32.706064650785137</v>
      </c>
      <c r="DA1131" s="45" t="str">
        <v>Invest</v>
      </c>
      <c r="DU1131" s="52"/>
      <c r="DV1131" s="50"/>
    </row>
    <row r="1132" spans="91:126" ht="23.5">
      <c r="CM1132" s="45">
        <v>1128</v>
      </c>
      <c r="CN1132" s="48">
        <v>10.764760276239747</v>
      </c>
      <c r="CO1132" s="45" t="str">
        <v>Invest</v>
      </c>
      <c r="CP1132" s="61"/>
      <c r="CQ1132" s="45">
        <v>1128</v>
      </c>
      <c r="CR1132" s="45">
        <v>6.4274699650630431</v>
      </c>
      <c r="CS1132" s="45" t="str">
        <v>Invest</v>
      </c>
      <c r="CT1132" s="61"/>
      <c r="CU1132" s="45">
        <v>1128</v>
      </c>
      <c r="CV1132" s="45">
        <v>21.050775301302419</v>
      </c>
      <c r="CW1132" s="45" t="str">
        <v>Invest</v>
      </c>
      <c r="CX1132" s="61"/>
      <c r="CY1132" s="45">
        <v>1128</v>
      </c>
      <c r="CZ1132" s="45">
        <v>15.762092089713171</v>
      </c>
      <c r="DA1132" s="45" t="str">
        <v>Invest</v>
      </c>
      <c r="DU1132" s="52"/>
      <c r="DV1132" s="50"/>
    </row>
    <row r="1133" spans="91:126" ht="23.5">
      <c r="CM1133" s="45">
        <v>1129</v>
      </c>
      <c r="CN1133" s="48">
        <v>22.86023903130107</v>
      </c>
      <c r="CO1133" s="45" t="str">
        <v>Invest</v>
      </c>
      <c r="CP1133" s="61"/>
      <c r="CQ1133" s="45">
        <v>1129</v>
      </c>
      <c r="CR1133" s="45">
        <v>2.1570472130299834</v>
      </c>
      <c r="CS1133" s="45" t="str">
        <v>Invest</v>
      </c>
      <c r="CT1133" s="61"/>
      <c r="CU1133" s="45">
        <v>1129</v>
      </c>
      <c r="CV1133" s="45">
        <v>0</v>
      </c>
      <c r="CW1133" s="45" t="str">
        <v>Nothing</v>
      </c>
      <c r="CX1133" s="61"/>
      <c r="CY1133" s="45">
        <v>1129</v>
      </c>
      <c r="CZ1133" s="45">
        <v>6.1923734253609624</v>
      </c>
      <c r="DA1133" s="45" t="str">
        <v>Invest</v>
      </c>
      <c r="DU1133" s="52"/>
      <c r="DV1133" s="50"/>
    </row>
    <row r="1134" spans="91:126" ht="23.5">
      <c r="CM1134" s="45">
        <v>1130</v>
      </c>
      <c r="CN1134" s="48">
        <v>0</v>
      </c>
      <c r="CO1134" s="45" t="str">
        <v>Nothing</v>
      </c>
      <c r="CP1134" s="61"/>
      <c r="CQ1134" s="45">
        <v>1130</v>
      </c>
      <c r="CR1134" s="45">
        <v>0</v>
      </c>
      <c r="CS1134" s="45" t="str">
        <v>Nothing</v>
      </c>
      <c r="CT1134" s="61"/>
      <c r="CU1134" s="45">
        <v>1130</v>
      </c>
      <c r="CV1134" s="45">
        <v>0</v>
      </c>
      <c r="CW1134" s="45" t="str">
        <v>Nothing</v>
      </c>
      <c r="CX1134" s="61"/>
      <c r="CY1134" s="45">
        <v>1130</v>
      </c>
      <c r="CZ1134" s="45">
        <v>0</v>
      </c>
      <c r="DA1134" s="45" t="str">
        <v>Nothing</v>
      </c>
      <c r="DU1134" s="52"/>
      <c r="DV1134" s="50"/>
    </row>
    <row r="1135" spans="91:126" ht="23.5">
      <c r="CM1135" s="45">
        <v>1131</v>
      </c>
      <c r="CN1135" s="48">
        <v>0</v>
      </c>
      <c r="CO1135" s="45" t="str">
        <v>Nothing</v>
      </c>
      <c r="CP1135" s="61"/>
      <c r="CQ1135" s="45">
        <v>1131</v>
      </c>
      <c r="CR1135" s="45">
        <v>45.780545808040166</v>
      </c>
      <c r="CS1135" s="45" t="str">
        <v>Invest</v>
      </c>
      <c r="CT1135" s="61"/>
      <c r="CU1135" s="45">
        <v>1131</v>
      </c>
      <c r="CV1135" s="45">
        <v>24.22614230551158</v>
      </c>
      <c r="CW1135" s="45" t="str">
        <v>Invest</v>
      </c>
      <c r="CX1135" s="61"/>
      <c r="CY1135" s="45">
        <v>1131</v>
      </c>
      <c r="CZ1135" s="45">
        <v>16.590983043235354</v>
      </c>
      <c r="DA1135" s="45" t="str">
        <v>Invest</v>
      </c>
      <c r="DU1135" s="52"/>
      <c r="DV1135" s="50"/>
    </row>
    <row r="1136" spans="91:126" ht="23.5">
      <c r="CM1136" s="45">
        <v>1132</v>
      </c>
      <c r="CN1136" s="48">
        <v>0</v>
      </c>
      <c r="CO1136" s="45" t="str">
        <v>Nothing</v>
      </c>
      <c r="CP1136" s="61"/>
      <c r="CQ1136" s="45">
        <v>1132</v>
      </c>
      <c r="CR1136" s="45">
        <v>7.5954216446955751</v>
      </c>
      <c r="CS1136" s="45" t="str">
        <v>Invest</v>
      </c>
      <c r="CT1136" s="61"/>
      <c r="CU1136" s="45">
        <v>1132</v>
      </c>
      <c r="CV1136" s="45">
        <v>0</v>
      </c>
      <c r="CW1136" s="45" t="str">
        <v>Nothing</v>
      </c>
      <c r="CX1136" s="61"/>
      <c r="CY1136" s="45">
        <v>1132</v>
      </c>
      <c r="CZ1136" s="45">
        <v>37.629909685246396</v>
      </c>
      <c r="DA1136" s="45" t="str">
        <v>Invest</v>
      </c>
      <c r="DU1136" s="52"/>
      <c r="DV1136" s="50"/>
    </row>
    <row r="1137" spans="91:126" ht="23.5">
      <c r="CM1137" s="45">
        <v>1133</v>
      </c>
      <c r="CN1137" s="48">
        <v>0</v>
      </c>
      <c r="CO1137" s="45" t="str">
        <v>Nothing</v>
      </c>
      <c r="CP1137" s="61"/>
      <c r="CQ1137" s="45">
        <v>1133</v>
      </c>
      <c r="CR1137" s="45">
        <v>0</v>
      </c>
      <c r="CS1137" s="45" t="str">
        <v>Nothing</v>
      </c>
      <c r="CT1137" s="61"/>
      <c r="CU1137" s="45">
        <v>1133</v>
      </c>
      <c r="CV1137" s="45">
        <v>37.85776776632818</v>
      </c>
      <c r="CW1137" s="45" t="str">
        <v>Invest</v>
      </c>
      <c r="CX1137" s="61"/>
      <c r="CY1137" s="45">
        <v>1133</v>
      </c>
      <c r="CZ1137" s="45">
        <v>18.748618543657159</v>
      </c>
      <c r="DA1137" s="45" t="str">
        <v>Invest</v>
      </c>
      <c r="DU1137" s="52"/>
      <c r="DV1137" s="50"/>
    </row>
    <row r="1138" spans="91:126" ht="23.5">
      <c r="CM1138" s="45">
        <v>1134</v>
      </c>
      <c r="CN1138" s="48">
        <v>6.4880041834183828</v>
      </c>
      <c r="CO1138" s="45" t="str">
        <v>Invest</v>
      </c>
      <c r="CP1138" s="61"/>
      <c r="CQ1138" s="45">
        <v>1134</v>
      </c>
      <c r="CR1138" s="45">
        <v>36.462639147191624</v>
      </c>
      <c r="CS1138" s="45" t="str">
        <v>Invest</v>
      </c>
      <c r="CT1138" s="61"/>
      <c r="CU1138" s="45">
        <v>1134</v>
      </c>
      <c r="CV1138" s="45">
        <v>12.614237926797063</v>
      </c>
      <c r="CW1138" s="45" t="str">
        <v>Invest</v>
      </c>
      <c r="CX1138" s="61"/>
      <c r="CY1138" s="45">
        <v>1134</v>
      </c>
      <c r="CZ1138" s="45">
        <v>30.617924660072894</v>
      </c>
      <c r="DA1138" s="45" t="str">
        <v>Invest</v>
      </c>
      <c r="DU1138" s="52"/>
      <c r="DV1138" s="50"/>
    </row>
    <row r="1139" spans="91:126" ht="23.5">
      <c r="CM1139" s="45">
        <v>1135</v>
      </c>
      <c r="CN1139" s="48">
        <v>0</v>
      </c>
      <c r="CO1139" s="45" t="str">
        <v>Nothing</v>
      </c>
      <c r="CP1139" s="61"/>
      <c r="CQ1139" s="45">
        <v>1135</v>
      </c>
      <c r="CR1139" s="45">
        <v>27.593506172148103</v>
      </c>
      <c r="CS1139" s="45" t="str">
        <v>Invest</v>
      </c>
      <c r="CT1139" s="61"/>
      <c r="CU1139" s="45">
        <v>1135</v>
      </c>
      <c r="CV1139" s="45">
        <v>51.842722441616147</v>
      </c>
      <c r="CW1139" s="45" t="str">
        <v>Invest</v>
      </c>
      <c r="CX1139" s="61"/>
      <c r="CY1139" s="45">
        <v>1135</v>
      </c>
      <c r="CZ1139" s="45">
        <v>0</v>
      </c>
      <c r="DA1139" s="45" t="str">
        <v>Nothing</v>
      </c>
      <c r="DU1139" s="52"/>
      <c r="DV1139" s="50"/>
    </row>
    <row r="1140" spans="91:126" ht="23.5">
      <c r="CM1140" s="45">
        <v>1136</v>
      </c>
      <c r="CN1140" s="48">
        <v>0</v>
      </c>
      <c r="CO1140" s="45" t="str">
        <v>Nothing</v>
      </c>
      <c r="CP1140" s="61"/>
      <c r="CQ1140" s="45">
        <v>1136</v>
      </c>
      <c r="CR1140" s="45">
        <v>22.781076603057841</v>
      </c>
      <c r="CS1140" s="45" t="str">
        <v>Invest</v>
      </c>
      <c r="CT1140" s="61"/>
      <c r="CU1140" s="45">
        <v>1136</v>
      </c>
      <c r="CV1140" s="45">
        <v>37.174744169494602</v>
      </c>
      <c r="CW1140" s="45" t="str">
        <v>Invest</v>
      </c>
      <c r="CX1140" s="61"/>
      <c r="CY1140" s="45">
        <v>1136</v>
      </c>
      <c r="CZ1140" s="45">
        <v>5.1427644227621965</v>
      </c>
      <c r="DA1140" s="45" t="str">
        <v>Invest</v>
      </c>
      <c r="DU1140" s="52"/>
      <c r="DV1140" s="50"/>
    </row>
    <row r="1141" spans="91:126" ht="23.5">
      <c r="CM1141" s="45">
        <v>1137</v>
      </c>
      <c r="CN1141" s="48">
        <v>0.28341764718303075</v>
      </c>
      <c r="CO1141" s="45" t="str">
        <v>Invest</v>
      </c>
      <c r="CP1141" s="61"/>
      <c r="CQ1141" s="45">
        <v>1137</v>
      </c>
      <c r="CR1141" s="45">
        <v>19.704044342415546</v>
      </c>
      <c r="CS1141" s="45" t="str">
        <v>Invest</v>
      </c>
      <c r="CT1141" s="61"/>
      <c r="CU1141" s="45">
        <v>1137</v>
      </c>
      <c r="CV1141" s="45">
        <v>12.466800335578924</v>
      </c>
      <c r="CW1141" s="45" t="str">
        <v>Invest</v>
      </c>
      <c r="CX1141" s="61"/>
      <c r="CY1141" s="45">
        <v>1137</v>
      </c>
      <c r="CZ1141" s="45">
        <v>12.209215975146364</v>
      </c>
      <c r="DA1141" s="45" t="str">
        <v>Invest</v>
      </c>
      <c r="DU1141" s="52"/>
      <c r="DV1141" s="50"/>
    </row>
    <row r="1142" spans="91:126" ht="23.5">
      <c r="CM1142" s="45">
        <v>1138</v>
      </c>
      <c r="CN1142" s="48">
        <v>11.289137556486374</v>
      </c>
      <c r="CO1142" s="45" t="str">
        <v>Invest</v>
      </c>
      <c r="CP1142" s="61"/>
      <c r="CQ1142" s="45">
        <v>1138</v>
      </c>
      <c r="CR1142" s="45">
        <v>51.003793066378329</v>
      </c>
      <c r="CS1142" s="45" t="str">
        <v>Invest</v>
      </c>
      <c r="CT1142" s="61"/>
      <c r="CU1142" s="45">
        <v>1138</v>
      </c>
      <c r="CV1142" s="45">
        <v>4.3966591218444506</v>
      </c>
      <c r="CW1142" s="45" t="str">
        <v>Invest</v>
      </c>
      <c r="CX1142" s="61"/>
      <c r="CY1142" s="45">
        <v>1138</v>
      </c>
      <c r="CZ1142" s="45">
        <v>52.927892201199782</v>
      </c>
      <c r="DA1142" s="45" t="str">
        <v>Invest</v>
      </c>
      <c r="DU1142" s="52"/>
      <c r="DV1142" s="50"/>
    </row>
    <row r="1143" spans="91:126" ht="23.5">
      <c r="CM1143" s="45">
        <v>1139</v>
      </c>
      <c r="CN1143" s="48">
        <v>0.67603061054425417</v>
      </c>
      <c r="CO1143" s="45" t="str">
        <v>Invest</v>
      </c>
      <c r="CP1143" s="61"/>
      <c r="CQ1143" s="45">
        <v>1139</v>
      </c>
      <c r="CR1143" s="45">
        <v>0</v>
      </c>
      <c r="CS1143" s="45" t="str">
        <v>Nothing</v>
      </c>
      <c r="CT1143" s="61"/>
      <c r="CU1143" s="45">
        <v>1139</v>
      </c>
      <c r="CV1143" s="45">
        <v>0</v>
      </c>
      <c r="CW1143" s="45" t="str">
        <v>Nothing</v>
      </c>
      <c r="CX1143" s="61"/>
      <c r="CY1143" s="45">
        <v>1139</v>
      </c>
      <c r="CZ1143" s="45">
        <v>0</v>
      </c>
      <c r="DA1143" s="45" t="str">
        <v>Nothing</v>
      </c>
      <c r="DU1143" s="52"/>
      <c r="DV1143" s="50"/>
    </row>
    <row r="1144" spans="91:126" ht="23.5">
      <c r="CM1144" s="45">
        <v>1140</v>
      </c>
      <c r="CN1144" s="48">
        <v>44.259475349265024</v>
      </c>
      <c r="CO1144" s="45" t="str">
        <v>Invest</v>
      </c>
      <c r="CP1144" s="61"/>
      <c r="CQ1144" s="45">
        <v>1140</v>
      </c>
      <c r="CR1144" s="45">
        <v>0</v>
      </c>
      <c r="CS1144" s="45" t="str">
        <v>Nothing</v>
      </c>
      <c r="CT1144" s="61"/>
      <c r="CU1144" s="45">
        <v>1140</v>
      </c>
      <c r="CV1144" s="45">
        <v>1.1882741636630882</v>
      </c>
      <c r="CW1144" s="45" t="str">
        <v>Invest</v>
      </c>
      <c r="CX1144" s="61"/>
      <c r="CY1144" s="45">
        <v>1140</v>
      </c>
      <c r="CZ1144" s="45">
        <v>8.5933545924696713</v>
      </c>
      <c r="DA1144" s="45" t="str">
        <v>Invest</v>
      </c>
      <c r="DU1144" s="52"/>
      <c r="DV1144" s="50"/>
    </row>
    <row r="1145" spans="91:126" ht="23.5">
      <c r="CM1145" s="45">
        <v>1141</v>
      </c>
      <c r="CN1145" s="48">
        <v>22.503459872820109</v>
      </c>
      <c r="CO1145" s="45" t="str">
        <v>Invest</v>
      </c>
      <c r="CP1145" s="61"/>
      <c r="CQ1145" s="45">
        <v>1141</v>
      </c>
      <c r="CR1145" s="45">
        <v>22.169664438895722</v>
      </c>
      <c r="CS1145" s="45" t="str">
        <v>Invest</v>
      </c>
      <c r="CT1145" s="61"/>
      <c r="CU1145" s="45">
        <v>1141</v>
      </c>
      <c r="CV1145" s="45">
        <v>52.950365613682457</v>
      </c>
      <c r="CW1145" s="45" t="str">
        <v>Invest</v>
      </c>
      <c r="CX1145" s="61"/>
      <c r="CY1145" s="45">
        <v>1141</v>
      </c>
      <c r="CZ1145" s="45">
        <v>0</v>
      </c>
      <c r="DA1145" s="45" t="str">
        <v>Nothing</v>
      </c>
      <c r="DU1145" s="52"/>
      <c r="DV1145" s="50"/>
    </row>
    <row r="1146" spans="91:126" ht="23.5">
      <c r="CM1146" s="45">
        <v>1142</v>
      </c>
      <c r="CN1146" s="48">
        <v>11.997768877362088</v>
      </c>
      <c r="CO1146" s="45" t="str">
        <v>Invest</v>
      </c>
      <c r="CP1146" s="61"/>
      <c r="CQ1146" s="45">
        <v>1142</v>
      </c>
      <c r="CR1146" s="45">
        <v>0</v>
      </c>
      <c r="CS1146" s="45" t="str">
        <v>Nothing</v>
      </c>
      <c r="CT1146" s="61"/>
      <c r="CU1146" s="45">
        <v>1142</v>
      </c>
      <c r="CV1146" s="45">
        <v>0</v>
      </c>
      <c r="CW1146" s="45" t="str">
        <v>Nothing</v>
      </c>
      <c r="CX1146" s="61"/>
      <c r="CY1146" s="45">
        <v>1142</v>
      </c>
      <c r="CZ1146" s="45">
        <v>11.209113874795825</v>
      </c>
      <c r="DA1146" s="45" t="str">
        <v>Invest</v>
      </c>
      <c r="DU1146" s="52"/>
      <c r="DV1146" s="50"/>
    </row>
    <row r="1147" spans="91:126" ht="23.5">
      <c r="CM1147" s="45">
        <v>1143</v>
      </c>
      <c r="CN1147" s="48">
        <v>24.78131002179542</v>
      </c>
      <c r="CO1147" s="45" t="str">
        <v>Invest</v>
      </c>
      <c r="CP1147" s="61"/>
      <c r="CQ1147" s="45">
        <v>1143</v>
      </c>
      <c r="CR1147" s="45">
        <v>28.116194631640887</v>
      </c>
      <c r="CS1147" s="45" t="str">
        <v>Invest</v>
      </c>
      <c r="CT1147" s="61"/>
      <c r="CU1147" s="45">
        <v>1143</v>
      </c>
      <c r="CV1147" s="45">
        <v>18.844822744851754</v>
      </c>
      <c r="CW1147" s="45" t="str">
        <v>Invest</v>
      </c>
      <c r="CX1147" s="61"/>
      <c r="CY1147" s="45">
        <v>1143</v>
      </c>
      <c r="CZ1147" s="45">
        <v>27.300373985889294</v>
      </c>
      <c r="DA1147" s="45" t="str">
        <v>Invest</v>
      </c>
      <c r="DU1147" s="52"/>
      <c r="DV1147" s="50"/>
    </row>
    <row r="1148" spans="91:126" ht="23.5">
      <c r="CM1148" s="45">
        <v>1144</v>
      </c>
      <c r="CN1148" s="48">
        <v>0.42872147862903276</v>
      </c>
      <c r="CO1148" s="45" t="str">
        <v>Invest</v>
      </c>
      <c r="CP1148" s="61"/>
      <c r="CQ1148" s="45">
        <v>1144</v>
      </c>
      <c r="CR1148" s="45">
        <v>0</v>
      </c>
      <c r="CS1148" s="45" t="str">
        <v>Nothing</v>
      </c>
      <c r="CT1148" s="61"/>
      <c r="CU1148" s="45">
        <v>1144</v>
      </c>
      <c r="CV1148" s="45">
        <v>46.30484740379292</v>
      </c>
      <c r="CW1148" s="45" t="str">
        <v>Invest</v>
      </c>
      <c r="CX1148" s="61"/>
      <c r="CY1148" s="45">
        <v>1144</v>
      </c>
      <c r="CZ1148" s="45">
        <v>8.5732597594808873</v>
      </c>
      <c r="DA1148" s="45" t="str">
        <v>Invest</v>
      </c>
      <c r="DU1148" s="52"/>
      <c r="DV1148" s="50"/>
    </row>
    <row r="1149" spans="91:126" ht="23.5">
      <c r="CM1149" s="45">
        <v>1145</v>
      </c>
      <c r="CN1149" s="48">
        <v>18.911203819218624</v>
      </c>
      <c r="CO1149" s="45" t="str">
        <v>Invest</v>
      </c>
      <c r="CP1149" s="61"/>
      <c r="CQ1149" s="45">
        <v>1145</v>
      </c>
      <c r="CR1149" s="45">
        <v>4.4304302678456562</v>
      </c>
      <c r="CS1149" s="45" t="str">
        <v>Invest</v>
      </c>
      <c r="CT1149" s="61"/>
      <c r="CU1149" s="45">
        <v>1145</v>
      </c>
      <c r="CV1149" s="45">
        <v>11.946471928030466</v>
      </c>
      <c r="CW1149" s="45" t="str">
        <v>Invest</v>
      </c>
      <c r="CX1149" s="61"/>
      <c r="CY1149" s="45">
        <v>1145</v>
      </c>
      <c r="CZ1149" s="45">
        <v>11.282680603401969</v>
      </c>
      <c r="DA1149" s="45" t="str">
        <v>Invest</v>
      </c>
      <c r="DU1149" s="52"/>
      <c r="DV1149" s="50"/>
    </row>
    <row r="1150" spans="91:126" ht="23.5">
      <c r="CM1150" s="45">
        <v>1146</v>
      </c>
      <c r="CN1150" s="48">
        <v>0</v>
      </c>
      <c r="CO1150" s="45" t="str">
        <v>Nothing</v>
      </c>
      <c r="CP1150" s="61"/>
      <c r="CQ1150" s="45">
        <v>1146</v>
      </c>
      <c r="CR1150" s="45">
        <v>1.2002072081099424</v>
      </c>
      <c r="CS1150" s="45" t="str">
        <v>Invest</v>
      </c>
      <c r="CT1150" s="61"/>
      <c r="CU1150" s="45">
        <v>1146</v>
      </c>
      <c r="CV1150" s="45">
        <v>18.461254458494977</v>
      </c>
      <c r="CW1150" s="45" t="str">
        <v>Invest</v>
      </c>
      <c r="CX1150" s="61"/>
      <c r="CY1150" s="45">
        <v>1146</v>
      </c>
      <c r="CZ1150" s="45">
        <v>0</v>
      </c>
      <c r="DA1150" s="45" t="str">
        <v>Nothing</v>
      </c>
      <c r="DU1150" s="52"/>
      <c r="DV1150" s="50"/>
    </row>
    <row r="1151" spans="91:126" ht="23.5">
      <c r="CM1151" s="45">
        <v>1147</v>
      </c>
      <c r="CN1151" s="48">
        <v>14.416095584402816</v>
      </c>
      <c r="CO1151" s="45" t="str">
        <v>Invest</v>
      </c>
      <c r="CP1151" s="61"/>
      <c r="CQ1151" s="45">
        <v>1147</v>
      </c>
      <c r="CR1151" s="45">
        <v>0</v>
      </c>
      <c r="CS1151" s="45" t="str">
        <v>Nothing</v>
      </c>
      <c r="CT1151" s="61"/>
      <c r="CU1151" s="45">
        <v>1147</v>
      </c>
      <c r="CV1151" s="45">
        <v>41.807564744566477</v>
      </c>
      <c r="CW1151" s="45" t="str">
        <v>Invest</v>
      </c>
      <c r="CX1151" s="61"/>
      <c r="CY1151" s="45">
        <v>1147</v>
      </c>
      <c r="CZ1151" s="45">
        <v>0</v>
      </c>
      <c r="DA1151" s="45" t="str">
        <v>Nothing</v>
      </c>
      <c r="DU1151" s="52"/>
      <c r="DV1151" s="50"/>
    </row>
    <row r="1152" spans="91:126" ht="23.5">
      <c r="CM1152" s="45">
        <v>1148</v>
      </c>
      <c r="CN1152" s="48">
        <v>0</v>
      </c>
      <c r="CO1152" s="45" t="str">
        <v>Nothing</v>
      </c>
      <c r="CP1152" s="61"/>
      <c r="CQ1152" s="45">
        <v>1148</v>
      </c>
      <c r="CR1152" s="45">
        <v>13.752131408591424</v>
      </c>
      <c r="CS1152" s="45" t="str">
        <v>Invest</v>
      </c>
      <c r="CT1152" s="61"/>
      <c r="CU1152" s="45">
        <v>1148</v>
      </c>
      <c r="CV1152" s="45">
        <v>34.983564221970589</v>
      </c>
      <c r="CW1152" s="45" t="str">
        <v>Invest</v>
      </c>
      <c r="CX1152" s="61"/>
      <c r="CY1152" s="45">
        <v>1148</v>
      </c>
      <c r="CZ1152" s="45">
        <v>0</v>
      </c>
      <c r="DA1152" s="45" t="str">
        <v>Nothing</v>
      </c>
      <c r="DU1152" s="52"/>
      <c r="DV1152" s="50"/>
    </row>
    <row r="1153" spans="91:126" ht="23.5">
      <c r="CM1153" s="45">
        <v>1149</v>
      </c>
      <c r="CN1153" s="48">
        <v>0</v>
      </c>
      <c r="CO1153" s="45" t="str">
        <v>Nothing</v>
      </c>
      <c r="CP1153" s="61"/>
      <c r="CQ1153" s="45">
        <v>1149</v>
      </c>
      <c r="CR1153" s="45">
        <v>7.0030590351891107</v>
      </c>
      <c r="CS1153" s="45" t="str">
        <v>Invest</v>
      </c>
      <c r="CT1153" s="61"/>
      <c r="CU1153" s="45">
        <v>1149</v>
      </c>
      <c r="CV1153" s="45">
        <v>13.925915756650422</v>
      </c>
      <c r="CW1153" s="45" t="str">
        <v>Invest</v>
      </c>
      <c r="CX1153" s="61"/>
      <c r="CY1153" s="45">
        <v>1149</v>
      </c>
      <c r="CZ1153" s="45">
        <v>29.859700707027717</v>
      </c>
      <c r="DA1153" s="45" t="str">
        <v>Invest</v>
      </c>
      <c r="DU1153" s="52"/>
      <c r="DV1153" s="50"/>
    </row>
    <row r="1154" spans="91:126" ht="23.5">
      <c r="CM1154" s="45">
        <v>1150</v>
      </c>
      <c r="CN1154" s="48">
        <v>44.902468827735788</v>
      </c>
      <c r="CO1154" s="45" t="str">
        <v>Invest</v>
      </c>
      <c r="CP1154" s="61"/>
      <c r="CQ1154" s="45">
        <v>1150</v>
      </c>
      <c r="CR1154" s="45">
        <v>0</v>
      </c>
      <c r="CS1154" s="45" t="str">
        <v>Nothing</v>
      </c>
      <c r="CT1154" s="61"/>
      <c r="CU1154" s="45">
        <v>1150</v>
      </c>
      <c r="CV1154" s="45">
        <v>64.722035159538919</v>
      </c>
      <c r="CW1154" s="45" t="str">
        <v>Invest</v>
      </c>
      <c r="CX1154" s="61"/>
      <c r="CY1154" s="45">
        <v>1150</v>
      </c>
      <c r="CZ1154" s="45">
        <v>0</v>
      </c>
      <c r="DA1154" s="45" t="str">
        <v>Nothing</v>
      </c>
      <c r="DU1154" s="52"/>
      <c r="DV1154" s="50"/>
    </row>
    <row r="1155" spans="91:126" ht="23.5">
      <c r="CM1155" s="45">
        <v>1151</v>
      </c>
      <c r="CN1155" s="48">
        <v>5.1878733975777962</v>
      </c>
      <c r="CO1155" s="45" t="str">
        <v>Invest</v>
      </c>
      <c r="CP1155" s="61"/>
      <c r="CQ1155" s="45">
        <v>1151</v>
      </c>
      <c r="CR1155" s="45">
        <v>5.3756897796987104</v>
      </c>
      <c r="CS1155" s="45" t="str">
        <v>Invest</v>
      </c>
      <c r="CT1155" s="61"/>
      <c r="CU1155" s="45">
        <v>1151</v>
      </c>
      <c r="CV1155" s="45">
        <v>17.842231920868226</v>
      </c>
      <c r="CW1155" s="45" t="str">
        <v>Invest</v>
      </c>
      <c r="CX1155" s="61"/>
      <c r="CY1155" s="45">
        <v>1151</v>
      </c>
      <c r="CZ1155" s="45">
        <v>21.292610232438253</v>
      </c>
      <c r="DA1155" s="45" t="str">
        <v>Invest</v>
      </c>
      <c r="DU1155" s="52"/>
      <c r="DV1155" s="50"/>
    </row>
    <row r="1156" spans="91:126" ht="23.5">
      <c r="CM1156" s="45">
        <v>1152</v>
      </c>
      <c r="CN1156" s="48">
        <v>1.224400994301245</v>
      </c>
      <c r="CO1156" s="45" t="str">
        <v>Invest</v>
      </c>
      <c r="CP1156" s="61"/>
      <c r="CQ1156" s="45">
        <v>1152</v>
      </c>
      <c r="CR1156" s="45">
        <v>0</v>
      </c>
      <c r="CS1156" s="45" t="str">
        <v>Nothing</v>
      </c>
      <c r="CT1156" s="61"/>
      <c r="CU1156" s="45">
        <v>1152</v>
      </c>
      <c r="CV1156" s="45">
        <v>1.1476634141887061</v>
      </c>
      <c r="CW1156" s="45" t="str">
        <v>Invest</v>
      </c>
      <c r="CX1156" s="61"/>
      <c r="CY1156" s="45">
        <v>1152</v>
      </c>
      <c r="CZ1156" s="45">
        <v>27.411193030972264</v>
      </c>
      <c r="DA1156" s="45" t="str">
        <v>Invest</v>
      </c>
      <c r="DU1156" s="52"/>
      <c r="DV1156" s="50"/>
    </row>
    <row r="1157" spans="91:126" ht="23.5">
      <c r="CM1157" s="45">
        <v>1153</v>
      </c>
      <c r="CN1157" s="48">
        <v>26.916684096714032</v>
      </c>
      <c r="CO1157" s="45" t="str">
        <v>Invest</v>
      </c>
      <c r="CP1157" s="61"/>
      <c r="CQ1157" s="45">
        <v>1153</v>
      </c>
      <c r="CR1157" s="45">
        <v>0</v>
      </c>
      <c r="CS1157" s="45" t="str">
        <v>Nothing</v>
      </c>
      <c r="CT1157" s="61"/>
      <c r="CU1157" s="45">
        <v>1153</v>
      </c>
      <c r="CV1157" s="45">
        <v>40.936119080584767</v>
      </c>
      <c r="CW1157" s="45" t="str">
        <v>Invest</v>
      </c>
      <c r="CX1157" s="61"/>
      <c r="CY1157" s="45">
        <v>1153</v>
      </c>
      <c r="CZ1157" s="45">
        <v>0</v>
      </c>
      <c r="DA1157" s="45" t="str">
        <v>Nothing</v>
      </c>
      <c r="DU1157" s="52"/>
      <c r="DV1157" s="50"/>
    </row>
    <row r="1158" spans="91:126" ht="23.5">
      <c r="CM1158" s="45">
        <v>1154</v>
      </c>
      <c r="CN1158" s="48">
        <v>24.75219045816231</v>
      </c>
      <c r="CO1158" s="45" t="str">
        <v>Invest</v>
      </c>
      <c r="CP1158" s="61"/>
      <c r="CQ1158" s="45">
        <v>1154</v>
      </c>
      <c r="CR1158" s="45">
        <v>47.347751540914892</v>
      </c>
      <c r="CS1158" s="45" t="str">
        <v>Invest</v>
      </c>
      <c r="CT1158" s="61"/>
      <c r="CU1158" s="45">
        <v>1154</v>
      </c>
      <c r="CV1158" s="45">
        <v>0</v>
      </c>
      <c r="CW1158" s="45" t="str">
        <v>Nothing</v>
      </c>
      <c r="CX1158" s="61"/>
      <c r="CY1158" s="45">
        <v>1154</v>
      </c>
      <c r="CZ1158" s="45">
        <v>30.759230564558344</v>
      </c>
      <c r="DA1158" s="45" t="str">
        <v>Invest</v>
      </c>
      <c r="DU1158" s="52"/>
      <c r="DV1158" s="50"/>
    </row>
    <row r="1159" spans="91:126" ht="23.5">
      <c r="CM1159" s="45">
        <v>1155</v>
      </c>
      <c r="CN1159" s="48">
        <v>26.729783404268638</v>
      </c>
      <c r="CO1159" s="45" t="str">
        <v>Invest</v>
      </c>
      <c r="CP1159" s="61"/>
      <c r="CQ1159" s="45">
        <v>1155</v>
      </c>
      <c r="CR1159" s="45">
        <v>13.275411457320498</v>
      </c>
      <c r="CS1159" s="45" t="str">
        <v>Invest</v>
      </c>
      <c r="CT1159" s="61"/>
      <c r="CU1159" s="45">
        <v>1155</v>
      </c>
      <c r="CV1159" s="45">
        <v>48.325279506721024</v>
      </c>
      <c r="CW1159" s="45" t="str">
        <v>Invest</v>
      </c>
      <c r="CX1159" s="61"/>
      <c r="CY1159" s="45">
        <v>1155</v>
      </c>
      <c r="CZ1159" s="45">
        <v>0.20995333381502235</v>
      </c>
      <c r="DA1159" s="45" t="str">
        <v>Invest</v>
      </c>
      <c r="DU1159" s="52"/>
      <c r="DV1159" s="50"/>
    </row>
    <row r="1160" spans="91:126" ht="23.5">
      <c r="CM1160" s="45">
        <v>1156</v>
      </c>
      <c r="CN1160" s="48">
        <v>23.277825832369434</v>
      </c>
      <c r="CO1160" s="45" t="str">
        <v>Invest</v>
      </c>
      <c r="CP1160" s="61"/>
      <c r="CQ1160" s="45">
        <v>1156</v>
      </c>
      <c r="CR1160" s="45">
        <v>36.711686536573019</v>
      </c>
      <c r="CS1160" s="45" t="str">
        <v>Invest</v>
      </c>
      <c r="CT1160" s="61"/>
      <c r="CU1160" s="45">
        <v>1156</v>
      </c>
      <c r="CV1160" s="45">
        <v>0</v>
      </c>
      <c r="CW1160" s="45" t="str">
        <v>Nothing</v>
      </c>
      <c r="CX1160" s="61"/>
      <c r="CY1160" s="45">
        <v>1156</v>
      </c>
      <c r="CZ1160" s="45">
        <v>9.4822241185186691</v>
      </c>
      <c r="DA1160" s="45" t="str">
        <v>Invest</v>
      </c>
      <c r="DU1160" s="52"/>
      <c r="DV1160" s="50"/>
    </row>
    <row r="1161" spans="91:126" ht="23.5">
      <c r="CM1161" s="45">
        <v>1157</v>
      </c>
      <c r="CN1161" s="48">
        <v>16.566619723454757</v>
      </c>
      <c r="CO1161" s="45" t="str">
        <v>Invest</v>
      </c>
      <c r="CP1161" s="61"/>
      <c r="CQ1161" s="45">
        <v>1157</v>
      </c>
      <c r="CR1161" s="45">
        <v>51.391030298932378</v>
      </c>
      <c r="CS1161" s="45" t="str">
        <v>Invest</v>
      </c>
      <c r="CT1161" s="61"/>
      <c r="CU1161" s="45">
        <v>1157</v>
      </c>
      <c r="CV1161" s="45">
        <v>19.638751778462563</v>
      </c>
      <c r="CW1161" s="45" t="str">
        <v>Invest</v>
      </c>
      <c r="CX1161" s="61"/>
      <c r="CY1161" s="45">
        <v>1157</v>
      </c>
      <c r="CZ1161" s="45">
        <v>20.249261481968595</v>
      </c>
      <c r="DA1161" s="45" t="str">
        <v>Invest</v>
      </c>
      <c r="DU1161" s="52"/>
      <c r="DV1161" s="50"/>
    </row>
    <row r="1162" spans="91:126" ht="23.5">
      <c r="CM1162" s="45">
        <v>1158</v>
      </c>
      <c r="CN1162" s="48">
        <v>0</v>
      </c>
      <c r="CO1162" s="45" t="str">
        <v>Nothing</v>
      </c>
      <c r="CP1162" s="61"/>
      <c r="CQ1162" s="45">
        <v>1158</v>
      </c>
      <c r="CR1162" s="45">
        <v>54.225809279188354</v>
      </c>
      <c r="CS1162" s="45" t="str">
        <v>Invest</v>
      </c>
      <c r="CT1162" s="61"/>
      <c r="CU1162" s="45">
        <v>1158</v>
      </c>
      <c r="CV1162" s="45">
        <v>62.216714986962046</v>
      </c>
      <c r="CW1162" s="45" t="str">
        <v>Invest</v>
      </c>
      <c r="CX1162" s="61"/>
      <c r="CY1162" s="45">
        <v>1158</v>
      </c>
      <c r="CZ1162" s="45">
        <v>17.054713651235591</v>
      </c>
      <c r="DA1162" s="45" t="str">
        <v>Invest</v>
      </c>
      <c r="DU1162" s="52"/>
      <c r="DV1162" s="50"/>
    </row>
    <row r="1163" spans="91:126" ht="23.5">
      <c r="CM1163" s="45">
        <v>1159</v>
      </c>
      <c r="CN1163" s="48">
        <v>0</v>
      </c>
      <c r="CO1163" s="45" t="str">
        <v>Nothing</v>
      </c>
      <c r="CP1163" s="61"/>
      <c r="CQ1163" s="45">
        <v>1159</v>
      </c>
      <c r="CR1163" s="45">
        <v>12.852176038830759</v>
      </c>
      <c r="CS1163" s="45" t="str">
        <v>Invest</v>
      </c>
      <c r="CT1163" s="61"/>
      <c r="CU1163" s="45">
        <v>1159</v>
      </c>
      <c r="CV1163" s="45">
        <v>0.84218784777690558</v>
      </c>
      <c r="CW1163" s="45" t="str">
        <v>Invest</v>
      </c>
      <c r="CX1163" s="61"/>
      <c r="CY1163" s="45">
        <v>1159</v>
      </c>
      <c r="CZ1163" s="45">
        <v>0</v>
      </c>
      <c r="DA1163" s="45" t="str">
        <v>Nothing</v>
      </c>
      <c r="DU1163" s="52"/>
      <c r="DV1163" s="50"/>
    </row>
    <row r="1164" spans="91:126" ht="23.5">
      <c r="CM1164" s="45">
        <v>1160</v>
      </c>
      <c r="CN1164" s="48">
        <v>0</v>
      </c>
      <c r="CO1164" s="45" t="str">
        <v>Nothing</v>
      </c>
      <c r="CP1164" s="61"/>
      <c r="CQ1164" s="45">
        <v>1160</v>
      </c>
      <c r="CR1164" s="45">
        <v>2.9637141810565426</v>
      </c>
      <c r="CS1164" s="45" t="str">
        <v>Invest</v>
      </c>
      <c r="CT1164" s="61"/>
      <c r="CU1164" s="45">
        <v>1160</v>
      </c>
      <c r="CV1164" s="45">
        <v>27.87157949651899</v>
      </c>
      <c r="CW1164" s="45" t="str">
        <v>Invest</v>
      </c>
      <c r="CX1164" s="61"/>
      <c r="CY1164" s="45">
        <v>1160</v>
      </c>
      <c r="CZ1164" s="45">
        <v>54.360216674334971</v>
      </c>
      <c r="DA1164" s="45" t="str">
        <v>Invest</v>
      </c>
      <c r="DU1164" s="52"/>
      <c r="DV1164" s="50"/>
    </row>
    <row r="1165" spans="91:126" ht="23.5">
      <c r="CM1165" s="45">
        <v>1161</v>
      </c>
      <c r="CN1165" s="48">
        <v>2.4312366848840909</v>
      </c>
      <c r="CO1165" s="45" t="str">
        <v>Invest</v>
      </c>
      <c r="CP1165" s="61"/>
      <c r="CQ1165" s="45">
        <v>1161</v>
      </c>
      <c r="CR1165" s="45">
        <v>0</v>
      </c>
      <c r="CS1165" s="45" t="str">
        <v>Nothing</v>
      </c>
      <c r="CT1165" s="61"/>
      <c r="CU1165" s="45">
        <v>1161</v>
      </c>
      <c r="CV1165" s="45">
        <v>0</v>
      </c>
      <c r="CW1165" s="45" t="str">
        <v>Nothing</v>
      </c>
      <c r="CX1165" s="61"/>
      <c r="CY1165" s="45">
        <v>1161</v>
      </c>
      <c r="CZ1165" s="45">
        <v>26.224035903140035</v>
      </c>
      <c r="DA1165" s="45" t="str">
        <v>Invest</v>
      </c>
      <c r="DU1165" s="52"/>
      <c r="DV1165" s="50"/>
    </row>
    <row r="1166" spans="91:126" ht="23.5">
      <c r="CM1166" s="45">
        <v>1162</v>
      </c>
      <c r="CN1166" s="48">
        <v>0.85197051175251381</v>
      </c>
      <c r="CO1166" s="45" t="str">
        <v>Invest</v>
      </c>
      <c r="CP1166" s="61"/>
      <c r="CQ1166" s="45">
        <v>1162</v>
      </c>
      <c r="CR1166" s="45">
        <v>11.348227896689124</v>
      </c>
      <c r="CS1166" s="45" t="str">
        <v>Invest</v>
      </c>
      <c r="CT1166" s="61"/>
      <c r="CU1166" s="45">
        <v>1162</v>
      </c>
      <c r="CV1166" s="45">
        <v>0</v>
      </c>
      <c r="CW1166" s="45" t="str">
        <v>Nothing</v>
      </c>
      <c r="CX1166" s="61"/>
      <c r="CY1166" s="45">
        <v>1162</v>
      </c>
      <c r="CZ1166" s="45">
        <v>16.340230045986427</v>
      </c>
      <c r="DA1166" s="45" t="str">
        <v>Invest</v>
      </c>
      <c r="DU1166" s="52"/>
      <c r="DV1166" s="50"/>
    </row>
    <row r="1167" spans="91:126" ht="23.5">
      <c r="CM1167" s="45">
        <v>1163</v>
      </c>
      <c r="CN1167" s="48">
        <v>29.594455080554077</v>
      </c>
      <c r="CO1167" s="45" t="str">
        <v>Invest</v>
      </c>
      <c r="CP1167" s="61"/>
      <c r="CQ1167" s="45">
        <v>1163</v>
      </c>
      <c r="CR1167" s="45">
        <v>0</v>
      </c>
      <c r="CS1167" s="45" t="str">
        <v>Nothing</v>
      </c>
      <c r="CT1167" s="61"/>
      <c r="CU1167" s="45">
        <v>1163</v>
      </c>
      <c r="CV1167" s="45">
        <v>7.8151658539948263</v>
      </c>
      <c r="CW1167" s="45" t="str">
        <v>Invest</v>
      </c>
      <c r="CX1167" s="61"/>
      <c r="CY1167" s="45">
        <v>1163</v>
      </c>
      <c r="CZ1167" s="45">
        <v>36.588322563335787</v>
      </c>
      <c r="DA1167" s="45" t="str">
        <v>Invest</v>
      </c>
      <c r="DU1167" s="52"/>
      <c r="DV1167" s="50"/>
    </row>
    <row r="1168" spans="91:126" ht="23.5">
      <c r="CM1168" s="45">
        <v>1164</v>
      </c>
      <c r="CN1168" s="48">
        <v>20.331459546897708</v>
      </c>
      <c r="CO1168" s="45" t="str">
        <v>Invest</v>
      </c>
      <c r="CP1168" s="61"/>
      <c r="CQ1168" s="45">
        <v>1164</v>
      </c>
      <c r="CR1168" s="45">
        <v>35.981085303358398</v>
      </c>
      <c r="CS1168" s="45" t="str">
        <v>Invest</v>
      </c>
      <c r="CT1168" s="61"/>
      <c r="CU1168" s="45">
        <v>1164</v>
      </c>
      <c r="CV1168" s="45">
        <v>18.811686402511818</v>
      </c>
      <c r="CW1168" s="45" t="str">
        <v>Invest</v>
      </c>
      <c r="CX1168" s="61"/>
      <c r="CY1168" s="45">
        <v>1164</v>
      </c>
      <c r="CZ1168" s="45">
        <v>27.405407133352558</v>
      </c>
      <c r="DA1168" s="45" t="str">
        <v>Invest</v>
      </c>
      <c r="DU1168" s="52"/>
      <c r="DV1168" s="50"/>
    </row>
    <row r="1169" spans="91:126" ht="23.5">
      <c r="CM1169" s="45">
        <v>1165</v>
      </c>
      <c r="CN1169" s="48">
        <v>21.150558006057611</v>
      </c>
      <c r="CO1169" s="45" t="str">
        <v>Invest</v>
      </c>
      <c r="CP1169" s="61"/>
      <c r="CQ1169" s="45">
        <v>1165</v>
      </c>
      <c r="CR1169" s="45">
        <v>7.3209100441125567</v>
      </c>
      <c r="CS1169" s="45" t="str">
        <v>Invest</v>
      </c>
      <c r="CT1169" s="61"/>
      <c r="CU1169" s="45">
        <v>1165</v>
      </c>
      <c r="CV1169" s="45">
        <v>0.95346252262242182</v>
      </c>
      <c r="CW1169" s="45" t="str">
        <v>Invest</v>
      </c>
      <c r="CX1169" s="61"/>
      <c r="CY1169" s="45">
        <v>1165</v>
      </c>
      <c r="CZ1169" s="45">
        <v>0</v>
      </c>
      <c r="DA1169" s="45" t="str">
        <v>Nothing</v>
      </c>
      <c r="DU1169" s="52"/>
      <c r="DV1169" s="50"/>
    </row>
    <row r="1170" spans="91:126" ht="23.5">
      <c r="CM1170" s="45">
        <v>1166</v>
      </c>
      <c r="CN1170" s="48">
        <v>0</v>
      </c>
      <c r="CO1170" s="45" t="str">
        <v>Nothing</v>
      </c>
      <c r="CP1170" s="61"/>
      <c r="CQ1170" s="45">
        <v>1166</v>
      </c>
      <c r="CR1170" s="45">
        <v>12.820265407906025</v>
      </c>
      <c r="CS1170" s="45" t="str">
        <v>Invest</v>
      </c>
      <c r="CT1170" s="61"/>
      <c r="CU1170" s="45">
        <v>1166</v>
      </c>
      <c r="CV1170" s="45">
        <v>39.827708996464338</v>
      </c>
      <c r="CW1170" s="45" t="str">
        <v>Invest</v>
      </c>
      <c r="CX1170" s="61"/>
      <c r="CY1170" s="45">
        <v>1166</v>
      </c>
      <c r="CZ1170" s="45">
        <v>3.1894829475942323</v>
      </c>
      <c r="DA1170" s="45" t="str">
        <v>Invest</v>
      </c>
      <c r="DU1170" s="52"/>
      <c r="DV1170" s="50"/>
    </row>
    <row r="1171" spans="91:126" ht="23.5">
      <c r="CM1171" s="45">
        <v>1167</v>
      </c>
      <c r="CN1171" s="48">
        <v>1.0158617225205733</v>
      </c>
      <c r="CO1171" s="45" t="str">
        <v>Invest</v>
      </c>
      <c r="CP1171" s="61"/>
      <c r="CQ1171" s="45">
        <v>1167</v>
      </c>
      <c r="CR1171" s="45">
        <v>0</v>
      </c>
      <c r="CS1171" s="45" t="str">
        <v>Nothing</v>
      </c>
      <c r="CT1171" s="61"/>
      <c r="CU1171" s="45">
        <v>1167</v>
      </c>
      <c r="CV1171" s="45">
        <v>15.819328176698226</v>
      </c>
      <c r="CW1171" s="45" t="str">
        <v>Invest</v>
      </c>
      <c r="CX1171" s="61"/>
      <c r="CY1171" s="45">
        <v>1167</v>
      </c>
      <c r="CZ1171" s="45">
        <v>57.577681321906823</v>
      </c>
      <c r="DA1171" s="45" t="str">
        <v>Invest</v>
      </c>
      <c r="DU1171" s="52"/>
      <c r="DV1171" s="50"/>
    </row>
    <row r="1172" spans="91:126" ht="23.5">
      <c r="CM1172" s="45">
        <v>1168</v>
      </c>
      <c r="CN1172" s="48">
        <v>22.337480909288061</v>
      </c>
      <c r="CO1172" s="45" t="str">
        <v>Invest</v>
      </c>
      <c r="CP1172" s="61"/>
      <c r="CQ1172" s="45">
        <v>1168</v>
      </c>
      <c r="CR1172" s="45">
        <v>30.212555183500541</v>
      </c>
      <c r="CS1172" s="45" t="str">
        <v>Invest</v>
      </c>
      <c r="CT1172" s="61"/>
      <c r="CU1172" s="45">
        <v>1168</v>
      </c>
      <c r="CV1172" s="45">
        <v>2.8415649486003414</v>
      </c>
      <c r="CW1172" s="45" t="str">
        <v>Invest</v>
      </c>
      <c r="CX1172" s="61"/>
      <c r="CY1172" s="45">
        <v>1168</v>
      </c>
      <c r="CZ1172" s="45">
        <v>38.869989679707537</v>
      </c>
      <c r="DA1172" s="45" t="str">
        <v>Invest</v>
      </c>
      <c r="DU1172" s="52"/>
      <c r="DV1172" s="50"/>
    </row>
    <row r="1173" spans="91:126" ht="23.5">
      <c r="CM1173" s="45">
        <v>1169</v>
      </c>
      <c r="CN1173" s="48">
        <v>31.085358607637453</v>
      </c>
      <c r="CO1173" s="45" t="str">
        <v>Invest</v>
      </c>
      <c r="CP1173" s="61"/>
      <c r="CQ1173" s="45">
        <v>1169</v>
      </c>
      <c r="CR1173" s="45">
        <v>18.765042371148198</v>
      </c>
      <c r="CS1173" s="45" t="str">
        <v>Invest</v>
      </c>
      <c r="CT1173" s="61"/>
      <c r="CU1173" s="45">
        <v>1169</v>
      </c>
      <c r="CV1173" s="45">
        <v>1.1507082936974928</v>
      </c>
      <c r="CW1173" s="45" t="str">
        <v>Invest</v>
      </c>
      <c r="CX1173" s="61"/>
      <c r="CY1173" s="45">
        <v>1169</v>
      </c>
      <c r="CZ1173" s="45">
        <v>34.769389377999886</v>
      </c>
      <c r="DA1173" s="45" t="str">
        <v>Invest</v>
      </c>
      <c r="DU1173" s="52"/>
      <c r="DV1173" s="50"/>
    </row>
    <row r="1174" spans="91:126" ht="23.5">
      <c r="CM1174" s="45">
        <v>1170</v>
      </c>
      <c r="CN1174" s="48">
        <v>0</v>
      </c>
      <c r="CO1174" s="45" t="str">
        <v>Nothing</v>
      </c>
      <c r="CP1174" s="61"/>
      <c r="CQ1174" s="45">
        <v>1170</v>
      </c>
      <c r="CR1174" s="45">
        <v>0</v>
      </c>
      <c r="CS1174" s="45" t="str">
        <v>Nothing</v>
      </c>
      <c r="CT1174" s="61"/>
      <c r="CU1174" s="45">
        <v>1170</v>
      </c>
      <c r="CV1174" s="45">
        <v>12.338540943893156</v>
      </c>
      <c r="CW1174" s="45" t="str">
        <v>Invest</v>
      </c>
      <c r="CX1174" s="61"/>
      <c r="CY1174" s="45">
        <v>1170</v>
      </c>
      <c r="CZ1174" s="45">
        <v>3.3945414834859946</v>
      </c>
      <c r="DA1174" s="45" t="str">
        <v>Invest</v>
      </c>
      <c r="DU1174" s="52"/>
      <c r="DV1174" s="50"/>
    </row>
    <row r="1175" spans="91:126" ht="23.5">
      <c r="CM1175" s="45">
        <v>1171</v>
      </c>
      <c r="CN1175" s="48">
        <v>23.319776281708258</v>
      </c>
      <c r="CO1175" s="45" t="str">
        <v>Invest</v>
      </c>
      <c r="CP1175" s="61"/>
      <c r="CQ1175" s="45">
        <v>1171</v>
      </c>
      <c r="CR1175" s="45">
        <v>0.92314062509248807</v>
      </c>
      <c r="CS1175" s="45" t="str">
        <v>Invest</v>
      </c>
      <c r="CT1175" s="61"/>
      <c r="CU1175" s="45">
        <v>1171</v>
      </c>
      <c r="CV1175" s="45">
        <v>47.886641168855242</v>
      </c>
      <c r="CW1175" s="45" t="str">
        <v>Invest</v>
      </c>
      <c r="CX1175" s="61"/>
      <c r="CY1175" s="45">
        <v>1171</v>
      </c>
      <c r="CZ1175" s="45">
        <v>6.2540360156423418</v>
      </c>
      <c r="DA1175" s="45" t="str">
        <v>Invest</v>
      </c>
      <c r="DU1175" s="52"/>
      <c r="DV1175" s="50"/>
    </row>
    <row r="1176" spans="91:126" ht="23.5">
      <c r="CM1176" s="45">
        <v>1172</v>
      </c>
      <c r="CN1176" s="48">
        <v>15.039752919845229</v>
      </c>
      <c r="CO1176" s="45" t="str">
        <v>Invest</v>
      </c>
      <c r="CP1176" s="61"/>
      <c r="CQ1176" s="45">
        <v>1172</v>
      </c>
      <c r="CR1176" s="45">
        <v>0</v>
      </c>
      <c r="CS1176" s="45" t="str">
        <v>Nothing</v>
      </c>
      <c r="CT1176" s="61"/>
      <c r="CU1176" s="45">
        <v>1172</v>
      </c>
      <c r="CV1176" s="45">
        <v>5.1503286318259267</v>
      </c>
      <c r="CW1176" s="45" t="str">
        <v>Invest</v>
      </c>
      <c r="CX1176" s="61"/>
      <c r="CY1176" s="45">
        <v>1172</v>
      </c>
      <c r="CZ1176" s="45">
        <v>4.294798373847895</v>
      </c>
      <c r="DA1176" s="45" t="str">
        <v>Invest</v>
      </c>
      <c r="DU1176" s="52"/>
      <c r="DV1176" s="50"/>
    </row>
    <row r="1177" spans="91:126" ht="23.5">
      <c r="CM1177" s="45">
        <v>1173</v>
      </c>
      <c r="CN1177" s="48">
        <v>7.8999756530834215</v>
      </c>
      <c r="CO1177" s="45" t="str">
        <v>Invest</v>
      </c>
      <c r="CP1177" s="61"/>
      <c r="CQ1177" s="45">
        <v>1173</v>
      </c>
      <c r="CR1177" s="45">
        <v>13.006811606852278</v>
      </c>
      <c r="CS1177" s="45" t="str">
        <v>Invest</v>
      </c>
      <c r="CT1177" s="61"/>
      <c r="CU1177" s="45">
        <v>1173</v>
      </c>
      <c r="CV1177" s="45">
        <v>25.679238373839794</v>
      </c>
      <c r="CW1177" s="45" t="str">
        <v>Invest</v>
      </c>
      <c r="CX1177" s="61"/>
      <c r="CY1177" s="45">
        <v>1173</v>
      </c>
      <c r="CZ1177" s="45">
        <v>0</v>
      </c>
      <c r="DA1177" s="45" t="str">
        <v>Nothing</v>
      </c>
      <c r="DU1177" s="52"/>
      <c r="DV1177" s="50"/>
    </row>
    <row r="1178" spans="91:126" ht="23.5">
      <c r="CM1178" s="45">
        <v>1174</v>
      </c>
      <c r="CN1178" s="48">
        <v>0</v>
      </c>
      <c r="CO1178" s="45" t="str">
        <v>Nothing</v>
      </c>
      <c r="CP1178" s="61"/>
      <c r="CQ1178" s="45">
        <v>1174</v>
      </c>
      <c r="CR1178" s="45">
        <v>10.186275646335817</v>
      </c>
      <c r="CS1178" s="45" t="str">
        <v>Invest</v>
      </c>
      <c r="CT1178" s="61"/>
      <c r="CU1178" s="45">
        <v>1174</v>
      </c>
      <c r="CV1178" s="45">
        <v>21.623719198658524</v>
      </c>
      <c r="CW1178" s="45" t="str">
        <v>Invest</v>
      </c>
      <c r="CX1178" s="61"/>
      <c r="CY1178" s="45">
        <v>1174</v>
      </c>
      <c r="CZ1178" s="45">
        <v>21.332855125434804</v>
      </c>
      <c r="DA1178" s="45" t="str">
        <v>Invest</v>
      </c>
      <c r="DU1178" s="52"/>
      <c r="DV1178" s="50"/>
    </row>
    <row r="1179" spans="91:126" ht="23.5">
      <c r="CM1179" s="45">
        <v>1175</v>
      </c>
      <c r="CN1179" s="48">
        <v>0</v>
      </c>
      <c r="CO1179" s="45" t="str">
        <v>Nothing</v>
      </c>
      <c r="CP1179" s="61"/>
      <c r="CQ1179" s="45">
        <v>1175</v>
      </c>
      <c r="CR1179" s="45">
        <v>55.956711200683387</v>
      </c>
      <c r="CS1179" s="45" t="str">
        <v>Invest</v>
      </c>
      <c r="CT1179" s="61"/>
      <c r="CU1179" s="45">
        <v>1175</v>
      </c>
      <c r="CV1179" s="45">
        <v>0</v>
      </c>
      <c r="CW1179" s="45" t="str">
        <v>Nothing</v>
      </c>
      <c r="CX1179" s="61"/>
      <c r="CY1179" s="45">
        <v>1175</v>
      </c>
      <c r="CZ1179" s="45">
        <v>0</v>
      </c>
      <c r="DA1179" s="45" t="str">
        <v>Nothing</v>
      </c>
      <c r="DU1179" s="52"/>
      <c r="DV1179" s="50"/>
    </row>
    <row r="1180" spans="91:126" ht="23.5">
      <c r="CM1180" s="45">
        <v>1176</v>
      </c>
      <c r="CN1180" s="48">
        <v>44.574456993784857</v>
      </c>
      <c r="CO1180" s="45" t="str">
        <v>Invest</v>
      </c>
      <c r="CP1180" s="61"/>
      <c r="CQ1180" s="45">
        <v>1176</v>
      </c>
      <c r="CR1180" s="45">
        <v>0</v>
      </c>
      <c r="CS1180" s="45" t="str">
        <v>Nothing</v>
      </c>
      <c r="CT1180" s="61"/>
      <c r="CU1180" s="45">
        <v>1176</v>
      </c>
      <c r="CV1180" s="45">
        <v>36.073470722647031</v>
      </c>
      <c r="CW1180" s="45" t="str">
        <v>Invest</v>
      </c>
      <c r="CX1180" s="61"/>
      <c r="CY1180" s="45">
        <v>1176</v>
      </c>
      <c r="CZ1180" s="45">
        <v>0</v>
      </c>
      <c r="DA1180" s="45" t="str">
        <v>Nothing</v>
      </c>
      <c r="DU1180" s="52"/>
      <c r="DV1180" s="50"/>
    </row>
    <row r="1181" spans="91:126" ht="23.5">
      <c r="CM1181" s="45">
        <v>1177</v>
      </c>
      <c r="CN1181" s="48">
        <v>30.735688281050752</v>
      </c>
      <c r="CO1181" s="45" t="str">
        <v>Invest</v>
      </c>
      <c r="CP1181" s="61"/>
      <c r="CQ1181" s="45">
        <v>1177</v>
      </c>
      <c r="CR1181" s="45">
        <v>2.671622758232008</v>
      </c>
      <c r="CS1181" s="45" t="str">
        <v>Invest</v>
      </c>
      <c r="CT1181" s="61"/>
      <c r="CU1181" s="45">
        <v>1177</v>
      </c>
      <c r="CV1181" s="45">
        <v>20.921266119146605</v>
      </c>
      <c r="CW1181" s="45" t="str">
        <v>Invest</v>
      </c>
      <c r="CX1181" s="61"/>
      <c r="CY1181" s="45">
        <v>1177</v>
      </c>
      <c r="CZ1181" s="45">
        <v>0</v>
      </c>
      <c r="DA1181" s="45" t="str">
        <v>Nothing</v>
      </c>
      <c r="DU1181" s="52"/>
      <c r="DV1181" s="50"/>
    </row>
    <row r="1182" spans="91:126" ht="23.5">
      <c r="CM1182" s="45">
        <v>1178</v>
      </c>
      <c r="CN1182" s="48">
        <v>0</v>
      </c>
      <c r="CO1182" s="45" t="str">
        <v>Nothing</v>
      </c>
      <c r="CP1182" s="61"/>
      <c r="CQ1182" s="45">
        <v>1178</v>
      </c>
      <c r="CR1182" s="45">
        <v>0</v>
      </c>
      <c r="CS1182" s="45" t="str">
        <v>Nothing</v>
      </c>
      <c r="CT1182" s="61"/>
      <c r="CU1182" s="45">
        <v>1178</v>
      </c>
      <c r="CV1182" s="45">
        <v>11.853075319906569</v>
      </c>
      <c r="CW1182" s="45" t="str">
        <v>Invest</v>
      </c>
      <c r="CX1182" s="61"/>
      <c r="CY1182" s="45">
        <v>1178</v>
      </c>
      <c r="CZ1182" s="45">
        <v>47.165579765206758</v>
      </c>
      <c r="DA1182" s="45" t="str">
        <v>Invest</v>
      </c>
      <c r="DU1182" s="52"/>
      <c r="DV1182" s="50"/>
    </row>
    <row r="1183" spans="91:126" ht="23.5">
      <c r="CM1183" s="45">
        <v>1179</v>
      </c>
      <c r="CN1183" s="48">
        <v>26.529136194552251</v>
      </c>
      <c r="CO1183" s="45" t="str">
        <v>Invest</v>
      </c>
      <c r="CP1183" s="61"/>
      <c r="CQ1183" s="45">
        <v>1179</v>
      </c>
      <c r="CR1183" s="45">
        <v>13.925483605901249</v>
      </c>
      <c r="CS1183" s="45" t="str">
        <v>Invest</v>
      </c>
      <c r="CT1183" s="61"/>
      <c r="CU1183" s="45">
        <v>1179</v>
      </c>
      <c r="CV1183" s="45">
        <v>12.593942724598937</v>
      </c>
      <c r="CW1183" s="45" t="str">
        <v>Invest</v>
      </c>
      <c r="CX1183" s="61"/>
      <c r="CY1183" s="45">
        <v>1179</v>
      </c>
      <c r="CZ1183" s="45">
        <v>0</v>
      </c>
      <c r="DA1183" s="45" t="str">
        <v>Nothing</v>
      </c>
      <c r="DU1183" s="52"/>
      <c r="DV1183" s="50"/>
    </row>
    <row r="1184" spans="91:126" ht="23.5">
      <c r="CM1184" s="45">
        <v>1180</v>
      </c>
      <c r="CN1184" s="48">
        <v>57.528062656997328</v>
      </c>
      <c r="CO1184" s="45" t="str">
        <v>Invest</v>
      </c>
      <c r="CP1184" s="61"/>
      <c r="CQ1184" s="45">
        <v>1180</v>
      </c>
      <c r="CR1184" s="45">
        <v>27.056557870924667</v>
      </c>
      <c r="CS1184" s="45" t="str">
        <v>Invest</v>
      </c>
      <c r="CT1184" s="61"/>
      <c r="CU1184" s="45">
        <v>1180</v>
      </c>
      <c r="CV1184" s="45">
        <v>0</v>
      </c>
      <c r="CW1184" s="45" t="str">
        <v>Nothing</v>
      </c>
      <c r="CX1184" s="61"/>
      <c r="CY1184" s="45">
        <v>1180</v>
      </c>
      <c r="CZ1184" s="45">
        <v>14.436031023138739</v>
      </c>
      <c r="DA1184" s="45" t="str">
        <v>Invest</v>
      </c>
      <c r="DU1184" s="52"/>
      <c r="DV1184" s="50"/>
    </row>
    <row r="1185" spans="91:126" ht="23.5">
      <c r="CM1185" s="45">
        <v>1181</v>
      </c>
      <c r="CN1185" s="48">
        <v>21.487213022964596</v>
      </c>
      <c r="CO1185" s="45" t="str">
        <v>Invest</v>
      </c>
      <c r="CP1185" s="61"/>
      <c r="CQ1185" s="45">
        <v>1181</v>
      </c>
      <c r="CR1185" s="45">
        <v>19.124171919453012</v>
      </c>
      <c r="CS1185" s="45" t="str">
        <v>Invest</v>
      </c>
      <c r="CT1185" s="61"/>
      <c r="CU1185" s="45">
        <v>1181</v>
      </c>
      <c r="CV1185" s="45">
        <v>19.504830914163207</v>
      </c>
      <c r="CW1185" s="45" t="str">
        <v>Invest</v>
      </c>
      <c r="CX1185" s="61"/>
      <c r="CY1185" s="45">
        <v>1181</v>
      </c>
      <c r="CZ1185" s="45">
        <v>1.2634426772260747</v>
      </c>
      <c r="DA1185" s="45" t="str">
        <v>Invest</v>
      </c>
      <c r="DU1185" s="52"/>
      <c r="DV1185" s="50"/>
    </row>
    <row r="1186" spans="91:126" ht="23.5">
      <c r="CM1186" s="45">
        <v>1182</v>
      </c>
      <c r="CN1186" s="48">
        <v>8.84687753274277</v>
      </c>
      <c r="CO1186" s="45" t="str">
        <v>Invest</v>
      </c>
      <c r="CP1186" s="61"/>
      <c r="CQ1186" s="45">
        <v>1182</v>
      </c>
      <c r="CR1186" s="45">
        <v>10.32680532969388</v>
      </c>
      <c r="CS1186" s="45" t="str">
        <v>Invest</v>
      </c>
      <c r="CT1186" s="61"/>
      <c r="CU1186" s="45">
        <v>1182</v>
      </c>
      <c r="CV1186" s="45">
        <v>0</v>
      </c>
      <c r="CW1186" s="45" t="str">
        <v>Nothing</v>
      </c>
      <c r="CX1186" s="61"/>
      <c r="CY1186" s="45">
        <v>1182</v>
      </c>
      <c r="CZ1186" s="45">
        <v>19.649637178042322</v>
      </c>
      <c r="DA1186" s="45" t="str">
        <v>Invest</v>
      </c>
      <c r="DU1186" s="52"/>
      <c r="DV1186" s="50"/>
    </row>
    <row r="1187" spans="91:126" ht="23.5">
      <c r="CM1187" s="45">
        <v>1183</v>
      </c>
      <c r="CN1187" s="48">
        <v>0</v>
      </c>
      <c r="CO1187" s="45" t="str">
        <v>Nothing</v>
      </c>
      <c r="CP1187" s="61"/>
      <c r="CQ1187" s="45">
        <v>1183</v>
      </c>
      <c r="CR1187" s="45">
        <v>37.605501264646833</v>
      </c>
      <c r="CS1187" s="45" t="str">
        <v>Invest</v>
      </c>
      <c r="CT1187" s="61"/>
      <c r="CU1187" s="45">
        <v>1183</v>
      </c>
      <c r="CV1187" s="45">
        <v>16.047331037601445</v>
      </c>
      <c r="CW1187" s="45" t="str">
        <v>Invest</v>
      </c>
      <c r="CX1187" s="61"/>
      <c r="CY1187" s="45">
        <v>1183</v>
      </c>
      <c r="CZ1187" s="45">
        <v>0</v>
      </c>
      <c r="DA1187" s="45" t="str">
        <v>Nothing</v>
      </c>
      <c r="DU1187" s="52"/>
      <c r="DV1187" s="50"/>
    </row>
    <row r="1188" spans="91:126" ht="23.5">
      <c r="CM1188" s="45">
        <v>1184</v>
      </c>
      <c r="CN1188" s="48">
        <v>5.135705963985103</v>
      </c>
      <c r="CO1188" s="45" t="str">
        <v>Invest</v>
      </c>
      <c r="CP1188" s="61"/>
      <c r="CQ1188" s="45">
        <v>1184</v>
      </c>
      <c r="CR1188" s="45">
        <v>25.162086684277796</v>
      </c>
      <c r="CS1188" s="45" t="str">
        <v>Invest</v>
      </c>
      <c r="CT1188" s="61"/>
      <c r="CU1188" s="45">
        <v>1184</v>
      </c>
      <c r="CV1188" s="45">
        <v>0.26196923759248136</v>
      </c>
      <c r="CW1188" s="45" t="str">
        <v>Invest</v>
      </c>
      <c r="CX1188" s="61"/>
      <c r="CY1188" s="45">
        <v>1184</v>
      </c>
      <c r="CZ1188" s="45">
        <v>0</v>
      </c>
      <c r="DA1188" s="45" t="str">
        <v>Nothing</v>
      </c>
      <c r="DU1188" s="52"/>
      <c r="DV1188" s="50"/>
    </row>
    <row r="1189" spans="91:126" ht="23.5">
      <c r="CM1189" s="45">
        <v>1185</v>
      </c>
      <c r="CN1189" s="48">
        <v>0</v>
      </c>
      <c r="CO1189" s="45" t="str">
        <v>Nothing</v>
      </c>
      <c r="CP1189" s="61"/>
      <c r="CQ1189" s="45">
        <v>1185</v>
      </c>
      <c r="CR1189" s="45">
        <v>38.186887047041758</v>
      </c>
      <c r="CS1189" s="45" t="str">
        <v>Invest</v>
      </c>
      <c r="CT1189" s="61"/>
      <c r="CU1189" s="45">
        <v>1185</v>
      </c>
      <c r="CV1189" s="45">
        <v>14.137926072040777</v>
      </c>
      <c r="CW1189" s="45" t="str">
        <v>Invest</v>
      </c>
      <c r="CX1189" s="61"/>
      <c r="CY1189" s="45">
        <v>1185</v>
      </c>
      <c r="CZ1189" s="45">
        <v>0</v>
      </c>
      <c r="DA1189" s="45" t="str">
        <v>Nothing</v>
      </c>
      <c r="DU1189" s="52"/>
      <c r="DV1189" s="50"/>
    </row>
    <row r="1190" spans="91:126" ht="23.5">
      <c r="CM1190" s="45">
        <v>1186</v>
      </c>
      <c r="CN1190" s="48">
        <v>0</v>
      </c>
      <c r="CO1190" s="45" t="str">
        <v>Nothing</v>
      </c>
      <c r="CP1190" s="61"/>
      <c r="CQ1190" s="45">
        <v>1186</v>
      </c>
      <c r="CR1190" s="45">
        <v>15.986838495544204</v>
      </c>
      <c r="CS1190" s="45" t="str">
        <v>Invest</v>
      </c>
      <c r="CT1190" s="61"/>
      <c r="CU1190" s="45">
        <v>1186</v>
      </c>
      <c r="CV1190" s="45">
        <v>5.852621725077741</v>
      </c>
      <c r="CW1190" s="45" t="str">
        <v>Invest</v>
      </c>
      <c r="CX1190" s="61"/>
      <c r="CY1190" s="45">
        <v>1186</v>
      </c>
      <c r="CZ1190" s="45">
        <v>0</v>
      </c>
      <c r="DA1190" s="45" t="str">
        <v>Nothing</v>
      </c>
      <c r="DU1190" s="52"/>
      <c r="DV1190" s="50"/>
    </row>
    <row r="1191" spans="91:126" ht="23.5">
      <c r="CM1191" s="45">
        <v>1187</v>
      </c>
      <c r="CN1191" s="48">
        <v>39.325435672656845</v>
      </c>
      <c r="CO1191" s="45" t="str">
        <v>Invest</v>
      </c>
      <c r="CP1191" s="61"/>
      <c r="CQ1191" s="45">
        <v>1187</v>
      </c>
      <c r="CR1191" s="45">
        <v>0</v>
      </c>
      <c r="CS1191" s="45" t="str">
        <v>Nothing</v>
      </c>
      <c r="CT1191" s="61"/>
      <c r="CU1191" s="45">
        <v>1187</v>
      </c>
      <c r="CV1191" s="45">
        <v>8.524596798943687</v>
      </c>
      <c r="CW1191" s="45" t="str">
        <v>Invest</v>
      </c>
      <c r="CX1191" s="61"/>
      <c r="CY1191" s="45">
        <v>1187</v>
      </c>
      <c r="CZ1191" s="45">
        <v>0</v>
      </c>
      <c r="DA1191" s="45" t="str">
        <v>Nothing</v>
      </c>
      <c r="DU1191" s="52"/>
      <c r="DV1191" s="50"/>
    </row>
    <row r="1192" spans="91:126" ht="23.5">
      <c r="CM1192" s="45">
        <v>1188</v>
      </c>
      <c r="CN1192" s="48">
        <v>19.829118921796585</v>
      </c>
      <c r="CO1192" s="45" t="str">
        <v>Invest</v>
      </c>
      <c r="CP1192" s="61"/>
      <c r="CQ1192" s="45">
        <v>1188</v>
      </c>
      <c r="CR1192" s="45">
        <v>0</v>
      </c>
      <c r="CS1192" s="45" t="str">
        <v>Nothing</v>
      </c>
      <c r="CT1192" s="61"/>
      <c r="CU1192" s="45">
        <v>1188</v>
      </c>
      <c r="CV1192" s="45">
        <v>7.7097038258624195</v>
      </c>
      <c r="CW1192" s="45" t="str">
        <v>Invest</v>
      </c>
      <c r="CX1192" s="61"/>
      <c r="CY1192" s="45">
        <v>1188</v>
      </c>
      <c r="CZ1192" s="45">
        <v>34.046845986600694</v>
      </c>
      <c r="DA1192" s="45" t="str">
        <v>Invest</v>
      </c>
      <c r="DU1192" s="52"/>
      <c r="DV1192" s="50"/>
    </row>
    <row r="1193" spans="91:126" ht="23.5">
      <c r="CM1193" s="45">
        <v>1189</v>
      </c>
      <c r="CN1193" s="48">
        <v>2.9227596977163053</v>
      </c>
      <c r="CO1193" s="45" t="str">
        <v>Invest</v>
      </c>
      <c r="CP1193" s="61"/>
      <c r="CQ1193" s="45">
        <v>1189</v>
      </c>
      <c r="CR1193" s="45">
        <v>0</v>
      </c>
      <c r="CS1193" s="45" t="str">
        <v>Nothing</v>
      </c>
      <c r="CT1193" s="61"/>
      <c r="CU1193" s="45">
        <v>1189</v>
      </c>
      <c r="CV1193" s="45">
        <v>7.1091271703567536</v>
      </c>
      <c r="CW1193" s="45" t="str">
        <v>Invest</v>
      </c>
      <c r="CX1193" s="61"/>
      <c r="CY1193" s="45">
        <v>1189</v>
      </c>
      <c r="CZ1193" s="45">
        <v>29.06149364296143</v>
      </c>
      <c r="DA1193" s="45" t="str">
        <v>Invest</v>
      </c>
      <c r="DU1193" s="52"/>
      <c r="DV1193" s="50"/>
    </row>
    <row r="1194" spans="91:126" ht="23.5">
      <c r="CM1194" s="45">
        <v>1190</v>
      </c>
      <c r="CN1194" s="48">
        <v>51.380670703805478</v>
      </c>
      <c r="CO1194" s="45" t="str">
        <v>Invest</v>
      </c>
      <c r="CP1194" s="61"/>
      <c r="CQ1194" s="45">
        <v>1190</v>
      </c>
      <c r="CR1194" s="45">
        <v>0</v>
      </c>
      <c r="CS1194" s="45" t="str">
        <v>Nothing</v>
      </c>
      <c r="CT1194" s="61"/>
      <c r="CU1194" s="45">
        <v>1190</v>
      </c>
      <c r="CV1194" s="45">
        <v>2.5098098296697717</v>
      </c>
      <c r="CW1194" s="45" t="str">
        <v>Invest</v>
      </c>
      <c r="CX1194" s="61"/>
      <c r="CY1194" s="45">
        <v>1190</v>
      </c>
      <c r="CZ1194" s="45">
        <v>0</v>
      </c>
      <c r="DA1194" s="45" t="str">
        <v>Nothing</v>
      </c>
      <c r="DU1194" s="52"/>
      <c r="DV1194" s="50"/>
    </row>
    <row r="1195" spans="91:126" ht="23.5">
      <c r="CM1195" s="45">
        <v>1191</v>
      </c>
      <c r="CN1195" s="48">
        <v>0</v>
      </c>
      <c r="CO1195" s="45" t="str">
        <v>Nothing</v>
      </c>
      <c r="CP1195" s="61"/>
      <c r="CQ1195" s="45">
        <v>1191</v>
      </c>
      <c r="CR1195" s="45">
        <v>29.377380494244242</v>
      </c>
      <c r="CS1195" s="45" t="str">
        <v>Invest</v>
      </c>
      <c r="CT1195" s="61"/>
      <c r="CU1195" s="45">
        <v>1191</v>
      </c>
      <c r="CV1195" s="45">
        <v>35.003776555725509</v>
      </c>
      <c r="CW1195" s="45" t="str">
        <v>Invest</v>
      </c>
      <c r="CX1195" s="61"/>
      <c r="CY1195" s="45">
        <v>1191</v>
      </c>
      <c r="CZ1195" s="45">
        <v>17.655917440726078</v>
      </c>
      <c r="DA1195" s="45" t="str">
        <v>Invest</v>
      </c>
      <c r="DU1195" s="52"/>
      <c r="DV1195" s="50"/>
    </row>
    <row r="1196" spans="91:126" ht="23.5">
      <c r="CM1196" s="45">
        <v>1192</v>
      </c>
      <c r="CN1196" s="48">
        <v>18.392690841236742</v>
      </c>
      <c r="CO1196" s="45" t="str">
        <v>Invest</v>
      </c>
      <c r="CP1196" s="61"/>
      <c r="CQ1196" s="45">
        <v>1192</v>
      </c>
      <c r="CR1196" s="45">
        <v>13.954888668790282</v>
      </c>
      <c r="CS1196" s="45" t="str">
        <v>Invest</v>
      </c>
      <c r="CT1196" s="61"/>
      <c r="CU1196" s="45">
        <v>1192</v>
      </c>
      <c r="CV1196" s="45">
        <v>30.564325445950981</v>
      </c>
      <c r="CW1196" s="45" t="str">
        <v>Invest</v>
      </c>
      <c r="CX1196" s="61"/>
      <c r="CY1196" s="45">
        <v>1192</v>
      </c>
      <c r="CZ1196" s="45">
        <v>53.587749165970038</v>
      </c>
      <c r="DA1196" s="45" t="str">
        <v>Invest</v>
      </c>
      <c r="DU1196" s="52"/>
      <c r="DV1196" s="50"/>
    </row>
    <row r="1197" spans="91:126" ht="23.5">
      <c r="CM1197" s="45">
        <v>1193</v>
      </c>
      <c r="CN1197" s="48">
        <v>5.1024410333142285</v>
      </c>
      <c r="CO1197" s="45" t="str">
        <v>Invest</v>
      </c>
      <c r="CP1197" s="61"/>
      <c r="CQ1197" s="45">
        <v>1193</v>
      </c>
      <c r="CR1197" s="45">
        <v>59.312920718391567</v>
      </c>
      <c r="CS1197" s="45" t="str">
        <v>Invest</v>
      </c>
      <c r="CT1197" s="61"/>
      <c r="CU1197" s="45">
        <v>1193</v>
      </c>
      <c r="CV1197" s="45">
        <v>0</v>
      </c>
      <c r="CW1197" s="45" t="str">
        <v>Nothing</v>
      </c>
      <c r="CX1197" s="61"/>
      <c r="CY1197" s="45">
        <v>1193</v>
      </c>
      <c r="CZ1197" s="45">
        <v>0.51614869639392147</v>
      </c>
      <c r="DA1197" s="45" t="str">
        <v>Invest</v>
      </c>
      <c r="DU1197" s="52"/>
      <c r="DV1197" s="50"/>
    </row>
    <row r="1198" spans="91:126" ht="23.5">
      <c r="CM1198" s="45">
        <v>1194</v>
      </c>
      <c r="CN1198" s="48">
        <v>0</v>
      </c>
      <c r="CO1198" s="45" t="str">
        <v>Nothing</v>
      </c>
      <c r="CP1198" s="61"/>
      <c r="CQ1198" s="45">
        <v>1194</v>
      </c>
      <c r="CR1198" s="45">
        <v>16.447967164781382</v>
      </c>
      <c r="CS1198" s="45" t="str">
        <v>Invest</v>
      </c>
      <c r="CT1198" s="61"/>
      <c r="CU1198" s="45">
        <v>1194</v>
      </c>
      <c r="CV1198" s="45">
        <v>29.651169770297695</v>
      </c>
      <c r="CW1198" s="45" t="str">
        <v>Invest</v>
      </c>
      <c r="CX1198" s="61"/>
      <c r="CY1198" s="45">
        <v>1194</v>
      </c>
      <c r="CZ1198" s="45">
        <v>19.480465384749856</v>
      </c>
      <c r="DA1198" s="45" t="str">
        <v>Invest</v>
      </c>
      <c r="DU1198" s="52"/>
      <c r="DV1198" s="50"/>
    </row>
    <row r="1199" spans="91:126" ht="23.5">
      <c r="CM1199" s="45">
        <v>1195</v>
      </c>
      <c r="CN1199" s="48">
        <v>4.7557522249619071</v>
      </c>
      <c r="CO1199" s="45" t="str">
        <v>Invest</v>
      </c>
      <c r="CP1199" s="61"/>
      <c r="CQ1199" s="45">
        <v>1195</v>
      </c>
      <c r="CR1199" s="45">
        <v>8.282824058630176</v>
      </c>
      <c r="CS1199" s="45" t="str">
        <v>Invest</v>
      </c>
      <c r="CT1199" s="61"/>
      <c r="CU1199" s="45">
        <v>1195</v>
      </c>
      <c r="CV1199" s="45">
        <v>0</v>
      </c>
      <c r="CW1199" s="45" t="str">
        <v>Nothing</v>
      </c>
      <c r="CX1199" s="61"/>
      <c r="CY1199" s="45">
        <v>1195</v>
      </c>
      <c r="CZ1199" s="45">
        <v>0</v>
      </c>
      <c r="DA1199" s="45" t="str">
        <v>Nothing</v>
      </c>
      <c r="DU1199" s="52"/>
      <c r="DV1199" s="50"/>
    </row>
    <row r="1200" spans="91:126" ht="23.5">
      <c r="CM1200" s="45">
        <v>1196</v>
      </c>
      <c r="CN1200" s="48">
        <v>0</v>
      </c>
      <c r="CO1200" s="45" t="str">
        <v>Nothing</v>
      </c>
      <c r="CP1200" s="61"/>
      <c r="CQ1200" s="45">
        <v>1196</v>
      </c>
      <c r="CR1200" s="45">
        <v>30.894685324788274</v>
      </c>
      <c r="CS1200" s="45" t="str">
        <v>Invest</v>
      </c>
      <c r="CT1200" s="61"/>
      <c r="CU1200" s="45">
        <v>1196</v>
      </c>
      <c r="CV1200" s="45">
        <v>20.71116646052349</v>
      </c>
      <c r="CW1200" s="45" t="str">
        <v>Invest</v>
      </c>
      <c r="CX1200" s="61"/>
      <c r="CY1200" s="45">
        <v>1196</v>
      </c>
      <c r="CZ1200" s="45">
        <v>11.069793999380121</v>
      </c>
      <c r="DA1200" s="45" t="str">
        <v>Invest</v>
      </c>
      <c r="DU1200" s="52"/>
      <c r="DV1200" s="50"/>
    </row>
    <row r="1201" spans="91:126" ht="23.5">
      <c r="CM1201" s="45">
        <v>1197</v>
      </c>
      <c r="CN1201" s="48">
        <v>40.831781483144205</v>
      </c>
      <c r="CO1201" s="45" t="str">
        <v>Invest</v>
      </c>
      <c r="CP1201" s="61"/>
      <c r="CQ1201" s="45">
        <v>1197</v>
      </c>
      <c r="CR1201" s="45">
        <v>5.6151943494055132</v>
      </c>
      <c r="CS1201" s="45" t="str">
        <v>Invest</v>
      </c>
      <c r="CT1201" s="61"/>
      <c r="CU1201" s="45">
        <v>1197</v>
      </c>
      <c r="CV1201" s="45">
        <v>21.75325998729609</v>
      </c>
      <c r="CW1201" s="45" t="str">
        <v>Invest</v>
      </c>
      <c r="CX1201" s="61"/>
      <c r="CY1201" s="45">
        <v>1197</v>
      </c>
      <c r="CZ1201" s="45">
        <v>13.555033920032463</v>
      </c>
      <c r="DA1201" s="45" t="str">
        <v>Invest</v>
      </c>
      <c r="DU1201" s="52"/>
      <c r="DV1201" s="50"/>
    </row>
    <row r="1202" spans="91:126" ht="23.5">
      <c r="CM1202" s="45">
        <v>1198</v>
      </c>
      <c r="CN1202" s="48">
        <v>18.798204274229384</v>
      </c>
      <c r="CO1202" s="45" t="str">
        <v>Invest</v>
      </c>
      <c r="CP1202" s="61"/>
      <c r="CQ1202" s="45">
        <v>1198</v>
      </c>
      <c r="CR1202" s="45">
        <v>0</v>
      </c>
      <c r="CS1202" s="45" t="str">
        <v>Nothing</v>
      </c>
      <c r="CT1202" s="61"/>
      <c r="CU1202" s="45">
        <v>1198</v>
      </c>
      <c r="CV1202" s="45">
        <v>32.01670301379005</v>
      </c>
      <c r="CW1202" s="45" t="str">
        <v>Invest</v>
      </c>
      <c r="CX1202" s="61"/>
      <c r="CY1202" s="45">
        <v>1198</v>
      </c>
      <c r="CZ1202" s="45">
        <v>35.59546348709474</v>
      </c>
      <c r="DA1202" s="45" t="str">
        <v>Invest</v>
      </c>
      <c r="DU1202" s="52"/>
      <c r="DV1202" s="50"/>
    </row>
    <row r="1203" spans="91:126" ht="23.5">
      <c r="CM1203" s="45">
        <v>1199</v>
      </c>
      <c r="CN1203" s="48">
        <v>42.698576858988702</v>
      </c>
      <c r="CO1203" s="45" t="str">
        <v>Invest</v>
      </c>
      <c r="CP1203" s="61"/>
      <c r="CQ1203" s="45">
        <v>1199</v>
      </c>
      <c r="CR1203" s="45">
        <v>28.624057949709211</v>
      </c>
      <c r="CS1203" s="45" t="str">
        <v>Invest</v>
      </c>
      <c r="CT1203" s="61"/>
      <c r="CU1203" s="45">
        <v>1199</v>
      </c>
      <c r="CV1203" s="45">
        <v>6.9504478233107267</v>
      </c>
      <c r="CW1203" s="45" t="str">
        <v>Invest</v>
      </c>
      <c r="CX1203" s="61"/>
      <c r="CY1203" s="45">
        <v>1199</v>
      </c>
      <c r="CZ1203" s="45">
        <v>4.2382183364966934</v>
      </c>
      <c r="DA1203" s="45" t="str">
        <v>Invest</v>
      </c>
      <c r="DU1203" s="52"/>
      <c r="DV1203" s="50"/>
    </row>
    <row r="1204" spans="91:126" ht="23.5">
      <c r="CM1204" s="45">
        <v>1200</v>
      </c>
      <c r="CN1204" s="48">
        <v>45.96438952016026</v>
      </c>
      <c r="CO1204" s="45" t="str">
        <v>Invest</v>
      </c>
      <c r="CP1204" s="61"/>
      <c r="CQ1204" s="45">
        <v>1200</v>
      </c>
      <c r="CR1204" s="45">
        <v>1.133409355429305</v>
      </c>
      <c r="CS1204" s="45" t="str">
        <v>Invest</v>
      </c>
      <c r="CT1204" s="61"/>
      <c r="CU1204" s="45">
        <v>1200</v>
      </c>
      <c r="CV1204" s="45">
        <v>22.418750555767566</v>
      </c>
      <c r="CW1204" s="45" t="str">
        <v>Invest</v>
      </c>
      <c r="CX1204" s="61"/>
      <c r="CY1204" s="45">
        <v>1200</v>
      </c>
      <c r="CZ1204" s="45">
        <v>53.190057034618157</v>
      </c>
      <c r="DA1204" s="45" t="str">
        <v>Invest</v>
      </c>
      <c r="DU1204" s="52"/>
      <c r="DV1204" s="50"/>
    </row>
    <row r="1205" spans="91:126" ht="23.5">
      <c r="CM1205" s="45">
        <v>1201</v>
      </c>
      <c r="CN1205" s="48">
        <v>46.255132158081118</v>
      </c>
      <c r="CO1205" s="45" t="str">
        <v>Invest</v>
      </c>
      <c r="CP1205" s="61"/>
      <c r="CQ1205" s="45">
        <v>1201</v>
      </c>
      <c r="CR1205" s="45">
        <v>9.016363831856534</v>
      </c>
      <c r="CS1205" s="45" t="str">
        <v>Invest</v>
      </c>
      <c r="CT1205" s="61"/>
      <c r="CU1205" s="45">
        <v>1201</v>
      </c>
      <c r="CV1205" s="45">
        <v>0</v>
      </c>
      <c r="CW1205" s="45" t="str">
        <v>Nothing</v>
      </c>
      <c r="CX1205" s="61"/>
      <c r="CY1205" s="45">
        <v>1201</v>
      </c>
      <c r="CZ1205" s="45">
        <v>41.05573104036349</v>
      </c>
      <c r="DA1205" s="45" t="str">
        <v>Invest</v>
      </c>
      <c r="DU1205" s="52"/>
      <c r="DV1205" s="50"/>
    </row>
    <row r="1206" spans="91:126" ht="23.5">
      <c r="CM1206" s="45">
        <v>1202</v>
      </c>
      <c r="CN1206" s="48">
        <v>45.970500405018122</v>
      </c>
      <c r="CO1206" s="45" t="str">
        <v>Invest</v>
      </c>
      <c r="CP1206" s="61"/>
      <c r="CQ1206" s="45">
        <v>1202</v>
      </c>
      <c r="CR1206" s="45">
        <v>4.6491911775112884</v>
      </c>
      <c r="CS1206" s="45" t="str">
        <v>Invest</v>
      </c>
      <c r="CT1206" s="61"/>
      <c r="CU1206" s="45">
        <v>1202</v>
      </c>
      <c r="CV1206" s="45">
        <v>0</v>
      </c>
      <c r="CW1206" s="45" t="str">
        <v>Nothing</v>
      </c>
      <c r="CX1206" s="61"/>
      <c r="CY1206" s="45">
        <v>1202</v>
      </c>
      <c r="CZ1206" s="45">
        <v>8.2197030557856348</v>
      </c>
      <c r="DA1206" s="45" t="str">
        <v>Invest</v>
      </c>
      <c r="DU1206" s="52"/>
      <c r="DV1206" s="50"/>
    </row>
    <row r="1207" spans="91:126" ht="23.5">
      <c r="CM1207" s="45">
        <v>1203</v>
      </c>
      <c r="CN1207" s="48">
        <v>10.839077385623645</v>
      </c>
      <c r="CO1207" s="45" t="str">
        <v>Invest</v>
      </c>
      <c r="CP1207" s="61"/>
      <c r="CQ1207" s="45">
        <v>1203</v>
      </c>
      <c r="CR1207" s="45">
        <v>3.9448333664945503</v>
      </c>
      <c r="CS1207" s="45" t="str">
        <v>Invest</v>
      </c>
      <c r="CT1207" s="61"/>
      <c r="CU1207" s="45">
        <v>1203</v>
      </c>
      <c r="CV1207" s="45">
        <v>18.671515196927395</v>
      </c>
      <c r="CW1207" s="45" t="str">
        <v>Invest</v>
      </c>
      <c r="CX1207" s="61"/>
      <c r="CY1207" s="45">
        <v>1203</v>
      </c>
      <c r="CZ1207" s="45">
        <v>14.658998753726483</v>
      </c>
      <c r="DA1207" s="45" t="str">
        <v>Invest</v>
      </c>
      <c r="DU1207" s="52"/>
      <c r="DV1207" s="50"/>
    </row>
    <row r="1208" spans="91:126" ht="23.5">
      <c r="CM1208" s="45">
        <v>1204</v>
      </c>
      <c r="CN1208" s="48">
        <v>27.910603317286807</v>
      </c>
      <c r="CO1208" s="45" t="str">
        <v>Invest</v>
      </c>
      <c r="CP1208" s="61"/>
      <c r="CQ1208" s="45">
        <v>1204</v>
      </c>
      <c r="CR1208" s="45">
        <v>22.996113630013539</v>
      </c>
      <c r="CS1208" s="45" t="str">
        <v>Invest</v>
      </c>
      <c r="CT1208" s="61"/>
      <c r="CU1208" s="45">
        <v>1204</v>
      </c>
      <c r="CV1208" s="45">
        <v>8.494342750905961</v>
      </c>
      <c r="CW1208" s="45" t="str">
        <v>Invest</v>
      </c>
      <c r="CX1208" s="61"/>
      <c r="CY1208" s="45">
        <v>1204</v>
      </c>
      <c r="CZ1208" s="45">
        <v>28.785388204595673</v>
      </c>
      <c r="DA1208" s="45" t="str">
        <v>Invest</v>
      </c>
      <c r="DU1208" s="52"/>
      <c r="DV1208" s="50"/>
    </row>
    <row r="1209" spans="91:126" ht="23.5">
      <c r="CM1209" s="45">
        <v>1205</v>
      </c>
      <c r="CN1209" s="48">
        <v>0</v>
      </c>
      <c r="CO1209" s="45" t="str">
        <v>Nothing</v>
      </c>
      <c r="CP1209" s="61"/>
      <c r="CQ1209" s="45">
        <v>1205</v>
      </c>
      <c r="CR1209" s="45">
        <v>0</v>
      </c>
      <c r="CS1209" s="45" t="str">
        <v>Nothing</v>
      </c>
      <c r="CT1209" s="61"/>
      <c r="CU1209" s="45">
        <v>1205</v>
      </c>
      <c r="CV1209" s="45">
        <v>19.604191175044726</v>
      </c>
      <c r="CW1209" s="45" t="str">
        <v>Invest</v>
      </c>
      <c r="CX1209" s="61"/>
      <c r="CY1209" s="45">
        <v>1205</v>
      </c>
      <c r="CZ1209" s="45">
        <v>4.1758795739562728</v>
      </c>
      <c r="DA1209" s="45" t="str">
        <v>Invest</v>
      </c>
      <c r="DU1209" s="52"/>
      <c r="DV1209" s="50"/>
    </row>
    <row r="1210" spans="91:126" ht="23.5">
      <c r="CM1210" s="45">
        <v>1206</v>
      </c>
      <c r="CN1210" s="48">
        <v>13.77653929790954</v>
      </c>
      <c r="CO1210" s="45" t="str">
        <v>Invest</v>
      </c>
      <c r="CP1210" s="61"/>
      <c r="CQ1210" s="45">
        <v>1206</v>
      </c>
      <c r="CR1210" s="45">
        <v>9.4329155127686413</v>
      </c>
      <c r="CS1210" s="45" t="str">
        <v>Invest</v>
      </c>
      <c r="CT1210" s="61"/>
      <c r="CU1210" s="45">
        <v>1206</v>
      </c>
      <c r="CV1210" s="45">
        <v>1.2330752878319693</v>
      </c>
      <c r="CW1210" s="45" t="str">
        <v>Invest</v>
      </c>
      <c r="CX1210" s="61"/>
      <c r="CY1210" s="45">
        <v>1206</v>
      </c>
      <c r="CZ1210" s="45">
        <v>9.8493687842759812</v>
      </c>
      <c r="DA1210" s="45" t="str">
        <v>Invest</v>
      </c>
      <c r="DU1210" s="52"/>
      <c r="DV1210" s="50"/>
    </row>
    <row r="1211" spans="91:126" ht="23.5">
      <c r="CM1211" s="45">
        <v>1207</v>
      </c>
      <c r="CN1211" s="48">
        <v>1.9157453624097709</v>
      </c>
      <c r="CO1211" s="45" t="str">
        <v>Invest</v>
      </c>
      <c r="CP1211" s="61"/>
      <c r="CQ1211" s="45">
        <v>1207</v>
      </c>
      <c r="CR1211" s="45">
        <v>36.170481149504816</v>
      </c>
      <c r="CS1211" s="45" t="str">
        <v>Invest</v>
      </c>
      <c r="CT1211" s="61"/>
      <c r="CU1211" s="45">
        <v>1207</v>
      </c>
      <c r="CV1211" s="45">
        <v>0</v>
      </c>
      <c r="CW1211" s="45" t="str">
        <v>Nothing</v>
      </c>
      <c r="CX1211" s="61"/>
      <c r="CY1211" s="45">
        <v>1207</v>
      </c>
      <c r="CZ1211" s="45">
        <v>0</v>
      </c>
      <c r="DA1211" s="45" t="str">
        <v>Nothing</v>
      </c>
      <c r="DU1211" s="52"/>
      <c r="DV1211" s="50"/>
    </row>
    <row r="1212" spans="91:126" ht="23.5">
      <c r="CM1212" s="45">
        <v>1208</v>
      </c>
      <c r="CN1212" s="48">
        <v>26.480979128977864</v>
      </c>
      <c r="CO1212" s="45" t="str">
        <v>Invest</v>
      </c>
      <c r="CP1212" s="61"/>
      <c r="CQ1212" s="45">
        <v>1208</v>
      </c>
      <c r="CR1212" s="45">
        <v>36.122231196547283</v>
      </c>
      <c r="CS1212" s="45" t="str">
        <v>Invest</v>
      </c>
      <c r="CT1212" s="61"/>
      <c r="CU1212" s="45">
        <v>1208</v>
      </c>
      <c r="CV1212" s="45">
        <v>58.706030262603385</v>
      </c>
      <c r="CW1212" s="45" t="str">
        <v>Invest</v>
      </c>
      <c r="CX1212" s="61"/>
      <c r="CY1212" s="45">
        <v>1208</v>
      </c>
      <c r="CZ1212" s="45">
        <v>21.687218200927354</v>
      </c>
      <c r="DA1212" s="45" t="str">
        <v>Invest</v>
      </c>
      <c r="DU1212" s="52"/>
      <c r="DV1212" s="50"/>
    </row>
    <row r="1213" spans="91:126" ht="23.5">
      <c r="CM1213" s="45">
        <v>1209</v>
      </c>
      <c r="CN1213" s="48">
        <v>11.755043897690769</v>
      </c>
      <c r="CO1213" s="45" t="str">
        <v>Invest</v>
      </c>
      <c r="CP1213" s="61"/>
      <c r="CQ1213" s="45">
        <v>1209</v>
      </c>
      <c r="CR1213" s="45">
        <v>0</v>
      </c>
      <c r="CS1213" s="45" t="str">
        <v>Nothing</v>
      </c>
      <c r="CT1213" s="61"/>
      <c r="CU1213" s="45">
        <v>1209</v>
      </c>
      <c r="CV1213" s="45">
        <v>8.4976707316836979</v>
      </c>
      <c r="CW1213" s="45" t="str">
        <v>Invest</v>
      </c>
      <c r="CX1213" s="61"/>
      <c r="CY1213" s="45">
        <v>1209</v>
      </c>
      <c r="CZ1213" s="45">
        <v>59.453273829054645</v>
      </c>
      <c r="DA1213" s="45" t="str">
        <v>Invest</v>
      </c>
      <c r="DU1213" s="52"/>
      <c r="DV1213" s="50"/>
    </row>
    <row r="1214" spans="91:126" ht="23.5">
      <c r="CM1214" s="45">
        <v>1210</v>
      </c>
      <c r="CN1214" s="48">
        <v>0</v>
      </c>
      <c r="CO1214" s="45" t="str">
        <v>Nothing</v>
      </c>
      <c r="CP1214" s="61"/>
      <c r="CQ1214" s="45">
        <v>1210</v>
      </c>
      <c r="CR1214" s="45">
        <v>0</v>
      </c>
      <c r="CS1214" s="45" t="str">
        <v>Nothing</v>
      </c>
      <c r="CT1214" s="61"/>
      <c r="CU1214" s="45">
        <v>1210</v>
      </c>
      <c r="CV1214" s="45">
        <v>10.895716334535418</v>
      </c>
      <c r="CW1214" s="45" t="str">
        <v>Invest</v>
      </c>
      <c r="CX1214" s="61"/>
      <c r="CY1214" s="45">
        <v>1210</v>
      </c>
      <c r="CZ1214" s="45">
        <v>50.536696446673687</v>
      </c>
      <c r="DA1214" s="45" t="str">
        <v>Invest</v>
      </c>
      <c r="DU1214" s="52"/>
      <c r="DV1214" s="50"/>
    </row>
    <row r="1215" spans="91:126" ht="23.5">
      <c r="CM1215" s="45">
        <v>1211</v>
      </c>
      <c r="CN1215" s="48">
        <v>52.973258759155549</v>
      </c>
      <c r="CO1215" s="45" t="str">
        <v>Invest</v>
      </c>
      <c r="CP1215" s="61"/>
      <c r="CQ1215" s="45">
        <v>1211</v>
      </c>
      <c r="CR1215" s="45">
        <v>0</v>
      </c>
      <c r="CS1215" s="45" t="str">
        <v>Nothing</v>
      </c>
      <c r="CT1215" s="61"/>
      <c r="CU1215" s="45">
        <v>1211</v>
      </c>
      <c r="CV1215" s="45">
        <v>16.156646142235381</v>
      </c>
      <c r="CW1215" s="45" t="str">
        <v>Invest</v>
      </c>
      <c r="CX1215" s="61"/>
      <c r="CY1215" s="45">
        <v>1211</v>
      </c>
      <c r="CZ1215" s="45">
        <v>42.726970715272124</v>
      </c>
      <c r="DA1215" s="45" t="str">
        <v>Invest</v>
      </c>
      <c r="DU1215" s="52"/>
      <c r="DV1215" s="50"/>
    </row>
    <row r="1216" spans="91:126" ht="23.5">
      <c r="CM1216" s="45">
        <v>1212</v>
      </c>
      <c r="CN1216" s="48">
        <v>7.9990059140817351</v>
      </c>
      <c r="CO1216" s="45" t="str">
        <v>Invest</v>
      </c>
      <c r="CP1216" s="61"/>
      <c r="CQ1216" s="45">
        <v>1212</v>
      </c>
      <c r="CR1216" s="45">
        <v>3.56483799886486</v>
      </c>
      <c r="CS1216" s="45" t="str">
        <v>Invest</v>
      </c>
      <c r="CT1216" s="61"/>
      <c r="CU1216" s="45">
        <v>1212</v>
      </c>
      <c r="CV1216" s="45">
        <v>55.14727442952853</v>
      </c>
      <c r="CW1216" s="45" t="str">
        <v>Invest</v>
      </c>
      <c r="CX1216" s="61"/>
      <c r="CY1216" s="45">
        <v>1212</v>
      </c>
      <c r="CZ1216" s="45">
        <v>29.257050750895509</v>
      </c>
      <c r="DA1216" s="45" t="str">
        <v>Invest</v>
      </c>
      <c r="DU1216" s="52"/>
      <c r="DV1216" s="50"/>
    </row>
    <row r="1217" spans="91:126" ht="23.5">
      <c r="CM1217" s="45">
        <v>1213</v>
      </c>
      <c r="CN1217" s="48">
        <v>21.57532836387562</v>
      </c>
      <c r="CO1217" s="45" t="str">
        <v>Invest</v>
      </c>
      <c r="CP1217" s="61"/>
      <c r="CQ1217" s="45">
        <v>1213</v>
      </c>
      <c r="CR1217" s="45">
        <v>32.786452444176888</v>
      </c>
      <c r="CS1217" s="45" t="str">
        <v>Invest</v>
      </c>
      <c r="CT1217" s="61"/>
      <c r="CU1217" s="45">
        <v>1213</v>
      </c>
      <c r="CV1217" s="45">
        <v>0</v>
      </c>
      <c r="CW1217" s="45" t="str">
        <v>Nothing</v>
      </c>
      <c r="CX1217" s="61"/>
      <c r="CY1217" s="45">
        <v>1213</v>
      </c>
      <c r="CZ1217" s="45">
        <v>11.518208077402541</v>
      </c>
      <c r="DA1217" s="45" t="str">
        <v>Invest</v>
      </c>
      <c r="DU1217" s="52"/>
      <c r="DV1217" s="50"/>
    </row>
    <row r="1218" spans="91:126" ht="23.5">
      <c r="CM1218" s="45">
        <v>1214</v>
      </c>
      <c r="CN1218" s="48">
        <v>12.149849982698521</v>
      </c>
      <c r="CO1218" s="45" t="str">
        <v>Invest</v>
      </c>
      <c r="CP1218" s="61"/>
      <c r="CQ1218" s="45">
        <v>1214</v>
      </c>
      <c r="CR1218" s="45">
        <v>3.0518341383905714</v>
      </c>
      <c r="CS1218" s="45" t="str">
        <v>Invest</v>
      </c>
      <c r="CT1218" s="61"/>
      <c r="CU1218" s="45">
        <v>1214</v>
      </c>
      <c r="CV1218" s="45">
        <v>0</v>
      </c>
      <c r="CW1218" s="45" t="str">
        <v>Nothing</v>
      </c>
      <c r="CX1218" s="61"/>
      <c r="CY1218" s="45">
        <v>1214</v>
      </c>
      <c r="CZ1218" s="45">
        <v>0</v>
      </c>
      <c r="DA1218" s="45" t="str">
        <v>Nothing</v>
      </c>
      <c r="DU1218" s="52"/>
      <c r="DV1218" s="50"/>
    </row>
    <row r="1219" spans="91:126" ht="23.5">
      <c r="CM1219" s="45">
        <v>1215</v>
      </c>
      <c r="CN1219" s="48">
        <v>4.5844597644896847</v>
      </c>
      <c r="CO1219" s="45" t="str">
        <v>Invest</v>
      </c>
      <c r="CP1219" s="61"/>
      <c r="CQ1219" s="45">
        <v>1215</v>
      </c>
      <c r="CR1219" s="45">
        <v>30.087656215543344</v>
      </c>
      <c r="CS1219" s="45" t="str">
        <v>Invest</v>
      </c>
      <c r="CT1219" s="61"/>
      <c r="CU1219" s="45">
        <v>1215</v>
      </c>
      <c r="CV1219" s="45">
        <v>0</v>
      </c>
      <c r="CW1219" s="45" t="str">
        <v>Nothing</v>
      </c>
      <c r="CX1219" s="61"/>
      <c r="CY1219" s="45">
        <v>1215</v>
      </c>
      <c r="CZ1219" s="45">
        <v>11.238514227363289</v>
      </c>
      <c r="DA1219" s="45" t="str">
        <v>Invest</v>
      </c>
      <c r="DU1219" s="52"/>
      <c r="DV1219" s="50"/>
    </row>
    <row r="1220" spans="91:126" ht="23.5">
      <c r="CM1220" s="45">
        <v>1216</v>
      </c>
      <c r="CN1220" s="48">
        <v>42.877021578747666</v>
      </c>
      <c r="CO1220" s="45" t="str">
        <v>Invest</v>
      </c>
      <c r="CP1220" s="61"/>
      <c r="CQ1220" s="45">
        <v>1216</v>
      </c>
      <c r="CR1220" s="45">
        <v>37.947521521707728</v>
      </c>
      <c r="CS1220" s="45" t="str">
        <v>Invest</v>
      </c>
      <c r="CT1220" s="61"/>
      <c r="CU1220" s="45">
        <v>1216</v>
      </c>
      <c r="CV1220" s="45">
        <v>21.402989095013957</v>
      </c>
      <c r="CW1220" s="45" t="str">
        <v>Invest</v>
      </c>
      <c r="CX1220" s="61"/>
      <c r="CY1220" s="45">
        <v>1216</v>
      </c>
      <c r="CZ1220" s="45">
        <v>0</v>
      </c>
      <c r="DA1220" s="45" t="str">
        <v>Nothing</v>
      </c>
      <c r="DU1220" s="52"/>
      <c r="DV1220" s="50"/>
    </row>
    <row r="1221" spans="91:126" ht="23.5">
      <c r="CM1221" s="45">
        <v>1217</v>
      </c>
      <c r="CN1221" s="48">
        <v>44.698763356210392</v>
      </c>
      <c r="CO1221" s="45" t="str">
        <v>Invest</v>
      </c>
      <c r="CP1221" s="61"/>
      <c r="CQ1221" s="45">
        <v>1217</v>
      </c>
      <c r="CR1221" s="45">
        <v>8.3638774732155934</v>
      </c>
      <c r="CS1221" s="45" t="str">
        <v>Invest</v>
      </c>
      <c r="CT1221" s="61"/>
      <c r="CU1221" s="45">
        <v>1217</v>
      </c>
      <c r="CV1221" s="45">
        <v>0</v>
      </c>
      <c r="CW1221" s="45" t="str">
        <v>Nothing</v>
      </c>
      <c r="CX1221" s="61"/>
      <c r="CY1221" s="45">
        <v>1217</v>
      </c>
      <c r="CZ1221" s="45">
        <v>23.289937963563428</v>
      </c>
      <c r="DA1221" s="45" t="str">
        <v>Invest</v>
      </c>
      <c r="DU1221" s="52"/>
      <c r="DV1221" s="50"/>
    </row>
    <row r="1222" spans="91:126" ht="23.5">
      <c r="CM1222" s="45">
        <v>1218</v>
      </c>
      <c r="CN1222" s="48">
        <v>11.583052712696254</v>
      </c>
      <c r="CO1222" s="45" t="str">
        <v>Invest</v>
      </c>
      <c r="CP1222" s="61"/>
      <c r="CQ1222" s="45">
        <v>1218</v>
      </c>
      <c r="CR1222" s="45">
        <v>0</v>
      </c>
      <c r="CS1222" s="45" t="str">
        <v>Nothing</v>
      </c>
      <c r="CT1222" s="61"/>
      <c r="CU1222" s="45">
        <v>1218</v>
      </c>
      <c r="CV1222" s="45">
        <v>29.783111986426384</v>
      </c>
      <c r="CW1222" s="45" t="str">
        <v>Invest</v>
      </c>
      <c r="CX1222" s="61"/>
      <c r="CY1222" s="45">
        <v>1218</v>
      </c>
      <c r="CZ1222" s="45">
        <v>18.010166205426955</v>
      </c>
      <c r="DA1222" s="45" t="str">
        <v>Invest</v>
      </c>
      <c r="DU1222" s="52"/>
      <c r="DV1222" s="50"/>
    </row>
    <row r="1223" spans="91:126" ht="23.5">
      <c r="CM1223" s="45">
        <v>1219</v>
      </c>
      <c r="CN1223" s="48">
        <v>23.94512262802867</v>
      </c>
      <c r="CO1223" s="45" t="str">
        <v>Invest</v>
      </c>
      <c r="CP1223" s="61"/>
      <c r="CQ1223" s="45">
        <v>1219</v>
      </c>
      <c r="CR1223" s="45">
        <v>0</v>
      </c>
      <c r="CS1223" s="45" t="str">
        <v>Nothing</v>
      </c>
      <c r="CT1223" s="61"/>
      <c r="CU1223" s="45">
        <v>1219</v>
      </c>
      <c r="CV1223" s="45">
        <v>25.864785636222013</v>
      </c>
      <c r="CW1223" s="45" t="str">
        <v>Invest</v>
      </c>
      <c r="CX1223" s="61"/>
      <c r="CY1223" s="45">
        <v>1219</v>
      </c>
      <c r="CZ1223" s="45">
        <v>15.318375863801084</v>
      </c>
      <c r="DA1223" s="45" t="str">
        <v>Invest</v>
      </c>
      <c r="DU1223" s="52"/>
      <c r="DV1223" s="50"/>
    </row>
    <row r="1224" spans="91:126" ht="23.5">
      <c r="CM1224" s="45">
        <v>1220</v>
      </c>
      <c r="CN1224" s="48">
        <v>25.739336982759902</v>
      </c>
      <c r="CO1224" s="45" t="str">
        <v>Invest</v>
      </c>
      <c r="CP1224" s="61"/>
      <c r="CQ1224" s="45">
        <v>1220</v>
      </c>
      <c r="CR1224" s="45">
        <v>0</v>
      </c>
      <c r="CS1224" s="45" t="str">
        <v>Nothing</v>
      </c>
      <c r="CT1224" s="61"/>
      <c r="CU1224" s="45">
        <v>1220</v>
      </c>
      <c r="CV1224" s="45">
        <v>0</v>
      </c>
      <c r="CW1224" s="45" t="str">
        <v>Nothing</v>
      </c>
      <c r="CX1224" s="61"/>
      <c r="CY1224" s="45">
        <v>1220</v>
      </c>
      <c r="CZ1224" s="45">
        <v>26.964883510159254</v>
      </c>
      <c r="DA1224" s="45" t="str">
        <v>Invest</v>
      </c>
      <c r="DU1224" s="52"/>
      <c r="DV1224" s="50"/>
    </row>
    <row r="1225" spans="91:126" ht="23.5">
      <c r="CM1225" s="45">
        <v>1221</v>
      </c>
      <c r="CN1225" s="48">
        <v>0</v>
      </c>
      <c r="CO1225" s="45" t="str">
        <v>Nothing</v>
      </c>
      <c r="CP1225" s="61"/>
      <c r="CQ1225" s="45">
        <v>1221</v>
      </c>
      <c r="CR1225" s="45">
        <v>18.724946293067468</v>
      </c>
      <c r="CS1225" s="45" t="str">
        <v>Invest</v>
      </c>
      <c r="CT1225" s="61"/>
      <c r="CU1225" s="45">
        <v>1221</v>
      </c>
      <c r="CV1225" s="45">
        <v>19.887186840480823</v>
      </c>
      <c r="CW1225" s="45" t="str">
        <v>Invest</v>
      </c>
      <c r="CX1225" s="61"/>
      <c r="CY1225" s="45">
        <v>1221</v>
      </c>
      <c r="CZ1225" s="45">
        <v>20.636623236742459</v>
      </c>
      <c r="DA1225" s="45" t="str">
        <v>Invest</v>
      </c>
      <c r="DU1225" s="52"/>
      <c r="DV1225" s="50"/>
    </row>
    <row r="1226" spans="91:126" ht="23.5">
      <c r="CM1226" s="45">
        <v>1222</v>
      </c>
      <c r="CN1226" s="48">
        <v>0</v>
      </c>
      <c r="CO1226" s="45" t="str">
        <v>Nothing</v>
      </c>
      <c r="CP1226" s="61"/>
      <c r="CQ1226" s="45">
        <v>1222</v>
      </c>
      <c r="CR1226" s="45">
        <v>8.8625548821608042</v>
      </c>
      <c r="CS1226" s="45" t="str">
        <v>Invest</v>
      </c>
      <c r="CT1226" s="61"/>
      <c r="CU1226" s="45">
        <v>1222</v>
      </c>
      <c r="CV1226" s="45">
        <v>4.665001867449547</v>
      </c>
      <c r="CW1226" s="45" t="str">
        <v>Invest</v>
      </c>
      <c r="CX1226" s="61"/>
      <c r="CY1226" s="45">
        <v>1222</v>
      </c>
      <c r="CZ1226" s="45">
        <v>2.4857817203399941</v>
      </c>
      <c r="DA1226" s="45" t="str">
        <v>Invest</v>
      </c>
      <c r="DU1226" s="52"/>
      <c r="DV1226" s="50"/>
    </row>
    <row r="1227" spans="91:126" ht="23.5">
      <c r="CM1227" s="45">
        <v>1223</v>
      </c>
      <c r="CN1227" s="48">
        <v>4.5141897894412644</v>
      </c>
      <c r="CO1227" s="45" t="str">
        <v>Invest</v>
      </c>
      <c r="CP1227" s="61"/>
      <c r="CQ1227" s="45">
        <v>1223</v>
      </c>
      <c r="CR1227" s="45">
        <v>9.846210880169787</v>
      </c>
      <c r="CS1227" s="45" t="str">
        <v>Invest</v>
      </c>
      <c r="CT1227" s="61"/>
      <c r="CU1227" s="45">
        <v>1223</v>
      </c>
      <c r="CV1227" s="45">
        <v>0</v>
      </c>
      <c r="CW1227" s="45" t="str">
        <v>Nothing</v>
      </c>
      <c r="CX1227" s="61"/>
      <c r="CY1227" s="45">
        <v>1223</v>
      </c>
      <c r="CZ1227" s="45">
        <v>29.905205157356868</v>
      </c>
      <c r="DA1227" s="45" t="str">
        <v>Invest</v>
      </c>
      <c r="DU1227" s="52"/>
      <c r="DV1227" s="50"/>
    </row>
    <row r="1228" spans="91:126" ht="23.5">
      <c r="CM1228" s="45">
        <v>1224</v>
      </c>
      <c r="CN1228" s="48">
        <v>25.092312728489894</v>
      </c>
      <c r="CO1228" s="45" t="str">
        <v>Invest</v>
      </c>
      <c r="CP1228" s="61"/>
      <c r="CQ1228" s="45">
        <v>1224</v>
      </c>
      <c r="CR1228" s="45">
        <v>14.756311773086868</v>
      </c>
      <c r="CS1228" s="45" t="str">
        <v>Invest</v>
      </c>
      <c r="CT1228" s="61"/>
      <c r="CU1228" s="45">
        <v>1224</v>
      </c>
      <c r="CV1228" s="45">
        <v>41.055286783992003</v>
      </c>
      <c r="CW1228" s="45" t="str">
        <v>Invest</v>
      </c>
      <c r="CX1228" s="61"/>
      <c r="CY1228" s="45">
        <v>1224</v>
      </c>
      <c r="CZ1228" s="45">
        <v>10.503895685088768</v>
      </c>
      <c r="DA1228" s="45" t="str">
        <v>Invest</v>
      </c>
      <c r="DU1228" s="52"/>
      <c r="DV1228" s="50"/>
    </row>
    <row r="1229" spans="91:126" ht="23.5">
      <c r="CM1229" s="45">
        <v>1225</v>
      </c>
      <c r="CN1229" s="48">
        <v>27.909992113845107</v>
      </c>
      <c r="CO1229" s="45" t="str">
        <v>Invest</v>
      </c>
      <c r="CP1229" s="61"/>
      <c r="CQ1229" s="45">
        <v>1225</v>
      </c>
      <c r="CR1229" s="45">
        <v>0</v>
      </c>
      <c r="CS1229" s="45" t="str">
        <v>Nothing</v>
      </c>
      <c r="CT1229" s="61"/>
      <c r="CU1229" s="45">
        <v>1225</v>
      </c>
      <c r="CV1229" s="45">
        <v>0</v>
      </c>
      <c r="CW1229" s="45" t="str">
        <v>Nothing</v>
      </c>
      <c r="CX1229" s="61"/>
      <c r="CY1229" s="45">
        <v>1225</v>
      </c>
      <c r="CZ1229" s="45">
        <v>48.295443702301142</v>
      </c>
      <c r="DA1229" s="45" t="str">
        <v>Invest</v>
      </c>
      <c r="DU1229" s="52"/>
      <c r="DV1229" s="50"/>
    </row>
    <row r="1230" spans="91:126" ht="23.5">
      <c r="CM1230" s="45">
        <v>1226</v>
      </c>
      <c r="CN1230" s="48">
        <v>0</v>
      </c>
      <c r="CO1230" s="45" t="str">
        <v>Nothing</v>
      </c>
      <c r="CP1230" s="61"/>
      <c r="CQ1230" s="45">
        <v>1226</v>
      </c>
      <c r="CR1230" s="45">
        <v>25.352018601424046</v>
      </c>
      <c r="CS1230" s="45" t="str">
        <v>Invest</v>
      </c>
      <c r="CT1230" s="61"/>
      <c r="CU1230" s="45">
        <v>1226</v>
      </c>
      <c r="CV1230" s="45">
        <v>6.3119747507299344</v>
      </c>
      <c r="CW1230" s="45" t="str">
        <v>Invest</v>
      </c>
      <c r="CX1230" s="61"/>
      <c r="CY1230" s="45">
        <v>1226</v>
      </c>
      <c r="CZ1230" s="45">
        <v>0</v>
      </c>
      <c r="DA1230" s="45" t="str">
        <v>Nothing</v>
      </c>
      <c r="DU1230" s="52"/>
      <c r="DV1230" s="50"/>
    </row>
    <row r="1231" spans="91:126" ht="23.5">
      <c r="CM1231" s="45">
        <v>1227</v>
      </c>
      <c r="CN1231" s="48">
        <v>0</v>
      </c>
      <c r="CO1231" s="45" t="str">
        <v>Nothing</v>
      </c>
      <c r="CP1231" s="61"/>
      <c r="CQ1231" s="45">
        <v>1227</v>
      </c>
      <c r="CR1231" s="45">
        <v>0</v>
      </c>
      <c r="CS1231" s="45" t="str">
        <v>Nothing</v>
      </c>
      <c r="CT1231" s="61"/>
      <c r="CU1231" s="45">
        <v>1227</v>
      </c>
      <c r="CV1231" s="45">
        <v>6.339957059408075</v>
      </c>
      <c r="CW1231" s="45" t="str">
        <v>Invest</v>
      </c>
      <c r="CX1231" s="61"/>
      <c r="CY1231" s="45">
        <v>1227</v>
      </c>
      <c r="CZ1231" s="45">
        <v>26.098971969284456</v>
      </c>
      <c r="DA1231" s="45" t="str">
        <v>Invest</v>
      </c>
      <c r="DU1231" s="52"/>
      <c r="DV1231" s="50"/>
    </row>
    <row r="1232" spans="91:126" ht="23.5">
      <c r="CM1232" s="45">
        <v>1228</v>
      </c>
      <c r="CN1232" s="48">
        <v>0</v>
      </c>
      <c r="CO1232" s="45" t="str">
        <v>Nothing</v>
      </c>
      <c r="CP1232" s="61"/>
      <c r="CQ1232" s="45">
        <v>1228</v>
      </c>
      <c r="CR1232" s="45">
        <v>0.51681550733180748</v>
      </c>
      <c r="CS1232" s="45" t="str">
        <v>Invest</v>
      </c>
      <c r="CT1232" s="61"/>
      <c r="CU1232" s="45">
        <v>1228</v>
      </c>
      <c r="CV1232" s="45">
        <v>5.5585222585172982</v>
      </c>
      <c r="CW1232" s="45" t="str">
        <v>Invest</v>
      </c>
      <c r="CX1232" s="61"/>
      <c r="CY1232" s="45">
        <v>1228</v>
      </c>
      <c r="CZ1232" s="45">
        <v>23.909375259982905</v>
      </c>
      <c r="DA1232" s="45" t="str">
        <v>Invest</v>
      </c>
      <c r="DU1232" s="52"/>
      <c r="DV1232" s="50"/>
    </row>
    <row r="1233" spans="91:126" ht="23.5">
      <c r="CM1233" s="45">
        <v>1229</v>
      </c>
      <c r="CN1233" s="48">
        <v>19.493379495333279</v>
      </c>
      <c r="CO1233" s="45" t="str">
        <v>Invest</v>
      </c>
      <c r="CP1233" s="61"/>
      <c r="CQ1233" s="45">
        <v>1229</v>
      </c>
      <c r="CR1233" s="45">
        <v>7.9048412928785687</v>
      </c>
      <c r="CS1233" s="45" t="str">
        <v>Invest</v>
      </c>
      <c r="CT1233" s="61"/>
      <c r="CU1233" s="45">
        <v>1229</v>
      </c>
      <c r="CV1233" s="45">
        <v>36.294186636442056</v>
      </c>
      <c r="CW1233" s="45" t="str">
        <v>Invest</v>
      </c>
      <c r="CX1233" s="61"/>
      <c r="CY1233" s="45">
        <v>1229</v>
      </c>
      <c r="CZ1233" s="45">
        <v>0</v>
      </c>
      <c r="DA1233" s="45" t="str">
        <v>Nothing</v>
      </c>
      <c r="DU1233" s="52"/>
      <c r="DV1233" s="50"/>
    </row>
    <row r="1234" spans="91:126" ht="23.5">
      <c r="CM1234" s="45">
        <v>1230</v>
      </c>
      <c r="CN1234" s="48">
        <v>7.065474662145693</v>
      </c>
      <c r="CO1234" s="45" t="str">
        <v>Invest</v>
      </c>
      <c r="CP1234" s="61"/>
      <c r="CQ1234" s="45">
        <v>1230</v>
      </c>
      <c r="CR1234" s="45">
        <v>0</v>
      </c>
      <c r="CS1234" s="45" t="str">
        <v>Nothing</v>
      </c>
      <c r="CT1234" s="61"/>
      <c r="CU1234" s="45">
        <v>1230</v>
      </c>
      <c r="CV1234" s="45">
        <v>18.152856130286295</v>
      </c>
      <c r="CW1234" s="45" t="str">
        <v>Invest</v>
      </c>
      <c r="CX1234" s="61"/>
      <c r="CY1234" s="45">
        <v>1230</v>
      </c>
      <c r="CZ1234" s="45">
        <v>0</v>
      </c>
      <c r="DA1234" s="45" t="str">
        <v>Nothing</v>
      </c>
      <c r="DU1234" s="52"/>
      <c r="DV1234" s="50"/>
    </row>
    <row r="1235" spans="91:126" ht="23.5">
      <c r="CM1235" s="45">
        <v>1231</v>
      </c>
      <c r="CN1235" s="48">
        <v>57.934066560640595</v>
      </c>
      <c r="CO1235" s="45" t="str">
        <v>Invest</v>
      </c>
      <c r="CP1235" s="61"/>
      <c r="CQ1235" s="45">
        <v>1231</v>
      </c>
      <c r="CR1235" s="45">
        <v>3.2816683530541919</v>
      </c>
      <c r="CS1235" s="45" t="str">
        <v>Invest</v>
      </c>
      <c r="CT1235" s="61"/>
      <c r="CU1235" s="45">
        <v>1231</v>
      </c>
      <c r="CV1235" s="45">
        <v>53.716992477010017</v>
      </c>
      <c r="CW1235" s="45" t="str">
        <v>Invest</v>
      </c>
      <c r="CX1235" s="61"/>
      <c r="CY1235" s="45">
        <v>1231</v>
      </c>
      <c r="CZ1235" s="45">
        <v>0</v>
      </c>
      <c r="DA1235" s="45" t="str">
        <v>Nothing</v>
      </c>
      <c r="DU1235" s="52"/>
      <c r="DV1235" s="50"/>
    </row>
    <row r="1236" spans="91:126" ht="23.5">
      <c r="CM1236" s="45">
        <v>1232</v>
      </c>
      <c r="CN1236" s="48">
        <v>0</v>
      </c>
      <c r="CO1236" s="45" t="str">
        <v>Nothing</v>
      </c>
      <c r="CP1236" s="61"/>
      <c r="CQ1236" s="45">
        <v>1232</v>
      </c>
      <c r="CR1236" s="45">
        <v>31.700025555817319</v>
      </c>
      <c r="CS1236" s="45" t="str">
        <v>Invest</v>
      </c>
      <c r="CT1236" s="61"/>
      <c r="CU1236" s="45">
        <v>1232</v>
      </c>
      <c r="CV1236" s="45">
        <v>0</v>
      </c>
      <c r="CW1236" s="45" t="str">
        <v>Nothing</v>
      </c>
      <c r="CX1236" s="61"/>
      <c r="CY1236" s="45">
        <v>1232</v>
      </c>
      <c r="CZ1236" s="45">
        <v>13.432493098646002</v>
      </c>
      <c r="DA1236" s="45" t="str">
        <v>Invest</v>
      </c>
      <c r="DU1236" s="52"/>
      <c r="DV1236" s="50"/>
    </row>
    <row r="1237" spans="91:126" ht="23.5">
      <c r="CM1237" s="45">
        <v>1233</v>
      </c>
      <c r="CN1237" s="48">
        <v>0</v>
      </c>
      <c r="CO1237" s="45" t="str">
        <v>Nothing</v>
      </c>
      <c r="CP1237" s="61"/>
      <c r="CQ1237" s="45">
        <v>1233</v>
      </c>
      <c r="CR1237" s="45">
        <v>58.147622826818839</v>
      </c>
      <c r="CS1237" s="45" t="str">
        <v>Invest</v>
      </c>
      <c r="CT1237" s="61"/>
      <c r="CU1237" s="45">
        <v>1233</v>
      </c>
      <c r="CV1237" s="45">
        <v>0</v>
      </c>
      <c r="CW1237" s="45" t="str">
        <v>Nothing</v>
      </c>
      <c r="CX1237" s="61"/>
      <c r="CY1237" s="45">
        <v>1233</v>
      </c>
      <c r="CZ1237" s="45">
        <v>31.146534343428478</v>
      </c>
      <c r="DA1237" s="45" t="str">
        <v>Invest</v>
      </c>
      <c r="DU1237" s="52"/>
      <c r="DV1237" s="50"/>
    </row>
    <row r="1238" spans="91:126" ht="23.5">
      <c r="CM1238" s="45">
        <v>1234</v>
      </c>
      <c r="CN1238" s="48">
        <v>19.569968946286167</v>
      </c>
      <c r="CO1238" s="45" t="str">
        <v>Invest</v>
      </c>
      <c r="CP1238" s="61"/>
      <c r="CQ1238" s="45">
        <v>1234</v>
      </c>
      <c r="CR1238" s="45">
        <v>0</v>
      </c>
      <c r="CS1238" s="45" t="str">
        <v>Nothing</v>
      </c>
      <c r="CT1238" s="61"/>
      <c r="CU1238" s="45">
        <v>1234</v>
      </c>
      <c r="CV1238" s="45">
        <v>21.480945318402888</v>
      </c>
      <c r="CW1238" s="45" t="str">
        <v>Invest</v>
      </c>
      <c r="CX1238" s="61"/>
      <c r="CY1238" s="45">
        <v>1234</v>
      </c>
      <c r="CZ1238" s="45">
        <v>8.0612336126869018</v>
      </c>
      <c r="DA1238" s="45" t="str">
        <v>Invest</v>
      </c>
      <c r="DU1238" s="52"/>
      <c r="DV1238" s="50"/>
    </row>
    <row r="1239" spans="91:126" ht="23.5">
      <c r="CM1239" s="45">
        <v>1235</v>
      </c>
      <c r="CN1239" s="48">
        <v>16.708325713301036</v>
      </c>
      <c r="CO1239" s="45" t="str">
        <v>Invest</v>
      </c>
      <c r="CP1239" s="61"/>
      <c r="CQ1239" s="45">
        <v>1235</v>
      </c>
      <c r="CR1239" s="45">
        <v>24.069849635607799</v>
      </c>
      <c r="CS1239" s="45" t="str">
        <v>Invest</v>
      </c>
      <c r="CT1239" s="61"/>
      <c r="CU1239" s="45">
        <v>1235</v>
      </c>
      <c r="CV1239" s="45">
        <v>5.7490849457824904</v>
      </c>
      <c r="CW1239" s="45" t="str">
        <v>Invest</v>
      </c>
      <c r="CX1239" s="61"/>
      <c r="CY1239" s="45">
        <v>1235</v>
      </c>
      <c r="CZ1239" s="45">
        <v>11.969653451548121</v>
      </c>
      <c r="DA1239" s="45" t="str">
        <v>Invest</v>
      </c>
      <c r="DU1239" s="52"/>
      <c r="DV1239" s="50"/>
    </row>
    <row r="1240" spans="91:126" ht="23.5">
      <c r="CM1240" s="45">
        <v>1236</v>
      </c>
      <c r="CN1240" s="48">
        <v>0</v>
      </c>
      <c r="CO1240" s="45" t="str">
        <v>Nothing</v>
      </c>
      <c r="CP1240" s="61"/>
      <c r="CQ1240" s="45">
        <v>1236</v>
      </c>
      <c r="CR1240" s="45">
        <v>0</v>
      </c>
      <c r="CS1240" s="45" t="str">
        <v>Nothing</v>
      </c>
      <c r="CT1240" s="61"/>
      <c r="CU1240" s="45">
        <v>1236</v>
      </c>
      <c r="CV1240" s="45">
        <v>0</v>
      </c>
      <c r="CW1240" s="45" t="str">
        <v>Nothing</v>
      </c>
      <c r="CX1240" s="61"/>
      <c r="CY1240" s="45">
        <v>1236</v>
      </c>
      <c r="CZ1240" s="45">
        <v>0</v>
      </c>
      <c r="DA1240" s="45" t="str">
        <v>Nothing</v>
      </c>
      <c r="DU1240" s="52"/>
      <c r="DV1240" s="50"/>
    </row>
    <row r="1241" spans="91:126" ht="23.5">
      <c r="CM1241" s="45">
        <v>1237</v>
      </c>
      <c r="CN1241" s="48">
        <v>25.200345030218724</v>
      </c>
      <c r="CO1241" s="45" t="str">
        <v>Invest</v>
      </c>
      <c r="CP1241" s="61"/>
      <c r="CQ1241" s="45">
        <v>1237</v>
      </c>
      <c r="CR1241" s="45">
        <v>23.960439186259492</v>
      </c>
      <c r="CS1241" s="45" t="str">
        <v>Invest</v>
      </c>
      <c r="CT1241" s="61"/>
      <c r="CU1241" s="45">
        <v>1237</v>
      </c>
      <c r="CV1241" s="45">
        <v>43.173897872795038</v>
      </c>
      <c r="CW1241" s="45" t="str">
        <v>Invest</v>
      </c>
      <c r="CX1241" s="61"/>
      <c r="CY1241" s="45">
        <v>1237</v>
      </c>
      <c r="CZ1241" s="45">
        <v>14.808949122232477</v>
      </c>
      <c r="DA1241" s="45" t="str">
        <v>Invest</v>
      </c>
      <c r="DU1241" s="52"/>
      <c r="DV1241" s="50"/>
    </row>
    <row r="1242" spans="91:126" ht="23.5">
      <c r="CM1242" s="45">
        <v>1238</v>
      </c>
      <c r="CN1242" s="48">
        <v>17.531047453855095</v>
      </c>
      <c r="CO1242" s="45" t="str">
        <v>Invest</v>
      </c>
      <c r="CP1242" s="61"/>
      <c r="CQ1242" s="45">
        <v>1238</v>
      </c>
      <c r="CR1242" s="45">
        <v>57.18988483086747</v>
      </c>
      <c r="CS1242" s="45" t="str">
        <v>Invest</v>
      </c>
      <c r="CT1242" s="61"/>
      <c r="CU1242" s="45">
        <v>1238</v>
      </c>
      <c r="CV1242" s="45">
        <v>20.807387384408589</v>
      </c>
      <c r="CW1242" s="45" t="str">
        <v>Invest</v>
      </c>
      <c r="CX1242" s="61"/>
      <c r="CY1242" s="45">
        <v>1238</v>
      </c>
      <c r="CZ1242" s="45">
        <v>40.806052865895047</v>
      </c>
      <c r="DA1242" s="45" t="str">
        <v>Invest</v>
      </c>
      <c r="DU1242" s="52"/>
      <c r="DV1242" s="50"/>
    </row>
    <row r="1243" spans="91:126" ht="23.5">
      <c r="CM1243" s="45">
        <v>1239</v>
      </c>
      <c r="CN1243" s="48">
        <v>0</v>
      </c>
      <c r="CO1243" s="45" t="str">
        <v>Nothing</v>
      </c>
      <c r="CP1243" s="61"/>
      <c r="CQ1243" s="45">
        <v>1239</v>
      </c>
      <c r="CR1243" s="45">
        <v>25.214547697602896</v>
      </c>
      <c r="CS1243" s="45" t="str">
        <v>Invest</v>
      </c>
      <c r="CT1243" s="61"/>
      <c r="CU1243" s="45">
        <v>1239</v>
      </c>
      <c r="CV1243" s="45">
        <v>0</v>
      </c>
      <c r="CW1243" s="45" t="str">
        <v>Nothing</v>
      </c>
      <c r="CX1243" s="61"/>
      <c r="CY1243" s="45">
        <v>1239</v>
      </c>
      <c r="CZ1243" s="45">
        <v>22.272462356988427</v>
      </c>
      <c r="DA1243" s="45" t="str">
        <v>Invest</v>
      </c>
      <c r="DU1243" s="52"/>
      <c r="DV1243" s="50"/>
    </row>
    <row r="1244" spans="91:126" ht="23.5">
      <c r="CM1244" s="45">
        <v>1240</v>
      </c>
      <c r="CN1244" s="48">
        <v>0</v>
      </c>
      <c r="CO1244" s="45" t="str">
        <v>Nothing</v>
      </c>
      <c r="CP1244" s="61"/>
      <c r="CQ1244" s="45">
        <v>1240</v>
      </c>
      <c r="CR1244" s="45">
        <v>24.143100794202724</v>
      </c>
      <c r="CS1244" s="45" t="str">
        <v>Invest</v>
      </c>
      <c r="CT1244" s="61"/>
      <c r="CU1244" s="45">
        <v>1240</v>
      </c>
      <c r="CV1244" s="45">
        <v>11.871760458529238</v>
      </c>
      <c r="CW1244" s="45" t="str">
        <v>Invest</v>
      </c>
      <c r="CX1244" s="61"/>
      <c r="CY1244" s="45">
        <v>1240</v>
      </c>
      <c r="CZ1244" s="45">
        <v>28.297903967588983</v>
      </c>
      <c r="DA1244" s="45" t="str">
        <v>Invest</v>
      </c>
      <c r="DU1244" s="52"/>
      <c r="DV1244" s="50"/>
    </row>
    <row r="1245" spans="91:126" ht="23.5">
      <c r="CM1245" s="45">
        <v>1241</v>
      </c>
      <c r="CN1245" s="48">
        <v>1.2123934492052619</v>
      </c>
      <c r="CO1245" s="45" t="str">
        <v>Invest</v>
      </c>
      <c r="CP1245" s="61"/>
      <c r="CQ1245" s="45">
        <v>1241</v>
      </c>
      <c r="CR1245" s="45">
        <v>0</v>
      </c>
      <c r="CS1245" s="45" t="str">
        <v>Nothing</v>
      </c>
      <c r="CT1245" s="61"/>
      <c r="CU1245" s="45">
        <v>1241</v>
      </c>
      <c r="CV1245" s="45">
        <v>5.4473364887222653</v>
      </c>
      <c r="CW1245" s="45" t="str">
        <v>Invest</v>
      </c>
      <c r="CX1245" s="61"/>
      <c r="CY1245" s="45">
        <v>1241</v>
      </c>
      <c r="CZ1245" s="45">
        <v>0</v>
      </c>
      <c r="DA1245" s="45" t="str">
        <v>Nothing</v>
      </c>
      <c r="DU1245" s="52"/>
      <c r="DV1245" s="50"/>
    </row>
    <row r="1246" spans="91:126" ht="23.5">
      <c r="CM1246" s="45">
        <v>1242</v>
      </c>
      <c r="CN1246" s="48">
        <v>10.254312064649616</v>
      </c>
      <c r="CO1246" s="45" t="str">
        <v>Invest</v>
      </c>
      <c r="CP1246" s="61"/>
      <c r="CQ1246" s="45">
        <v>1242</v>
      </c>
      <c r="CR1246" s="45">
        <v>14.722087972357816</v>
      </c>
      <c r="CS1246" s="45" t="str">
        <v>Invest</v>
      </c>
      <c r="CT1246" s="61"/>
      <c r="CU1246" s="45">
        <v>1242</v>
      </c>
      <c r="CV1246" s="45">
        <v>0</v>
      </c>
      <c r="CW1246" s="45" t="str">
        <v>Nothing</v>
      </c>
      <c r="CX1246" s="61"/>
      <c r="CY1246" s="45">
        <v>1242</v>
      </c>
      <c r="CZ1246" s="45">
        <v>22.117862900733318</v>
      </c>
      <c r="DA1246" s="45" t="str">
        <v>Invest</v>
      </c>
      <c r="DU1246" s="52"/>
      <c r="DV1246" s="50"/>
    </row>
    <row r="1247" spans="91:126" ht="23.5">
      <c r="CM1247" s="45">
        <v>1243</v>
      </c>
      <c r="CN1247" s="48">
        <v>0</v>
      </c>
      <c r="CO1247" s="45" t="str">
        <v>Nothing</v>
      </c>
      <c r="CP1247" s="61"/>
      <c r="CQ1247" s="45">
        <v>1243</v>
      </c>
      <c r="CR1247" s="45">
        <v>43.485289110176794</v>
      </c>
      <c r="CS1247" s="45" t="str">
        <v>Invest</v>
      </c>
      <c r="CT1247" s="61"/>
      <c r="CU1247" s="45">
        <v>1243</v>
      </c>
      <c r="CV1247" s="45">
        <v>0</v>
      </c>
      <c r="CW1247" s="45" t="str">
        <v>Nothing</v>
      </c>
      <c r="CX1247" s="61"/>
      <c r="CY1247" s="45">
        <v>1243</v>
      </c>
      <c r="CZ1247" s="45">
        <v>52.407250107547767</v>
      </c>
      <c r="DA1247" s="45" t="str">
        <v>Invest</v>
      </c>
      <c r="DU1247" s="52"/>
      <c r="DV1247" s="50"/>
    </row>
    <row r="1248" spans="91:126" ht="23.5">
      <c r="CM1248" s="45">
        <v>1244</v>
      </c>
      <c r="CN1248" s="48">
        <v>52.758933780264222</v>
      </c>
      <c r="CO1248" s="45" t="str">
        <v>Invest</v>
      </c>
      <c r="CP1248" s="61"/>
      <c r="CQ1248" s="45">
        <v>1244</v>
      </c>
      <c r="CR1248" s="45">
        <v>23.034116294747641</v>
      </c>
      <c r="CS1248" s="45" t="str">
        <v>Invest</v>
      </c>
      <c r="CT1248" s="61"/>
      <c r="CU1248" s="45">
        <v>1244</v>
      </c>
      <c r="CV1248" s="45">
        <v>0</v>
      </c>
      <c r="CW1248" s="45" t="str">
        <v>Nothing</v>
      </c>
      <c r="CX1248" s="61"/>
      <c r="CY1248" s="45">
        <v>1244</v>
      </c>
      <c r="CZ1248" s="45">
        <v>11.885874780120496</v>
      </c>
      <c r="DA1248" s="45" t="str">
        <v>Invest</v>
      </c>
      <c r="DU1248" s="52"/>
      <c r="DV1248" s="50"/>
    </row>
    <row r="1249" spans="91:126" ht="23.5">
      <c r="CM1249" s="45">
        <v>1245</v>
      </c>
      <c r="CN1249" s="48">
        <v>43.474236028377497</v>
      </c>
      <c r="CO1249" s="45" t="str">
        <v>Invest</v>
      </c>
      <c r="CP1249" s="61"/>
      <c r="CQ1249" s="45">
        <v>1245</v>
      </c>
      <c r="CR1249" s="45">
        <v>37.591586249423742</v>
      </c>
      <c r="CS1249" s="45" t="str">
        <v>Invest</v>
      </c>
      <c r="CT1249" s="61"/>
      <c r="CU1249" s="45">
        <v>1245</v>
      </c>
      <c r="CV1249" s="45">
        <v>0</v>
      </c>
      <c r="CW1249" s="45" t="str">
        <v>Nothing</v>
      </c>
      <c r="CX1249" s="61"/>
      <c r="CY1249" s="45">
        <v>1245</v>
      </c>
      <c r="CZ1249" s="45">
        <v>42.206218812624662</v>
      </c>
      <c r="DA1249" s="45" t="str">
        <v>Invest</v>
      </c>
      <c r="DU1249" s="52"/>
      <c r="DV1249" s="50"/>
    </row>
    <row r="1250" spans="91:126" ht="23.5">
      <c r="CM1250" s="45">
        <v>1246</v>
      </c>
      <c r="CN1250" s="48">
        <v>4.2916584814005674</v>
      </c>
      <c r="CO1250" s="45" t="str">
        <v>Invest</v>
      </c>
      <c r="CP1250" s="61"/>
      <c r="CQ1250" s="45">
        <v>1246</v>
      </c>
      <c r="CR1250" s="45">
        <v>57.576999423971628</v>
      </c>
      <c r="CS1250" s="45" t="str">
        <v>Invest</v>
      </c>
      <c r="CT1250" s="61"/>
      <c r="CU1250" s="45">
        <v>1246</v>
      </c>
      <c r="CV1250" s="45">
        <v>24.914606297102118</v>
      </c>
      <c r="CW1250" s="45" t="str">
        <v>Invest</v>
      </c>
      <c r="CX1250" s="61"/>
      <c r="CY1250" s="45">
        <v>1246</v>
      </c>
      <c r="CZ1250" s="45">
        <v>6.1720500960746101</v>
      </c>
      <c r="DA1250" s="45" t="str">
        <v>Invest</v>
      </c>
      <c r="DU1250" s="52"/>
      <c r="DV1250" s="50"/>
    </row>
    <row r="1251" spans="91:126" ht="23.5">
      <c r="CM1251" s="45">
        <v>1247</v>
      </c>
      <c r="CN1251" s="48">
        <v>31.03962179039652</v>
      </c>
      <c r="CO1251" s="45" t="str">
        <v>Invest</v>
      </c>
      <c r="CP1251" s="61"/>
      <c r="CQ1251" s="45">
        <v>1247</v>
      </c>
      <c r="CR1251" s="45">
        <v>65.788679285111243</v>
      </c>
      <c r="CS1251" s="45" t="str">
        <v>Invest</v>
      </c>
      <c r="CT1251" s="61"/>
      <c r="CU1251" s="45">
        <v>1247</v>
      </c>
      <c r="CV1251" s="45">
        <v>0</v>
      </c>
      <c r="CW1251" s="45" t="str">
        <v>Nothing</v>
      </c>
      <c r="CX1251" s="61"/>
      <c r="CY1251" s="45">
        <v>1247</v>
      </c>
      <c r="CZ1251" s="45">
        <v>18.695610797405138</v>
      </c>
      <c r="DA1251" s="45" t="str">
        <v>Invest</v>
      </c>
      <c r="DU1251" s="52"/>
      <c r="DV1251" s="50"/>
    </row>
    <row r="1252" spans="91:126" ht="23.5">
      <c r="CM1252" s="45">
        <v>1248</v>
      </c>
      <c r="CN1252" s="48">
        <v>23.094257013621899</v>
      </c>
      <c r="CO1252" s="45" t="str">
        <v>Invest</v>
      </c>
      <c r="CP1252" s="61"/>
      <c r="CQ1252" s="45">
        <v>1248</v>
      </c>
      <c r="CR1252" s="45">
        <v>0</v>
      </c>
      <c r="CS1252" s="45" t="str">
        <v>Nothing</v>
      </c>
      <c r="CT1252" s="61"/>
      <c r="CU1252" s="45">
        <v>1248</v>
      </c>
      <c r="CV1252" s="45">
        <v>26.654812598048935</v>
      </c>
      <c r="CW1252" s="45" t="str">
        <v>Invest</v>
      </c>
      <c r="CX1252" s="61"/>
      <c r="CY1252" s="45">
        <v>1248</v>
      </c>
      <c r="CZ1252" s="45">
        <v>40.447549284160374</v>
      </c>
      <c r="DA1252" s="45" t="str">
        <v>Invest</v>
      </c>
      <c r="DU1252" s="52"/>
      <c r="DV1252" s="50"/>
    </row>
    <row r="1253" spans="91:126" ht="23.5">
      <c r="CM1253" s="45">
        <v>1249</v>
      </c>
      <c r="CN1253" s="48">
        <v>14.584431868193159</v>
      </c>
      <c r="CO1253" s="45" t="str">
        <v>Invest</v>
      </c>
      <c r="CP1253" s="61"/>
      <c r="CQ1253" s="45">
        <v>1249</v>
      </c>
      <c r="CR1253" s="45">
        <v>0</v>
      </c>
      <c r="CS1253" s="45" t="str">
        <v>Nothing</v>
      </c>
      <c r="CT1253" s="61"/>
      <c r="CU1253" s="45">
        <v>1249</v>
      </c>
      <c r="CV1253" s="45">
        <v>4.8435483302197015</v>
      </c>
      <c r="CW1253" s="45" t="str">
        <v>Invest</v>
      </c>
      <c r="CX1253" s="61"/>
      <c r="CY1253" s="45">
        <v>1249</v>
      </c>
      <c r="CZ1253" s="45">
        <v>46.677051839612737</v>
      </c>
      <c r="DA1253" s="45" t="str">
        <v>Invest</v>
      </c>
      <c r="DU1253" s="52"/>
      <c r="DV1253" s="50"/>
    </row>
    <row r="1254" spans="91:126" ht="23.5">
      <c r="CM1254" s="45">
        <v>1250</v>
      </c>
      <c r="CN1254" s="48">
        <v>0</v>
      </c>
      <c r="CO1254" s="45" t="str">
        <v>Nothing</v>
      </c>
      <c r="CP1254" s="61"/>
      <c r="CQ1254" s="45">
        <v>1250</v>
      </c>
      <c r="CR1254" s="45">
        <v>34.531026482810631</v>
      </c>
      <c r="CS1254" s="45" t="str">
        <v>Invest</v>
      </c>
      <c r="CT1254" s="61"/>
      <c r="CU1254" s="45">
        <v>1250</v>
      </c>
      <c r="CV1254" s="45">
        <v>23.269626514837825</v>
      </c>
      <c r="CW1254" s="45" t="str">
        <v>Invest</v>
      </c>
      <c r="CX1254" s="61"/>
      <c r="CY1254" s="45">
        <v>1250</v>
      </c>
      <c r="CZ1254" s="45">
        <v>48.433764360526936</v>
      </c>
      <c r="DA1254" s="45" t="str">
        <v>Invest</v>
      </c>
      <c r="DU1254" s="52"/>
      <c r="DV1254" s="50"/>
    </row>
    <row r="1255" spans="91:126" ht="23.5">
      <c r="CM1255" s="45">
        <v>1251</v>
      </c>
      <c r="CN1255" s="48">
        <v>0</v>
      </c>
      <c r="CO1255" s="45" t="str">
        <v>Nothing</v>
      </c>
      <c r="CP1255" s="61"/>
      <c r="CQ1255" s="45">
        <v>1251</v>
      </c>
      <c r="CR1255" s="45">
        <v>12.127038507184869</v>
      </c>
      <c r="CS1255" s="45" t="str">
        <v>Invest</v>
      </c>
      <c r="CT1255" s="61"/>
      <c r="CU1255" s="45">
        <v>1251</v>
      </c>
      <c r="CV1255" s="45">
        <v>41.408795401431874</v>
      </c>
      <c r="CW1255" s="45" t="str">
        <v>Invest</v>
      </c>
      <c r="CX1255" s="61"/>
      <c r="CY1255" s="45">
        <v>1251</v>
      </c>
      <c r="CZ1255" s="45">
        <v>6.0623769672693673</v>
      </c>
      <c r="DA1255" s="45" t="str">
        <v>Invest</v>
      </c>
      <c r="DU1255" s="52"/>
      <c r="DV1255" s="50"/>
    </row>
    <row r="1256" spans="91:126" ht="23.5">
      <c r="CM1256" s="45">
        <v>1252</v>
      </c>
      <c r="CN1256" s="48">
        <v>42.334664270676889</v>
      </c>
      <c r="CO1256" s="45" t="str">
        <v>Invest</v>
      </c>
      <c r="CP1256" s="61"/>
      <c r="CQ1256" s="45">
        <v>1252</v>
      </c>
      <c r="CR1256" s="45">
        <v>10.312612423921195</v>
      </c>
      <c r="CS1256" s="45" t="str">
        <v>Invest</v>
      </c>
      <c r="CT1256" s="61"/>
      <c r="CU1256" s="45">
        <v>1252</v>
      </c>
      <c r="CV1256" s="45">
        <v>20.604337929356973</v>
      </c>
      <c r="CW1256" s="45" t="str">
        <v>Invest</v>
      </c>
      <c r="CX1256" s="61"/>
      <c r="CY1256" s="45">
        <v>1252</v>
      </c>
      <c r="CZ1256" s="45">
        <v>34.834938630367283</v>
      </c>
      <c r="DA1256" s="45" t="str">
        <v>Invest</v>
      </c>
      <c r="DU1256" s="52"/>
      <c r="DV1256" s="50"/>
    </row>
    <row r="1257" spans="91:126" ht="23.5">
      <c r="CM1257" s="45">
        <v>1253</v>
      </c>
      <c r="CN1257" s="48">
        <v>0</v>
      </c>
      <c r="CO1257" s="45" t="str">
        <v>Nothing</v>
      </c>
      <c r="CP1257" s="61"/>
      <c r="CQ1257" s="45">
        <v>1253</v>
      </c>
      <c r="CR1257" s="45">
        <v>0</v>
      </c>
      <c r="CS1257" s="45" t="str">
        <v>Nothing</v>
      </c>
      <c r="CT1257" s="61"/>
      <c r="CU1257" s="45">
        <v>1253</v>
      </c>
      <c r="CV1257" s="45">
        <v>30.249850041058785</v>
      </c>
      <c r="CW1257" s="45" t="str">
        <v>Invest</v>
      </c>
      <c r="CX1257" s="61"/>
      <c r="CY1257" s="45">
        <v>1253</v>
      </c>
      <c r="CZ1257" s="45">
        <v>20.61454344300672</v>
      </c>
      <c r="DA1257" s="45" t="str">
        <v>Invest</v>
      </c>
      <c r="DU1257" s="52"/>
      <c r="DV1257" s="50"/>
    </row>
    <row r="1258" spans="91:126" ht="23.5">
      <c r="CM1258" s="45">
        <v>1254</v>
      </c>
      <c r="CN1258" s="48">
        <v>0</v>
      </c>
      <c r="CO1258" s="45" t="str">
        <v>Nothing</v>
      </c>
      <c r="CP1258" s="61"/>
      <c r="CQ1258" s="45">
        <v>1254</v>
      </c>
      <c r="CR1258" s="45">
        <v>15.185548301854153</v>
      </c>
      <c r="CS1258" s="45" t="str">
        <v>Invest</v>
      </c>
      <c r="CT1258" s="61"/>
      <c r="CU1258" s="45">
        <v>1254</v>
      </c>
      <c r="CV1258" s="45">
        <v>27.069961513493869</v>
      </c>
      <c r="CW1258" s="45" t="str">
        <v>Invest</v>
      </c>
      <c r="CX1258" s="61"/>
      <c r="CY1258" s="45">
        <v>1254</v>
      </c>
      <c r="CZ1258" s="45">
        <v>0</v>
      </c>
      <c r="DA1258" s="45" t="str">
        <v>Nothing</v>
      </c>
      <c r="DU1258" s="52"/>
      <c r="DV1258" s="50"/>
    </row>
    <row r="1259" spans="91:126" ht="23.5">
      <c r="CM1259" s="45">
        <v>1255</v>
      </c>
      <c r="CN1259" s="48">
        <v>27.175792694964951</v>
      </c>
      <c r="CO1259" s="45" t="str">
        <v>Invest</v>
      </c>
      <c r="CP1259" s="61"/>
      <c r="CQ1259" s="45">
        <v>1255</v>
      </c>
      <c r="CR1259" s="45">
        <v>0.73256026481108449</v>
      </c>
      <c r="CS1259" s="45" t="str">
        <v>Invest</v>
      </c>
      <c r="CT1259" s="61"/>
      <c r="CU1259" s="45">
        <v>1255</v>
      </c>
      <c r="CV1259" s="45">
        <v>24.974321165609236</v>
      </c>
      <c r="CW1259" s="45" t="str">
        <v>Invest</v>
      </c>
      <c r="CX1259" s="61"/>
      <c r="CY1259" s="45">
        <v>1255</v>
      </c>
      <c r="CZ1259" s="45">
        <v>0</v>
      </c>
      <c r="DA1259" s="45" t="str">
        <v>Nothing</v>
      </c>
      <c r="DU1259" s="52"/>
      <c r="DV1259" s="50"/>
    </row>
    <row r="1260" spans="91:126" ht="23.5">
      <c r="CM1260" s="45">
        <v>1256</v>
      </c>
      <c r="CN1260" s="48">
        <v>0.15924271691396452</v>
      </c>
      <c r="CO1260" s="45" t="str">
        <v>Invest</v>
      </c>
      <c r="CP1260" s="61"/>
      <c r="CQ1260" s="45">
        <v>1256</v>
      </c>
      <c r="CR1260" s="45">
        <v>10.001022193239482</v>
      </c>
      <c r="CS1260" s="45" t="str">
        <v>Invest</v>
      </c>
      <c r="CT1260" s="61"/>
      <c r="CU1260" s="45">
        <v>1256</v>
      </c>
      <c r="CV1260" s="45">
        <v>0</v>
      </c>
      <c r="CW1260" s="45" t="str">
        <v>Nothing</v>
      </c>
      <c r="CX1260" s="61"/>
      <c r="CY1260" s="45">
        <v>1256</v>
      </c>
      <c r="CZ1260" s="45">
        <v>0</v>
      </c>
      <c r="DA1260" s="45" t="str">
        <v>Nothing</v>
      </c>
      <c r="DU1260" s="52"/>
      <c r="DV1260" s="50"/>
    </row>
    <row r="1261" spans="91:126" ht="23.5">
      <c r="CM1261" s="45">
        <v>1257</v>
      </c>
      <c r="CN1261" s="48">
        <v>20.690988213763546</v>
      </c>
      <c r="CO1261" s="45" t="str">
        <v>Invest</v>
      </c>
      <c r="CP1261" s="61"/>
      <c r="CQ1261" s="45">
        <v>1257</v>
      </c>
      <c r="CR1261" s="45">
        <v>8.7046020257882297</v>
      </c>
      <c r="CS1261" s="45" t="str">
        <v>Invest</v>
      </c>
      <c r="CT1261" s="61"/>
      <c r="CU1261" s="45">
        <v>1257</v>
      </c>
      <c r="CV1261" s="45">
        <v>50.806973020814873</v>
      </c>
      <c r="CW1261" s="45" t="str">
        <v>Invest</v>
      </c>
      <c r="CX1261" s="61"/>
      <c r="CY1261" s="45">
        <v>1257</v>
      </c>
      <c r="CZ1261" s="45">
        <v>12.86964440153999</v>
      </c>
      <c r="DA1261" s="45" t="str">
        <v>Invest</v>
      </c>
      <c r="DU1261" s="52"/>
      <c r="DV1261" s="50"/>
    </row>
    <row r="1262" spans="91:126" ht="23.5">
      <c r="CM1262" s="45">
        <v>1258</v>
      </c>
      <c r="CN1262" s="48">
        <v>10.487749991820833</v>
      </c>
      <c r="CO1262" s="45" t="str">
        <v>Invest</v>
      </c>
      <c r="CP1262" s="61"/>
      <c r="CQ1262" s="45">
        <v>1258</v>
      </c>
      <c r="CR1262" s="45">
        <v>10.673293542940687</v>
      </c>
      <c r="CS1262" s="45" t="str">
        <v>Invest</v>
      </c>
      <c r="CT1262" s="61"/>
      <c r="CU1262" s="45">
        <v>1258</v>
      </c>
      <c r="CV1262" s="45">
        <v>35.676089322493134</v>
      </c>
      <c r="CW1262" s="45" t="str">
        <v>Invest</v>
      </c>
      <c r="CX1262" s="61"/>
      <c r="CY1262" s="45">
        <v>1258</v>
      </c>
      <c r="CZ1262" s="45">
        <v>0</v>
      </c>
      <c r="DA1262" s="45" t="str">
        <v>Nothing</v>
      </c>
      <c r="DU1262" s="52"/>
      <c r="DV1262" s="50"/>
    </row>
    <row r="1263" spans="91:126" ht="23.5">
      <c r="CM1263" s="45">
        <v>1259</v>
      </c>
      <c r="CN1263" s="48">
        <v>0</v>
      </c>
      <c r="CO1263" s="45" t="str">
        <v>Nothing</v>
      </c>
      <c r="CP1263" s="61"/>
      <c r="CQ1263" s="45">
        <v>1259</v>
      </c>
      <c r="CR1263" s="45">
        <v>6.7882835517644544</v>
      </c>
      <c r="CS1263" s="45" t="str">
        <v>Invest</v>
      </c>
      <c r="CT1263" s="61"/>
      <c r="CU1263" s="45">
        <v>1259</v>
      </c>
      <c r="CV1263" s="45">
        <v>40.293570637915224</v>
      </c>
      <c r="CW1263" s="45" t="str">
        <v>Invest</v>
      </c>
      <c r="CX1263" s="61"/>
      <c r="CY1263" s="45">
        <v>1259</v>
      </c>
      <c r="CZ1263" s="45">
        <v>0</v>
      </c>
      <c r="DA1263" s="45" t="str">
        <v>Nothing</v>
      </c>
      <c r="DU1263" s="52"/>
      <c r="DV1263" s="50"/>
    </row>
    <row r="1264" spans="91:126" ht="23.5">
      <c r="CM1264" s="45">
        <v>1260</v>
      </c>
      <c r="CN1264" s="48">
        <v>0</v>
      </c>
      <c r="CO1264" s="45" t="str">
        <v>Nothing</v>
      </c>
      <c r="CP1264" s="61"/>
      <c r="CQ1264" s="45">
        <v>1260</v>
      </c>
      <c r="CR1264" s="45">
        <v>21.054540654803127</v>
      </c>
      <c r="CS1264" s="45" t="str">
        <v>Invest</v>
      </c>
      <c r="CT1264" s="61"/>
      <c r="CU1264" s="45">
        <v>1260</v>
      </c>
      <c r="CV1264" s="45">
        <v>0</v>
      </c>
      <c r="CW1264" s="45" t="str">
        <v>Nothing</v>
      </c>
      <c r="CX1264" s="61"/>
      <c r="CY1264" s="45">
        <v>1260</v>
      </c>
      <c r="CZ1264" s="45">
        <v>31.385299002388756</v>
      </c>
      <c r="DA1264" s="45" t="str">
        <v>Invest</v>
      </c>
      <c r="DU1264" s="52"/>
      <c r="DV1264" s="50"/>
    </row>
    <row r="1265" spans="91:126" ht="23.5">
      <c r="CM1265" s="45">
        <v>1261</v>
      </c>
      <c r="CN1265" s="48">
        <v>13.777325795661032</v>
      </c>
      <c r="CO1265" s="45" t="str">
        <v>Invest</v>
      </c>
      <c r="CP1265" s="61"/>
      <c r="CQ1265" s="45">
        <v>1261</v>
      </c>
      <c r="CR1265" s="45">
        <v>0</v>
      </c>
      <c r="CS1265" s="45" t="str">
        <v>Nothing</v>
      </c>
      <c r="CT1265" s="61"/>
      <c r="CU1265" s="45">
        <v>1261</v>
      </c>
      <c r="CV1265" s="45">
        <v>60.168801645706282</v>
      </c>
      <c r="CW1265" s="45" t="str">
        <v>Invest</v>
      </c>
      <c r="CX1265" s="61"/>
      <c r="CY1265" s="45">
        <v>1261</v>
      </c>
      <c r="CZ1265" s="45">
        <v>5.4821015567822489</v>
      </c>
      <c r="DA1265" s="45" t="str">
        <v>Invest</v>
      </c>
      <c r="DU1265" s="52"/>
      <c r="DV1265" s="50"/>
    </row>
    <row r="1266" spans="91:126" ht="23.5">
      <c r="CM1266" s="45">
        <v>1262</v>
      </c>
      <c r="CN1266" s="48">
        <v>25.269776491493289</v>
      </c>
      <c r="CO1266" s="45" t="str">
        <v>Invest</v>
      </c>
      <c r="CP1266" s="61"/>
      <c r="CQ1266" s="45">
        <v>1262</v>
      </c>
      <c r="CR1266" s="45">
        <v>35.224945638762897</v>
      </c>
      <c r="CS1266" s="45" t="str">
        <v>Invest</v>
      </c>
      <c r="CT1266" s="61"/>
      <c r="CU1266" s="45">
        <v>1262</v>
      </c>
      <c r="CV1266" s="45">
        <v>30.117421297370853</v>
      </c>
      <c r="CW1266" s="45" t="str">
        <v>Invest</v>
      </c>
      <c r="CX1266" s="61"/>
      <c r="CY1266" s="45">
        <v>1262</v>
      </c>
      <c r="CZ1266" s="45">
        <v>9.3505027739439477</v>
      </c>
      <c r="DA1266" s="45" t="str">
        <v>Invest</v>
      </c>
      <c r="DU1266" s="52"/>
      <c r="DV1266" s="50"/>
    </row>
    <row r="1267" spans="91:126" ht="23.5">
      <c r="CM1267" s="45">
        <v>1263</v>
      </c>
      <c r="CN1267" s="48">
        <v>0</v>
      </c>
      <c r="CO1267" s="45" t="str">
        <v>Nothing</v>
      </c>
      <c r="CP1267" s="61"/>
      <c r="CQ1267" s="45">
        <v>1263</v>
      </c>
      <c r="CR1267" s="45">
        <v>0</v>
      </c>
      <c r="CS1267" s="45" t="str">
        <v>Nothing</v>
      </c>
      <c r="CT1267" s="61"/>
      <c r="CU1267" s="45">
        <v>1263</v>
      </c>
      <c r="CV1267" s="45">
        <v>23.17433729499928</v>
      </c>
      <c r="CW1267" s="45" t="str">
        <v>Invest</v>
      </c>
      <c r="CX1267" s="61"/>
      <c r="CY1267" s="45">
        <v>1263</v>
      </c>
      <c r="CZ1267" s="45">
        <v>8.0628331420055943</v>
      </c>
      <c r="DA1267" s="45" t="str">
        <v>Invest</v>
      </c>
      <c r="DU1267" s="52"/>
      <c r="DV1267" s="50"/>
    </row>
    <row r="1268" spans="91:126" ht="23.5">
      <c r="CM1268" s="45">
        <v>1264</v>
      </c>
      <c r="CN1268" s="48">
        <v>48.818779576624124</v>
      </c>
      <c r="CO1268" s="45" t="str">
        <v>Invest</v>
      </c>
      <c r="CP1268" s="61"/>
      <c r="CQ1268" s="45">
        <v>1264</v>
      </c>
      <c r="CR1268" s="45">
        <v>31.289776752506697</v>
      </c>
      <c r="CS1268" s="45" t="str">
        <v>Invest</v>
      </c>
      <c r="CT1268" s="61"/>
      <c r="CU1268" s="45">
        <v>1264</v>
      </c>
      <c r="CV1268" s="45">
        <v>0</v>
      </c>
      <c r="CW1268" s="45" t="str">
        <v>Nothing</v>
      </c>
      <c r="CX1268" s="61"/>
      <c r="CY1268" s="45">
        <v>1264</v>
      </c>
      <c r="CZ1268" s="45">
        <v>28.162430547610889</v>
      </c>
      <c r="DA1268" s="45" t="str">
        <v>Invest</v>
      </c>
      <c r="DU1268" s="52"/>
      <c r="DV1268" s="50"/>
    </row>
    <row r="1269" spans="91:126" ht="23.5">
      <c r="CM1269" s="45">
        <v>1265</v>
      </c>
      <c r="CN1269" s="48">
        <v>53.901673108031318</v>
      </c>
      <c r="CO1269" s="45" t="str">
        <v>Invest</v>
      </c>
      <c r="CP1269" s="61"/>
      <c r="CQ1269" s="45">
        <v>1265</v>
      </c>
      <c r="CR1269" s="45">
        <v>0</v>
      </c>
      <c r="CS1269" s="45" t="str">
        <v>Nothing</v>
      </c>
      <c r="CT1269" s="61"/>
      <c r="CU1269" s="45">
        <v>1265</v>
      </c>
      <c r="CV1269" s="45">
        <v>36.451488612168951</v>
      </c>
      <c r="CW1269" s="45" t="str">
        <v>Invest</v>
      </c>
      <c r="CX1269" s="61"/>
      <c r="CY1269" s="45">
        <v>1265</v>
      </c>
      <c r="CZ1269" s="45">
        <v>0</v>
      </c>
      <c r="DA1269" s="45" t="str">
        <v>Nothing</v>
      </c>
      <c r="DU1269" s="52"/>
      <c r="DV1269" s="50"/>
    </row>
    <row r="1270" spans="91:126" ht="23.5">
      <c r="CM1270" s="45">
        <v>1266</v>
      </c>
      <c r="CN1270" s="48">
        <v>19.11555271422251</v>
      </c>
      <c r="CO1270" s="45" t="str">
        <v>Invest</v>
      </c>
      <c r="CP1270" s="61"/>
      <c r="CQ1270" s="45">
        <v>1266</v>
      </c>
      <c r="CR1270" s="45">
        <v>16.396462725453169</v>
      </c>
      <c r="CS1270" s="45" t="str">
        <v>Invest</v>
      </c>
      <c r="CT1270" s="61"/>
      <c r="CU1270" s="45">
        <v>1266</v>
      </c>
      <c r="CV1270" s="45">
        <v>12.956490207422698</v>
      </c>
      <c r="CW1270" s="45" t="str">
        <v>Invest</v>
      </c>
      <c r="CX1270" s="61"/>
      <c r="CY1270" s="45">
        <v>1266</v>
      </c>
      <c r="CZ1270" s="45">
        <v>8.8538797743344553</v>
      </c>
      <c r="DA1270" s="45" t="str">
        <v>Invest</v>
      </c>
      <c r="DU1270" s="52"/>
      <c r="DV1270" s="50"/>
    </row>
    <row r="1271" spans="91:126" ht="23.5">
      <c r="CM1271" s="45">
        <v>1267</v>
      </c>
      <c r="CN1271" s="48">
        <v>9.8218683058738705</v>
      </c>
      <c r="CO1271" s="45" t="str">
        <v>Invest</v>
      </c>
      <c r="CP1271" s="61"/>
      <c r="CQ1271" s="45">
        <v>1267</v>
      </c>
      <c r="CR1271" s="45">
        <v>2.9820252529339637</v>
      </c>
      <c r="CS1271" s="45" t="str">
        <v>Invest</v>
      </c>
      <c r="CT1271" s="61"/>
      <c r="CU1271" s="45">
        <v>1267</v>
      </c>
      <c r="CV1271" s="45">
        <v>40.468969145295866</v>
      </c>
      <c r="CW1271" s="45" t="str">
        <v>Invest</v>
      </c>
      <c r="CX1271" s="61"/>
      <c r="CY1271" s="45">
        <v>1267</v>
      </c>
      <c r="CZ1271" s="45">
        <v>36.886060121970395</v>
      </c>
      <c r="DA1271" s="45" t="str">
        <v>Invest</v>
      </c>
      <c r="DU1271" s="52"/>
      <c r="DV1271" s="50"/>
    </row>
    <row r="1272" spans="91:126" ht="23.5">
      <c r="CM1272" s="45">
        <v>1268</v>
      </c>
      <c r="CN1272" s="48">
        <v>0</v>
      </c>
      <c r="CO1272" s="45" t="str">
        <v>Nothing</v>
      </c>
      <c r="CP1272" s="61"/>
      <c r="CQ1272" s="45">
        <v>1268</v>
      </c>
      <c r="CR1272" s="45">
        <v>0</v>
      </c>
      <c r="CS1272" s="45" t="str">
        <v>Nothing</v>
      </c>
      <c r="CT1272" s="61"/>
      <c r="CU1272" s="45">
        <v>1268</v>
      </c>
      <c r="CV1272" s="45">
        <v>0</v>
      </c>
      <c r="CW1272" s="45" t="str">
        <v>Nothing</v>
      </c>
      <c r="CX1272" s="61"/>
      <c r="CY1272" s="45">
        <v>1268</v>
      </c>
      <c r="CZ1272" s="45">
        <v>0</v>
      </c>
      <c r="DA1272" s="45" t="str">
        <v>Nothing</v>
      </c>
      <c r="DU1272" s="52"/>
      <c r="DV1272" s="50"/>
    </row>
    <row r="1273" spans="91:126" ht="23.5">
      <c r="CM1273" s="45">
        <v>1269</v>
      </c>
      <c r="CN1273" s="48">
        <v>10.982381098706931</v>
      </c>
      <c r="CO1273" s="45" t="str">
        <v>Invest</v>
      </c>
      <c r="CP1273" s="61"/>
      <c r="CQ1273" s="45">
        <v>1269</v>
      </c>
      <c r="CR1273" s="45">
        <v>52.588782779908776</v>
      </c>
      <c r="CS1273" s="45" t="str">
        <v>Invest</v>
      </c>
      <c r="CT1273" s="61"/>
      <c r="CU1273" s="45">
        <v>1269</v>
      </c>
      <c r="CV1273" s="45">
        <v>46.421845716139892</v>
      </c>
      <c r="CW1273" s="45" t="str">
        <v>Invest</v>
      </c>
      <c r="CX1273" s="61"/>
      <c r="CY1273" s="45">
        <v>1269</v>
      </c>
      <c r="CZ1273" s="45">
        <v>22.101114506924837</v>
      </c>
      <c r="DA1273" s="45" t="str">
        <v>Invest</v>
      </c>
      <c r="DU1273" s="52"/>
      <c r="DV1273" s="50"/>
    </row>
    <row r="1274" spans="91:126" ht="23.5">
      <c r="CM1274" s="45">
        <v>1270</v>
      </c>
      <c r="CN1274" s="48">
        <v>0</v>
      </c>
      <c r="CO1274" s="45" t="str">
        <v>Nothing</v>
      </c>
      <c r="CP1274" s="61"/>
      <c r="CQ1274" s="45">
        <v>1270</v>
      </c>
      <c r="CR1274" s="45">
        <v>1.5391415551756058</v>
      </c>
      <c r="CS1274" s="45" t="str">
        <v>Invest</v>
      </c>
      <c r="CT1274" s="61"/>
      <c r="CU1274" s="45">
        <v>1270</v>
      </c>
      <c r="CV1274" s="45">
        <v>35.33079179456319</v>
      </c>
      <c r="CW1274" s="45" t="str">
        <v>Invest</v>
      </c>
      <c r="CX1274" s="61"/>
      <c r="CY1274" s="45">
        <v>1270</v>
      </c>
      <c r="CZ1274" s="45">
        <v>5.3501750492474027</v>
      </c>
      <c r="DA1274" s="45" t="str">
        <v>Invest</v>
      </c>
      <c r="DU1274" s="52"/>
      <c r="DV1274" s="50"/>
    </row>
    <row r="1275" spans="91:126" ht="23.5">
      <c r="CM1275" s="45">
        <v>1271</v>
      </c>
      <c r="CN1275" s="48">
        <v>0</v>
      </c>
      <c r="CO1275" s="45" t="str">
        <v>Nothing</v>
      </c>
      <c r="CP1275" s="61"/>
      <c r="CQ1275" s="45">
        <v>1271</v>
      </c>
      <c r="CR1275" s="45">
        <v>48.49159706344895</v>
      </c>
      <c r="CS1275" s="45" t="str">
        <v>Invest</v>
      </c>
      <c r="CT1275" s="61"/>
      <c r="CU1275" s="45">
        <v>1271</v>
      </c>
      <c r="CV1275" s="45">
        <v>8.0692550453309764</v>
      </c>
      <c r="CW1275" s="45" t="str">
        <v>Invest</v>
      </c>
      <c r="CX1275" s="61"/>
      <c r="CY1275" s="45">
        <v>1271</v>
      </c>
      <c r="CZ1275" s="45">
        <v>26.362596407785272</v>
      </c>
      <c r="DA1275" s="45" t="str">
        <v>Invest</v>
      </c>
      <c r="DU1275" s="52"/>
      <c r="DV1275" s="50"/>
    </row>
    <row r="1276" spans="91:126" ht="23.5">
      <c r="CM1276" s="45">
        <v>1272</v>
      </c>
      <c r="CN1276" s="48">
        <v>33.833879551506243</v>
      </c>
      <c r="CO1276" s="45" t="str">
        <v>Invest</v>
      </c>
      <c r="CP1276" s="61"/>
      <c r="CQ1276" s="45">
        <v>1272</v>
      </c>
      <c r="CR1276" s="45">
        <v>16.458233250336647</v>
      </c>
      <c r="CS1276" s="45" t="str">
        <v>Invest</v>
      </c>
      <c r="CT1276" s="61"/>
      <c r="CU1276" s="45">
        <v>1272</v>
      </c>
      <c r="CV1276" s="45">
        <v>19.938488208295308</v>
      </c>
      <c r="CW1276" s="45" t="str">
        <v>Invest</v>
      </c>
      <c r="CX1276" s="61"/>
      <c r="CY1276" s="45">
        <v>1272</v>
      </c>
      <c r="CZ1276" s="45">
        <v>49.20235283525188</v>
      </c>
      <c r="DA1276" s="45" t="str">
        <v>Invest</v>
      </c>
      <c r="DU1276" s="52"/>
      <c r="DV1276" s="50"/>
    </row>
    <row r="1277" spans="91:126" ht="23.5">
      <c r="CM1277" s="45">
        <v>1273</v>
      </c>
      <c r="CN1277" s="48">
        <v>5.6258839365500428</v>
      </c>
      <c r="CO1277" s="45" t="str">
        <v>Invest</v>
      </c>
      <c r="CP1277" s="61"/>
      <c r="CQ1277" s="45">
        <v>1273</v>
      </c>
      <c r="CR1277" s="45">
        <v>42.437501659350715</v>
      </c>
      <c r="CS1277" s="45" t="str">
        <v>Invest</v>
      </c>
      <c r="CT1277" s="61"/>
      <c r="CU1277" s="45">
        <v>1273</v>
      </c>
      <c r="CV1277" s="45">
        <v>26.153085662721857</v>
      </c>
      <c r="CW1277" s="45" t="str">
        <v>Invest</v>
      </c>
      <c r="CX1277" s="61"/>
      <c r="CY1277" s="45">
        <v>1273</v>
      </c>
      <c r="CZ1277" s="45">
        <v>0</v>
      </c>
      <c r="DA1277" s="45" t="str">
        <v>Nothing</v>
      </c>
      <c r="DU1277" s="52"/>
      <c r="DV1277" s="50"/>
    </row>
    <row r="1278" spans="91:126" ht="23.5">
      <c r="CM1278" s="45">
        <v>1274</v>
      </c>
      <c r="CN1278" s="48">
        <v>17.359490105938004</v>
      </c>
      <c r="CO1278" s="45" t="str">
        <v>Invest</v>
      </c>
      <c r="CP1278" s="61"/>
      <c r="CQ1278" s="45">
        <v>1274</v>
      </c>
      <c r="CR1278" s="45">
        <v>19.696142765566641</v>
      </c>
      <c r="CS1278" s="45" t="str">
        <v>Invest</v>
      </c>
      <c r="CT1278" s="61"/>
      <c r="CU1278" s="45">
        <v>1274</v>
      </c>
      <c r="CV1278" s="45">
        <v>4.2088802703748609</v>
      </c>
      <c r="CW1278" s="45" t="str">
        <v>Invest</v>
      </c>
      <c r="CX1278" s="61"/>
      <c r="CY1278" s="45">
        <v>1274</v>
      </c>
      <c r="CZ1278" s="45">
        <v>0.53425534776664918</v>
      </c>
      <c r="DA1278" s="45" t="str">
        <v>Invest</v>
      </c>
      <c r="DU1278" s="52"/>
      <c r="DV1278" s="50"/>
    </row>
    <row r="1279" spans="91:126" ht="23.5">
      <c r="CM1279" s="45">
        <v>1275</v>
      </c>
      <c r="CN1279" s="48">
        <v>14.872711250954984</v>
      </c>
      <c r="CO1279" s="45" t="str">
        <v>Invest</v>
      </c>
      <c r="CP1279" s="61"/>
      <c r="CQ1279" s="45">
        <v>1275</v>
      </c>
      <c r="CR1279" s="45">
        <v>55.242007320221973</v>
      </c>
      <c r="CS1279" s="45" t="str">
        <v>Invest</v>
      </c>
      <c r="CT1279" s="61"/>
      <c r="CU1279" s="45">
        <v>1275</v>
      </c>
      <c r="CV1279" s="45">
        <v>3.5085840224067049</v>
      </c>
      <c r="CW1279" s="45" t="str">
        <v>Invest</v>
      </c>
      <c r="CX1279" s="61"/>
      <c r="CY1279" s="45">
        <v>1275</v>
      </c>
      <c r="CZ1279" s="45">
        <v>10.860084319047274</v>
      </c>
      <c r="DA1279" s="45" t="str">
        <v>Invest</v>
      </c>
      <c r="DU1279" s="52"/>
      <c r="DV1279" s="50"/>
    </row>
    <row r="1280" spans="91:126" ht="23.5">
      <c r="CM1280" s="45">
        <v>1276</v>
      </c>
      <c r="CN1280" s="48">
        <v>14.884716518734042</v>
      </c>
      <c r="CO1280" s="45" t="str">
        <v>Invest</v>
      </c>
      <c r="CP1280" s="61"/>
      <c r="CQ1280" s="45">
        <v>1276</v>
      </c>
      <c r="CR1280" s="45">
        <v>32.913086507443182</v>
      </c>
      <c r="CS1280" s="45" t="str">
        <v>Invest</v>
      </c>
      <c r="CT1280" s="61"/>
      <c r="CU1280" s="45">
        <v>1276</v>
      </c>
      <c r="CV1280" s="45">
        <v>30.072584184272166</v>
      </c>
      <c r="CW1280" s="45" t="str">
        <v>Invest</v>
      </c>
      <c r="CX1280" s="61"/>
      <c r="CY1280" s="45">
        <v>1276</v>
      </c>
      <c r="CZ1280" s="45">
        <v>26.85547516427475</v>
      </c>
      <c r="DA1280" s="45" t="str">
        <v>Invest</v>
      </c>
      <c r="DU1280" s="52"/>
      <c r="DV1280" s="50"/>
    </row>
    <row r="1281" spans="91:126" ht="23.5">
      <c r="CM1281" s="45">
        <v>1277</v>
      </c>
      <c r="CN1281" s="48">
        <v>25.61978033361607</v>
      </c>
      <c r="CO1281" s="45" t="str">
        <v>Invest</v>
      </c>
      <c r="CP1281" s="61"/>
      <c r="CQ1281" s="45">
        <v>1277</v>
      </c>
      <c r="CR1281" s="45">
        <v>26.763106210633548</v>
      </c>
      <c r="CS1281" s="45" t="str">
        <v>Invest</v>
      </c>
      <c r="CT1281" s="61"/>
      <c r="CU1281" s="45">
        <v>1277</v>
      </c>
      <c r="CV1281" s="45">
        <v>0</v>
      </c>
      <c r="CW1281" s="45" t="str">
        <v>Nothing</v>
      </c>
      <c r="CX1281" s="61"/>
      <c r="CY1281" s="45">
        <v>1277</v>
      </c>
      <c r="CZ1281" s="45">
        <v>33.374751048986198</v>
      </c>
      <c r="DA1281" s="45" t="str">
        <v>Invest</v>
      </c>
      <c r="DU1281" s="52"/>
      <c r="DV1281" s="50"/>
    </row>
    <row r="1282" spans="91:126" ht="23.5">
      <c r="CM1282" s="45">
        <v>1278</v>
      </c>
      <c r="CN1282" s="48">
        <v>0</v>
      </c>
      <c r="CO1282" s="45" t="str">
        <v>Nothing</v>
      </c>
      <c r="CP1282" s="61"/>
      <c r="CQ1282" s="45">
        <v>1278</v>
      </c>
      <c r="CR1282" s="45">
        <v>18.684452848472951</v>
      </c>
      <c r="CS1282" s="45" t="str">
        <v>Invest</v>
      </c>
      <c r="CT1282" s="61"/>
      <c r="CU1282" s="45">
        <v>1278</v>
      </c>
      <c r="CV1282" s="45">
        <v>0</v>
      </c>
      <c r="CW1282" s="45" t="str">
        <v>Nothing</v>
      </c>
      <c r="CX1282" s="61"/>
      <c r="CY1282" s="45">
        <v>1278</v>
      </c>
      <c r="CZ1282" s="45">
        <v>24.727610146766771</v>
      </c>
      <c r="DA1282" s="45" t="str">
        <v>Invest</v>
      </c>
      <c r="DU1282" s="52"/>
      <c r="DV1282" s="50"/>
    </row>
    <row r="1283" spans="91:126" ht="23.5">
      <c r="CM1283" s="45">
        <v>1279</v>
      </c>
      <c r="CN1283" s="48">
        <v>9.1912084110803107</v>
      </c>
      <c r="CO1283" s="45" t="str">
        <v>Invest</v>
      </c>
      <c r="CP1283" s="61"/>
      <c r="CQ1283" s="45">
        <v>1279</v>
      </c>
      <c r="CR1283" s="45">
        <v>0</v>
      </c>
      <c r="CS1283" s="45" t="str">
        <v>Nothing</v>
      </c>
      <c r="CT1283" s="61"/>
      <c r="CU1283" s="45">
        <v>1279</v>
      </c>
      <c r="CV1283" s="45">
        <v>0</v>
      </c>
      <c r="CW1283" s="45" t="str">
        <v>Nothing</v>
      </c>
      <c r="CX1283" s="61"/>
      <c r="CY1283" s="45">
        <v>1279</v>
      </c>
      <c r="CZ1283" s="45">
        <v>60.63906833361721</v>
      </c>
      <c r="DA1283" s="45" t="str">
        <v>Invest</v>
      </c>
      <c r="DU1283" s="52"/>
      <c r="DV1283" s="50"/>
    </row>
    <row r="1284" spans="91:126" ht="23.5">
      <c r="CM1284" s="45">
        <v>1280</v>
      </c>
      <c r="CN1284" s="48">
        <v>51.241571477725799</v>
      </c>
      <c r="CO1284" s="45" t="str">
        <v>Invest</v>
      </c>
      <c r="CP1284" s="61"/>
      <c r="CQ1284" s="45">
        <v>1280</v>
      </c>
      <c r="CR1284" s="45">
        <v>40.892476693308268</v>
      </c>
      <c r="CS1284" s="45" t="str">
        <v>Invest</v>
      </c>
      <c r="CT1284" s="61"/>
      <c r="CU1284" s="45">
        <v>1280</v>
      </c>
      <c r="CV1284" s="45">
        <v>34.996362936868017</v>
      </c>
      <c r="CW1284" s="45" t="str">
        <v>Invest</v>
      </c>
      <c r="CX1284" s="61"/>
      <c r="CY1284" s="45">
        <v>1280</v>
      </c>
      <c r="CZ1284" s="45">
        <v>43.142059455172273</v>
      </c>
      <c r="DA1284" s="45" t="str">
        <v>Invest</v>
      </c>
      <c r="DU1284" s="52"/>
      <c r="DV1284" s="50"/>
    </row>
    <row r="1285" spans="91:126" ht="23.5">
      <c r="CM1285" s="45">
        <v>1281</v>
      </c>
      <c r="CN1285" s="48">
        <v>31.981030117497458</v>
      </c>
      <c r="CO1285" s="45" t="str">
        <v>Invest</v>
      </c>
      <c r="CP1285" s="61"/>
      <c r="CQ1285" s="45">
        <v>1281</v>
      </c>
      <c r="CR1285" s="45">
        <v>31.824559689374226</v>
      </c>
      <c r="CS1285" s="45" t="str">
        <v>Invest</v>
      </c>
      <c r="CT1285" s="61"/>
      <c r="CU1285" s="45">
        <v>1281</v>
      </c>
      <c r="CV1285" s="45">
        <v>0</v>
      </c>
      <c r="CW1285" s="45" t="str">
        <v>Nothing</v>
      </c>
      <c r="CX1285" s="61"/>
      <c r="CY1285" s="45">
        <v>1281</v>
      </c>
      <c r="CZ1285" s="45">
        <v>24.115784869949547</v>
      </c>
      <c r="DA1285" s="45" t="str">
        <v>Invest</v>
      </c>
      <c r="DU1285" s="52"/>
      <c r="DV1285" s="50"/>
    </row>
    <row r="1286" spans="91:126" ht="23.5">
      <c r="CM1286" s="45">
        <v>1282</v>
      </c>
      <c r="CN1286" s="48">
        <v>33.218545003720557</v>
      </c>
      <c r="CO1286" s="45" t="str">
        <v>Invest</v>
      </c>
      <c r="CP1286" s="61"/>
      <c r="CQ1286" s="45">
        <v>1282</v>
      </c>
      <c r="CR1286" s="45">
        <v>51.790250399853875</v>
      </c>
      <c r="CS1286" s="45" t="str">
        <v>Invest</v>
      </c>
      <c r="CT1286" s="61"/>
      <c r="CU1286" s="45">
        <v>1282</v>
      </c>
      <c r="CV1286" s="45">
        <v>40.24291809738699</v>
      </c>
      <c r="CW1286" s="45" t="str">
        <v>Invest</v>
      </c>
      <c r="CX1286" s="61"/>
      <c r="CY1286" s="45">
        <v>1282</v>
      </c>
      <c r="CZ1286" s="45">
        <v>0</v>
      </c>
      <c r="DA1286" s="45" t="str">
        <v>Nothing</v>
      </c>
      <c r="DU1286" s="52"/>
      <c r="DV1286" s="50"/>
    </row>
    <row r="1287" spans="91:126" ht="23.5">
      <c r="CM1287" s="45">
        <v>1283</v>
      </c>
      <c r="CN1287" s="48">
        <v>39.963593807651328</v>
      </c>
      <c r="CO1287" s="45" t="str">
        <v>Invest</v>
      </c>
      <c r="CP1287" s="61"/>
      <c r="CQ1287" s="45">
        <v>1283</v>
      </c>
      <c r="CR1287" s="45">
        <v>32.495654891146117</v>
      </c>
      <c r="CS1287" s="45" t="str">
        <v>Invest</v>
      </c>
      <c r="CT1287" s="61"/>
      <c r="CU1287" s="45">
        <v>1283</v>
      </c>
      <c r="CV1287" s="45">
        <v>36.404833967781983</v>
      </c>
      <c r="CW1287" s="45" t="str">
        <v>Invest</v>
      </c>
      <c r="CX1287" s="61"/>
      <c r="CY1287" s="45">
        <v>1283</v>
      </c>
      <c r="CZ1287" s="45">
        <v>27.368306426954476</v>
      </c>
      <c r="DA1287" s="45" t="str">
        <v>Invest</v>
      </c>
      <c r="DU1287" s="52"/>
      <c r="DV1287" s="50"/>
    </row>
    <row r="1288" spans="91:126" ht="23.5">
      <c r="CM1288" s="45">
        <v>1284</v>
      </c>
      <c r="CN1288" s="48">
        <v>0</v>
      </c>
      <c r="CO1288" s="45" t="str">
        <v>Nothing</v>
      </c>
      <c r="CP1288" s="61"/>
      <c r="CQ1288" s="45">
        <v>1284</v>
      </c>
      <c r="CR1288" s="45">
        <v>0</v>
      </c>
      <c r="CS1288" s="45" t="str">
        <v>Nothing</v>
      </c>
      <c r="CT1288" s="61"/>
      <c r="CU1288" s="45">
        <v>1284</v>
      </c>
      <c r="CV1288" s="45">
        <v>3.018141041650626</v>
      </c>
      <c r="CW1288" s="45" t="str">
        <v>Invest</v>
      </c>
      <c r="CX1288" s="61"/>
      <c r="CY1288" s="45">
        <v>1284</v>
      </c>
      <c r="CZ1288" s="45">
        <v>7.4768521598779225</v>
      </c>
      <c r="DA1288" s="45" t="str">
        <v>Invest</v>
      </c>
      <c r="DU1288" s="52"/>
      <c r="DV1288" s="50"/>
    </row>
    <row r="1289" spans="91:126" ht="23.5">
      <c r="CM1289" s="45">
        <v>1285</v>
      </c>
      <c r="CN1289" s="48">
        <v>8.2559959949111459</v>
      </c>
      <c r="CO1289" s="45" t="str">
        <v>Invest</v>
      </c>
      <c r="CP1289" s="61"/>
      <c r="CQ1289" s="45">
        <v>1285</v>
      </c>
      <c r="CR1289" s="45">
        <v>5.1208502212200067</v>
      </c>
      <c r="CS1289" s="45" t="str">
        <v>Invest</v>
      </c>
      <c r="CT1289" s="61"/>
      <c r="CU1289" s="45">
        <v>1285</v>
      </c>
      <c r="CV1289" s="45">
        <v>28.106421350817925</v>
      </c>
      <c r="CW1289" s="45" t="str">
        <v>Invest</v>
      </c>
      <c r="CX1289" s="61"/>
      <c r="CY1289" s="45">
        <v>1285</v>
      </c>
      <c r="CZ1289" s="45">
        <v>24.714470431099432</v>
      </c>
      <c r="DA1289" s="45" t="str">
        <v>Invest</v>
      </c>
      <c r="DU1289" s="52"/>
      <c r="DV1289" s="50"/>
    </row>
    <row r="1290" spans="91:126" ht="23.5">
      <c r="CM1290" s="45">
        <v>1286</v>
      </c>
      <c r="CN1290" s="48">
        <v>43.76329073647512</v>
      </c>
      <c r="CO1290" s="45" t="str">
        <v>Invest</v>
      </c>
      <c r="CP1290" s="61"/>
      <c r="CQ1290" s="45">
        <v>1286</v>
      </c>
      <c r="CR1290" s="45">
        <v>3.4619783586731607</v>
      </c>
      <c r="CS1290" s="45" t="str">
        <v>Invest</v>
      </c>
      <c r="CT1290" s="61"/>
      <c r="CU1290" s="45">
        <v>1286</v>
      </c>
      <c r="CV1290" s="45">
        <v>0</v>
      </c>
      <c r="CW1290" s="45" t="str">
        <v>Nothing</v>
      </c>
      <c r="CX1290" s="61"/>
      <c r="CY1290" s="45">
        <v>1286</v>
      </c>
      <c r="CZ1290" s="45">
        <v>11.046217013626231</v>
      </c>
      <c r="DA1290" s="45" t="str">
        <v>Invest</v>
      </c>
      <c r="DU1290" s="52"/>
      <c r="DV1290" s="50"/>
    </row>
    <row r="1291" spans="91:126" ht="23.5">
      <c r="CM1291" s="45">
        <v>1287</v>
      </c>
      <c r="CN1291" s="48">
        <v>6.8924684899733659</v>
      </c>
      <c r="CO1291" s="45" t="str">
        <v>Invest</v>
      </c>
      <c r="CP1291" s="61"/>
      <c r="CQ1291" s="45">
        <v>1287</v>
      </c>
      <c r="CR1291" s="45">
        <v>0</v>
      </c>
      <c r="CS1291" s="45" t="str">
        <v>Nothing</v>
      </c>
      <c r="CT1291" s="61"/>
      <c r="CU1291" s="45">
        <v>1287</v>
      </c>
      <c r="CV1291" s="45">
        <v>21.933836299651034</v>
      </c>
      <c r="CW1291" s="45" t="str">
        <v>Invest</v>
      </c>
      <c r="CX1291" s="61"/>
      <c r="CY1291" s="45">
        <v>1287</v>
      </c>
      <c r="CZ1291" s="45">
        <v>2.17297776084704</v>
      </c>
      <c r="DA1291" s="45" t="str">
        <v>Invest</v>
      </c>
      <c r="DU1291" s="52"/>
      <c r="DV1291" s="50"/>
    </row>
    <row r="1292" spans="91:126" ht="23.5">
      <c r="CM1292" s="45">
        <v>1288</v>
      </c>
      <c r="CN1292" s="48">
        <v>5.4203369308833871</v>
      </c>
      <c r="CO1292" s="45" t="str">
        <v>Invest</v>
      </c>
      <c r="CP1292" s="61"/>
      <c r="CQ1292" s="45">
        <v>1288</v>
      </c>
      <c r="CR1292" s="45">
        <v>39.879877930868219</v>
      </c>
      <c r="CS1292" s="45" t="str">
        <v>Invest</v>
      </c>
      <c r="CT1292" s="61"/>
      <c r="CU1292" s="45">
        <v>1288</v>
      </c>
      <c r="CV1292" s="45">
        <v>1.3335774209900997</v>
      </c>
      <c r="CW1292" s="45" t="str">
        <v>Invest</v>
      </c>
      <c r="CX1292" s="61"/>
      <c r="CY1292" s="45">
        <v>1288</v>
      </c>
      <c r="CZ1292" s="45">
        <v>15.720631379788493</v>
      </c>
      <c r="DA1292" s="45" t="str">
        <v>Invest</v>
      </c>
      <c r="DU1292" s="52"/>
      <c r="DV1292" s="50"/>
    </row>
    <row r="1293" spans="91:126" ht="23.5">
      <c r="CM1293" s="45">
        <v>1289</v>
      </c>
      <c r="CN1293" s="48">
        <v>29.130624151142293</v>
      </c>
      <c r="CO1293" s="45" t="str">
        <v>Invest</v>
      </c>
      <c r="CP1293" s="61"/>
      <c r="CQ1293" s="45">
        <v>1289</v>
      </c>
      <c r="CR1293" s="45">
        <v>34.710768606019855</v>
      </c>
      <c r="CS1293" s="45" t="str">
        <v>Invest</v>
      </c>
      <c r="CT1293" s="61"/>
      <c r="CU1293" s="45">
        <v>1289</v>
      </c>
      <c r="CV1293" s="45">
        <v>26.101861948535507</v>
      </c>
      <c r="CW1293" s="45" t="str">
        <v>Invest</v>
      </c>
      <c r="CX1293" s="61"/>
      <c r="CY1293" s="45">
        <v>1289</v>
      </c>
      <c r="CZ1293" s="45">
        <v>4.2279636363368045</v>
      </c>
      <c r="DA1293" s="45" t="str">
        <v>Invest</v>
      </c>
      <c r="DU1293" s="52"/>
      <c r="DV1293" s="50"/>
    </row>
    <row r="1294" spans="91:126" ht="23.5">
      <c r="CM1294" s="45">
        <v>1290</v>
      </c>
      <c r="CN1294" s="48">
        <v>11.368326262606214</v>
      </c>
      <c r="CO1294" s="45" t="str">
        <v>Invest</v>
      </c>
      <c r="CP1294" s="61"/>
      <c r="CQ1294" s="45">
        <v>1290</v>
      </c>
      <c r="CR1294" s="45">
        <v>0</v>
      </c>
      <c r="CS1294" s="45" t="str">
        <v>Nothing</v>
      </c>
      <c r="CT1294" s="61"/>
      <c r="CU1294" s="45">
        <v>1290</v>
      </c>
      <c r="CV1294" s="45">
        <v>3.350893378998208</v>
      </c>
      <c r="CW1294" s="45" t="str">
        <v>Invest</v>
      </c>
      <c r="CX1294" s="61"/>
      <c r="CY1294" s="45">
        <v>1290</v>
      </c>
      <c r="CZ1294" s="45">
        <v>3.5927122628256232</v>
      </c>
      <c r="DA1294" s="45" t="str">
        <v>Invest</v>
      </c>
      <c r="DU1294" s="52"/>
      <c r="DV1294" s="50"/>
    </row>
    <row r="1295" spans="91:126" ht="23.5">
      <c r="CM1295" s="45">
        <v>1291</v>
      </c>
      <c r="CN1295" s="48">
        <v>0</v>
      </c>
      <c r="CO1295" s="45" t="str">
        <v>Nothing</v>
      </c>
      <c r="CP1295" s="61"/>
      <c r="CQ1295" s="45">
        <v>1291</v>
      </c>
      <c r="CR1295" s="45">
        <v>10.04021660609833</v>
      </c>
      <c r="CS1295" s="45" t="str">
        <v>Invest</v>
      </c>
      <c r="CT1295" s="61"/>
      <c r="CU1295" s="45">
        <v>1291</v>
      </c>
      <c r="CV1295" s="45">
        <v>7.9046532025673715</v>
      </c>
      <c r="CW1295" s="45" t="str">
        <v>Invest</v>
      </c>
      <c r="CX1295" s="61"/>
      <c r="CY1295" s="45">
        <v>1291</v>
      </c>
      <c r="CZ1295" s="45">
        <v>44.957453230920336</v>
      </c>
      <c r="DA1295" s="45" t="str">
        <v>Invest</v>
      </c>
      <c r="DU1295" s="52"/>
      <c r="DV1295" s="50"/>
    </row>
    <row r="1296" spans="91:126" ht="23.5">
      <c r="CM1296" s="45">
        <v>1292</v>
      </c>
      <c r="CN1296" s="48">
        <v>27.976077895778605</v>
      </c>
      <c r="CO1296" s="45" t="str">
        <v>Invest</v>
      </c>
      <c r="CP1296" s="61"/>
      <c r="CQ1296" s="45">
        <v>1292</v>
      </c>
      <c r="CR1296" s="45">
        <v>0</v>
      </c>
      <c r="CS1296" s="45" t="str">
        <v>Nothing</v>
      </c>
      <c r="CT1296" s="61"/>
      <c r="CU1296" s="45">
        <v>1292</v>
      </c>
      <c r="CV1296" s="45">
        <v>0</v>
      </c>
      <c r="CW1296" s="45" t="str">
        <v>Nothing</v>
      </c>
      <c r="CX1296" s="61"/>
      <c r="CY1296" s="45">
        <v>1292</v>
      </c>
      <c r="CZ1296" s="45">
        <v>16.34633873278246</v>
      </c>
      <c r="DA1296" s="45" t="str">
        <v>Invest</v>
      </c>
      <c r="DU1296" s="52"/>
      <c r="DV1296" s="50"/>
    </row>
    <row r="1297" spans="91:126" ht="23.5">
      <c r="CM1297" s="45">
        <v>1293</v>
      </c>
      <c r="CN1297" s="48">
        <v>29.176416932103113</v>
      </c>
      <c r="CO1297" s="45" t="str">
        <v>Invest</v>
      </c>
      <c r="CP1297" s="61"/>
      <c r="CQ1297" s="45">
        <v>1293</v>
      </c>
      <c r="CR1297" s="45">
        <v>32.456992330414963</v>
      </c>
      <c r="CS1297" s="45" t="str">
        <v>Invest</v>
      </c>
      <c r="CT1297" s="61"/>
      <c r="CU1297" s="45">
        <v>1293</v>
      </c>
      <c r="CV1297" s="45">
        <v>0</v>
      </c>
      <c r="CW1297" s="45" t="str">
        <v>Nothing</v>
      </c>
      <c r="CX1297" s="61"/>
      <c r="CY1297" s="45">
        <v>1293</v>
      </c>
      <c r="CZ1297" s="45">
        <v>32.879989151611639</v>
      </c>
      <c r="DA1297" s="45" t="str">
        <v>Invest</v>
      </c>
      <c r="DU1297" s="52"/>
      <c r="DV1297" s="50"/>
    </row>
    <row r="1298" spans="91:126" ht="23.5">
      <c r="CM1298" s="45">
        <v>1294</v>
      </c>
      <c r="CN1298" s="48">
        <v>16.519811330869974</v>
      </c>
      <c r="CO1298" s="45" t="str">
        <v>Invest</v>
      </c>
      <c r="CP1298" s="61"/>
      <c r="CQ1298" s="45">
        <v>1294</v>
      </c>
      <c r="CR1298" s="45">
        <v>36.155040179271239</v>
      </c>
      <c r="CS1298" s="45" t="str">
        <v>Invest</v>
      </c>
      <c r="CT1298" s="61"/>
      <c r="CU1298" s="45">
        <v>1294</v>
      </c>
      <c r="CV1298" s="45">
        <v>21.222103500990428</v>
      </c>
      <c r="CW1298" s="45" t="str">
        <v>Invest</v>
      </c>
      <c r="CX1298" s="61"/>
      <c r="CY1298" s="45">
        <v>1294</v>
      </c>
      <c r="CZ1298" s="45">
        <v>28.476971666357429</v>
      </c>
      <c r="DA1298" s="45" t="str">
        <v>Invest</v>
      </c>
      <c r="DU1298" s="52"/>
      <c r="DV1298" s="50"/>
    </row>
    <row r="1299" spans="91:126" ht="23.5">
      <c r="CM1299" s="45">
        <v>1295</v>
      </c>
      <c r="CN1299" s="48">
        <v>25.884614734541728</v>
      </c>
      <c r="CO1299" s="45" t="str">
        <v>Invest</v>
      </c>
      <c r="CP1299" s="61"/>
      <c r="CQ1299" s="45">
        <v>1295</v>
      </c>
      <c r="CR1299" s="45">
        <v>13.777817715679484</v>
      </c>
      <c r="CS1299" s="45" t="str">
        <v>Invest</v>
      </c>
      <c r="CT1299" s="61"/>
      <c r="CU1299" s="45">
        <v>1295</v>
      </c>
      <c r="CV1299" s="45">
        <v>8.244257039489149</v>
      </c>
      <c r="CW1299" s="45" t="str">
        <v>Invest</v>
      </c>
      <c r="CX1299" s="61"/>
      <c r="CY1299" s="45">
        <v>1295</v>
      </c>
      <c r="CZ1299" s="45">
        <v>0</v>
      </c>
      <c r="DA1299" s="45" t="str">
        <v>Nothing</v>
      </c>
      <c r="DU1299" s="52"/>
      <c r="DV1299" s="50"/>
    </row>
    <row r="1300" spans="91:126" ht="23.5">
      <c r="CM1300" s="45">
        <v>1296</v>
      </c>
      <c r="CN1300" s="48">
        <v>18.092947898388658</v>
      </c>
      <c r="CO1300" s="45" t="str">
        <v>Invest</v>
      </c>
      <c r="CP1300" s="61"/>
      <c r="CQ1300" s="45">
        <v>1296</v>
      </c>
      <c r="CR1300" s="45">
        <v>25.03180302882452</v>
      </c>
      <c r="CS1300" s="45" t="str">
        <v>Invest</v>
      </c>
      <c r="CT1300" s="61"/>
      <c r="CU1300" s="45">
        <v>1296</v>
      </c>
      <c r="CV1300" s="45">
        <v>1.4023438585537118</v>
      </c>
      <c r="CW1300" s="45" t="str">
        <v>Invest</v>
      </c>
      <c r="CX1300" s="61"/>
      <c r="CY1300" s="45">
        <v>1296</v>
      </c>
      <c r="CZ1300" s="45">
        <v>17.282461169540703</v>
      </c>
      <c r="DA1300" s="45" t="str">
        <v>Invest</v>
      </c>
      <c r="DU1300" s="52"/>
      <c r="DV1300" s="50"/>
    </row>
    <row r="1301" spans="91:126" ht="23.5">
      <c r="CM1301" s="45">
        <v>1297</v>
      </c>
      <c r="CN1301" s="48">
        <v>29.541796815954314</v>
      </c>
      <c r="CO1301" s="45" t="str">
        <v>Invest</v>
      </c>
      <c r="CP1301" s="61"/>
      <c r="CQ1301" s="45">
        <v>1297</v>
      </c>
      <c r="CR1301" s="45">
        <v>6.1546111015476761</v>
      </c>
      <c r="CS1301" s="45" t="str">
        <v>Invest</v>
      </c>
      <c r="CT1301" s="61"/>
      <c r="CU1301" s="45">
        <v>1297</v>
      </c>
      <c r="CV1301" s="45">
        <v>0</v>
      </c>
      <c r="CW1301" s="45" t="str">
        <v>Nothing</v>
      </c>
      <c r="CX1301" s="61"/>
      <c r="CY1301" s="45">
        <v>1297</v>
      </c>
      <c r="CZ1301" s="45">
        <v>0</v>
      </c>
      <c r="DA1301" s="45" t="str">
        <v>Nothing</v>
      </c>
      <c r="DU1301" s="52"/>
      <c r="DV1301" s="50"/>
    </row>
    <row r="1302" spans="91:126" ht="23.5">
      <c r="CM1302" s="45">
        <v>1298</v>
      </c>
      <c r="CN1302" s="48">
        <v>29.951499509611377</v>
      </c>
      <c r="CO1302" s="45" t="str">
        <v>Invest</v>
      </c>
      <c r="CP1302" s="61"/>
      <c r="CQ1302" s="45">
        <v>1298</v>
      </c>
      <c r="CR1302" s="45">
        <v>26.401961677560031</v>
      </c>
      <c r="CS1302" s="45" t="str">
        <v>Invest</v>
      </c>
      <c r="CT1302" s="61"/>
      <c r="CU1302" s="45">
        <v>1298</v>
      </c>
      <c r="CV1302" s="45">
        <v>0</v>
      </c>
      <c r="CW1302" s="45" t="str">
        <v>Nothing</v>
      </c>
      <c r="CX1302" s="61"/>
      <c r="CY1302" s="45">
        <v>1298</v>
      </c>
      <c r="CZ1302" s="45">
        <v>8.7728987219890406</v>
      </c>
      <c r="DA1302" s="45" t="str">
        <v>Invest</v>
      </c>
      <c r="DU1302" s="52"/>
      <c r="DV1302" s="50"/>
    </row>
    <row r="1303" spans="91:126" ht="23.5">
      <c r="CM1303" s="45">
        <v>1299</v>
      </c>
      <c r="CN1303" s="48">
        <v>0</v>
      </c>
      <c r="CO1303" s="45" t="str">
        <v>Nothing</v>
      </c>
      <c r="CP1303" s="61"/>
      <c r="CQ1303" s="45">
        <v>1299</v>
      </c>
      <c r="CR1303" s="45">
        <v>42.429639596097893</v>
      </c>
      <c r="CS1303" s="45" t="str">
        <v>Invest</v>
      </c>
      <c r="CT1303" s="61"/>
      <c r="CU1303" s="45">
        <v>1299</v>
      </c>
      <c r="CV1303" s="45">
        <v>39.213234016943403</v>
      </c>
      <c r="CW1303" s="45" t="str">
        <v>Invest</v>
      </c>
      <c r="CX1303" s="61"/>
      <c r="CY1303" s="45">
        <v>1299</v>
      </c>
      <c r="CZ1303" s="45">
        <v>8.3186582032514629</v>
      </c>
      <c r="DA1303" s="45" t="str">
        <v>Invest</v>
      </c>
      <c r="DU1303" s="52"/>
      <c r="DV1303" s="50"/>
    </row>
    <row r="1304" spans="91:126" ht="23.5">
      <c r="CM1304" s="45">
        <v>1300</v>
      </c>
      <c r="CN1304" s="48">
        <v>28.093418902411699</v>
      </c>
      <c r="CO1304" s="45" t="str">
        <v>Invest</v>
      </c>
      <c r="CP1304" s="61"/>
      <c r="CQ1304" s="45">
        <v>1300</v>
      </c>
      <c r="CR1304" s="45">
        <v>22.031055842653181</v>
      </c>
      <c r="CS1304" s="45" t="str">
        <v>Invest</v>
      </c>
      <c r="CT1304" s="61"/>
      <c r="CU1304" s="45">
        <v>1300</v>
      </c>
      <c r="CV1304" s="45">
        <v>0</v>
      </c>
      <c r="CW1304" s="45" t="str">
        <v>Nothing</v>
      </c>
      <c r="CX1304" s="61"/>
      <c r="CY1304" s="45">
        <v>1300</v>
      </c>
      <c r="CZ1304" s="45">
        <v>0</v>
      </c>
      <c r="DA1304" s="45" t="str">
        <v>Nothing</v>
      </c>
      <c r="DU1304" s="52"/>
      <c r="DV1304" s="50"/>
    </row>
    <row r="1305" spans="91:126" ht="23.5">
      <c r="CM1305" s="45">
        <v>1301</v>
      </c>
      <c r="CN1305" s="48">
        <v>16.783809565573737</v>
      </c>
      <c r="CO1305" s="45" t="str">
        <v>Invest</v>
      </c>
      <c r="CP1305" s="61"/>
      <c r="CQ1305" s="45">
        <v>1301</v>
      </c>
      <c r="CR1305" s="45">
        <v>21.019309536881078</v>
      </c>
      <c r="CS1305" s="45" t="str">
        <v>Invest</v>
      </c>
      <c r="CT1305" s="61"/>
      <c r="CU1305" s="45">
        <v>1301</v>
      </c>
      <c r="CV1305" s="45">
        <v>0</v>
      </c>
      <c r="CW1305" s="45" t="str">
        <v>Nothing</v>
      </c>
      <c r="CX1305" s="61"/>
      <c r="CY1305" s="45">
        <v>1301</v>
      </c>
      <c r="CZ1305" s="45">
        <v>0</v>
      </c>
      <c r="DA1305" s="45" t="str">
        <v>Nothing</v>
      </c>
      <c r="DU1305" s="52"/>
      <c r="DV1305" s="50"/>
    </row>
    <row r="1306" spans="91:126" ht="23.5">
      <c r="CM1306" s="45">
        <v>1302</v>
      </c>
      <c r="CN1306" s="48">
        <v>0</v>
      </c>
      <c r="CO1306" s="45" t="str">
        <v>Nothing</v>
      </c>
      <c r="CP1306" s="61"/>
      <c r="CQ1306" s="45">
        <v>1302</v>
      </c>
      <c r="CR1306" s="45">
        <v>5.836628126263097</v>
      </c>
      <c r="CS1306" s="45" t="str">
        <v>Invest</v>
      </c>
      <c r="CT1306" s="61"/>
      <c r="CU1306" s="45">
        <v>1302</v>
      </c>
      <c r="CV1306" s="45">
        <v>15.725267513004596</v>
      </c>
      <c r="CW1306" s="45" t="str">
        <v>Invest</v>
      </c>
      <c r="CX1306" s="61"/>
      <c r="CY1306" s="45">
        <v>1302</v>
      </c>
      <c r="CZ1306" s="45">
        <v>60.018904808972323</v>
      </c>
      <c r="DA1306" s="45" t="str">
        <v>Invest</v>
      </c>
      <c r="DU1306" s="52"/>
      <c r="DV1306" s="50"/>
    </row>
    <row r="1307" spans="91:126" ht="23.5">
      <c r="CM1307" s="45">
        <v>1303</v>
      </c>
      <c r="CN1307" s="48">
        <v>9.3234282767185199</v>
      </c>
      <c r="CO1307" s="45" t="str">
        <v>Invest</v>
      </c>
      <c r="CP1307" s="61"/>
      <c r="CQ1307" s="45">
        <v>1303</v>
      </c>
      <c r="CR1307" s="45">
        <v>0</v>
      </c>
      <c r="CS1307" s="45" t="str">
        <v>Nothing</v>
      </c>
      <c r="CT1307" s="61"/>
      <c r="CU1307" s="45">
        <v>1303</v>
      </c>
      <c r="CV1307" s="45">
        <v>29.941355641656742</v>
      </c>
      <c r="CW1307" s="45" t="str">
        <v>Invest</v>
      </c>
      <c r="CX1307" s="61"/>
      <c r="CY1307" s="45">
        <v>1303</v>
      </c>
      <c r="CZ1307" s="45">
        <v>18.279170002777565</v>
      </c>
      <c r="DA1307" s="45" t="str">
        <v>Invest</v>
      </c>
      <c r="DU1307" s="52"/>
      <c r="DV1307" s="50"/>
    </row>
    <row r="1308" spans="91:126" ht="23.5">
      <c r="CM1308" s="45">
        <v>1304</v>
      </c>
      <c r="CN1308" s="48">
        <v>0</v>
      </c>
      <c r="CO1308" s="45" t="str">
        <v>Nothing</v>
      </c>
      <c r="CP1308" s="61"/>
      <c r="CQ1308" s="45">
        <v>1304</v>
      </c>
      <c r="CR1308" s="45">
        <v>0</v>
      </c>
      <c r="CS1308" s="45" t="str">
        <v>Nothing</v>
      </c>
      <c r="CT1308" s="61"/>
      <c r="CU1308" s="45">
        <v>1304</v>
      </c>
      <c r="CV1308" s="45">
        <v>39.608125858021985</v>
      </c>
      <c r="CW1308" s="45" t="str">
        <v>Invest</v>
      </c>
      <c r="CX1308" s="61"/>
      <c r="CY1308" s="45">
        <v>1304</v>
      </c>
      <c r="CZ1308" s="45">
        <v>15.136610103756322</v>
      </c>
      <c r="DA1308" s="45" t="str">
        <v>Invest</v>
      </c>
      <c r="DU1308" s="52"/>
      <c r="DV1308" s="50"/>
    </row>
    <row r="1309" spans="91:126" ht="23.5">
      <c r="CM1309" s="45">
        <v>1305</v>
      </c>
      <c r="CN1309" s="48">
        <v>9.6532994122875984</v>
      </c>
      <c r="CO1309" s="45" t="str">
        <v>Invest</v>
      </c>
      <c r="CP1309" s="61"/>
      <c r="CQ1309" s="45">
        <v>1305</v>
      </c>
      <c r="CR1309" s="45">
        <v>37.31412471087566</v>
      </c>
      <c r="CS1309" s="45" t="str">
        <v>Invest</v>
      </c>
      <c r="CT1309" s="61"/>
      <c r="CU1309" s="45">
        <v>1305</v>
      </c>
      <c r="CV1309" s="45">
        <v>27.051195937890117</v>
      </c>
      <c r="CW1309" s="45" t="str">
        <v>Invest</v>
      </c>
      <c r="CX1309" s="61"/>
      <c r="CY1309" s="45">
        <v>1305</v>
      </c>
      <c r="CZ1309" s="45">
        <v>10.041720737538666</v>
      </c>
      <c r="DA1309" s="45" t="str">
        <v>Invest</v>
      </c>
      <c r="DU1309" s="52"/>
      <c r="DV1309" s="50"/>
    </row>
    <row r="1310" spans="91:126" ht="23.5">
      <c r="CM1310" s="45">
        <v>1306</v>
      </c>
      <c r="CN1310" s="48">
        <v>20.190233546286059</v>
      </c>
      <c r="CO1310" s="45" t="str">
        <v>Invest</v>
      </c>
      <c r="CP1310" s="61"/>
      <c r="CQ1310" s="45">
        <v>1306</v>
      </c>
      <c r="CR1310" s="45">
        <v>0</v>
      </c>
      <c r="CS1310" s="45" t="str">
        <v>Nothing</v>
      </c>
      <c r="CT1310" s="61"/>
      <c r="CU1310" s="45">
        <v>1306</v>
      </c>
      <c r="CV1310" s="45">
        <v>24.047958941709684</v>
      </c>
      <c r="CW1310" s="45" t="str">
        <v>Invest</v>
      </c>
      <c r="CX1310" s="61"/>
      <c r="CY1310" s="45">
        <v>1306</v>
      </c>
      <c r="CZ1310" s="45">
        <v>21.697385981529152</v>
      </c>
      <c r="DA1310" s="45" t="str">
        <v>Invest</v>
      </c>
      <c r="DU1310" s="52"/>
      <c r="DV1310" s="50"/>
    </row>
    <row r="1311" spans="91:126" ht="23.5">
      <c r="CM1311" s="45">
        <v>1307</v>
      </c>
      <c r="CN1311" s="48">
        <v>12.655419747945544</v>
      </c>
      <c r="CO1311" s="45" t="str">
        <v>Invest</v>
      </c>
      <c r="CP1311" s="61"/>
      <c r="CQ1311" s="45">
        <v>1307</v>
      </c>
      <c r="CR1311" s="45">
        <v>60.562979543413917</v>
      </c>
      <c r="CS1311" s="45" t="str">
        <v>Invest</v>
      </c>
      <c r="CT1311" s="61"/>
      <c r="CU1311" s="45">
        <v>1307</v>
      </c>
      <c r="CV1311" s="45">
        <v>8.7080678758393937</v>
      </c>
      <c r="CW1311" s="45" t="str">
        <v>Invest</v>
      </c>
      <c r="CX1311" s="61"/>
      <c r="CY1311" s="45">
        <v>1307</v>
      </c>
      <c r="CZ1311" s="45">
        <v>20.661421289251194</v>
      </c>
      <c r="DA1311" s="45" t="str">
        <v>Invest</v>
      </c>
      <c r="DU1311" s="52"/>
      <c r="DV1311" s="50"/>
    </row>
    <row r="1312" spans="91:126" ht="23.5">
      <c r="CM1312" s="45">
        <v>1308</v>
      </c>
      <c r="CN1312" s="48">
        <v>20.202119503141041</v>
      </c>
      <c r="CO1312" s="45" t="str">
        <v>Invest</v>
      </c>
      <c r="CP1312" s="61"/>
      <c r="CQ1312" s="45">
        <v>1308</v>
      </c>
      <c r="CR1312" s="45">
        <v>35.497201473017924</v>
      </c>
      <c r="CS1312" s="45" t="str">
        <v>Invest</v>
      </c>
      <c r="CT1312" s="61"/>
      <c r="CU1312" s="45">
        <v>1308</v>
      </c>
      <c r="CV1312" s="45">
        <v>0</v>
      </c>
      <c r="CW1312" s="45" t="str">
        <v>Nothing</v>
      </c>
      <c r="CX1312" s="61"/>
      <c r="CY1312" s="45">
        <v>1308</v>
      </c>
      <c r="CZ1312" s="45">
        <v>0</v>
      </c>
      <c r="DA1312" s="45" t="str">
        <v>Nothing</v>
      </c>
      <c r="DU1312" s="52"/>
      <c r="DV1312" s="50"/>
    </row>
    <row r="1313" spans="91:126" ht="23.5">
      <c r="CM1313" s="45">
        <v>1309</v>
      </c>
      <c r="CN1313" s="48">
        <v>0</v>
      </c>
      <c r="CO1313" s="45" t="str">
        <v>Nothing</v>
      </c>
      <c r="CP1313" s="61"/>
      <c r="CQ1313" s="45">
        <v>1309</v>
      </c>
      <c r="CR1313" s="45">
        <v>13.182466453976375</v>
      </c>
      <c r="CS1313" s="45" t="str">
        <v>Invest</v>
      </c>
      <c r="CT1313" s="61"/>
      <c r="CU1313" s="45">
        <v>1309</v>
      </c>
      <c r="CV1313" s="45">
        <v>12.810839472047279</v>
      </c>
      <c r="CW1313" s="45" t="str">
        <v>Invest</v>
      </c>
      <c r="CX1313" s="61"/>
      <c r="CY1313" s="45">
        <v>1309</v>
      </c>
      <c r="CZ1313" s="45">
        <v>31.52246298890045</v>
      </c>
      <c r="DA1313" s="45" t="str">
        <v>Invest</v>
      </c>
      <c r="DU1313" s="52"/>
      <c r="DV1313" s="50"/>
    </row>
    <row r="1314" spans="91:126" ht="23.5">
      <c r="CM1314" s="45">
        <v>1310</v>
      </c>
      <c r="CN1314" s="48">
        <v>10.251693622799042</v>
      </c>
      <c r="CO1314" s="45" t="str">
        <v>Invest</v>
      </c>
      <c r="CP1314" s="61"/>
      <c r="CQ1314" s="45">
        <v>1310</v>
      </c>
      <c r="CR1314" s="45">
        <v>30.424862014371264</v>
      </c>
      <c r="CS1314" s="45" t="str">
        <v>Invest</v>
      </c>
      <c r="CT1314" s="61"/>
      <c r="CU1314" s="45">
        <v>1310</v>
      </c>
      <c r="CV1314" s="45">
        <v>0</v>
      </c>
      <c r="CW1314" s="45" t="str">
        <v>Nothing</v>
      </c>
      <c r="CX1314" s="61"/>
      <c r="CY1314" s="45">
        <v>1310</v>
      </c>
      <c r="CZ1314" s="45">
        <v>18.376250033758534</v>
      </c>
      <c r="DA1314" s="45" t="str">
        <v>Invest</v>
      </c>
      <c r="DU1314" s="52"/>
      <c r="DV1314" s="50"/>
    </row>
    <row r="1315" spans="91:126" ht="23.5">
      <c r="CM1315" s="45">
        <v>1311</v>
      </c>
      <c r="CN1315" s="48">
        <v>3.8976535735567488</v>
      </c>
      <c r="CO1315" s="45" t="str">
        <v>Invest</v>
      </c>
      <c r="CP1315" s="61"/>
      <c r="CQ1315" s="45">
        <v>1311</v>
      </c>
      <c r="CR1315" s="45">
        <v>23.595996634654099</v>
      </c>
      <c r="CS1315" s="45" t="str">
        <v>Invest</v>
      </c>
      <c r="CT1315" s="61"/>
      <c r="CU1315" s="45">
        <v>1311</v>
      </c>
      <c r="CV1315" s="45">
        <v>23.695607145618951</v>
      </c>
      <c r="CW1315" s="45" t="str">
        <v>Invest</v>
      </c>
      <c r="CX1315" s="61"/>
      <c r="CY1315" s="45">
        <v>1311</v>
      </c>
      <c r="CZ1315" s="45">
        <v>3.7143043567194756</v>
      </c>
      <c r="DA1315" s="45" t="str">
        <v>Invest</v>
      </c>
      <c r="DU1315" s="52"/>
      <c r="DV1315" s="50"/>
    </row>
    <row r="1316" spans="91:126" ht="23.5">
      <c r="CM1316" s="45">
        <v>1312</v>
      </c>
      <c r="CN1316" s="48">
        <v>25.66240344705707</v>
      </c>
      <c r="CO1316" s="45" t="str">
        <v>Invest</v>
      </c>
      <c r="CP1316" s="61"/>
      <c r="CQ1316" s="45">
        <v>1312</v>
      </c>
      <c r="CR1316" s="45">
        <v>30.942839414305951</v>
      </c>
      <c r="CS1316" s="45" t="str">
        <v>Invest</v>
      </c>
      <c r="CT1316" s="61"/>
      <c r="CU1316" s="45">
        <v>1312</v>
      </c>
      <c r="CV1316" s="45">
        <v>29.943534782542692</v>
      </c>
      <c r="CW1316" s="45" t="str">
        <v>Invest</v>
      </c>
      <c r="CX1316" s="61"/>
      <c r="CY1316" s="45">
        <v>1312</v>
      </c>
      <c r="CZ1316" s="45">
        <v>24.945595429990622</v>
      </c>
      <c r="DA1316" s="45" t="str">
        <v>Invest</v>
      </c>
      <c r="DU1316" s="52"/>
      <c r="DV1316" s="50"/>
    </row>
    <row r="1317" spans="91:126" ht="23.5">
      <c r="CM1317" s="45">
        <v>1313</v>
      </c>
      <c r="CN1317" s="48">
        <v>12.874673068480705</v>
      </c>
      <c r="CO1317" s="45" t="str">
        <v>Invest</v>
      </c>
      <c r="CP1317" s="61"/>
      <c r="CQ1317" s="45">
        <v>1313</v>
      </c>
      <c r="CR1317" s="45">
        <v>46.342385683879442</v>
      </c>
      <c r="CS1317" s="45" t="str">
        <v>Invest</v>
      </c>
      <c r="CT1317" s="61"/>
      <c r="CU1317" s="45">
        <v>1313</v>
      </c>
      <c r="CV1317" s="45">
        <v>3.6855425463051379</v>
      </c>
      <c r="CW1317" s="45" t="str">
        <v>Invest</v>
      </c>
      <c r="CX1317" s="61"/>
      <c r="CY1317" s="45">
        <v>1313</v>
      </c>
      <c r="CZ1317" s="45">
        <v>0</v>
      </c>
      <c r="DA1317" s="45" t="str">
        <v>Nothing</v>
      </c>
      <c r="DU1317" s="52"/>
      <c r="DV1317" s="50"/>
    </row>
    <row r="1318" spans="91:126" ht="23.5">
      <c r="CM1318" s="45">
        <v>1314</v>
      </c>
      <c r="CN1318" s="48">
        <v>13.321461449486295</v>
      </c>
      <c r="CO1318" s="45" t="str">
        <v>Invest</v>
      </c>
      <c r="CP1318" s="61"/>
      <c r="CQ1318" s="45">
        <v>1314</v>
      </c>
      <c r="CR1318" s="45">
        <v>10.26753035596108</v>
      </c>
      <c r="CS1318" s="45" t="str">
        <v>Invest</v>
      </c>
      <c r="CT1318" s="61"/>
      <c r="CU1318" s="45">
        <v>1314</v>
      </c>
      <c r="CV1318" s="45">
        <v>0</v>
      </c>
      <c r="CW1318" s="45" t="str">
        <v>Nothing</v>
      </c>
      <c r="CX1318" s="61"/>
      <c r="CY1318" s="45">
        <v>1314</v>
      </c>
      <c r="CZ1318" s="45">
        <v>0</v>
      </c>
      <c r="DA1318" s="45" t="str">
        <v>Nothing</v>
      </c>
      <c r="DU1318" s="52"/>
      <c r="DV1318" s="50"/>
    </row>
    <row r="1319" spans="91:126" ht="23.5">
      <c r="CM1319" s="45">
        <v>1315</v>
      </c>
      <c r="CN1319" s="48">
        <v>54.053646409597683</v>
      </c>
      <c r="CO1319" s="45" t="str">
        <v>Invest</v>
      </c>
      <c r="CP1319" s="61"/>
      <c r="CQ1319" s="45">
        <v>1315</v>
      </c>
      <c r="CR1319" s="45">
        <v>0</v>
      </c>
      <c r="CS1319" s="45" t="str">
        <v>Nothing</v>
      </c>
      <c r="CT1319" s="61"/>
      <c r="CU1319" s="45">
        <v>1315</v>
      </c>
      <c r="CV1319" s="45">
        <v>0</v>
      </c>
      <c r="CW1319" s="45" t="str">
        <v>Nothing</v>
      </c>
      <c r="CX1319" s="61"/>
      <c r="CY1319" s="45">
        <v>1315</v>
      </c>
      <c r="CZ1319" s="45">
        <v>21.575901442347487</v>
      </c>
      <c r="DA1319" s="45" t="str">
        <v>Invest</v>
      </c>
      <c r="DU1319" s="52"/>
      <c r="DV1319" s="50"/>
    </row>
    <row r="1320" spans="91:126" ht="23.5">
      <c r="CM1320" s="45">
        <v>1316</v>
      </c>
      <c r="CN1320" s="48">
        <v>0</v>
      </c>
      <c r="CO1320" s="45" t="str">
        <v>Nothing</v>
      </c>
      <c r="CP1320" s="61"/>
      <c r="CQ1320" s="45">
        <v>1316</v>
      </c>
      <c r="CR1320" s="45">
        <v>22.486007990349311</v>
      </c>
      <c r="CS1320" s="45" t="str">
        <v>Invest</v>
      </c>
      <c r="CT1320" s="61"/>
      <c r="CU1320" s="45">
        <v>1316</v>
      </c>
      <c r="CV1320" s="45">
        <v>58.129679036993679</v>
      </c>
      <c r="CW1320" s="45" t="str">
        <v>Invest</v>
      </c>
      <c r="CX1320" s="61"/>
      <c r="CY1320" s="45">
        <v>1316</v>
      </c>
      <c r="CZ1320" s="45">
        <v>6.1483472340489094</v>
      </c>
      <c r="DA1320" s="45" t="str">
        <v>Invest</v>
      </c>
      <c r="DU1320" s="52"/>
      <c r="DV1320" s="50"/>
    </row>
    <row r="1321" spans="91:126" ht="23.5">
      <c r="CM1321" s="45">
        <v>1317</v>
      </c>
      <c r="CN1321" s="48">
        <v>46.053890966152139</v>
      </c>
      <c r="CO1321" s="45" t="str">
        <v>Invest</v>
      </c>
      <c r="CP1321" s="61"/>
      <c r="CQ1321" s="45">
        <v>1317</v>
      </c>
      <c r="CR1321" s="45">
        <v>3.2826712302212506</v>
      </c>
      <c r="CS1321" s="45" t="str">
        <v>Invest</v>
      </c>
      <c r="CT1321" s="61"/>
      <c r="CU1321" s="45">
        <v>1317</v>
      </c>
      <c r="CV1321" s="45">
        <v>24.063521990849182</v>
      </c>
      <c r="CW1321" s="45" t="str">
        <v>Invest</v>
      </c>
      <c r="CX1321" s="61"/>
      <c r="CY1321" s="45">
        <v>1317</v>
      </c>
      <c r="CZ1321" s="45">
        <v>0</v>
      </c>
      <c r="DA1321" s="45" t="str">
        <v>Nothing</v>
      </c>
      <c r="DU1321" s="52"/>
      <c r="DV1321" s="50"/>
    </row>
    <row r="1322" spans="91:126" ht="23.5">
      <c r="CM1322" s="45">
        <v>1318</v>
      </c>
      <c r="CN1322" s="48">
        <v>0</v>
      </c>
      <c r="CO1322" s="45" t="str">
        <v>Nothing</v>
      </c>
      <c r="CP1322" s="61"/>
      <c r="CQ1322" s="45">
        <v>1318</v>
      </c>
      <c r="CR1322" s="45">
        <v>0</v>
      </c>
      <c r="CS1322" s="45" t="str">
        <v>Nothing</v>
      </c>
      <c r="CT1322" s="61"/>
      <c r="CU1322" s="45">
        <v>1318</v>
      </c>
      <c r="CV1322" s="45">
        <v>3.2027858977535093</v>
      </c>
      <c r="CW1322" s="45" t="str">
        <v>Invest</v>
      </c>
      <c r="CX1322" s="61"/>
      <c r="CY1322" s="45">
        <v>1318</v>
      </c>
      <c r="CZ1322" s="45">
        <v>41.291749011360046</v>
      </c>
      <c r="DA1322" s="45" t="str">
        <v>Invest</v>
      </c>
      <c r="DU1322" s="52"/>
      <c r="DV1322" s="50"/>
    </row>
    <row r="1323" spans="91:126" ht="23.5">
      <c r="CM1323" s="45">
        <v>1319</v>
      </c>
      <c r="CN1323" s="48">
        <v>50.072634237290252</v>
      </c>
      <c r="CO1323" s="45" t="str">
        <v>Invest</v>
      </c>
      <c r="CP1323" s="61"/>
      <c r="CQ1323" s="45">
        <v>1319</v>
      </c>
      <c r="CR1323" s="45">
        <v>16.952024085357905</v>
      </c>
      <c r="CS1323" s="45" t="str">
        <v>Invest</v>
      </c>
      <c r="CT1323" s="61"/>
      <c r="CU1323" s="45">
        <v>1319</v>
      </c>
      <c r="CV1323" s="45">
        <v>34.938690584556305</v>
      </c>
      <c r="CW1323" s="45" t="str">
        <v>Invest</v>
      </c>
      <c r="CX1323" s="61"/>
      <c r="CY1323" s="45">
        <v>1319</v>
      </c>
      <c r="CZ1323" s="45">
        <v>45.465075213883367</v>
      </c>
      <c r="DA1323" s="45" t="str">
        <v>Invest</v>
      </c>
      <c r="DU1323" s="52"/>
      <c r="DV1323" s="50"/>
    </row>
    <row r="1324" spans="91:126" ht="23.5">
      <c r="CM1324" s="45">
        <v>1320</v>
      </c>
      <c r="CN1324" s="48">
        <v>3.6980910277760657</v>
      </c>
      <c r="CO1324" s="45" t="str">
        <v>Invest</v>
      </c>
      <c r="CP1324" s="61"/>
      <c r="CQ1324" s="45">
        <v>1320</v>
      </c>
      <c r="CR1324" s="45">
        <v>14.618398622898114</v>
      </c>
      <c r="CS1324" s="45" t="str">
        <v>Invest</v>
      </c>
      <c r="CT1324" s="61"/>
      <c r="CU1324" s="45">
        <v>1320</v>
      </c>
      <c r="CV1324" s="45">
        <v>41.631590976969392</v>
      </c>
      <c r="CW1324" s="45" t="str">
        <v>Invest</v>
      </c>
      <c r="CX1324" s="61"/>
      <c r="CY1324" s="45">
        <v>1320</v>
      </c>
      <c r="CZ1324" s="45">
        <v>40.212940634013151</v>
      </c>
      <c r="DA1324" s="45" t="str">
        <v>Invest</v>
      </c>
      <c r="DU1324" s="52"/>
      <c r="DV1324" s="50"/>
    </row>
    <row r="1325" spans="91:126" ht="23.5">
      <c r="CM1325" s="45">
        <v>1321</v>
      </c>
      <c r="CN1325" s="48">
        <v>13.455782956918597</v>
      </c>
      <c r="CO1325" s="45" t="str">
        <v>Invest</v>
      </c>
      <c r="CP1325" s="61"/>
      <c r="CQ1325" s="45">
        <v>1321</v>
      </c>
      <c r="CR1325" s="45">
        <v>3.6831357160108347</v>
      </c>
      <c r="CS1325" s="45" t="str">
        <v>Invest</v>
      </c>
      <c r="CT1325" s="61"/>
      <c r="CU1325" s="45">
        <v>1321</v>
      </c>
      <c r="CV1325" s="45">
        <v>29.30453556995667</v>
      </c>
      <c r="CW1325" s="45" t="str">
        <v>Invest</v>
      </c>
      <c r="CX1325" s="61"/>
      <c r="CY1325" s="45">
        <v>1321</v>
      </c>
      <c r="CZ1325" s="45">
        <v>61.133638516391912</v>
      </c>
      <c r="DA1325" s="45" t="str">
        <v>Invest</v>
      </c>
      <c r="DU1325" s="52"/>
      <c r="DV1325" s="50"/>
    </row>
    <row r="1326" spans="91:126" ht="23.5">
      <c r="CM1326" s="45">
        <v>1322</v>
      </c>
      <c r="CN1326" s="48">
        <v>28.034977863842016</v>
      </c>
      <c r="CO1326" s="45" t="str">
        <v>Invest</v>
      </c>
      <c r="CP1326" s="61"/>
      <c r="CQ1326" s="45">
        <v>1322</v>
      </c>
      <c r="CR1326" s="45">
        <v>37.007182206557047</v>
      </c>
      <c r="CS1326" s="45" t="str">
        <v>Invest</v>
      </c>
      <c r="CT1326" s="61"/>
      <c r="CU1326" s="45">
        <v>1322</v>
      </c>
      <c r="CV1326" s="45">
        <v>38.362085173917521</v>
      </c>
      <c r="CW1326" s="45" t="str">
        <v>Invest</v>
      </c>
      <c r="CX1326" s="61"/>
      <c r="CY1326" s="45">
        <v>1322</v>
      </c>
      <c r="CZ1326" s="45">
        <v>12.317724361203771</v>
      </c>
      <c r="DA1326" s="45" t="str">
        <v>Invest</v>
      </c>
      <c r="DU1326" s="52"/>
      <c r="DV1326" s="50"/>
    </row>
    <row r="1327" spans="91:126" ht="23.5">
      <c r="CM1327" s="45">
        <v>1323</v>
      </c>
      <c r="CN1327" s="48">
        <v>40.563015027839718</v>
      </c>
      <c r="CO1327" s="45" t="str">
        <v>Invest</v>
      </c>
      <c r="CP1327" s="61"/>
      <c r="CQ1327" s="45">
        <v>1323</v>
      </c>
      <c r="CR1327" s="45">
        <v>34.165281773335401</v>
      </c>
      <c r="CS1327" s="45" t="str">
        <v>Invest</v>
      </c>
      <c r="CT1327" s="61"/>
      <c r="CU1327" s="45">
        <v>1323</v>
      </c>
      <c r="CV1327" s="45">
        <v>54.39898238163687</v>
      </c>
      <c r="CW1327" s="45" t="str">
        <v>Invest</v>
      </c>
      <c r="CX1327" s="61"/>
      <c r="CY1327" s="45">
        <v>1323</v>
      </c>
      <c r="CZ1327" s="45">
        <v>0</v>
      </c>
      <c r="DA1327" s="45" t="str">
        <v>Nothing</v>
      </c>
      <c r="DU1327" s="52"/>
      <c r="DV1327" s="50"/>
    </row>
    <row r="1328" spans="91:126" ht="23.5">
      <c r="CM1328" s="45">
        <v>1324</v>
      </c>
      <c r="CN1328" s="48">
        <v>52.036670475981445</v>
      </c>
      <c r="CO1328" s="45" t="str">
        <v>Invest</v>
      </c>
      <c r="CP1328" s="61"/>
      <c r="CQ1328" s="45">
        <v>1324</v>
      </c>
      <c r="CR1328" s="45">
        <v>0</v>
      </c>
      <c r="CS1328" s="45" t="str">
        <v>Nothing</v>
      </c>
      <c r="CT1328" s="61"/>
      <c r="CU1328" s="45">
        <v>1324</v>
      </c>
      <c r="CV1328" s="45">
        <v>15.143090674188731</v>
      </c>
      <c r="CW1328" s="45" t="str">
        <v>Invest</v>
      </c>
      <c r="CX1328" s="61"/>
      <c r="CY1328" s="45">
        <v>1324</v>
      </c>
      <c r="CZ1328" s="45">
        <v>0</v>
      </c>
      <c r="DA1328" s="45" t="str">
        <v>Nothing</v>
      </c>
      <c r="DU1328" s="52"/>
      <c r="DV1328" s="50"/>
    </row>
    <row r="1329" spans="91:126" ht="23.5">
      <c r="CM1329" s="45">
        <v>1325</v>
      </c>
      <c r="CN1329" s="48">
        <v>34.30348579777494</v>
      </c>
      <c r="CO1329" s="45" t="str">
        <v>Invest</v>
      </c>
      <c r="CP1329" s="61"/>
      <c r="CQ1329" s="45">
        <v>1325</v>
      </c>
      <c r="CR1329" s="45">
        <v>7.4666685973629869</v>
      </c>
      <c r="CS1329" s="45" t="str">
        <v>Invest</v>
      </c>
      <c r="CT1329" s="61"/>
      <c r="CU1329" s="45">
        <v>1325</v>
      </c>
      <c r="CV1329" s="45">
        <v>20.970728383594206</v>
      </c>
      <c r="CW1329" s="45" t="str">
        <v>Invest</v>
      </c>
      <c r="CX1329" s="61"/>
      <c r="CY1329" s="45">
        <v>1325</v>
      </c>
      <c r="CZ1329" s="45">
        <v>18.679668439944702</v>
      </c>
      <c r="DA1329" s="45" t="str">
        <v>Invest</v>
      </c>
      <c r="DU1329" s="52"/>
      <c r="DV1329" s="50"/>
    </row>
    <row r="1330" spans="91:126" ht="23.5">
      <c r="CM1330" s="45">
        <v>1326</v>
      </c>
      <c r="CN1330" s="48">
        <v>34.364723860359078</v>
      </c>
      <c r="CO1330" s="45" t="str">
        <v>Invest</v>
      </c>
      <c r="CP1330" s="61"/>
      <c r="CQ1330" s="45">
        <v>1326</v>
      </c>
      <c r="CR1330" s="45">
        <v>35.349927236741003</v>
      </c>
      <c r="CS1330" s="45" t="str">
        <v>Invest</v>
      </c>
      <c r="CT1330" s="61"/>
      <c r="CU1330" s="45">
        <v>1326</v>
      </c>
      <c r="CV1330" s="45">
        <v>28.255639704144173</v>
      </c>
      <c r="CW1330" s="45" t="str">
        <v>Invest</v>
      </c>
      <c r="CX1330" s="61"/>
      <c r="CY1330" s="45">
        <v>1326</v>
      </c>
      <c r="CZ1330" s="45">
        <v>36.396142237053567</v>
      </c>
      <c r="DA1330" s="45" t="str">
        <v>Invest</v>
      </c>
      <c r="DU1330" s="52"/>
      <c r="DV1330" s="50"/>
    </row>
    <row r="1331" spans="91:126" ht="23.5">
      <c r="CM1331" s="45">
        <v>1327</v>
      </c>
      <c r="CN1331" s="48">
        <v>25.105871014706548</v>
      </c>
      <c r="CO1331" s="45" t="str">
        <v>Invest</v>
      </c>
      <c r="CP1331" s="61"/>
      <c r="CQ1331" s="45">
        <v>1327</v>
      </c>
      <c r="CR1331" s="45">
        <v>7.0572350256309404</v>
      </c>
      <c r="CS1331" s="45" t="str">
        <v>Invest</v>
      </c>
      <c r="CT1331" s="61"/>
      <c r="CU1331" s="45">
        <v>1327</v>
      </c>
      <c r="CV1331" s="45">
        <v>0</v>
      </c>
      <c r="CW1331" s="45" t="str">
        <v>Nothing</v>
      </c>
      <c r="CX1331" s="61"/>
      <c r="CY1331" s="45">
        <v>1327</v>
      </c>
      <c r="CZ1331" s="45">
        <v>17.7005042444015</v>
      </c>
      <c r="DA1331" s="45" t="str">
        <v>Invest</v>
      </c>
      <c r="DU1331" s="52"/>
      <c r="DV1331" s="50"/>
    </row>
    <row r="1332" spans="91:126" ht="23.5">
      <c r="CM1332" s="45">
        <v>1328</v>
      </c>
      <c r="CN1332" s="48">
        <v>0</v>
      </c>
      <c r="CO1332" s="45" t="str">
        <v>Nothing</v>
      </c>
      <c r="CP1332" s="61"/>
      <c r="CQ1332" s="45">
        <v>1328</v>
      </c>
      <c r="CR1332" s="45">
        <v>8.870548239138035</v>
      </c>
      <c r="CS1332" s="45" t="str">
        <v>Invest</v>
      </c>
      <c r="CT1332" s="61"/>
      <c r="CU1332" s="45">
        <v>1328</v>
      </c>
      <c r="CV1332" s="45">
        <v>25.160296247027873</v>
      </c>
      <c r="CW1332" s="45" t="str">
        <v>Invest</v>
      </c>
      <c r="CX1332" s="61"/>
      <c r="CY1332" s="45">
        <v>1328</v>
      </c>
      <c r="CZ1332" s="45">
        <v>51.308718218629096</v>
      </c>
      <c r="DA1332" s="45" t="str">
        <v>Invest</v>
      </c>
      <c r="DU1332" s="52"/>
      <c r="DV1332" s="50"/>
    </row>
    <row r="1333" spans="91:126" ht="23.5">
      <c r="CM1333" s="45">
        <v>1329</v>
      </c>
      <c r="CN1333" s="48">
        <v>36.420627061533217</v>
      </c>
      <c r="CO1333" s="45" t="str">
        <v>Invest</v>
      </c>
      <c r="CP1333" s="61"/>
      <c r="CQ1333" s="45">
        <v>1329</v>
      </c>
      <c r="CR1333" s="45">
        <v>18.994857006527084</v>
      </c>
      <c r="CS1333" s="45" t="str">
        <v>Invest</v>
      </c>
      <c r="CT1333" s="61"/>
      <c r="CU1333" s="45">
        <v>1329</v>
      </c>
      <c r="CV1333" s="45">
        <v>21.874455343289036</v>
      </c>
      <c r="CW1333" s="45" t="str">
        <v>Invest</v>
      </c>
      <c r="CX1333" s="61"/>
      <c r="CY1333" s="45">
        <v>1329</v>
      </c>
      <c r="CZ1333" s="45">
        <v>44.140755898497417</v>
      </c>
      <c r="DA1333" s="45" t="str">
        <v>Invest</v>
      </c>
      <c r="DU1333" s="52"/>
      <c r="DV1333" s="50"/>
    </row>
    <row r="1334" spans="91:126" ht="23.5">
      <c r="CM1334" s="45">
        <v>1330</v>
      </c>
      <c r="CN1334" s="48">
        <v>21.052498269150064</v>
      </c>
      <c r="CO1334" s="45" t="str">
        <v>Invest</v>
      </c>
      <c r="CP1334" s="61"/>
      <c r="CQ1334" s="45">
        <v>1330</v>
      </c>
      <c r="CR1334" s="45">
        <v>60.322577841608862</v>
      </c>
      <c r="CS1334" s="45" t="str">
        <v>Invest</v>
      </c>
      <c r="CT1334" s="61"/>
      <c r="CU1334" s="45">
        <v>1330</v>
      </c>
      <c r="CV1334" s="45">
        <v>4.0195398198705385</v>
      </c>
      <c r="CW1334" s="45" t="str">
        <v>Invest</v>
      </c>
      <c r="CX1334" s="61"/>
      <c r="CY1334" s="45">
        <v>1330</v>
      </c>
      <c r="CZ1334" s="45">
        <v>2.3790023888919438</v>
      </c>
      <c r="DA1334" s="45" t="str">
        <v>Invest</v>
      </c>
      <c r="DU1334" s="52"/>
      <c r="DV1334" s="50"/>
    </row>
    <row r="1335" spans="91:126" ht="23.5">
      <c r="CM1335" s="45">
        <v>1331</v>
      </c>
      <c r="CN1335" s="48">
        <v>48.071170273829452</v>
      </c>
      <c r="CO1335" s="45" t="str">
        <v>Invest</v>
      </c>
      <c r="CP1335" s="61"/>
      <c r="CQ1335" s="45">
        <v>1331</v>
      </c>
      <c r="CR1335" s="45">
        <v>9.6999472432807252</v>
      </c>
      <c r="CS1335" s="45" t="str">
        <v>Invest</v>
      </c>
      <c r="CT1335" s="61"/>
      <c r="CU1335" s="45">
        <v>1331</v>
      </c>
      <c r="CV1335" s="45">
        <v>0</v>
      </c>
      <c r="CW1335" s="45" t="str">
        <v>Nothing</v>
      </c>
      <c r="CX1335" s="61"/>
      <c r="CY1335" s="45">
        <v>1331</v>
      </c>
      <c r="CZ1335" s="45">
        <v>37.980238795458135</v>
      </c>
      <c r="DA1335" s="45" t="str">
        <v>Invest</v>
      </c>
      <c r="DU1335" s="52"/>
      <c r="DV1335" s="50"/>
    </row>
    <row r="1336" spans="91:126" ht="23.5">
      <c r="CM1336" s="45">
        <v>1332</v>
      </c>
      <c r="CN1336" s="48">
        <v>0.42391907197425116</v>
      </c>
      <c r="CO1336" s="45" t="str">
        <v>Invest</v>
      </c>
      <c r="CP1336" s="61"/>
      <c r="CQ1336" s="45">
        <v>1332</v>
      </c>
      <c r="CR1336" s="45">
        <v>14.028577919849658</v>
      </c>
      <c r="CS1336" s="45" t="str">
        <v>Invest</v>
      </c>
      <c r="CT1336" s="61"/>
      <c r="CU1336" s="45">
        <v>1332</v>
      </c>
      <c r="CV1336" s="45">
        <v>40.66256765827098</v>
      </c>
      <c r="CW1336" s="45" t="str">
        <v>Invest</v>
      </c>
      <c r="CX1336" s="61"/>
      <c r="CY1336" s="45">
        <v>1332</v>
      </c>
      <c r="CZ1336" s="45">
        <v>25.246345131648525</v>
      </c>
      <c r="DA1336" s="45" t="str">
        <v>Invest</v>
      </c>
      <c r="DU1336" s="52"/>
      <c r="DV1336" s="50"/>
    </row>
    <row r="1337" spans="91:126" ht="23.5">
      <c r="CM1337" s="45">
        <v>1333</v>
      </c>
      <c r="CN1337" s="48">
        <v>10.548707933390384</v>
      </c>
      <c r="CO1337" s="45" t="str">
        <v>Invest</v>
      </c>
      <c r="CP1337" s="61"/>
      <c r="CQ1337" s="45">
        <v>1333</v>
      </c>
      <c r="CR1337" s="45">
        <v>22.547594510111921</v>
      </c>
      <c r="CS1337" s="45" t="str">
        <v>Invest</v>
      </c>
      <c r="CT1337" s="61"/>
      <c r="CU1337" s="45">
        <v>1333</v>
      </c>
      <c r="CV1337" s="45">
        <v>0</v>
      </c>
      <c r="CW1337" s="45" t="str">
        <v>Nothing</v>
      </c>
      <c r="CX1337" s="61"/>
      <c r="CY1337" s="45">
        <v>1333</v>
      </c>
      <c r="CZ1337" s="45">
        <v>44.473111612212207</v>
      </c>
      <c r="DA1337" s="45" t="str">
        <v>Invest</v>
      </c>
      <c r="DU1337" s="52"/>
      <c r="DV1337" s="50"/>
    </row>
    <row r="1338" spans="91:126" ht="23.5">
      <c r="CM1338" s="45">
        <v>1334</v>
      </c>
      <c r="CN1338" s="48">
        <v>29.081185238264801</v>
      </c>
      <c r="CO1338" s="45" t="str">
        <v>Invest</v>
      </c>
      <c r="CP1338" s="61"/>
      <c r="CQ1338" s="45">
        <v>1334</v>
      </c>
      <c r="CR1338" s="45">
        <v>0</v>
      </c>
      <c r="CS1338" s="45" t="str">
        <v>Nothing</v>
      </c>
      <c r="CT1338" s="61"/>
      <c r="CU1338" s="45">
        <v>1334</v>
      </c>
      <c r="CV1338" s="45">
        <v>22.791905231348874</v>
      </c>
      <c r="CW1338" s="45" t="str">
        <v>Invest</v>
      </c>
      <c r="CX1338" s="61"/>
      <c r="CY1338" s="45">
        <v>1334</v>
      </c>
      <c r="CZ1338" s="45">
        <v>0</v>
      </c>
      <c r="DA1338" s="45" t="str">
        <v>Nothing</v>
      </c>
      <c r="DU1338" s="52"/>
      <c r="DV1338" s="50"/>
    </row>
    <row r="1339" spans="91:126" ht="23.5">
      <c r="CM1339" s="45">
        <v>1335</v>
      </c>
      <c r="CN1339" s="48">
        <v>3.1112401911028265</v>
      </c>
      <c r="CO1339" s="45" t="str">
        <v>Invest</v>
      </c>
      <c r="CP1339" s="61"/>
      <c r="CQ1339" s="45">
        <v>1335</v>
      </c>
      <c r="CR1339" s="45">
        <v>0</v>
      </c>
      <c r="CS1339" s="45" t="str">
        <v>Nothing</v>
      </c>
      <c r="CT1339" s="61"/>
      <c r="CU1339" s="45">
        <v>1335</v>
      </c>
      <c r="CV1339" s="45">
        <v>52.973390575297131</v>
      </c>
      <c r="CW1339" s="45" t="str">
        <v>Invest</v>
      </c>
      <c r="CX1339" s="61"/>
      <c r="CY1339" s="45">
        <v>1335</v>
      </c>
      <c r="CZ1339" s="45">
        <v>50.143706468943321</v>
      </c>
      <c r="DA1339" s="45" t="str">
        <v>Invest</v>
      </c>
      <c r="DU1339" s="52"/>
      <c r="DV1339" s="50"/>
    </row>
    <row r="1340" spans="91:126" ht="23.5">
      <c r="CM1340" s="45">
        <v>1336</v>
      </c>
      <c r="CN1340" s="48">
        <v>0</v>
      </c>
      <c r="CO1340" s="45" t="str">
        <v>Nothing</v>
      </c>
      <c r="CP1340" s="61"/>
      <c r="CQ1340" s="45">
        <v>1336</v>
      </c>
      <c r="CR1340" s="45">
        <v>0.51346216542505019</v>
      </c>
      <c r="CS1340" s="45" t="str">
        <v>Invest</v>
      </c>
      <c r="CT1340" s="61"/>
      <c r="CU1340" s="45">
        <v>1336</v>
      </c>
      <c r="CV1340" s="45">
        <v>0.86712876415903217</v>
      </c>
      <c r="CW1340" s="45" t="str">
        <v>Invest</v>
      </c>
      <c r="CX1340" s="61"/>
      <c r="CY1340" s="45">
        <v>1336</v>
      </c>
      <c r="CZ1340" s="45">
        <v>30.268716103383468</v>
      </c>
      <c r="DA1340" s="45" t="str">
        <v>Invest</v>
      </c>
      <c r="DU1340" s="52"/>
      <c r="DV1340" s="50"/>
    </row>
    <row r="1341" spans="91:126" ht="23.5">
      <c r="CM1341" s="45">
        <v>1337</v>
      </c>
      <c r="CN1341" s="48">
        <v>61.836894589732786</v>
      </c>
      <c r="CO1341" s="45" t="str">
        <v>Invest</v>
      </c>
      <c r="CP1341" s="61"/>
      <c r="CQ1341" s="45">
        <v>1337</v>
      </c>
      <c r="CR1341" s="45">
        <v>47.720557843889402</v>
      </c>
      <c r="CS1341" s="45" t="str">
        <v>Invest</v>
      </c>
      <c r="CT1341" s="61"/>
      <c r="CU1341" s="45">
        <v>1337</v>
      </c>
      <c r="CV1341" s="45">
        <v>31.391086461374201</v>
      </c>
      <c r="CW1341" s="45" t="str">
        <v>Invest</v>
      </c>
      <c r="CX1341" s="61"/>
      <c r="CY1341" s="45">
        <v>1337</v>
      </c>
      <c r="CZ1341" s="45">
        <v>0</v>
      </c>
      <c r="DA1341" s="45" t="str">
        <v>Nothing</v>
      </c>
      <c r="DU1341" s="52"/>
      <c r="DV1341" s="50"/>
    </row>
    <row r="1342" spans="91:126" ht="23.5">
      <c r="CM1342" s="45">
        <v>1338</v>
      </c>
      <c r="CN1342" s="48">
        <v>0</v>
      </c>
      <c r="CO1342" s="45" t="str">
        <v>Nothing</v>
      </c>
      <c r="CP1342" s="61"/>
      <c r="CQ1342" s="45">
        <v>1338</v>
      </c>
      <c r="CR1342" s="45">
        <v>20.759214485867986</v>
      </c>
      <c r="CS1342" s="45" t="str">
        <v>Invest</v>
      </c>
      <c r="CT1342" s="61"/>
      <c r="CU1342" s="45">
        <v>1338</v>
      </c>
      <c r="CV1342" s="45">
        <v>1.4690416054812498</v>
      </c>
      <c r="CW1342" s="45" t="str">
        <v>Invest</v>
      </c>
      <c r="CX1342" s="61"/>
      <c r="CY1342" s="45">
        <v>1338</v>
      </c>
      <c r="CZ1342" s="45">
        <v>0</v>
      </c>
      <c r="DA1342" s="45" t="str">
        <v>Nothing</v>
      </c>
      <c r="DU1342" s="52"/>
      <c r="DV1342" s="50"/>
    </row>
    <row r="1343" spans="91:126" ht="23.5">
      <c r="CM1343" s="45">
        <v>1339</v>
      </c>
      <c r="CN1343" s="48">
        <v>0.98155260851120119</v>
      </c>
      <c r="CO1343" s="45" t="str">
        <v>Invest</v>
      </c>
      <c r="CP1343" s="61"/>
      <c r="CQ1343" s="45">
        <v>1339</v>
      </c>
      <c r="CR1343" s="45">
        <v>7.963216231315025</v>
      </c>
      <c r="CS1343" s="45" t="str">
        <v>Invest</v>
      </c>
      <c r="CT1343" s="61"/>
      <c r="CU1343" s="45">
        <v>1339</v>
      </c>
      <c r="CV1343" s="45">
        <v>7.045711903963003</v>
      </c>
      <c r="CW1343" s="45" t="str">
        <v>Invest</v>
      </c>
      <c r="CX1343" s="61"/>
      <c r="CY1343" s="45">
        <v>1339</v>
      </c>
      <c r="CZ1343" s="45">
        <v>20.528423868362516</v>
      </c>
      <c r="DA1343" s="45" t="str">
        <v>Invest</v>
      </c>
      <c r="DU1343" s="52"/>
      <c r="DV1343" s="50"/>
    </row>
    <row r="1344" spans="91:126" ht="23.5">
      <c r="CM1344" s="45">
        <v>1340</v>
      </c>
      <c r="CN1344" s="48">
        <v>26.467079199382887</v>
      </c>
      <c r="CO1344" s="45" t="str">
        <v>Invest</v>
      </c>
      <c r="CP1344" s="61"/>
      <c r="CQ1344" s="45">
        <v>1340</v>
      </c>
      <c r="CR1344" s="45">
        <v>0</v>
      </c>
      <c r="CS1344" s="45" t="str">
        <v>Nothing</v>
      </c>
      <c r="CT1344" s="61"/>
      <c r="CU1344" s="45">
        <v>1340</v>
      </c>
      <c r="CV1344" s="45">
        <v>0</v>
      </c>
      <c r="CW1344" s="45" t="str">
        <v>Nothing</v>
      </c>
      <c r="CX1344" s="61"/>
      <c r="CY1344" s="45">
        <v>1340</v>
      </c>
      <c r="CZ1344" s="45">
        <v>4.112787977576895</v>
      </c>
      <c r="DA1344" s="45" t="str">
        <v>Invest</v>
      </c>
      <c r="DU1344" s="52"/>
      <c r="DV1344" s="50"/>
    </row>
    <row r="1345" spans="91:126" ht="23.5">
      <c r="CM1345" s="45">
        <v>1341</v>
      </c>
      <c r="CN1345" s="48">
        <v>4.1538657706032271</v>
      </c>
      <c r="CO1345" s="45" t="str">
        <v>Invest</v>
      </c>
      <c r="CP1345" s="61"/>
      <c r="CQ1345" s="45">
        <v>1341</v>
      </c>
      <c r="CR1345" s="45">
        <v>0</v>
      </c>
      <c r="CS1345" s="45" t="str">
        <v>Nothing</v>
      </c>
      <c r="CT1345" s="61"/>
      <c r="CU1345" s="45">
        <v>1341</v>
      </c>
      <c r="CV1345" s="45">
        <v>57.202930567786254</v>
      </c>
      <c r="CW1345" s="45" t="str">
        <v>Invest</v>
      </c>
      <c r="CX1345" s="61"/>
      <c r="CY1345" s="45">
        <v>1341</v>
      </c>
      <c r="CZ1345" s="45">
        <v>10.94380260352292</v>
      </c>
      <c r="DA1345" s="45" t="str">
        <v>Invest</v>
      </c>
      <c r="DU1345" s="52"/>
      <c r="DV1345" s="50"/>
    </row>
    <row r="1346" spans="91:126" ht="23.5">
      <c r="CM1346" s="45">
        <v>1342</v>
      </c>
      <c r="CN1346" s="48">
        <v>3.9303768811546984</v>
      </c>
      <c r="CO1346" s="45" t="str">
        <v>Invest</v>
      </c>
      <c r="CP1346" s="61"/>
      <c r="CQ1346" s="45">
        <v>1342</v>
      </c>
      <c r="CR1346" s="45">
        <v>0</v>
      </c>
      <c r="CS1346" s="45" t="str">
        <v>Nothing</v>
      </c>
      <c r="CT1346" s="61"/>
      <c r="CU1346" s="45">
        <v>1342</v>
      </c>
      <c r="CV1346" s="45">
        <v>16.717549450345711</v>
      </c>
      <c r="CW1346" s="45" t="str">
        <v>Invest</v>
      </c>
      <c r="CX1346" s="61"/>
      <c r="CY1346" s="45">
        <v>1342</v>
      </c>
      <c r="CZ1346" s="45">
        <v>34.163601795017797</v>
      </c>
      <c r="DA1346" s="45" t="str">
        <v>Invest</v>
      </c>
      <c r="DU1346" s="52"/>
      <c r="DV1346" s="50"/>
    </row>
    <row r="1347" spans="91:126" ht="23.5">
      <c r="CM1347" s="45">
        <v>1343</v>
      </c>
      <c r="CN1347" s="48">
        <v>3.2742023344054765</v>
      </c>
      <c r="CO1347" s="45" t="str">
        <v>Invest</v>
      </c>
      <c r="CP1347" s="61"/>
      <c r="CQ1347" s="45">
        <v>1343</v>
      </c>
      <c r="CR1347" s="45">
        <v>15.212479982614713</v>
      </c>
      <c r="CS1347" s="45" t="str">
        <v>Invest</v>
      </c>
      <c r="CT1347" s="61"/>
      <c r="CU1347" s="45">
        <v>1343</v>
      </c>
      <c r="CV1347" s="45">
        <v>1.6490471962247675</v>
      </c>
      <c r="CW1347" s="45" t="str">
        <v>Invest</v>
      </c>
      <c r="CX1347" s="61"/>
      <c r="CY1347" s="45">
        <v>1343</v>
      </c>
      <c r="CZ1347" s="45">
        <v>0</v>
      </c>
      <c r="DA1347" s="45" t="str">
        <v>Nothing</v>
      </c>
      <c r="DU1347" s="52"/>
      <c r="DV1347" s="50"/>
    </row>
    <row r="1348" spans="91:126" ht="23.5">
      <c r="CM1348" s="45">
        <v>1344</v>
      </c>
      <c r="CN1348" s="48">
        <v>0</v>
      </c>
      <c r="CO1348" s="45" t="str">
        <v>Nothing</v>
      </c>
      <c r="CP1348" s="61"/>
      <c r="CQ1348" s="45">
        <v>1344</v>
      </c>
      <c r="CR1348" s="45">
        <v>33.702928206973802</v>
      </c>
      <c r="CS1348" s="45" t="str">
        <v>Invest</v>
      </c>
      <c r="CT1348" s="61"/>
      <c r="CU1348" s="45">
        <v>1344</v>
      </c>
      <c r="CV1348" s="45">
        <v>57.632288633208702</v>
      </c>
      <c r="CW1348" s="45" t="str">
        <v>Invest</v>
      </c>
      <c r="CX1348" s="61"/>
      <c r="CY1348" s="45">
        <v>1344</v>
      </c>
      <c r="CZ1348" s="45">
        <v>52.446845578702053</v>
      </c>
      <c r="DA1348" s="45" t="str">
        <v>Invest</v>
      </c>
      <c r="DU1348" s="52"/>
      <c r="DV1348" s="50"/>
    </row>
    <row r="1349" spans="91:126" ht="23.5">
      <c r="CM1349" s="45">
        <v>1345</v>
      </c>
      <c r="CN1349" s="48">
        <v>15.242696974710441</v>
      </c>
      <c r="CO1349" s="45" t="str">
        <v>Invest</v>
      </c>
      <c r="CP1349" s="61"/>
      <c r="CQ1349" s="45">
        <v>1345</v>
      </c>
      <c r="CR1349" s="45">
        <v>17.880626151925767</v>
      </c>
      <c r="CS1349" s="45" t="str">
        <v>Invest</v>
      </c>
      <c r="CT1349" s="61"/>
      <c r="CU1349" s="45">
        <v>1345</v>
      </c>
      <c r="CV1349" s="45">
        <v>0</v>
      </c>
      <c r="CW1349" s="45" t="str">
        <v>Nothing</v>
      </c>
      <c r="CX1349" s="61"/>
      <c r="CY1349" s="45">
        <v>1345</v>
      </c>
      <c r="CZ1349" s="45">
        <v>0</v>
      </c>
      <c r="DA1349" s="45" t="str">
        <v>Nothing</v>
      </c>
      <c r="DU1349" s="52"/>
      <c r="DV1349" s="50"/>
    </row>
    <row r="1350" spans="91:126" ht="23.5">
      <c r="CM1350" s="45">
        <v>1346</v>
      </c>
      <c r="CN1350" s="48">
        <v>7.1439110206849996</v>
      </c>
      <c r="CO1350" s="45" t="str">
        <v>Invest</v>
      </c>
      <c r="CP1350" s="61"/>
      <c r="CQ1350" s="45">
        <v>1346</v>
      </c>
      <c r="CR1350" s="45">
        <v>0</v>
      </c>
      <c r="CS1350" s="45" t="str">
        <v>Nothing</v>
      </c>
      <c r="CT1350" s="61"/>
      <c r="CU1350" s="45">
        <v>1346</v>
      </c>
      <c r="CV1350" s="45">
        <v>28.009040679123387</v>
      </c>
      <c r="CW1350" s="45" t="str">
        <v>Invest</v>
      </c>
      <c r="CX1350" s="61"/>
      <c r="CY1350" s="45">
        <v>1346</v>
      </c>
      <c r="CZ1350" s="45">
        <v>22.074399322488343</v>
      </c>
      <c r="DA1350" s="45" t="str">
        <v>Invest</v>
      </c>
      <c r="DU1350" s="52"/>
      <c r="DV1350" s="50"/>
    </row>
    <row r="1351" spans="91:126" ht="23.5">
      <c r="CM1351" s="45">
        <v>1347</v>
      </c>
      <c r="CN1351" s="48">
        <v>5.6074981323208704</v>
      </c>
      <c r="CO1351" s="45" t="str">
        <v>Invest</v>
      </c>
      <c r="CP1351" s="61"/>
      <c r="CQ1351" s="45">
        <v>1347</v>
      </c>
      <c r="CR1351" s="45">
        <v>47.806735348887834</v>
      </c>
      <c r="CS1351" s="45" t="str">
        <v>Invest</v>
      </c>
      <c r="CT1351" s="61"/>
      <c r="CU1351" s="45">
        <v>1347</v>
      </c>
      <c r="CV1351" s="45">
        <v>55.187872461551279</v>
      </c>
      <c r="CW1351" s="45" t="str">
        <v>Invest</v>
      </c>
      <c r="CX1351" s="61"/>
      <c r="CY1351" s="45">
        <v>1347</v>
      </c>
      <c r="CZ1351" s="45">
        <v>0</v>
      </c>
      <c r="DA1351" s="45" t="str">
        <v>Nothing</v>
      </c>
      <c r="DU1351" s="52"/>
      <c r="DV1351" s="50"/>
    </row>
    <row r="1352" spans="91:126" ht="23.5">
      <c r="CM1352" s="45">
        <v>1348</v>
      </c>
      <c r="CN1352" s="48">
        <v>40.905896604062129</v>
      </c>
      <c r="CO1352" s="45" t="str">
        <v>Invest</v>
      </c>
      <c r="CP1352" s="61"/>
      <c r="CQ1352" s="45">
        <v>1348</v>
      </c>
      <c r="CR1352" s="45">
        <v>10.303502059189832</v>
      </c>
      <c r="CS1352" s="45" t="str">
        <v>Invest</v>
      </c>
      <c r="CT1352" s="61"/>
      <c r="CU1352" s="45">
        <v>1348</v>
      </c>
      <c r="CV1352" s="45">
        <v>21.733799083075979</v>
      </c>
      <c r="CW1352" s="45" t="str">
        <v>Invest</v>
      </c>
      <c r="CX1352" s="61"/>
      <c r="CY1352" s="45">
        <v>1348</v>
      </c>
      <c r="CZ1352" s="45">
        <v>17.431725619266288</v>
      </c>
      <c r="DA1352" s="45" t="str">
        <v>Invest</v>
      </c>
      <c r="DU1352" s="52"/>
      <c r="DV1352" s="50"/>
    </row>
    <row r="1353" spans="91:126" ht="23.5">
      <c r="CM1353" s="45">
        <v>1349</v>
      </c>
      <c r="CN1353" s="48">
        <v>0</v>
      </c>
      <c r="CO1353" s="45" t="str">
        <v>Nothing</v>
      </c>
      <c r="CP1353" s="61"/>
      <c r="CQ1353" s="45">
        <v>1349</v>
      </c>
      <c r="CR1353" s="45">
        <v>0</v>
      </c>
      <c r="CS1353" s="45" t="str">
        <v>Nothing</v>
      </c>
      <c r="CT1353" s="61"/>
      <c r="CU1353" s="45">
        <v>1349</v>
      </c>
      <c r="CV1353" s="45">
        <v>25.774669709987563</v>
      </c>
      <c r="CW1353" s="45" t="str">
        <v>Invest</v>
      </c>
      <c r="CX1353" s="61"/>
      <c r="CY1353" s="45">
        <v>1349</v>
      </c>
      <c r="CZ1353" s="45">
        <v>0</v>
      </c>
      <c r="DA1353" s="45" t="str">
        <v>Nothing</v>
      </c>
      <c r="DU1353" s="52"/>
      <c r="DV1353" s="50"/>
    </row>
    <row r="1354" spans="91:126" ht="23.5">
      <c r="CM1354" s="45">
        <v>1350</v>
      </c>
      <c r="CN1354" s="48">
        <v>0</v>
      </c>
      <c r="CO1354" s="45" t="str">
        <v>Nothing</v>
      </c>
      <c r="CP1354" s="61"/>
      <c r="CQ1354" s="45">
        <v>1350</v>
      </c>
      <c r="CR1354" s="45">
        <v>0</v>
      </c>
      <c r="CS1354" s="45" t="str">
        <v>Nothing</v>
      </c>
      <c r="CT1354" s="61"/>
      <c r="CU1354" s="45">
        <v>1350</v>
      </c>
      <c r="CV1354" s="45">
        <v>36.846216468879341</v>
      </c>
      <c r="CW1354" s="45" t="str">
        <v>Invest</v>
      </c>
      <c r="CX1354" s="61"/>
      <c r="CY1354" s="45">
        <v>1350</v>
      </c>
      <c r="CZ1354" s="45">
        <v>55.099421751897324</v>
      </c>
      <c r="DA1354" s="45" t="str">
        <v>Invest</v>
      </c>
      <c r="DU1354" s="52"/>
      <c r="DV1354" s="50"/>
    </row>
    <row r="1355" spans="91:126" ht="23.5">
      <c r="CM1355" s="45">
        <v>1351</v>
      </c>
      <c r="CN1355" s="48">
        <v>20.331537755694043</v>
      </c>
      <c r="CO1355" s="45" t="str">
        <v>Invest</v>
      </c>
      <c r="CP1355" s="61"/>
      <c r="CQ1355" s="45">
        <v>1351</v>
      </c>
      <c r="CR1355" s="45">
        <v>42.027038514237205</v>
      </c>
      <c r="CS1355" s="45" t="str">
        <v>Invest</v>
      </c>
      <c r="CT1355" s="61"/>
      <c r="CU1355" s="45">
        <v>1351</v>
      </c>
      <c r="CV1355" s="45">
        <v>12.079404211895206</v>
      </c>
      <c r="CW1355" s="45" t="str">
        <v>Invest</v>
      </c>
      <c r="CX1355" s="61"/>
      <c r="CY1355" s="45">
        <v>1351</v>
      </c>
      <c r="CZ1355" s="45">
        <v>16.27618609947837</v>
      </c>
      <c r="DA1355" s="45" t="str">
        <v>Invest</v>
      </c>
      <c r="DU1355" s="52"/>
      <c r="DV1355" s="50"/>
    </row>
    <row r="1356" spans="91:126" ht="23.5">
      <c r="CM1356" s="45">
        <v>1352</v>
      </c>
      <c r="CN1356" s="48">
        <v>0</v>
      </c>
      <c r="CO1356" s="45" t="str">
        <v>Nothing</v>
      </c>
      <c r="CP1356" s="61"/>
      <c r="CQ1356" s="45">
        <v>1352</v>
      </c>
      <c r="CR1356" s="45">
        <v>16.143550493880689</v>
      </c>
      <c r="CS1356" s="45" t="str">
        <v>Invest</v>
      </c>
      <c r="CT1356" s="61"/>
      <c r="CU1356" s="45">
        <v>1352</v>
      </c>
      <c r="CV1356" s="45">
        <v>1.0915849409774747</v>
      </c>
      <c r="CW1356" s="45" t="str">
        <v>Invest</v>
      </c>
      <c r="CX1356" s="61"/>
      <c r="CY1356" s="45">
        <v>1352</v>
      </c>
      <c r="CZ1356" s="45">
        <v>0</v>
      </c>
      <c r="DA1356" s="45" t="str">
        <v>Nothing</v>
      </c>
      <c r="DU1356" s="52"/>
      <c r="DV1356" s="50"/>
    </row>
    <row r="1357" spans="91:126" ht="23.5">
      <c r="CM1357" s="45">
        <v>1353</v>
      </c>
      <c r="CN1357" s="48">
        <v>20.894427597549097</v>
      </c>
      <c r="CO1357" s="45" t="str">
        <v>Invest</v>
      </c>
      <c r="CP1357" s="61"/>
      <c r="CQ1357" s="45">
        <v>1353</v>
      </c>
      <c r="CR1357" s="45">
        <v>57.071823803951865</v>
      </c>
      <c r="CS1357" s="45" t="str">
        <v>Invest</v>
      </c>
      <c r="CT1357" s="61"/>
      <c r="CU1357" s="45">
        <v>1353</v>
      </c>
      <c r="CV1357" s="45">
        <v>1.6193393575711319</v>
      </c>
      <c r="CW1357" s="45" t="str">
        <v>Invest</v>
      </c>
      <c r="CX1357" s="61"/>
      <c r="CY1357" s="45">
        <v>1353</v>
      </c>
      <c r="CZ1357" s="45">
        <v>29.774087359753587</v>
      </c>
      <c r="DA1357" s="45" t="str">
        <v>Invest</v>
      </c>
      <c r="DU1357" s="52"/>
      <c r="DV1357" s="50"/>
    </row>
    <row r="1358" spans="91:126" ht="23.5">
      <c r="CM1358" s="45">
        <v>1354</v>
      </c>
      <c r="CN1358" s="48">
        <v>31.642040593486161</v>
      </c>
      <c r="CO1358" s="45" t="str">
        <v>Invest</v>
      </c>
      <c r="CP1358" s="61"/>
      <c r="CQ1358" s="45">
        <v>1354</v>
      </c>
      <c r="CR1358" s="45">
        <v>2.091226133731654</v>
      </c>
      <c r="CS1358" s="45" t="str">
        <v>Invest</v>
      </c>
      <c r="CT1358" s="61"/>
      <c r="CU1358" s="45">
        <v>1354</v>
      </c>
      <c r="CV1358" s="45">
        <v>8.7083369789210607</v>
      </c>
      <c r="CW1358" s="45" t="str">
        <v>Invest</v>
      </c>
      <c r="CX1358" s="61"/>
      <c r="CY1358" s="45">
        <v>1354</v>
      </c>
      <c r="CZ1358" s="45">
        <v>51.264497983619485</v>
      </c>
      <c r="DA1358" s="45" t="str">
        <v>Invest</v>
      </c>
      <c r="DU1358" s="52"/>
      <c r="DV1358" s="50"/>
    </row>
    <row r="1359" spans="91:126" ht="23.5">
      <c r="CM1359" s="45">
        <v>1355</v>
      </c>
      <c r="CN1359" s="48">
        <v>16.295753146659148</v>
      </c>
      <c r="CO1359" s="45" t="str">
        <v>Invest</v>
      </c>
      <c r="CP1359" s="61"/>
      <c r="CQ1359" s="45">
        <v>1355</v>
      </c>
      <c r="CR1359" s="45">
        <v>25.653542323699682</v>
      </c>
      <c r="CS1359" s="45" t="str">
        <v>Invest</v>
      </c>
      <c r="CT1359" s="61"/>
      <c r="CU1359" s="45">
        <v>1355</v>
      </c>
      <c r="CV1359" s="45">
        <v>18.227949638648688</v>
      </c>
      <c r="CW1359" s="45" t="str">
        <v>Invest</v>
      </c>
      <c r="CX1359" s="61"/>
      <c r="CY1359" s="45">
        <v>1355</v>
      </c>
      <c r="CZ1359" s="45">
        <v>0</v>
      </c>
      <c r="DA1359" s="45" t="str">
        <v>Nothing</v>
      </c>
      <c r="DU1359" s="52"/>
      <c r="DV1359" s="50"/>
    </row>
    <row r="1360" spans="91:126" ht="23.5">
      <c r="CM1360" s="45">
        <v>1356</v>
      </c>
      <c r="CN1360" s="48">
        <v>40.292212500047562</v>
      </c>
      <c r="CO1360" s="45" t="str">
        <v>Invest</v>
      </c>
      <c r="CP1360" s="61"/>
      <c r="CQ1360" s="45">
        <v>1356</v>
      </c>
      <c r="CR1360" s="45">
        <v>38.741739514855233</v>
      </c>
      <c r="CS1360" s="45" t="str">
        <v>Invest</v>
      </c>
      <c r="CT1360" s="61"/>
      <c r="CU1360" s="45">
        <v>1356</v>
      </c>
      <c r="CV1360" s="45">
        <v>17.56867826990349</v>
      </c>
      <c r="CW1360" s="45" t="str">
        <v>Invest</v>
      </c>
      <c r="CX1360" s="61"/>
      <c r="CY1360" s="45">
        <v>1356</v>
      </c>
      <c r="CZ1360" s="45">
        <v>0</v>
      </c>
      <c r="DA1360" s="45" t="str">
        <v>Nothing</v>
      </c>
      <c r="DU1360" s="52"/>
      <c r="DV1360" s="50"/>
    </row>
    <row r="1361" spans="91:126" ht="23.5">
      <c r="CM1361" s="45">
        <v>1357</v>
      </c>
      <c r="CN1361" s="48">
        <v>0.2579044203769989</v>
      </c>
      <c r="CO1361" s="45" t="str">
        <v>Invest</v>
      </c>
      <c r="CP1361" s="61"/>
      <c r="CQ1361" s="45">
        <v>1357</v>
      </c>
      <c r="CR1361" s="45">
        <v>0</v>
      </c>
      <c r="CS1361" s="45" t="str">
        <v>Nothing</v>
      </c>
      <c r="CT1361" s="61"/>
      <c r="CU1361" s="45">
        <v>1357</v>
      </c>
      <c r="CV1361" s="45">
        <v>4.1228469711043951</v>
      </c>
      <c r="CW1361" s="45" t="str">
        <v>Invest</v>
      </c>
      <c r="CX1361" s="61"/>
      <c r="CY1361" s="45">
        <v>1357</v>
      </c>
      <c r="CZ1361" s="45">
        <v>11.081215361293001</v>
      </c>
      <c r="DA1361" s="45" t="str">
        <v>Invest</v>
      </c>
      <c r="DU1361" s="52"/>
      <c r="DV1361" s="50"/>
    </row>
    <row r="1362" spans="91:126" ht="23.5">
      <c r="CM1362" s="45">
        <v>1358</v>
      </c>
      <c r="CN1362" s="48">
        <v>10.074082058867155</v>
      </c>
      <c r="CO1362" s="45" t="str">
        <v>Invest</v>
      </c>
      <c r="CP1362" s="61"/>
      <c r="CQ1362" s="45">
        <v>1358</v>
      </c>
      <c r="CR1362" s="45">
        <v>10.632102293122234</v>
      </c>
      <c r="CS1362" s="45" t="str">
        <v>Invest</v>
      </c>
      <c r="CT1362" s="61"/>
      <c r="CU1362" s="45">
        <v>1358</v>
      </c>
      <c r="CV1362" s="45">
        <v>41.913628108121024</v>
      </c>
      <c r="CW1362" s="45" t="str">
        <v>Invest</v>
      </c>
      <c r="CX1362" s="61"/>
      <c r="CY1362" s="45">
        <v>1358</v>
      </c>
      <c r="CZ1362" s="45">
        <v>36.373131907165629</v>
      </c>
      <c r="DA1362" s="45" t="str">
        <v>Invest</v>
      </c>
      <c r="DU1362" s="52"/>
      <c r="DV1362" s="50"/>
    </row>
    <row r="1363" spans="91:126" ht="23.5">
      <c r="CM1363" s="45">
        <v>1359</v>
      </c>
      <c r="CN1363" s="48">
        <v>0</v>
      </c>
      <c r="CO1363" s="45" t="str">
        <v>Nothing</v>
      </c>
      <c r="CP1363" s="61"/>
      <c r="CQ1363" s="45">
        <v>1359</v>
      </c>
      <c r="CR1363" s="45">
        <v>0</v>
      </c>
      <c r="CS1363" s="45" t="str">
        <v>Nothing</v>
      </c>
      <c r="CT1363" s="61"/>
      <c r="CU1363" s="45">
        <v>1359</v>
      </c>
      <c r="CV1363" s="45">
        <v>7.4538467961247612</v>
      </c>
      <c r="CW1363" s="45" t="str">
        <v>Invest</v>
      </c>
      <c r="CX1363" s="61"/>
      <c r="CY1363" s="45">
        <v>1359</v>
      </c>
      <c r="CZ1363" s="45">
        <v>49.947999362983367</v>
      </c>
      <c r="DA1363" s="45" t="str">
        <v>Invest</v>
      </c>
      <c r="DU1363" s="52"/>
      <c r="DV1363" s="50"/>
    </row>
    <row r="1364" spans="91:126" ht="23.5">
      <c r="CM1364" s="45">
        <v>1360</v>
      </c>
      <c r="CN1364" s="48">
        <v>43.803758652760251</v>
      </c>
      <c r="CO1364" s="45" t="str">
        <v>Invest</v>
      </c>
      <c r="CP1364" s="61"/>
      <c r="CQ1364" s="45">
        <v>1360</v>
      </c>
      <c r="CR1364" s="45">
        <v>17.66381379613539</v>
      </c>
      <c r="CS1364" s="45" t="str">
        <v>Invest</v>
      </c>
      <c r="CT1364" s="61"/>
      <c r="CU1364" s="45">
        <v>1360</v>
      </c>
      <c r="CV1364" s="45">
        <v>0</v>
      </c>
      <c r="CW1364" s="45" t="str">
        <v>Nothing</v>
      </c>
      <c r="CX1364" s="61"/>
      <c r="CY1364" s="45">
        <v>1360</v>
      </c>
      <c r="CZ1364" s="45">
        <v>0</v>
      </c>
      <c r="DA1364" s="45" t="str">
        <v>Nothing</v>
      </c>
      <c r="DU1364" s="52"/>
      <c r="DV1364" s="50"/>
    </row>
    <row r="1365" spans="91:126" ht="23.5">
      <c r="CM1365" s="45">
        <v>1361</v>
      </c>
      <c r="CN1365" s="48">
        <v>35.182438205085496</v>
      </c>
      <c r="CO1365" s="45" t="str">
        <v>Invest</v>
      </c>
      <c r="CP1365" s="61"/>
      <c r="CQ1365" s="45">
        <v>1361</v>
      </c>
      <c r="CR1365" s="45">
        <v>8.6994634987155202</v>
      </c>
      <c r="CS1365" s="45" t="str">
        <v>Invest</v>
      </c>
      <c r="CT1365" s="61"/>
      <c r="CU1365" s="45">
        <v>1361</v>
      </c>
      <c r="CV1365" s="45">
        <v>0.3395675374135525</v>
      </c>
      <c r="CW1365" s="45" t="str">
        <v>Invest</v>
      </c>
      <c r="CX1365" s="61"/>
      <c r="CY1365" s="45">
        <v>1361</v>
      </c>
      <c r="CZ1365" s="45">
        <v>33.7747263302984</v>
      </c>
      <c r="DA1365" s="45" t="str">
        <v>Invest</v>
      </c>
      <c r="DU1365" s="52"/>
      <c r="DV1365" s="50"/>
    </row>
    <row r="1366" spans="91:126" ht="23.5">
      <c r="CM1366" s="45">
        <v>1362</v>
      </c>
      <c r="CN1366" s="48">
        <v>32.640067550776998</v>
      </c>
      <c r="CO1366" s="45" t="str">
        <v>Invest</v>
      </c>
      <c r="CP1366" s="61"/>
      <c r="CQ1366" s="45">
        <v>1362</v>
      </c>
      <c r="CR1366" s="45">
        <v>1.2912237425271575</v>
      </c>
      <c r="CS1366" s="45" t="str">
        <v>Invest</v>
      </c>
      <c r="CT1366" s="61"/>
      <c r="CU1366" s="45">
        <v>1362</v>
      </c>
      <c r="CV1366" s="45">
        <v>0</v>
      </c>
      <c r="CW1366" s="45" t="str">
        <v>Nothing</v>
      </c>
      <c r="CX1366" s="61"/>
      <c r="CY1366" s="45">
        <v>1362</v>
      </c>
      <c r="CZ1366" s="45">
        <v>15.84784741105269</v>
      </c>
      <c r="DA1366" s="45" t="str">
        <v>Invest</v>
      </c>
      <c r="DU1366" s="52"/>
      <c r="DV1366" s="50"/>
    </row>
    <row r="1367" spans="91:126" ht="23.5">
      <c r="CM1367" s="45">
        <v>1363</v>
      </c>
      <c r="CN1367" s="48">
        <v>42.433911122429123</v>
      </c>
      <c r="CO1367" s="45" t="str">
        <v>Invest</v>
      </c>
      <c r="CP1367" s="61"/>
      <c r="CQ1367" s="45">
        <v>1363</v>
      </c>
      <c r="CR1367" s="45">
        <v>46.755468763815664</v>
      </c>
      <c r="CS1367" s="45" t="str">
        <v>Invest</v>
      </c>
      <c r="CT1367" s="61"/>
      <c r="CU1367" s="45">
        <v>1363</v>
      </c>
      <c r="CV1367" s="45">
        <v>0</v>
      </c>
      <c r="CW1367" s="45" t="str">
        <v>Nothing</v>
      </c>
      <c r="CX1367" s="61"/>
      <c r="CY1367" s="45">
        <v>1363</v>
      </c>
      <c r="CZ1367" s="45">
        <v>33.828836787934932</v>
      </c>
      <c r="DA1367" s="45" t="str">
        <v>Invest</v>
      </c>
      <c r="DU1367" s="52"/>
      <c r="DV1367" s="50"/>
    </row>
    <row r="1368" spans="91:126" ht="23.5">
      <c r="CM1368" s="45">
        <v>1364</v>
      </c>
      <c r="CN1368" s="48">
        <v>44.722452340727742</v>
      </c>
      <c r="CO1368" s="45" t="str">
        <v>Invest</v>
      </c>
      <c r="CP1368" s="61"/>
      <c r="CQ1368" s="45">
        <v>1364</v>
      </c>
      <c r="CR1368" s="45">
        <v>29.418446514275299</v>
      </c>
      <c r="CS1368" s="45" t="str">
        <v>Invest</v>
      </c>
      <c r="CT1368" s="61"/>
      <c r="CU1368" s="45">
        <v>1364</v>
      </c>
      <c r="CV1368" s="45">
        <v>0</v>
      </c>
      <c r="CW1368" s="45" t="str">
        <v>Nothing</v>
      </c>
      <c r="CX1368" s="61"/>
      <c r="CY1368" s="45">
        <v>1364</v>
      </c>
      <c r="CZ1368" s="45">
        <v>0</v>
      </c>
      <c r="DA1368" s="45" t="str">
        <v>Nothing</v>
      </c>
      <c r="DU1368" s="52"/>
      <c r="DV1368" s="50"/>
    </row>
    <row r="1369" spans="91:126" ht="23.5">
      <c r="CM1369" s="45">
        <v>1365</v>
      </c>
      <c r="CN1369" s="48">
        <v>20.25399849506158</v>
      </c>
      <c r="CO1369" s="45" t="str">
        <v>Invest</v>
      </c>
      <c r="CP1369" s="61"/>
      <c r="CQ1369" s="45">
        <v>1365</v>
      </c>
      <c r="CR1369" s="45">
        <v>0</v>
      </c>
      <c r="CS1369" s="45" t="str">
        <v>Nothing</v>
      </c>
      <c r="CT1369" s="61"/>
      <c r="CU1369" s="45">
        <v>1365</v>
      </c>
      <c r="CV1369" s="45">
        <v>32.148257927049357</v>
      </c>
      <c r="CW1369" s="45" t="str">
        <v>Invest</v>
      </c>
      <c r="CX1369" s="61"/>
      <c r="CY1369" s="45">
        <v>1365</v>
      </c>
      <c r="CZ1369" s="45">
        <v>21.837228208813432</v>
      </c>
      <c r="DA1369" s="45" t="str">
        <v>Invest</v>
      </c>
      <c r="DU1369" s="52"/>
      <c r="DV1369" s="50"/>
    </row>
    <row r="1370" spans="91:126" ht="23.5">
      <c r="CM1370" s="45">
        <v>1366</v>
      </c>
      <c r="CN1370" s="48">
        <v>0.37454096960525796</v>
      </c>
      <c r="CO1370" s="45" t="str">
        <v>Invest</v>
      </c>
      <c r="CP1370" s="61"/>
      <c r="CQ1370" s="45">
        <v>1366</v>
      </c>
      <c r="CR1370" s="45">
        <v>15.835464134652099</v>
      </c>
      <c r="CS1370" s="45" t="str">
        <v>Invest</v>
      </c>
      <c r="CT1370" s="61"/>
      <c r="CU1370" s="45">
        <v>1366</v>
      </c>
      <c r="CV1370" s="45">
        <v>0</v>
      </c>
      <c r="CW1370" s="45" t="str">
        <v>Nothing</v>
      </c>
      <c r="CX1370" s="61"/>
      <c r="CY1370" s="45">
        <v>1366</v>
      </c>
      <c r="CZ1370" s="45">
        <v>25.781784417171295</v>
      </c>
      <c r="DA1370" s="45" t="str">
        <v>Invest</v>
      </c>
      <c r="DU1370" s="52"/>
      <c r="DV1370" s="50"/>
    </row>
    <row r="1371" spans="91:126" ht="23.5">
      <c r="CM1371" s="45">
        <v>1367</v>
      </c>
      <c r="CN1371" s="48">
        <v>16.825402499688419</v>
      </c>
      <c r="CO1371" s="45" t="str">
        <v>Invest</v>
      </c>
      <c r="CP1371" s="61"/>
      <c r="CQ1371" s="45">
        <v>1367</v>
      </c>
      <c r="CR1371" s="45">
        <v>9.0640263857968417</v>
      </c>
      <c r="CS1371" s="45" t="str">
        <v>Invest</v>
      </c>
      <c r="CT1371" s="61"/>
      <c r="CU1371" s="45">
        <v>1367</v>
      </c>
      <c r="CV1371" s="45">
        <v>26.937507541450653</v>
      </c>
      <c r="CW1371" s="45" t="str">
        <v>Invest</v>
      </c>
      <c r="CX1371" s="61"/>
      <c r="CY1371" s="45">
        <v>1367</v>
      </c>
      <c r="CZ1371" s="45">
        <v>22.328937475017202</v>
      </c>
      <c r="DA1371" s="45" t="str">
        <v>Invest</v>
      </c>
      <c r="DU1371" s="52"/>
      <c r="DV1371" s="50"/>
    </row>
    <row r="1372" spans="91:126" ht="23.5">
      <c r="CM1372" s="45">
        <v>1368</v>
      </c>
      <c r="CN1372" s="48">
        <v>1.6187666002435552</v>
      </c>
      <c r="CO1372" s="45" t="str">
        <v>Invest</v>
      </c>
      <c r="CP1372" s="61"/>
      <c r="CQ1372" s="45">
        <v>1368</v>
      </c>
      <c r="CR1372" s="45">
        <v>31.592031349598376</v>
      </c>
      <c r="CS1372" s="45" t="str">
        <v>Invest</v>
      </c>
      <c r="CT1372" s="61"/>
      <c r="CU1372" s="45">
        <v>1368</v>
      </c>
      <c r="CV1372" s="45">
        <v>56.355279537081444</v>
      </c>
      <c r="CW1372" s="45" t="str">
        <v>Invest</v>
      </c>
      <c r="CX1372" s="61"/>
      <c r="CY1372" s="45">
        <v>1368</v>
      </c>
      <c r="CZ1372" s="45">
        <v>0</v>
      </c>
      <c r="DA1372" s="45" t="str">
        <v>Nothing</v>
      </c>
      <c r="DU1372" s="52"/>
      <c r="DV1372" s="50"/>
    </row>
    <row r="1373" spans="91:126" ht="23.5">
      <c r="CM1373" s="45">
        <v>1369</v>
      </c>
      <c r="CN1373" s="48">
        <v>20.631380402415804</v>
      </c>
      <c r="CO1373" s="45" t="str">
        <v>Invest</v>
      </c>
      <c r="CP1373" s="61"/>
      <c r="CQ1373" s="45">
        <v>1369</v>
      </c>
      <c r="CR1373" s="45">
        <v>18.983930564047199</v>
      </c>
      <c r="CS1373" s="45" t="str">
        <v>Invest</v>
      </c>
      <c r="CT1373" s="61"/>
      <c r="CU1373" s="45">
        <v>1369</v>
      </c>
      <c r="CV1373" s="45">
        <v>8.3256197828066298</v>
      </c>
      <c r="CW1373" s="45" t="str">
        <v>Invest</v>
      </c>
      <c r="CX1373" s="61"/>
      <c r="CY1373" s="45">
        <v>1369</v>
      </c>
      <c r="CZ1373" s="45">
        <v>8.4345706712459823</v>
      </c>
      <c r="DA1373" s="45" t="str">
        <v>Invest</v>
      </c>
      <c r="DU1373" s="52"/>
      <c r="DV1373" s="50"/>
    </row>
    <row r="1374" spans="91:126" ht="23.5">
      <c r="CM1374" s="45">
        <v>1370</v>
      </c>
      <c r="CN1374" s="48">
        <v>19.658049251096109</v>
      </c>
      <c r="CO1374" s="45" t="str">
        <v>Invest</v>
      </c>
      <c r="CP1374" s="61"/>
      <c r="CQ1374" s="45">
        <v>1370</v>
      </c>
      <c r="CR1374" s="45">
        <v>0</v>
      </c>
      <c r="CS1374" s="45" t="str">
        <v>Nothing</v>
      </c>
      <c r="CT1374" s="61"/>
      <c r="CU1374" s="45">
        <v>1370</v>
      </c>
      <c r="CV1374" s="45">
        <v>6.4577787900241059</v>
      </c>
      <c r="CW1374" s="45" t="str">
        <v>Invest</v>
      </c>
      <c r="CX1374" s="61"/>
      <c r="CY1374" s="45">
        <v>1370</v>
      </c>
      <c r="CZ1374" s="45">
        <v>0</v>
      </c>
      <c r="DA1374" s="45" t="str">
        <v>Nothing</v>
      </c>
      <c r="DU1374" s="52"/>
      <c r="DV1374" s="50"/>
    </row>
    <row r="1375" spans="91:126" ht="23.5">
      <c r="CM1375" s="45">
        <v>1371</v>
      </c>
      <c r="CN1375" s="48">
        <v>9.5617035613373709</v>
      </c>
      <c r="CO1375" s="45" t="str">
        <v>Invest</v>
      </c>
      <c r="CP1375" s="61"/>
      <c r="CQ1375" s="45">
        <v>1371</v>
      </c>
      <c r="CR1375" s="45">
        <v>0</v>
      </c>
      <c r="CS1375" s="45" t="str">
        <v>Nothing</v>
      </c>
      <c r="CT1375" s="61"/>
      <c r="CU1375" s="45">
        <v>1371</v>
      </c>
      <c r="CV1375" s="45">
        <v>24.847967769295281</v>
      </c>
      <c r="CW1375" s="45" t="str">
        <v>Invest</v>
      </c>
      <c r="CX1375" s="61"/>
      <c r="CY1375" s="45">
        <v>1371</v>
      </c>
      <c r="CZ1375" s="45">
        <v>23.195504601948336</v>
      </c>
      <c r="DA1375" s="45" t="str">
        <v>Invest</v>
      </c>
      <c r="DU1375" s="52"/>
      <c r="DV1375" s="50"/>
    </row>
    <row r="1376" spans="91:126" ht="23.5">
      <c r="CM1376" s="45">
        <v>1372</v>
      </c>
      <c r="CN1376" s="48">
        <v>1.4680267609013491</v>
      </c>
      <c r="CO1376" s="45" t="str">
        <v>Invest</v>
      </c>
      <c r="CP1376" s="61"/>
      <c r="CQ1376" s="45">
        <v>1372</v>
      </c>
      <c r="CR1376" s="45">
        <v>44.893717083957867</v>
      </c>
      <c r="CS1376" s="45" t="str">
        <v>Invest</v>
      </c>
      <c r="CT1376" s="61"/>
      <c r="CU1376" s="45">
        <v>1372</v>
      </c>
      <c r="CV1376" s="45">
        <v>4.2703244046425723</v>
      </c>
      <c r="CW1376" s="45" t="str">
        <v>Invest</v>
      </c>
      <c r="CX1376" s="61"/>
      <c r="CY1376" s="45">
        <v>1372</v>
      </c>
      <c r="CZ1376" s="45">
        <v>0</v>
      </c>
      <c r="DA1376" s="45" t="str">
        <v>Nothing</v>
      </c>
      <c r="DU1376" s="52"/>
      <c r="DV1376" s="50"/>
    </row>
    <row r="1377" spans="91:126" ht="23.5">
      <c r="CM1377" s="45">
        <v>1373</v>
      </c>
      <c r="CN1377" s="48">
        <v>31.989402227484231</v>
      </c>
      <c r="CO1377" s="45" t="str">
        <v>Invest</v>
      </c>
      <c r="CP1377" s="61"/>
      <c r="CQ1377" s="45">
        <v>1373</v>
      </c>
      <c r="CR1377" s="45">
        <v>34.505200012997477</v>
      </c>
      <c r="CS1377" s="45" t="str">
        <v>Invest</v>
      </c>
      <c r="CT1377" s="61"/>
      <c r="CU1377" s="45">
        <v>1373</v>
      </c>
      <c r="CV1377" s="45">
        <v>0</v>
      </c>
      <c r="CW1377" s="45" t="str">
        <v>Nothing</v>
      </c>
      <c r="CX1377" s="61"/>
      <c r="CY1377" s="45">
        <v>1373</v>
      </c>
      <c r="CZ1377" s="45">
        <v>0</v>
      </c>
      <c r="DA1377" s="45" t="str">
        <v>Nothing</v>
      </c>
      <c r="DU1377" s="52"/>
      <c r="DV1377" s="50"/>
    </row>
    <row r="1378" spans="91:126" ht="23.5">
      <c r="CM1378" s="45">
        <v>1374</v>
      </c>
      <c r="CN1378" s="48">
        <v>0</v>
      </c>
      <c r="CO1378" s="45" t="str">
        <v>Nothing</v>
      </c>
      <c r="CP1378" s="61"/>
      <c r="CQ1378" s="45">
        <v>1374</v>
      </c>
      <c r="CR1378" s="45">
        <v>16.121429553898317</v>
      </c>
      <c r="CS1378" s="45" t="str">
        <v>Invest</v>
      </c>
      <c r="CT1378" s="61"/>
      <c r="CU1378" s="45">
        <v>1374</v>
      </c>
      <c r="CV1378" s="45">
        <v>22.820474280934334</v>
      </c>
      <c r="CW1378" s="45" t="str">
        <v>Invest</v>
      </c>
      <c r="CX1378" s="61"/>
      <c r="CY1378" s="45">
        <v>1374</v>
      </c>
      <c r="CZ1378" s="45">
        <v>49.974948466465442</v>
      </c>
      <c r="DA1378" s="45" t="str">
        <v>Invest</v>
      </c>
      <c r="DU1378" s="52"/>
      <c r="DV1378" s="50"/>
    </row>
    <row r="1379" spans="91:126" ht="23.5">
      <c r="CM1379" s="45">
        <v>1375</v>
      </c>
      <c r="CN1379" s="48">
        <v>0</v>
      </c>
      <c r="CO1379" s="45" t="str">
        <v>Nothing</v>
      </c>
      <c r="CP1379" s="61"/>
      <c r="CQ1379" s="45">
        <v>1375</v>
      </c>
      <c r="CR1379" s="45">
        <v>0</v>
      </c>
      <c r="CS1379" s="45" t="str">
        <v>Nothing</v>
      </c>
      <c r="CT1379" s="61"/>
      <c r="CU1379" s="45">
        <v>1375</v>
      </c>
      <c r="CV1379" s="45">
        <v>13.463215876049878</v>
      </c>
      <c r="CW1379" s="45" t="str">
        <v>Invest</v>
      </c>
      <c r="CX1379" s="61"/>
      <c r="CY1379" s="45">
        <v>1375</v>
      </c>
      <c r="CZ1379" s="45">
        <v>47.828246611172588</v>
      </c>
      <c r="DA1379" s="45" t="str">
        <v>Invest</v>
      </c>
      <c r="DU1379" s="52"/>
      <c r="DV1379" s="50"/>
    </row>
    <row r="1380" spans="91:126" ht="23.5">
      <c r="CM1380" s="45">
        <v>1376</v>
      </c>
      <c r="CN1380" s="48">
        <v>48.328967173920681</v>
      </c>
      <c r="CO1380" s="45" t="str">
        <v>Invest</v>
      </c>
      <c r="CP1380" s="61"/>
      <c r="CQ1380" s="45">
        <v>1376</v>
      </c>
      <c r="CR1380" s="45">
        <v>0</v>
      </c>
      <c r="CS1380" s="45" t="str">
        <v>Nothing</v>
      </c>
      <c r="CT1380" s="61"/>
      <c r="CU1380" s="45">
        <v>1376</v>
      </c>
      <c r="CV1380" s="45">
        <v>0</v>
      </c>
      <c r="CW1380" s="45" t="str">
        <v>Nothing</v>
      </c>
      <c r="CX1380" s="61"/>
      <c r="CY1380" s="45">
        <v>1376</v>
      </c>
      <c r="CZ1380" s="45">
        <v>10.026743222026937</v>
      </c>
      <c r="DA1380" s="45" t="str">
        <v>Invest</v>
      </c>
      <c r="DU1380" s="52"/>
      <c r="DV1380" s="50"/>
    </row>
    <row r="1381" spans="91:126" ht="23.5">
      <c r="CM1381" s="45">
        <v>1377</v>
      </c>
      <c r="CN1381" s="48">
        <v>5.1250056642914856</v>
      </c>
      <c r="CO1381" s="45" t="str">
        <v>Invest</v>
      </c>
      <c r="CP1381" s="61"/>
      <c r="CQ1381" s="45">
        <v>1377</v>
      </c>
      <c r="CR1381" s="45">
        <v>0</v>
      </c>
      <c r="CS1381" s="45" t="str">
        <v>Nothing</v>
      </c>
      <c r="CT1381" s="61"/>
      <c r="CU1381" s="45">
        <v>1377</v>
      </c>
      <c r="CV1381" s="45">
        <v>0</v>
      </c>
      <c r="CW1381" s="45" t="str">
        <v>Nothing</v>
      </c>
      <c r="CX1381" s="61"/>
      <c r="CY1381" s="45">
        <v>1377</v>
      </c>
      <c r="CZ1381" s="45">
        <v>10.133796230784743</v>
      </c>
      <c r="DA1381" s="45" t="str">
        <v>Invest</v>
      </c>
      <c r="DU1381" s="52"/>
      <c r="DV1381" s="50"/>
    </row>
    <row r="1382" spans="91:126" ht="23.5">
      <c r="CM1382" s="45">
        <v>1378</v>
      </c>
      <c r="CN1382" s="48">
        <v>27.890702503652079</v>
      </c>
      <c r="CO1382" s="45" t="str">
        <v>Invest</v>
      </c>
      <c r="CP1382" s="61"/>
      <c r="CQ1382" s="45">
        <v>1378</v>
      </c>
      <c r="CR1382" s="45">
        <v>0</v>
      </c>
      <c r="CS1382" s="45" t="str">
        <v>Nothing</v>
      </c>
      <c r="CT1382" s="61"/>
      <c r="CU1382" s="45">
        <v>1378</v>
      </c>
      <c r="CV1382" s="45">
        <v>0</v>
      </c>
      <c r="CW1382" s="45" t="str">
        <v>Nothing</v>
      </c>
      <c r="CX1382" s="61"/>
      <c r="CY1382" s="45">
        <v>1378</v>
      </c>
      <c r="CZ1382" s="45">
        <v>1.0030851792748301</v>
      </c>
      <c r="DA1382" s="45" t="str">
        <v>Invest</v>
      </c>
      <c r="DU1382" s="52"/>
      <c r="DV1382" s="50"/>
    </row>
    <row r="1383" spans="91:126" ht="23.5">
      <c r="CM1383" s="45">
        <v>1379</v>
      </c>
      <c r="CN1383" s="48">
        <v>8.9045089355166365</v>
      </c>
      <c r="CO1383" s="45" t="str">
        <v>Invest</v>
      </c>
      <c r="CP1383" s="61"/>
      <c r="CQ1383" s="45">
        <v>1379</v>
      </c>
      <c r="CR1383" s="45">
        <v>19.024416192502876</v>
      </c>
      <c r="CS1383" s="45" t="str">
        <v>Invest</v>
      </c>
      <c r="CT1383" s="61"/>
      <c r="CU1383" s="45">
        <v>1379</v>
      </c>
      <c r="CV1383" s="45">
        <v>0</v>
      </c>
      <c r="CW1383" s="45" t="str">
        <v>Nothing</v>
      </c>
      <c r="CX1383" s="61"/>
      <c r="CY1383" s="45">
        <v>1379</v>
      </c>
      <c r="CZ1383" s="45">
        <v>0</v>
      </c>
      <c r="DA1383" s="45" t="str">
        <v>Nothing</v>
      </c>
      <c r="DU1383" s="52"/>
      <c r="DV1383" s="50"/>
    </row>
    <row r="1384" spans="91:126" ht="23.5">
      <c r="CM1384" s="45">
        <v>1380</v>
      </c>
      <c r="CN1384" s="48">
        <v>35.118638122500521</v>
      </c>
      <c r="CO1384" s="45" t="str">
        <v>Invest</v>
      </c>
      <c r="CP1384" s="61"/>
      <c r="CQ1384" s="45">
        <v>1380</v>
      </c>
      <c r="CR1384" s="45">
        <v>8.2765176931789313</v>
      </c>
      <c r="CS1384" s="45" t="str">
        <v>Invest</v>
      </c>
      <c r="CT1384" s="61"/>
      <c r="CU1384" s="45">
        <v>1380</v>
      </c>
      <c r="CV1384" s="45">
        <v>28.749339709258052</v>
      </c>
      <c r="CW1384" s="45" t="str">
        <v>Invest</v>
      </c>
      <c r="CX1384" s="61"/>
      <c r="CY1384" s="45">
        <v>1380</v>
      </c>
      <c r="CZ1384" s="45">
        <v>55.176346047955938</v>
      </c>
      <c r="DA1384" s="45" t="str">
        <v>Invest</v>
      </c>
      <c r="DU1384" s="52"/>
      <c r="DV1384" s="50"/>
    </row>
    <row r="1385" spans="91:126" ht="23.5">
      <c r="CM1385" s="45">
        <v>1381</v>
      </c>
      <c r="CN1385" s="48">
        <v>48.975619566337834</v>
      </c>
      <c r="CO1385" s="45" t="str">
        <v>Invest</v>
      </c>
      <c r="CP1385" s="61"/>
      <c r="CQ1385" s="45">
        <v>1381</v>
      </c>
      <c r="CR1385" s="45">
        <v>24.755068929636003</v>
      </c>
      <c r="CS1385" s="45" t="str">
        <v>Invest</v>
      </c>
      <c r="CT1385" s="61"/>
      <c r="CU1385" s="45">
        <v>1381</v>
      </c>
      <c r="CV1385" s="45">
        <v>39.676092941406921</v>
      </c>
      <c r="CW1385" s="45" t="str">
        <v>Invest</v>
      </c>
      <c r="CX1385" s="61"/>
      <c r="CY1385" s="45">
        <v>1381</v>
      </c>
      <c r="CZ1385" s="45">
        <v>18.16160166401751</v>
      </c>
      <c r="DA1385" s="45" t="str">
        <v>Invest</v>
      </c>
      <c r="DU1385" s="52"/>
      <c r="DV1385" s="50"/>
    </row>
    <row r="1386" spans="91:126" ht="23.5">
      <c r="CM1386" s="45">
        <v>1382</v>
      </c>
      <c r="CN1386" s="48">
        <v>54.178239629506443</v>
      </c>
      <c r="CO1386" s="45" t="str">
        <v>Invest</v>
      </c>
      <c r="CP1386" s="61"/>
      <c r="CQ1386" s="45">
        <v>1382</v>
      </c>
      <c r="CR1386" s="45">
        <v>0</v>
      </c>
      <c r="CS1386" s="45" t="str">
        <v>Nothing</v>
      </c>
      <c r="CT1386" s="61"/>
      <c r="CU1386" s="45">
        <v>1382</v>
      </c>
      <c r="CV1386" s="45">
        <v>0</v>
      </c>
      <c r="CW1386" s="45" t="str">
        <v>Nothing</v>
      </c>
      <c r="CX1386" s="61"/>
      <c r="CY1386" s="45">
        <v>1382</v>
      </c>
      <c r="CZ1386" s="45">
        <v>20.233865061472965</v>
      </c>
      <c r="DA1386" s="45" t="str">
        <v>Invest</v>
      </c>
      <c r="DU1386" s="52"/>
      <c r="DV1386" s="50"/>
    </row>
    <row r="1387" spans="91:126" ht="23.5">
      <c r="CM1387" s="45">
        <v>1383</v>
      </c>
      <c r="CN1387" s="48">
        <v>59.713091380331733</v>
      </c>
      <c r="CO1387" s="45" t="str">
        <v>Invest</v>
      </c>
      <c r="CP1387" s="61"/>
      <c r="CQ1387" s="45">
        <v>1383</v>
      </c>
      <c r="CR1387" s="45">
        <v>12.716423313252402</v>
      </c>
      <c r="CS1387" s="45" t="str">
        <v>Invest</v>
      </c>
      <c r="CT1387" s="61"/>
      <c r="CU1387" s="45">
        <v>1383</v>
      </c>
      <c r="CV1387" s="45">
        <v>1.0007883660636274</v>
      </c>
      <c r="CW1387" s="45" t="str">
        <v>Invest</v>
      </c>
      <c r="CX1387" s="61"/>
      <c r="CY1387" s="45">
        <v>1383</v>
      </c>
      <c r="CZ1387" s="45">
        <v>34.14263299295537</v>
      </c>
      <c r="DA1387" s="45" t="str">
        <v>Invest</v>
      </c>
      <c r="DU1387" s="52"/>
      <c r="DV1387" s="50"/>
    </row>
    <row r="1388" spans="91:126" ht="23.5">
      <c r="CM1388" s="45">
        <v>1384</v>
      </c>
      <c r="CN1388" s="48">
        <v>35.637317006158568</v>
      </c>
      <c r="CO1388" s="45" t="str">
        <v>Invest</v>
      </c>
      <c r="CP1388" s="61"/>
      <c r="CQ1388" s="45">
        <v>1384</v>
      </c>
      <c r="CR1388" s="45">
        <v>0</v>
      </c>
      <c r="CS1388" s="45" t="str">
        <v>Nothing</v>
      </c>
      <c r="CT1388" s="61"/>
      <c r="CU1388" s="45">
        <v>1384</v>
      </c>
      <c r="CV1388" s="45">
        <v>0</v>
      </c>
      <c r="CW1388" s="45" t="str">
        <v>Nothing</v>
      </c>
      <c r="CX1388" s="61"/>
      <c r="CY1388" s="45">
        <v>1384</v>
      </c>
      <c r="CZ1388" s="45">
        <v>9.7700808238286321</v>
      </c>
      <c r="DA1388" s="45" t="str">
        <v>Invest</v>
      </c>
      <c r="DU1388" s="52"/>
      <c r="DV1388" s="50"/>
    </row>
    <row r="1389" spans="91:126" ht="23.5">
      <c r="CM1389" s="45">
        <v>1385</v>
      </c>
      <c r="CN1389" s="48">
        <v>0</v>
      </c>
      <c r="CO1389" s="45" t="str">
        <v>Nothing</v>
      </c>
      <c r="CP1389" s="61"/>
      <c r="CQ1389" s="45">
        <v>1385</v>
      </c>
      <c r="CR1389" s="45">
        <v>29.436058905647659</v>
      </c>
      <c r="CS1389" s="45" t="str">
        <v>Invest</v>
      </c>
      <c r="CT1389" s="61"/>
      <c r="CU1389" s="45">
        <v>1385</v>
      </c>
      <c r="CV1389" s="45">
        <v>0.98442910399954009</v>
      </c>
      <c r="CW1389" s="45" t="str">
        <v>Invest</v>
      </c>
      <c r="CX1389" s="61"/>
      <c r="CY1389" s="45">
        <v>1385</v>
      </c>
      <c r="CZ1389" s="45">
        <v>0</v>
      </c>
      <c r="DA1389" s="45" t="str">
        <v>Nothing</v>
      </c>
      <c r="DU1389" s="52"/>
      <c r="DV1389" s="50"/>
    </row>
    <row r="1390" spans="91:126" ht="23.5">
      <c r="CM1390" s="45">
        <v>1386</v>
      </c>
      <c r="CN1390" s="48">
        <v>1.7322923049987615</v>
      </c>
      <c r="CO1390" s="45" t="str">
        <v>Invest</v>
      </c>
      <c r="CP1390" s="61"/>
      <c r="CQ1390" s="45">
        <v>1386</v>
      </c>
      <c r="CR1390" s="45">
        <v>10.41394124316985</v>
      </c>
      <c r="CS1390" s="45" t="str">
        <v>Invest</v>
      </c>
      <c r="CT1390" s="61"/>
      <c r="CU1390" s="45">
        <v>1386</v>
      </c>
      <c r="CV1390" s="45">
        <v>0</v>
      </c>
      <c r="CW1390" s="45" t="str">
        <v>Nothing</v>
      </c>
      <c r="CX1390" s="61"/>
      <c r="CY1390" s="45">
        <v>1386</v>
      </c>
      <c r="CZ1390" s="45">
        <v>0</v>
      </c>
      <c r="DA1390" s="45" t="str">
        <v>Nothing</v>
      </c>
      <c r="DU1390" s="52"/>
      <c r="DV1390" s="50"/>
    </row>
    <row r="1391" spans="91:126" ht="23.5">
      <c r="CM1391" s="45">
        <v>1387</v>
      </c>
      <c r="CN1391" s="48">
        <v>0</v>
      </c>
      <c r="CO1391" s="45" t="str">
        <v>Nothing</v>
      </c>
      <c r="CP1391" s="61"/>
      <c r="CQ1391" s="45">
        <v>1387</v>
      </c>
      <c r="CR1391" s="45">
        <v>11.60051930265017</v>
      </c>
      <c r="CS1391" s="45" t="str">
        <v>Invest</v>
      </c>
      <c r="CT1391" s="61"/>
      <c r="CU1391" s="45">
        <v>1387</v>
      </c>
      <c r="CV1391" s="45">
        <v>0.93980354866000582</v>
      </c>
      <c r="CW1391" s="45" t="str">
        <v>Invest</v>
      </c>
      <c r="CX1391" s="61"/>
      <c r="CY1391" s="45">
        <v>1387</v>
      </c>
      <c r="CZ1391" s="45">
        <v>24.892313332513393</v>
      </c>
      <c r="DA1391" s="45" t="str">
        <v>Invest</v>
      </c>
      <c r="DU1391" s="52"/>
      <c r="DV1391" s="50"/>
    </row>
    <row r="1392" spans="91:126" ht="23.5">
      <c r="CM1392" s="45">
        <v>1388</v>
      </c>
      <c r="CN1392" s="48">
        <v>0</v>
      </c>
      <c r="CO1392" s="45" t="str">
        <v>Nothing</v>
      </c>
      <c r="CP1392" s="61"/>
      <c r="CQ1392" s="45">
        <v>1388</v>
      </c>
      <c r="CR1392" s="45">
        <v>10.066379982465481</v>
      </c>
      <c r="CS1392" s="45" t="str">
        <v>Invest</v>
      </c>
      <c r="CT1392" s="61"/>
      <c r="CU1392" s="45">
        <v>1388</v>
      </c>
      <c r="CV1392" s="45">
        <v>20.885738555271999</v>
      </c>
      <c r="CW1392" s="45" t="str">
        <v>Invest</v>
      </c>
      <c r="CX1392" s="61"/>
      <c r="CY1392" s="45">
        <v>1388</v>
      </c>
      <c r="CZ1392" s="45">
        <v>25.427005977423004</v>
      </c>
      <c r="DA1392" s="45" t="str">
        <v>Invest</v>
      </c>
      <c r="DU1392" s="52"/>
      <c r="DV1392" s="50"/>
    </row>
    <row r="1393" spans="91:126" ht="23.5">
      <c r="CM1393" s="45">
        <v>1389</v>
      </c>
      <c r="CN1393" s="48">
        <v>6.9284448806491774</v>
      </c>
      <c r="CO1393" s="45" t="str">
        <v>Invest</v>
      </c>
      <c r="CP1393" s="61"/>
      <c r="CQ1393" s="45">
        <v>1389</v>
      </c>
      <c r="CR1393" s="45">
        <v>0</v>
      </c>
      <c r="CS1393" s="45" t="str">
        <v>Nothing</v>
      </c>
      <c r="CT1393" s="61"/>
      <c r="CU1393" s="45">
        <v>1389</v>
      </c>
      <c r="CV1393" s="45">
        <v>0</v>
      </c>
      <c r="CW1393" s="45" t="str">
        <v>Nothing</v>
      </c>
      <c r="CX1393" s="61"/>
      <c r="CY1393" s="45">
        <v>1389</v>
      </c>
      <c r="CZ1393" s="45">
        <v>15.432654770302408</v>
      </c>
      <c r="DA1393" s="45" t="str">
        <v>Invest</v>
      </c>
      <c r="DU1393" s="52"/>
      <c r="DV1393" s="50"/>
    </row>
    <row r="1394" spans="91:126" ht="23.5">
      <c r="CM1394" s="45">
        <v>1390</v>
      </c>
      <c r="CN1394" s="48">
        <v>3.2024400831741735</v>
      </c>
      <c r="CO1394" s="45" t="str">
        <v>Invest</v>
      </c>
      <c r="CP1394" s="61"/>
      <c r="CQ1394" s="45">
        <v>1390</v>
      </c>
      <c r="CR1394" s="45">
        <v>0</v>
      </c>
      <c r="CS1394" s="45" t="str">
        <v>Nothing</v>
      </c>
      <c r="CT1394" s="61"/>
      <c r="CU1394" s="45">
        <v>1390</v>
      </c>
      <c r="CV1394" s="45">
        <v>0</v>
      </c>
      <c r="CW1394" s="45" t="str">
        <v>Nothing</v>
      </c>
      <c r="CX1394" s="61"/>
      <c r="CY1394" s="45">
        <v>1390</v>
      </c>
      <c r="CZ1394" s="45">
        <v>11.585491509032199</v>
      </c>
      <c r="DA1394" s="45" t="str">
        <v>Invest</v>
      </c>
      <c r="DU1394" s="52"/>
      <c r="DV1394" s="50"/>
    </row>
    <row r="1395" spans="91:126" ht="23.5">
      <c r="CM1395" s="45">
        <v>1391</v>
      </c>
      <c r="CN1395" s="48">
        <v>51.234944878350731</v>
      </c>
      <c r="CO1395" s="45" t="str">
        <v>Invest</v>
      </c>
      <c r="CP1395" s="61"/>
      <c r="CQ1395" s="45">
        <v>1391</v>
      </c>
      <c r="CR1395" s="45">
        <v>15.640314223085515</v>
      </c>
      <c r="CS1395" s="45" t="str">
        <v>Invest</v>
      </c>
      <c r="CT1395" s="61"/>
      <c r="CU1395" s="45">
        <v>1391</v>
      </c>
      <c r="CV1395" s="45">
        <v>10.788174969015051</v>
      </c>
      <c r="CW1395" s="45" t="str">
        <v>Invest</v>
      </c>
      <c r="CX1395" s="61"/>
      <c r="CY1395" s="45">
        <v>1391</v>
      </c>
      <c r="CZ1395" s="45">
        <v>35.237088520632447</v>
      </c>
      <c r="DA1395" s="45" t="str">
        <v>Invest</v>
      </c>
      <c r="DU1395" s="52"/>
      <c r="DV1395" s="50"/>
    </row>
    <row r="1396" spans="91:126" ht="23.5">
      <c r="CM1396" s="45">
        <v>1392</v>
      </c>
      <c r="CN1396" s="48">
        <v>28.355967021944171</v>
      </c>
      <c r="CO1396" s="45" t="str">
        <v>Invest</v>
      </c>
      <c r="CP1396" s="61"/>
      <c r="CQ1396" s="45">
        <v>1392</v>
      </c>
      <c r="CR1396" s="45">
        <v>56.753229087345822</v>
      </c>
      <c r="CS1396" s="45" t="str">
        <v>Invest</v>
      </c>
      <c r="CT1396" s="61"/>
      <c r="CU1396" s="45">
        <v>1392</v>
      </c>
      <c r="CV1396" s="45">
        <v>4.6738454057210985</v>
      </c>
      <c r="CW1396" s="45" t="str">
        <v>Invest</v>
      </c>
      <c r="CX1396" s="61"/>
      <c r="CY1396" s="45">
        <v>1392</v>
      </c>
      <c r="CZ1396" s="45">
        <v>44.973348775263446</v>
      </c>
      <c r="DA1396" s="45" t="str">
        <v>Invest</v>
      </c>
      <c r="DU1396" s="52"/>
      <c r="DV1396" s="50"/>
    </row>
    <row r="1397" spans="91:126" ht="23.5">
      <c r="CM1397" s="45">
        <v>1393</v>
      </c>
      <c r="CN1397" s="48">
        <v>7.3192063655161199</v>
      </c>
      <c r="CO1397" s="45" t="str">
        <v>Invest</v>
      </c>
      <c r="CP1397" s="61"/>
      <c r="CQ1397" s="45">
        <v>1393</v>
      </c>
      <c r="CR1397" s="45">
        <v>10.211104354967421</v>
      </c>
      <c r="CS1397" s="45" t="str">
        <v>Invest</v>
      </c>
      <c r="CT1397" s="61"/>
      <c r="CU1397" s="45">
        <v>1393</v>
      </c>
      <c r="CV1397" s="45">
        <v>38.18742213252338</v>
      </c>
      <c r="CW1397" s="45" t="str">
        <v>Invest</v>
      </c>
      <c r="CX1397" s="61"/>
      <c r="CY1397" s="45">
        <v>1393</v>
      </c>
      <c r="CZ1397" s="45">
        <v>6.8552195276401733</v>
      </c>
      <c r="DA1397" s="45" t="str">
        <v>Invest</v>
      </c>
      <c r="DU1397" s="52"/>
      <c r="DV1397" s="50"/>
    </row>
    <row r="1398" spans="91:126" ht="23.5">
      <c r="CM1398" s="45">
        <v>1394</v>
      </c>
      <c r="CN1398" s="48">
        <v>16.609892339455076</v>
      </c>
      <c r="CO1398" s="45" t="str">
        <v>Invest</v>
      </c>
      <c r="CP1398" s="61"/>
      <c r="CQ1398" s="45">
        <v>1394</v>
      </c>
      <c r="CR1398" s="45">
        <v>0</v>
      </c>
      <c r="CS1398" s="45" t="str">
        <v>Nothing</v>
      </c>
      <c r="CT1398" s="61"/>
      <c r="CU1398" s="45">
        <v>1394</v>
      </c>
      <c r="CV1398" s="45">
        <v>0</v>
      </c>
      <c r="CW1398" s="45" t="str">
        <v>Nothing</v>
      </c>
      <c r="CX1398" s="61"/>
      <c r="CY1398" s="45">
        <v>1394</v>
      </c>
      <c r="CZ1398" s="45">
        <v>42.455202170071985</v>
      </c>
      <c r="DA1398" s="45" t="str">
        <v>Invest</v>
      </c>
      <c r="DU1398" s="52"/>
      <c r="DV1398" s="50"/>
    </row>
    <row r="1399" spans="91:126" ht="23.5">
      <c r="CM1399" s="45">
        <v>1395</v>
      </c>
      <c r="CN1399" s="48">
        <v>19.624866912432395</v>
      </c>
      <c r="CO1399" s="45" t="str">
        <v>Invest</v>
      </c>
      <c r="CP1399" s="61"/>
      <c r="CQ1399" s="45">
        <v>1395</v>
      </c>
      <c r="CR1399" s="45">
        <v>26.684150683684386</v>
      </c>
      <c r="CS1399" s="45" t="str">
        <v>Invest</v>
      </c>
      <c r="CT1399" s="61"/>
      <c r="CU1399" s="45">
        <v>1395</v>
      </c>
      <c r="CV1399" s="45">
        <v>22.23888027156848</v>
      </c>
      <c r="CW1399" s="45" t="str">
        <v>Invest</v>
      </c>
      <c r="CX1399" s="61"/>
      <c r="CY1399" s="45">
        <v>1395</v>
      </c>
      <c r="CZ1399" s="45">
        <v>0</v>
      </c>
      <c r="DA1399" s="45" t="str">
        <v>Nothing</v>
      </c>
      <c r="DU1399" s="52"/>
      <c r="DV1399" s="50"/>
    </row>
    <row r="1400" spans="91:126" ht="23.5">
      <c r="CM1400" s="45">
        <v>1396</v>
      </c>
      <c r="CN1400" s="48">
        <v>0</v>
      </c>
      <c r="CO1400" s="45" t="str">
        <v>Nothing</v>
      </c>
      <c r="CP1400" s="61"/>
      <c r="CQ1400" s="45">
        <v>1396</v>
      </c>
      <c r="CR1400" s="45">
        <v>9.1690498172942103</v>
      </c>
      <c r="CS1400" s="45" t="str">
        <v>Invest</v>
      </c>
      <c r="CT1400" s="61"/>
      <c r="CU1400" s="45">
        <v>1396</v>
      </c>
      <c r="CV1400" s="45">
        <v>0</v>
      </c>
      <c r="CW1400" s="45" t="str">
        <v>Nothing</v>
      </c>
      <c r="CX1400" s="61"/>
      <c r="CY1400" s="45">
        <v>1396</v>
      </c>
      <c r="CZ1400" s="45">
        <v>32.536255146908019</v>
      </c>
      <c r="DA1400" s="45" t="str">
        <v>Invest</v>
      </c>
      <c r="DU1400" s="52"/>
      <c r="DV1400" s="50"/>
    </row>
    <row r="1401" spans="91:126" ht="23.5">
      <c r="CM1401" s="45">
        <v>1397</v>
      </c>
      <c r="CN1401" s="48">
        <v>4.4738079772127897</v>
      </c>
      <c r="CO1401" s="45" t="str">
        <v>Invest</v>
      </c>
      <c r="CP1401" s="61"/>
      <c r="CQ1401" s="45">
        <v>1397</v>
      </c>
      <c r="CR1401" s="45">
        <v>7.6894258207844732</v>
      </c>
      <c r="CS1401" s="45" t="str">
        <v>Invest</v>
      </c>
      <c r="CT1401" s="61"/>
      <c r="CU1401" s="45">
        <v>1397</v>
      </c>
      <c r="CV1401" s="45">
        <v>0</v>
      </c>
      <c r="CW1401" s="45" t="str">
        <v>Nothing</v>
      </c>
      <c r="CX1401" s="61"/>
      <c r="CY1401" s="45">
        <v>1397</v>
      </c>
      <c r="CZ1401" s="45">
        <v>44.122879130163547</v>
      </c>
      <c r="DA1401" s="45" t="str">
        <v>Invest</v>
      </c>
      <c r="DU1401" s="52"/>
      <c r="DV1401" s="50"/>
    </row>
    <row r="1402" spans="91:126" ht="23.5">
      <c r="CM1402" s="45">
        <v>1398</v>
      </c>
      <c r="CN1402" s="48">
        <v>11.133829745545615</v>
      </c>
      <c r="CO1402" s="45" t="str">
        <v>Invest</v>
      </c>
      <c r="CP1402" s="61"/>
      <c r="CQ1402" s="45">
        <v>1398</v>
      </c>
      <c r="CR1402" s="45">
        <v>18.77558223063243</v>
      </c>
      <c r="CS1402" s="45" t="str">
        <v>Invest</v>
      </c>
      <c r="CT1402" s="61"/>
      <c r="CU1402" s="45">
        <v>1398</v>
      </c>
      <c r="CV1402" s="45">
        <v>26.995008472003853</v>
      </c>
      <c r="CW1402" s="45" t="str">
        <v>Invest</v>
      </c>
      <c r="CX1402" s="61"/>
      <c r="CY1402" s="45">
        <v>1398</v>
      </c>
      <c r="CZ1402" s="45">
        <v>35.858529152818441</v>
      </c>
      <c r="DA1402" s="45" t="str">
        <v>Invest</v>
      </c>
      <c r="DU1402" s="52"/>
      <c r="DV1402" s="50"/>
    </row>
    <row r="1403" spans="91:126" ht="23.5">
      <c r="CM1403" s="45">
        <v>1399</v>
      </c>
      <c r="CN1403" s="48">
        <v>0</v>
      </c>
      <c r="CO1403" s="45" t="str">
        <v>Nothing</v>
      </c>
      <c r="CP1403" s="61"/>
      <c r="CQ1403" s="45">
        <v>1399</v>
      </c>
      <c r="CR1403" s="45">
        <v>35.25326014300974</v>
      </c>
      <c r="CS1403" s="45" t="str">
        <v>Invest</v>
      </c>
      <c r="CT1403" s="61"/>
      <c r="CU1403" s="45">
        <v>1399</v>
      </c>
      <c r="CV1403" s="45">
        <v>31.195269101478843</v>
      </c>
      <c r="CW1403" s="45" t="str">
        <v>Invest</v>
      </c>
      <c r="CX1403" s="61"/>
      <c r="CY1403" s="45">
        <v>1399</v>
      </c>
      <c r="CZ1403" s="45">
        <v>9.8100571402809109</v>
      </c>
      <c r="DA1403" s="45" t="str">
        <v>Invest</v>
      </c>
      <c r="DU1403" s="52"/>
      <c r="DV1403" s="50"/>
    </row>
    <row r="1404" spans="91:126" ht="23.5">
      <c r="CM1404" s="45">
        <v>1400</v>
      </c>
      <c r="CN1404" s="48">
        <v>1.8712889705473481</v>
      </c>
      <c r="CO1404" s="45" t="str">
        <v>Invest</v>
      </c>
      <c r="CP1404" s="61"/>
      <c r="CQ1404" s="45">
        <v>1400</v>
      </c>
      <c r="CR1404" s="45">
        <v>0</v>
      </c>
      <c r="CS1404" s="45" t="str">
        <v>Nothing</v>
      </c>
      <c r="CT1404" s="61"/>
      <c r="CU1404" s="45">
        <v>1400</v>
      </c>
      <c r="CV1404" s="45">
        <v>0</v>
      </c>
      <c r="CW1404" s="45" t="str">
        <v>Nothing</v>
      </c>
      <c r="CX1404" s="61"/>
      <c r="CY1404" s="45">
        <v>1400</v>
      </c>
      <c r="CZ1404" s="45">
        <v>14.086897161653575</v>
      </c>
      <c r="DA1404" s="45" t="str">
        <v>Invest</v>
      </c>
      <c r="DU1404" s="52"/>
      <c r="DV1404" s="50"/>
    </row>
    <row r="1405" spans="91:126" ht="23.5">
      <c r="CM1405" s="45">
        <v>1401</v>
      </c>
      <c r="CN1405" s="48">
        <v>45.59401018442869</v>
      </c>
      <c r="CO1405" s="45" t="str">
        <v>Invest</v>
      </c>
      <c r="CP1405" s="61"/>
      <c r="CQ1405" s="45">
        <v>1401</v>
      </c>
      <c r="CR1405" s="45">
        <v>2.3303806404778875</v>
      </c>
      <c r="CS1405" s="45" t="str">
        <v>Invest</v>
      </c>
      <c r="CT1405" s="61"/>
      <c r="CU1405" s="45">
        <v>1401</v>
      </c>
      <c r="CV1405" s="45">
        <v>0</v>
      </c>
      <c r="CW1405" s="45" t="str">
        <v>Nothing</v>
      </c>
      <c r="CX1405" s="61"/>
      <c r="CY1405" s="45">
        <v>1401</v>
      </c>
      <c r="CZ1405" s="45">
        <v>18.744012419833844</v>
      </c>
      <c r="DA1405" s="45" t="str">
        <v>Invest</v>
      </c>
      <c r="DU1405" s="52"/>
      <c r="DV1405" s="50"/>
    </row>
    <row r="1406" spans="91:126" ht="23.5">
      <c r="CM1406" s="45">
        <v>1402</v>
      </c>
      <c r="CN1406" s="48">
        <v>2.2286265911907268</v>
      </c>
      <c r="CO1406" s="45" t="str">
        <v>Invest</v>
      </c>
      <c r="CP1406" s="61"/>
      <c r="CQ1406" s="45">
        <v>1402</v>
      </c>
      <c r="CR1406" s="45">
        <v>2.9114404272131011</v>
      </c>
      <c r="CS1406" s="45" t="str">
        <v>Invest</v>
      </c>
      <c r="CT1406" s="61"/>
      <c r="CU1406" s="45">
        <v>1402</v>
      </c>
      <c r="CV1406" s="45">
        <v>59.208381274443013</v>
      </c>
      <c r="CW1406" s="45" t="str">
        <v>Invest</v>
      </c>
      <c r="CX1406" s="61"/>
      <c r="CY1406" s="45">
        <v>1402</v>
      </c>
      <c r="CZ1406" s="45">
        <v>20.051598140813567</v>
      </c>
      <c r="DA1406" s="45" t="str">
        <v>Invest</v>
      </c>
      <c r="DU1406" s="52"/>
      <c r="DV1406" s="50"/>
    </row>
    <row r="1407" spans="91:126" ht="23.5">
      <c r="CM1407" s="45">
        <v>1403</v>
      </c>
      <c r="CN1407" s="48">
        <v>0</v>
      </c>
      <c r="CO1407" s="45" t="str">
        <v>Nothing</v>
      </c>
      <c r="CP1407" s="61"/>
      <c r="CQ1407" s="45">
        <v>1403</v>
      </c>
      <c r="CR1407" s="45">
        <v>40.411288224483144</v>
      </c>
      <c r="CS1407" s="45" t="str">
        <v>Invest</v>
      </c>
      <c r="CT1407" s="61"/>
      <c r="CU1407" s="45">
        <v>1403</v>
      </c>
      <c r="CV1407" s="45">
        <v>9.7200061679572904</v>
      </c>
      <c r="CW1407" s="45" t="str">
        <v>Invest</v>
      </c>
      <c r="CX1407" s="61"/>
      <c r="CY1407" s="45">
        <v>1403</v>
      </c>
      <c r="CZ1407" s="45">
        <v>30.72362839996606</v>
      </c>
      <c r="DA1407" s="45" t="str">
        <v>Invest</v>
      </c>
      <c r="DU1407" s="52"/>
      <c r="DV1407" s="50"/>
    </row>
    <row r="1408" spans="91:126" ht="23.5">
      <c r="CM1408" s="45">
        <v>1404</v>
      </c>
      <c r="CN1408" s="48">
        <v>38.908116485632569</v>
      </c>
      <c r="CO1408" s="45" t="str">
        <v>Invest</v>
      </c>
      <c r="CP1408" s="61"/>
      <c r="CQ1408" s="45">
        <v>1404</v>
      </c>
      <c r="CR1408" s="45">
        <v>20.002652767448723</v>
      </c>
      <c r="CS1408" s="45" t="str">
        <v>Invest</v>
      </c>
      <c r="CT1408" s="61"/>
      <c r="CU1408" s="45">
        <v>1404</v>
      </c>
      <c r="CV1408" s="45">
        <v>6.5310694668204921</v>
      </c>
      <c r="CW1408" s="45" t="str">
        <v>Invest</v>
      </c>
      <c r="CX1408" s="61"/>
      <c r="CY1408" s="45">
        <v>1404</v>
      </c>
      <c r="CZ1408" s="45">
        <v>17.681396421103699</v>
      </c>
      <c r="DA1408" s="45" t="str">
        <v>Invest</v>
      </c>
      <c r="DU1408" s="52"/>
      <c r="DV1408" s="50"/>
    </row>
    <row r="1409" spans="91:126" ht="23.5">
      <c r="CM1409" s="45">
        <v>1405</v>
      </c>
      <c r="CN1409" s="48">
        <v>16.970856433938213</v>
      </c>
      <c r="CO1409" s="45" t="str">
        <v>Invest</v>
      </c>
      <c r="CP1409" s="61"/>
      <c r="CQ1409" s="45">
        <v>1405</v>
      </c>
      <c r="CR1409" s="45">
        <v>51.187037843341891</v>
      </c>
      <c r="CS1409" s="45" t="str">
        <v>Invest</v>
      </c>
      <c r="CT1409" s="61"/>
      <c r="CU1409" s="45">
        <v>1405</v>
      </c>
      <c r="CV1409" s="45">
        <v>44.276361861898508</v>
      </c>
      <c r="CW1409" s="45" t="str">
        <v>Invest</v>
      </c>
      <c r="CX1409" s="61"/>
      <c r="CY1409" s="45">
        <v>1405</v>
      </c>
      <c r="CZ1409" s="45">
        <v>6.8657788816162224</v>
      </c>
      <c r="DA1409" s="45" t="str">
        <v>Invest</v>
      </c>
      <c r="DU1409" s="52"/>
      <c r="DV1409" s="50"/>
    </row>
    <row r="1410" spans="91:126" ht="23.5">
      <c r="CM1410" s="45">
        <v>1406</v>
      </c>
      <c r="CN1410" s="48">
        <v>30.057145529357108</v>
      </c>
      <c r="CO1410" s="45" t="str">
        <v>Invest</v>
      </c>
      <c r="CP1410" s="61"/>
      <c r="CQ1410" s="45">
        <v>1406</v>
      </c>
      <c r="CR1410" s="45">
        <v>18.706172040473533</v>
      </c>
      <c r="CS1410" s="45" t="str">
        <v>Invest</v>
      </c>
      <c r="CT1410" s="61"/>
      <c r="CU1410" s="45">
        <v>1406</v>
      </c>
      <c r="CV1410" s="45">
        <v>4.5162646644719242</v>
      </c>
      <c r="CW1410" s="45" t="str">
        <v>Invest</v>
      </c>
      <c r="CX1410" s="61"/>
      <c r="CY1410" s="45">
        <v>1406</v>
      </c>
      <c r="CZ1410" s="45">
        <v>58.545045575466922</v>
      </c>
      <c r="DA1410" s="45" t="str">
        <v>Invest</v>
      </c>
      <c r="DU1410" s="52"/>
      <c r="DV1410" s="50"/>
    </row>
    <row r="1411" spans="91:126" ht="23.5">
      <c r="CM1411" s="45">
        <v>1407</v>
      </c>
      <c r="CN1411" s="48">
        <v>0</v>
      </c>
      <c r="CO1411" s="45" t="str">
        <v>Nothing</v>
      </c>
      <c r="CP1411" s="61"/>
      <c r="CQ1411" s="45">
        <v>1407</v>
      </c>
      <c r="CR1411" s="45">
        <v>8.8155133274075848</v>
      </c>
      <c r="CS1411" s="45" t="str">
        <v>Invest</v>
      </c>
      <c r="CT1411" s="61"/>
      <c r="CU1411" s="45">
        <v>1407</v>
      </c>
      <c r="CV1411" s="45">
        <v>0</v>
      </c>
      <c r="CW1411" s="45" t="str">
        <v>Nothing</v>
      </c>
      <c r="CX1411" s="61"/>
      <c r="CY1411" s="45">
        <v>1407</v>
      </c>
      <c r="CZ1411" s="45">
        <v>19.679892179923215</v>
      </c>
      <c r="DA1411" s="45" t="str">
        <v>Invest</v>
      </c>
      <c r="DU1411" s="52"/>
      <c r="DV1411" s="50"/>
    </row>
    <row r="1412" spans="91:126" ht="23.5">
      <c r="CM1412" s="45">
        <v>1408</v>
      </c>
      <c r="CN1412" s="48">
        <v>0</v>
      </c>
      <c r="CO1412" s="45" t="str">
        <v>Nothing</v>
      </c>
      <c r="CP1412" s="61"/>
      <c r="CQ1412" s="45">
        <v>1408</v>
      </c>
      <c r="CR1412" s="45">
        <v>11.385672581387503</v>
      </c>
      <c r="CS1412" s="45" t="str">
        <v>Invest</v>
      </c>
      <c r="CT1412" s="61"/>
      <c r="CU1412" s="45">
        <v>1408</v>
      </c>
      <c r="CV1412" s="45">
        <v>56.333319624145503</v>
      </c>
      <c r="CW1412" s="45" t="str">
        <v>Invest</v>
      </c>
      <c r="CX1412" s="61"/>
      <c r="CY1412" s="45">
        <v>1408</v>
      </c>
      <c r="CZ1412" s="45">
        <v>0</v>
      </c>
      <c r="DA1412" s="45" t="str">
        <v>Nothing</v>
      </c>
      <c r="DU1412" s="52"/>
      <c r="DV1412" s="50"/>
    </row>
    <row r="1413" spans="91:126" ht="23.5">
      <c r="CM1413" s="45">
        <v>1409</v>
      </c>
      <c r="CN1413" s="48">
        <v>44.428980871306536</v>
      </c>
      <c r="CO1413" s="45" t="str">
        <v>Invest</v>
      </c>
      <c r="CP1413" s="61"/>
      <c r="CQ1413" s="45">
        <v>1409</v>
      </c>
      <c r="CR1413" s="45">
        <v>24.357592673100257</v>
      </c>
      <c r="CS1413" s="45" t="str">
        <v>Invest</v>
      </c>
      <c r="CT1413" s="61"/>
      <c r="CU1413" s="45">
        <v>1409</v>
      </c>
      <c r="CV1413" s="45">
        <v>40.681494838655155</v>
      </c>
      <c r="CW1413" s="45" t="str">
        <v>Invest</v>
      </c>
      <c r="CX1413" s="61"/>
      <c r="CY1413" s="45">
        <v>1409</v>
      </c>
      <c r="CZ1413" s="45">
        <v>0</v>
      </c>
      <c r="DA1413" s="45" t="str">
        <v>Nothing</v>
      </c>
      <c r="DU1413" s="52"/>
      <c r="DV1413" s="50"/>
    </row>
    <row r="1414" spans="91:126" ht="23.5">
      <c r="CM1414" s="45">
        <v>1410</v>
      </c>
      <c r="CN1414" s="48">
        <v>0</v>
      </c>
      <c r="CO1414" s="45" t="str">
        <v>Nothing</v>
      </c>
      <c r="CP1414" s="61"/>
      <c r="CQ1414" s="45">
        <v>1410</v>
      </c>
      <c r="CR1414" s="45">
        <v>0</v>
      </c>
      <c r="CS1414" s="45" t="str">
        <v>Nothing</v>
      </c>
      <c r="CT1414" s="61"/>
      <c r="CU1414" s="45">
        <v>1410</v>
      </c>
      <c r="CV1414" s="45">
        <v>10.384076433154759</v>
      </c>
      <c r="CW1414" s="45" t="str">
        <v>Invest</v>
      </c>
      <c r="CX1414" s="61"/>
      <c r="CY1414" s="45">
        <v>1410</v>
      </c>
      <c r="CZ1414" s="45">
        <v>7.1010456236101502</v>
      </c>
      <c r="DA1414" s="45" t="str">
        <v>Invest</v>
      </c>
      <c r="DU1414" s="52"/>
      <c r="DV1414" s="50"/>
    </row>
    <row r="1415" spans="91:126" ht="23.5">
      <c r="CM1415" s="45">
        <v>1411</v>
      </c>
      <c r="CN1415" s="48">
        <v>7.6467643453892755</v>
      </c>
      <c r="CO1415" s="45" t="str">
        <v>Invest</v>
      </c>
      <c r="CP1415" s="61"/>
      <c r="CQ1415" s="45">
        <v>1411</v>
      </c>
      <c r="CR1415" s="45">
        <v>12.998062776248581</v>
      </c>
      <c r="CS1415" s="45" t="str">
        <v>Invest</v>
      </c>
      <c r="CT1415" s="61"/>
      <c r="CU1415" s="45">
        <v>1411</v>
      </c>
      <c r="CV1415" s="45">
        <v>21.653117077988099</v>
      </c>
      <c r="CW1415" s="45" t="str">
        <v>Invest</v>
      </c>
      <c r="CX1415" s="61"/>
      <c r="CY1415" s="45">
        <v>1411</v>
      </c>
      <c r="CZ1415" s="45">
        <v>0</v>
      </c>
      <c r="DA1415" s="45" t="str">
        <v>Nothing</v>
      </c>
      <c r="DU1415" s="52"/>
      <c r="DV1415" s="50"/>
    </row>
    <row r="1416" spans="91:126" ht="23.5">
      <c r="CM1416" s="45">
        <v>1412</v>
      </c>
      <c r="CN1416" s="48">
        <v>21.535170786487303</v>
      </c>
      <c r="CO1416" s="45" t="str">
        <v>Invest</v>
      </c>
      <c r="CP1416" s="61"/>
      <c r="CQ1416" s="45">
        <v>1412</v>
      </c>
      <c r="CR1416" s="45">
        <v>44.73396358668964</v>
      </c>
      <c r="CS1416" s="45" t="str">
        <v>Invest</v>
      </c>
      <c r="CT1416" s="61"/>
      <c r="CU1416" s="45">
        <v>1412</v>
      </c>
      <c r="CV1416" s="45">
        <v>10.645749733555537</v>
      </c>
      <c r="CW1416" s="45" t="str">
        <v>Invest</v>
      </c>
      <c r="CX1416" s="61"/>
      <c r="CY1416" s="45">
        <v>1412</v>
      </c>
      <c r="CZ1416" s="45">
        <v>52.814205601873041</v>
      </c>
      <c r="DA1416" s="45" t="str">
        <v>Invest</v>
      </c>
      <c r="DU1416" s="52"/>
      <c r="DV1416" s="50"/>
    </row>
    <row r="1417" spans="91:126" ht="23.5">
      <c r="CM1417" s="45">
        <v>1413</v>
      </c>
      <c r="CN1417" s="48">
        <v>0</v>
      </c>
      <c r="CO1417" s="45" t="str">
        <v>Nothing</v>
      </c>
      <c r="CP1417" s="61"/>
      <c r="CQ1417" s="45">
        <v>1413</v>
      </c>
      <c r="CR1417" s="45">
        <v>18.655649334967006</v>
      </c>
      <c r="CS1417" s="45" t="str">
        <v>Invest</v>
      </c>
      <c r="CT1417" s="61"/>
      <c r="CU1417" s="45">
        <v>1413</v>
      </c>
      <c r="CV1417" s="45">
        <v>32.928833240052143</v>
      </c>
      <c r="CW1417" s="45" t="str">
        <v>Invest</v>
      </c>
      <c r="CX1417" s="61"/>
      <c r="CY1417" s="45">
        <v>1413</v>
      </c>
      <c r="CZ1417" s="45">
        <v>9.005605723412609</v>
      </c>
      <c r="DA1417" s="45" t="str">
        <v>Invest</v>
      </c>
      <c r="DU1417" s="52"/>
      <c r="DV1417" s="50"/>
    </row>
    <row r="1418" spans="91:126" ht="23.5">
      <c r="CM1418" s="45">
        <v>1414</v>
      </c>
      <c r="CN1418" s="48">
        <v>21.819503490517505</v>
      </c>
      <c r="CO1418" s="45" t="str">
        <v>Invest</v>
      </c>
      <c r="CP1418" s="61"/>
      <c r="CQ1418" s="45">
        <v>1414</v>
      </c>
      <c r="CR1418" s="45">
        <v>1.8642392783419375</v>
      </c>
      <c r="CS1418" s="45" t="str">
        <v>Invest</v>
      </c>
      <c r="CT1418" s="61"/>
      <c r="CU1418" s="45">
        <v>1414</v>
      </c>
      <c r="CV1418" s="45">
        <v>9.6662390277916259</v>
      </c>
      <c r="CW1418" s="45" t="str">
        <v>Invest</v>
      </c>
      <c r="CX1418" s="61"/>
      <c r="CY1418" s="45">
        <v>1414</v>
      </c>
      <c r="CZ1418" s="45">
        <v>21.905624267730243</v>
      </c>
      <c r="DA1418" s="45" t="str">
        <v>Invest</v>
      </c>
      <c r="DU1418" s="52"/>
      <c r="DV1418" s="50"/>
    </row>
    <row r="1419" spans="91:126" ht="23.5">
      <c r="CM1419" s="45">
        <v>1415</v>
      </c>
      <c r="CN1419" s="48">
        <v>0</v>
      </c>
      <c r="CO1419" s="45" t="str">
        <v>Nothing</v>
      </c>
      <c r="CP1419" s="61"/>
      <c r="CQ1419" s="45">
        <v>1415</v>
      </c>
      <c r="CR1419" s="45">
        <v>23.196332344325373</v>
      </c>
      <c r="CS1419" s="45" t="str">
        <v>Invest</v>
      </c>
      <c r="CT1419" s="61"/>
      <c r="CU1419" s="45">
        <v>1415</v>
      </c>
      <c r="CV1419" s="45">
        <v>4.1221423923682146</v>
      </c>
      <c r="CW1419" s="45" t="str">
        <v>Invest</v>
      </c>
      <c r="CX1419" s="61"/>
      <c r="CY1419" s="45">
        <v>1415</v>
      </c>
      <c r="CZ1419" s="45">
        <v>32.945312535111334</v>
      </c>
      <c r="DA1419" s="45" t="str">
        <v>Invest</v>
      </c>
      <c r="DU1419" s="52"/>
      <c r="DV1419" s="50"/>
    </row>
    <row r="1420" spans="91:126" ht="23.5">
      <c r="CM1420" s="45">
        <v>1416</v>
      </c>
      <c r="CN1420" s="48">
        <v>16.819704615673597</v>
      </c>
      <c r="CO1420" s="45" t="str">
        <v>Invest</v>
      </c>
      <c r="CP1420" s="61"/>
      <c r="CQ1420" s="45">
        <v>1416</v>
      </c>
      <c r="CR1420" s="45">
        <v>34.098451486441206</v>
      </c>
      <c r="CS1420" s="45" t="str">
        <v>Invest</v>
      </c>
      <c r="CT1420" s="61"/>
      <c r="CU1420" s="45">
        <v>1416</v>
      </c>
      <c r="CV1420" s="45">
        <v>27.712437496474159</v>
      </c>
      <c r="CW1420" s="45" t="str">
        <v>Invest</v>
      </c>
      <c r="CX1420" s="61"/>
      <c r="CY1420" s="45">
        <v>1416</v>
      </c>
      <c r="CZ1420" s="45">
        <v>26.981129557717338</v>
      </c>
      <c r="DA1420" s="45" t="str">
        <v>Invest</v>
      </c>
      <c r="DU1420" s="52"/>
      <c r="DV1420" s="50"/>
    </row>
    <row r="1421" spans="91:126" ht="23.5">
      <c r="CM1421" s="45">
        <v>1417</v>
      </c>
      <c r="CN1421" s="48">
        <v>0</v>
      </c>
      <c r="CO1421" s="45" t="str">
        <v>Nothing</v>
      </c>
      <c r="CP1421" s="61"/>
      <c r="CQ1421" s="45">
        <v>1417</v>
      </c>
      <c r="CR1421" s="45">
        <v>33.115075020566032</v>
      </c>
      <c r="CS1421" s="45" t="str">
        <v>Invest</v>
      </c>
      <c r="CT1421" s="61"/>
      <c r="CU1421" s="45">
        <v>1417</v>
      </c>
      <c r="CV1421" s="45">
        <v>39.699606988926071</v>
      </c>
      <c r="CW1421" s="45" t="str">
        <v>Invest</v>
      </c>
      <c r="CX1421" s="61"/>
      <c r="CY1421" s="45">
        <v>1417</v>
      </c>
      <c r="CZ1421" s="45">
        <v>27.98489896350722</v>
      </c>
      <c r="DA1421" s="45" t="str">
        <v>Invest</v>
      </c>
      <c r="DU1421" s="52"/>
      <c r="DV1421" s="50"/>
    </row>
    <row r="1422" spans="91:126" ht="23.5">
      <c r="CM1422" s="45">
        <v>1418</v>
      </c>
      <c r="CN1422" s="48">
        <v>14.122789962917413</v>
      </c>
      <c r="CO1422" s="45" t="str">
        <v>Invest</v>
      </c>
      <c r="CP1422" s="61"/>
      <c r="CQ1422" s="45">
        <v>1418</v>
      </c>
      <c r="CR1422" s="45">
        <v>0</v>
      </c>
      <c r="CS1422" s="45" t="str">
        <v>Nothing</v>
      </c>
      <c r="CT1422" s="61"/>
      <c r="CU1422" s="45">
        <v>1418</v>
      </c>
      <c r="CV1422" s="45">
        <v>1.943312563849501</v>
      </c>
      <c r="CW1422" s="45" t="str">
        <v>Invest</v>
      </c>
      <c r="CX1422" s="61"/>
      <c r="CY1422" s="45">
        <v>1418</v>
      </c>
      <c r="CZ1422" s="45">
        <v>5.535182159086272</v>
      </c>
      <c r="DA1422" s="45" t="str">
        <v>Invest</v>
      </c>
      <c r="DU1422" s="52"/>
      <c r="DV1422" s="50"/>
    </row>
    <row r="1423" spans="91:126" ht="23.5">
      <c r="CM1423" s="45">
        <v>1419</v>
      </c>
      <c r="CN1423" s="48">
        <v>47.512177279814402</v>
      </c>
      <c r="CO1423" s="45" t="str">
        <v>Invest</v>
      </c>
      <c r="CP1423" s="61"/>
      <c r="CQ1423" s="45">
        <v>1419</v>
      </c>
      <c r="CR1423" s="45">
        <v>0</v>
      </c>
      <c r="CS1423" s="45" t="str">
        <v>Nothing</v>
      </c>
      <c r="CT1423" s="61"/>
      <c r="CU1423" s="45">
        <v>1419</v>
      </c>
      <c r="CV1423" s="45">
        <v>0</v>
      </c>
      <c r="CW1423" s="45" t="str">
        <v>Nothing</v>
      </c>
      <c r="CX1423" s="61"/>
      <c r="CY1423" s="45">
        <v>1419</v>
      </c>
      <c r="CZ1423" s="45">
        <v>5.8813777388972106</v>
      </c>
      <c r="DA1423" s="45" t="str">
        <v>Invest</v>
      </c>
      <c r="DU1423" s="52"/>
      <c r="DV1423" s="50"/>
    </row>
    <row r="1424" spans="91:126" ht="23.5">
      <c r="CM1424" s="45">
        <v>1420</v>
      </c>
      <c r="CN1424" s="48">
        <v>10.369268191042499</v>
      </c>
      <c r="CO1424" s="45" t="str">
        <v>Invest</v>
      </c>
      <c r="CP1424" s="61"/>
      <c r="CQ1424" s="45">
        <v>1420</v>
      </c>
      <c r="CR1424" s="45">
        <v>35.631913993017129</v>
      </c>
      <c r="CS1424" s="45" t="str">
        <v>Invest</v>
      </c>
      <c r="CT1424" s="61"/>
      <c r="CU1424" s="45">
        <v>1420</v>
      </c>
      <c r="CV1424" s="45">
        <v>5.9423496676467762</v>
      </c>
      <c r="CW1424" s="45" t="str">
        <v>Invest</v>
      </c>
      <c r="CX1424" s="61"/>
      <c r="CY1424" s="45">
        <v>1420</v>
      </c>
      <c r="CZ1424" s="45">
        <v>17.207233142040039</v>
      </c>
      <c r="DA1424" s="45" t="str">
        <v>Invest</v>
      </c>
      <c r="DU1424" s="52"/>
      <c r="DV1424" s="50"/>
    </row>
    <row r="1425" spans="91:126" ht="23.5">
      <c r="CM1425" s="45">
        <v>1421</v>
      </c>
      <c r="CN1425" s="48">
        <v>13.351240463106665</v>
      </c>
      <c r="CO1425" s="45" t="str">
        <v>Invest</v>
      </c>
      <c r="CP1425" s="61"/>
      <c r="CQ1425" s="45">
        <v>1421</v>
      </c>
      <c r="CR1425" s="45">
        <v>10.86351234072478</v>
      </c>
      <c r="CS1425" s="45" t="str">
        <v>Invest</v>
      </c>
      <c r="CT1425" s="61"/>
      <c r="CU1425" s="45">
        <v>1421</v>
      </c>
      <c r="CV1425" s="45">
        <v>0</v>
      </c>
      <c r="CW1425" s="45" t="str">
        <v>Nothing</v>
      </c>
      <c r="CX1425" s="61"/>
      <c r="CY1425" s="45">
        <v>1421</v>
      </c>
      <c r="CZ1425" s="45">
        <v>13.49398898712853</v>
      </c>
      <c r="DA1425" s="45" t="str">
        <v>Invest</v>
      </c>
      <c r="DU1425" s="52"/>
      <c r="DV1425" s="50"/>
    </row>
    <row r="1426" spans="91:126" ht="23.5">
      <c r="CM1426" s="45">
        <v>1422</v>
      </c>
      <c r="CN1426" s="48">
        <v>28.339054416947032</v>
      </c>
      <c r="CO1426" s="45" t="str">
        <v>Invest</v>
      </c>
      <c r="CP1426" s="61"/>
      <c r="CQ1426" s="45">
        <v>1422</v>
      </c>
      <c r="CR1426" s="45">
        <v>30.254539175440325</v>
      </c>
      <c r="CS1426" s="45" t="str">
        <v>Invest</v>
      </c>
      <c r="CT1426" s="61"/>
      <c r="CU1426" s="45">
        <v>1422</v>
      </c>
      <c r="CV1426" s="45">
        <v>46.438148955645332</v>
      </c>
      <c r="CW1426" s="45" t="str">
        <v>Invest</v>
      </c>
      <c r="CX1426" s="61"/>
      <c r="CY1426" s="45">
        <v>1422</v>
      </c>
      <c r="CZ1426" s="45">
        <v>52.914642494102488</v>
      </c>
      <c r="DA1426" s="45" t="str">
        <v>Invest</v>
      </c>
      <c r="DU1426" s="52"/>
      <c r="DV1426" s="50"/>
    </row>
    <row r="1427" spans="91:126" ht="23.5">
      <c r="CM1427" s="45">
        <v>1423</v>
      </c>
      <c r="CN1427" s="48">
        <v>11.795227728508575</v>
      </c>
      <c r="CO1427" s="45" t="str">
        <v>Invest</v>
      </c>
      <c r="CP1427" s="61"/>
      <c r="CQ1427" s="45">
        <v>1423</v>
      </c>
      <c r="CR1427" s="45">
        <v>38.052612961857292</v>
      </c>
      <c r="CS1427" s="45" t="str">
        <v>Invest</v>
      </c>
      <c r="CT1427" s="61"/>
      <c r="CU1427" s="45">
        <v>1423</v>
      </c>
      <c r="CV1427" s="45">
        <v>21.300411400874495</v>
      </c>
      <c r="CW1427" s="45" t="str">
        <v>Invest</v>
      </c>
      <c r="CX1427" s="61"/>
      <c r="CY1427" s="45">
        <v>1423</v>
      </c>
      <c r="CZ1427" s="45">
        <v>5.5351451478507698</v>
      </c>
      <c r="DA1427" s="45" t="str">
        <v>Invest</v>
      </c>
      <c r="DU1427" s="52"/>
      <c r="DV1427" s="50"/>
    </row>
    <row r="1428" spans="91:126" ht="23.5">
      <c r="CM1428" s="45">
        <v>1424</v>
      </c>
      <c r="CN1428" s="48">
        <v>12.390076098146453</v>
      </c>
      <c r="CO1428" s="45" t="str">
        <v>Invest</v>
      </c>
      <c r="CP1428" s="61"/>
      <c r="CQ1428" s="45">
        <v>1424</v>
      </c>
      <c r="CR1428" s="45">
        <v>19.897916679770596</v>
      </c>
      <c r="CS1428" s="45" t="str">
        <v>Invest</v>
      </c>
      <c r="CT1428" s="61"/>
      <c r="CU1428" s="45">
        <v>1424</v>
      </c>
      <c r="CV1428" s="45">
        <v>0</v>
      </c>
      <c r="CW1428" s="45" t="str">
        <v>Nothing</v>
      </c>
      <c r="CX1428" s="61"/>
      <c r="CY1428" s="45">
        <v>1424</v>
      </c>
      <c r="CZ1428" s="45">
        <v>17.246818021070936</v>
      </c>
      <c r="DA1428" s="45" t="str">
        <v>Invest</v>
      </c>
      <c r="DU1428" s="52"/>
      <c r="DV1428" s="50"/>
    </row>
    <row r="1429" spans="91:126" ht="23.5">
      <c r="CM1429" s="45">
        <v>1425</v>
      </c>
      <c r="CN1429" s="48">
        <v>0</v>
      </c>
      <c r="CO1429" s="45" t="str">
        <v>Nothing</v>
      </c>
      <c r="CP1429" s="61"/>
      <c r="CQ1429" s="45">
        <v>1425</v>
      </c>
      <c r="CR1429" s="45">
        <v>10.530135950053799</v>
      </c>
      <c r="CS1429" s="45" t="str">
        <v>Invest</v>
      </c>
      <c r="CT1429" s="61"/>
      <c r="CU1429" s="45">
        <v>1425</v>
      </c>
      <c r="CV1429" s="45">
        <v>49.599411810159793</v>
      </c>
      <c r="CW1429" s="45" t="str">
        <v>Invest</v>
      </c>
      <c r="CX1429" s="61"/>
      <c r="CY1429" s="45">
        <v>1425</v>
      </c>
      <c r="CZ1429" s="45">
        <v>18.278228412061367</v>
      </c>
      <c r="DA1429" s="45" t="str">
        <v>Invest</v>
      </c>
      <c r="DU1429" s="52"/>
      <c r="DV1429" s="50"/>
    </row>
    <row r="1430" spans="91:126" ht="23.5">
      <c r="CM1430" s="45">
        <v>1426</v>
      </c>
      <c r="CN1430" s="48">
        <v>10.83536627665268</v>
      </c>
      <c r="CO1430" s="45" t="str">
        <v>Invest</v>
      </c>
      <c r="CP1430" s="61"/>
      <c r="CQ1430" s="45">
        <v>1426</v>
      </c>
      <c r="CR1430" s="45">
        <v>5.7341817242692326</v>
      </c>
      <c r="CS1430" s="45" t="str">
        <v>Invest</v>
      </c>
      <c r="CT1430" s="61"/>
      <c r="CU1430" s="45">
        <v>1426</v>
      </c>
      <c r="CV1430" s="45">
        <v>13.475549273852639</v>
      </c>
      <c r="CW1430" s="45" t="str">
        <v>Invest</v>
      </c>
      <c r="CX1430" s="61"/>
      <c r="CY1430" s="45">
        <v>1426</v>
      </c>
      <c r="CZ1430" s="45">
        <v>34.526329774648481</v>
      </c>
      <c r="DA1430" s="45" t="str">
        <v>Invest</v>
      </c>
      <c r="DU1430" s="52"/>
      <c r="DV1430" s="50"/>
    </row>
    <row r="1431" spans="91:126" ht="23.5">
      <c r="CM1431" s="45">
        <v>1427</v>
      </c>
      <c r="CN1431" s="48">
        <v>10.995867941552802</v>
      </c>
      <c r="CO1431" s="45" t="str">
        <v>Invest</v>
      </c>
      <c r="CP1431" s="61"/>
      <c r="CQ1431" s="45">
        <v>1427</v>
      </c>
      <c r="CR1431" s="45">
        <v>37.718106284923309</v>
      </c>
      <c r="CS1431" s="45" t="str">
        <v>Invest</v>
      </c>
      <c r="CT1431" s="61"/>
      <c r="CU1431" s="45">
        <v>1427</v>
      </c>
      <c r="CV1431" s="45">
        <v>5.442116612467629E-2</v>
      </c>
      <c r="CW1431" s="45" t="str">
        <v>Invest</v>
      </c>
      <c r="CX1431" s="61"/>
      <c r="CY1431" s="45">
        <v>1427</v>
      </c>
      <c r="CZ1431" s="45">
        <v>8.2353814850317981</v>
      </c>
      <c r="DA1431" s="45" t="str">
        <v>Invest</v>
      </c>
      <c r="DU1431" s="52"/>
      <c r="DV1431" s="50"/>
    </row>
    <row r="1432" spans="91:126" ht="23.5">
      <c r="CM1432" s="45">
        <v>1428</v>
      </c>
      <c r="CN1432" s="48">
        <v>18.799471547390141</v>
      </c>
      <c r="CO1432" s="45" t="str">
        <v>Invest</v>
      </c>
      <c r="CP1432" s="61"/>
      <c r="CQ1432" s="45">
        <v>1428</v>
      </c>
      <c r="CR1432" s="45">
        <v>9.7818919480580639</v>
      </c>
      <c r="CS1432" s="45" t="str">
        <v>Invest</v>
      </c>
      <c r="CT1432" s="61"/>
      <c r="CU1432" s="45">
        <v>1428</v>
      </c>
      <c r="CV1432" s="45">
        <v>11.545389039331978</v>
      </c>
      <c r="CW1432" s="45" t="str">
        <v>Invest</v>
      </c>
      <c r="CX1432" s="61"/>
      <c r="CY1432" s="45">
        <v>1428</v>
      </c>
      <c r="CZ1432" s="45">
        <v>25.873183805701068</v>
      </c>
      <c r="DA1432" s="45" t="str">
        <v>Invest</v>
      </c>
      <c r="DU1432" s="52"/>
      <c r="DV1432" s="50"/>
    </row>
    <row r="1433" spans="91:126" ht="23.5">
      <c r="CM1433" s="45">
        <v>1429</v>
      </c>
      <c r="CN1433" s="48">
        <v>0</v>
      </c>
      <c r="CO1433" s="45" t="str">
        <v>Nothing</v>
      </c>
      <c r="CP1433" s="61"/>
      <c r="CQ1433" s="45">
        <v>1429</v>
      </c>
      <c r="CR1433" s="45">
        <v>15.644081994102159</v>
      </c>
      <c r="CS1433" s="45" t="str">
        <v>Invest</v>
      </c>
      <c r="CT1433" s="61"/>
      <c r="CU1433" s="45">
        <v>1429</v>
      </c>
      <c r="CV1433" s="45">
        <v>24.551538157567769</v>
      </c>
      <c r="CW1433" s="45" t="str">
        <v>Invest</v>
      </c>
      <c r="CX1433" s="61"/>
      <c r="CY1433" s="45">
        <v>1429</v>
      </c>
      <c r="CZ1433" s="45">
        <v>33.318537542601625</v>
      </c>
      <c r="DA1433" s="45" t="str">
        <v>Invest</v>
      </c>
      <c r="DU1433" s="52"/>
      <c r="DV1433" s="50"/>
    </row>
    <row r="1434" spans="91:126" ht="23.5">
      <c r="CM1434" s="45">
        <v>1430</v>
      </c>
      <c r="CN1434" s="48">
        <v>15.895575883627085</v>
      </c>
      <c r="CO1434" s="45" t="str">
        <v>Invest</v>
      </c>
      <c r="CP1434" s="61"/>
      <c r="CQ1434" s="45">
        <v>1430</v>
      </c>
      <c r="CR1434" s="45">
        <v>0.18634993488673857</v>
      </c>
      <c r="CS1434" s="45" t="str">
        <v>Invest</v>
      </c>
      <c r="CT1434" s="61"/>
      <c r="CU1434" s="45">
        <v>1430</v>
      </c>
      <c r="CV1434" s="45">
        <v>10.690295469918919</v>
      </c>
      <c r="CW1434" s="45" t="str">
        <v>Invest</v>
      </c>
      <c r="CX1434" s="61"/>
      <c r="CY1434" s="45">
        <v>1430</v>
      </c>
      <c r="CZ1434" s="45">
        <v>8.9247523676159854</v>
      </c>
      <c r="DA1434" s="45" t="str">
        <v>Invest</v>
      </c>
      <c r="DU1434" s="52"/>
      <c r="DV1434" s="50"/>
    </row>
    <row r="1435" spans="91:126" ht="23.5">
      <c r="CM1435" s="45">
        <v>1431</v>
      </c>
      <c r="CN1435" s="48">
        <v>4.3004374842225843</v>
      </c>
      <c r="CO1435" s="45" t="str">
        <v>Invest</v>
      </c>
      <c r="CP1435" s="61"/>
      <c r="CQ1435" s="45">
        <v>1431</v>
      </c>
      <c r="CR1435" s="45">
        <v>4.8093036037353993</v>
      </c>
      <c r="CS1435" s="45" t="str">
        <v>Invest</v>
      </c>
      <c r="CT1435" s="61"/>
      <c r="CU1435" s="45">
        <v>1431</v>
      </c>
      <c r="CV1435" s="45">
        <v>26.814635649205876</v>
      </c>
      <c r="CW1435" s="45" t="str">
        <v>Invest</v>
      </c>
      <c r="CX1435" s="61"/>
      <c r="CY1435" s="45">
        <v>1431</v>
      </c>
      <c r="CZ1435" s="45">
        <v>0</v>
      </c>
      <c r="DA1435" s="45" t="str">
        <v>Nothing</v>
      </c>
      <c r="DU1435" s="52"/>
      <c r="DV1435" s="50"/>
    </row>
    <row r="1436" spans="91:126" ht="23.5">
      <c r="CM1436" s="45">
        <v>1432</v>
      </c>
      <c r="CN1436" s="48">
        <v>19.754502739007123</v>
      </c>
      <c r="CO1436" s="45" t="str">
        <v>Invest</v>
      </c>
      <c r="CP1436" s="61"/>
      <c r="CQ1436" s="45">
        <v>1432</v>
      </c>
      <c r="CR1436" s="45">
        <v>43.489928781545245</v>
      </c>
      <c r="CS1436" s="45" t="str">
        <v>Invest</v>
      </c>
      <c r="CT1436" s="61"/>
      <c r="CU1436" s="45">
        <v>1432</v>
      </c>
      <c r="CV1436" s="45">
        <v>20.244348159650052</v>
      </c>
      <c r="CW1436" s="45" t="str">
        <v>Invest</v>
      </c>
      <c r="CX1436" s="61"/>
      <c r="CY1436" s="45">
        <v>1432</v>
      </c>
      <c r="CZ1436" s="45">
        <v>7.0772850782918688</v>
      </c>
      <c r="DA1436" s="45" t="str">
        <v>Invest</v>
      </c>
      <c r="DU1436" s="52"/>
      <c r="DV1436" s="50"/>
    </row>
    <row r="1437" spans="91:126" ht="23.5">
      <c r="CM1437" s="45">
        <v>1433</v>
      </c>
      <c r="CN1437" s="48">
        <v>47.012129364421106</v>
      </c>
      <c r="CO1437" s="45" t="str">
        <v>Invest</v>
      </c>
      <c r="CP1437" s="61"/>
      <c r="CQ1437" s="45">
        <v>1433</v>
      </c>
      <c r="CR1437" s="45">
        <v>40.280709166673084</v>
      </c>
      <c r="CS1437" s="45" t="str">
        <v>Invest</v>
      </c>
      <c r="CT1437" s="61"/>
      <c r="CU1437" s="45">
        <v>1433</v>
      </c>
      <c r="CV1437" s="45">
        <v>0</v>
      </c>
      <c r="CW1437" s="45" t="str">
        <v>Nothing</v>
      </c>
      <c r="CX1437" s="61"/>
      <c r="CY1437" s="45">
        <v>1433</v>
      </c>
      <c r="CZ1437" s="45">
        <v>10.006444272707157</v>
      </c>
      <c r="DA1437" s="45" t="str">
        <v>Invest</v>
      </c>
      <c r="DU1437" s="52"/>
      <c r="DV1437" s="50"/>
    </row>
    <row r="1438" spans="91:126" ht="23.5">
      <c r="CM1438" s="45">
        <v>1434</v>
      </c>
      <c r="CN1438" s="48">
        <v>9.0770972027406405</v>
      </c>
      <c r="CO1438" s="45" t="str">
        <v>Invest</v>
      </c>
      <c r="CP1438" s="61"/>
      <c r="CQ1438" s="45">
        <v>1434</v>
      </c>
      <c r="CR1438" s="45">
        <v>37.627589735142855</v>
      </c>
      <c r="CS1438" s="45" t="str">
        <v>Invest</v>
      </c>
      <c r="CT1438" s="61"/>
      <c r="CU1438" s="45">
        <v>1434</v>
      </c>
      <c r="CV1438" s="45">
        <v>0</v>
      </c>
      <c r="CW1438" s="45" t="str">
        <v>Nothing</v>
      </c>
      <c r="CX1438" s="61"/>
      <c r="CY1438" s="45">
        <v>1434</v>
      </c>
      <c r="CZ1438" s="45">
        <v>0</v>
      </c>
      <c r="DA1438" s="45" t="str">
        <v>Nothing</v>
      </c>
      <c r="DU1438" s="52"/>
      <c r="DV1438" s="50"/>
    </row>
    <row r="1439" spans="91:126" ht="23.5">
      <c r="CM1439" s="45">
        <v>1435</v>
      </c>
      <c r="CN1439" s="48">
        <v>45.019765304637239</v>
      </c>
      <c r="CO1439" s="45" t="str">
        <v>Invest</v>
      </c>
      <c r="CP1439" s="61"/>
      <c r="CQ1439" s="45">
        <v>1435</v>
      </c>
      <c r="CR1439" s="45">
        <v>11.020451634660404</v>
      </c>
      <c r="CS1439" s="45" t="str">
        <v>Invest</v>
      </c>
      <c r="CT1439" s="61"/>
      <c r="CU1439" s="45">
        <v>1435</v>
      </c>
      <c r="CV1439" s="45">
        <v>3.5696677203764793E-2</v>
      </c>
      <c r="CW1439" s="45" t="str">
        <v>Invest</v>
      </c>
      <c r="CX1439" s="61"/>
      <c r="CY1439" s="45">
        <v>1435</v>
      </c>
      <c r="CZ1439" s="45">
        <v>10.257525460842992</v>
      </c>
      <c r="DA1439" s="45" t="str">
        <v>Invest</v>
      </c>
      <c r="DU1439" s="52"/>
      <c r="DV1439" s="50"/>
    </row>
    <row r="1440" spans="91:126" ht="23.5">
      <c r="CM1440" s="45">
        <v>1436</v>
      </c>
      <c r="CN1440" s="48">
        <v>6.0147286119339078</v>
      </c>
      <c r="CO1440" s="45" t="str">
        <v>Invest</v>
      </c>
      <c r="CP1440" s="61"/>
      <c r="CQ1440" s="45">
        <v>1436</v>
      </c>
      <c r="CR1440" s="45">
        <v>40.282597469936398</v>
      </c>
      <c r="CS1440" s="45" t="str">
        <v>Invest</v>
      </c>
      <c r="CT1440" s="61"/>
      <c r="CU1440" s="45">
        <v>1436</v>
      </c>
      <c r="CV1440" s="45">
        <v>0</v>
      </c>
      <c r="CW1440" s="45" t="str">
        <v>Nothing</v>
      </c>
      <c r="CX1440" s="61"/>
      <c r="CY1440" s="45">
        <v>1436</v>
      </c>
      <c r="CZ1440" s="45">
        <v>0</v>
      </c>
      <c r="DA1440" s="45" t="str">
        <v>Nothing</v>
      </c>
      <c r="DU1440" s="52"/>
      <c r="DV1440" s="50"/>
    </row>
    <row r="1441" spans="91:126" ht="23.5">
      <c r="CM1441" s="45">
        <v>1437</v>
      </c>
      <c r="CN1441" s="48">
        <v>30.241842522293211</v>
      </c>
      <c r="CO1441" s="45" t="str">
        <v>Invest</v>
      </c>
      <c r="CP1441" s="61"/>
      <c r="CQ1441" s="45">
        <v>1437</v>
      </c>
      <c r="CR1441" s="45">
        <v>0</v>
      </c>
      <c r="CS1441" s="45" t="str">
        <v>Nothing</v>
      </c>
      <c r="CT1441" s="61"/>
      <c r="CU1441" s="45">
        <v>1437</v>
      </c>
      <c r="CV1441" s="45">
        <v>37.683043302880293</v>
      </c>
      <c r="CW1441" s="45" t="str">
        <v>Invest</v>
      </c>
      <c r="CX1441" s="61"/>
      <c r="CY1441" s="45">
        <v>1437</v>
      </c>
      <c r="CZ1441" s="45">
        <v>38.052102637220678</v>
      </c>
      <c r="DA1441" s="45" t="str">
        <v>Invest</v>
      </c>
      <c r="DU1441" s="52"/>
      <c r="DV1441" s="50"/>
    </row>
    <row r="1442" spans="91:126" ht="23.5">
      <c r="CM1442" s="45">
        <v>1438</v>
      </c>
      <c r="CN1442" s="48">
        <v>30.650527207198898</v>
      </c>
      <c r="CO1442" s="45" t="str">
        <v>Invest</v>
      </c>
      <c r="CP1442" s="61"/>
      <c r="CQ1442" s="45">
        <v>1438</v>
      </c>
      <c r="CR1442" s="45">
        <v>39.82740635182207</v>
      </c>
      <c r="CS1442" s="45" t="str">
        <v>Invest</v>
      </c>
      <c r="CT1442" s="61"/>
      <c r="CU1442" s="45">
        <v>1438</v>
      </c>
      <c r="CV1442" s="45">
        <v>0</v>
      </c>
      <c r="CW1442" s="45" t="str">
        <v>Nothing</v>
      </c>
      <c r="CX1442" s="61"/>
      <c r="CY1442" s="45">
        <v>1438</v>
      </c>
      <c r="CZ1442" s="45">
        <v>4.2844771316612302</v>
      </c>
      <c r="DA1442" s="45" t="str">
        <v>Invest</v>
      </c>
      <c r="DU1442" s="52"/>
      <c r="DV1442" s="50"/>
    </row>
    <row r="1443" spans="91:126" ht="23.5">
      <c r="CM1443" s="45">
        <v>1439</v>
      </c>
      <c r="CN1443" s="48">
        <v>0</v>
      </c>
      <c r="CO1443" s="45" t="str">
        <v>Nothing</v>
      </c>
      <c r="CP1443" s="61"/>
      <c r="CQ1443" s="45">
        <v>1439</v>
      </c>
      <c r="CR1443" s="45">
        <v>0</v>
      </c>
      <c r="CS1443" s="45" t="str">
        <v>Nothing</v>
      </c>
      <c r="CT1443" s="61"/>
      <c r="CU1443" s="45">
        <v>1439</v>
      </c>
      <c r="CV1443" s="45">
        <v>18.180641262770024</v>
      </c>
      <c r="CW1443" s="45" t="str">
        <v>Invest</v>
      </c>
      <c r="CX1443" s="61"/>
      <c r="CY1443" s="45">
        <v>1439</v>
      </c>
      <c r="CZ1443" s="45">
        <v>29.701296905068624</v>
      </c>
      <c r="DA1443" s="45" t="str">
        <v>Invest</v>
      </c>
      <c r="DU1443" s="52"/>
      <c r="DV1443" s="50"/>
    </row>
    <row r="1444" spans="91:126" ht="23.5">
      <c r="CM1444" s="45">
        <v>1440</v>
      </c>
      <c r="CN1444" s="48">
        <v>0</v>
      </c>
      <c r="CO1444" s="45" t="str">
        <v>Nothing</v>
      </c>
      <c r="CP1444" s="61"/>
      <c r="CQ1444" s="45">
        <v>1440</v>
      </c>
      <c r="CR1444" s="45">
        <v>0</v>
      </c>
      <c r="CS1444" s="45" t="str">
        <v>Nothing</v>
      </c>
      <c r="CT1444" s="61"/>
      <c r="CU1444" s="45">
        <v>1440</v>
      </c>
      <c r="CV1444" s="45">
        <v>13.581826549233588</v>
      </c>
      <c r="CW1444" s="45" t="str">
        <v>Invest</v>
      </c>
      <c r="CX1444" s="61"/>
      <c r="CY1444" s="45">
        <v>1440</v>
      </c>
      <c r="CZ1444" s="45">
        <v>10.669113109915193</v>
      </c>
      <c r="DA1444" s="45" t="str">
        <v>Invest</v>
      </c>
      <c r="DU1444" s="52"/>
      <c r="DV1444" s="50"/>
    </row>
    <row r="1445" spans="91:126" ht="23.5">
      <c r="CM1445" s="45">
        <v>1441</v>
      </c>
      <c r="CN1445" s="48">
        <v>18.267592441189159</v>
      </c>
      <c r="CO1445" s="45" t="str">
        <v>Invest</v>
      </c>
      <c r="CP1445" s="61"/>
      <c r="CQ1445" s="45">
        <v>1441</v>
      </c>
      <c r="CR1445" s="45">
        <v>0</v>
      </c>
      <c r="CS1445" s="45" t="str">
        <v>Nothing</v>
      </c>
      <c r="CT1445" s="61"/>
      <c r="CU1445" s="45">
        <v>1441</v>
      </c>
      <c r="CV1445" s="45">
        <v>2.5842424826637487</v>
      </c>
      <c r="CW1445" s="45" t="str">
        <v>Invest</v>
      </c>
      <c r="CX1445" s="61"/>
      <c r="CY1445" s="45">
        <v>1441</v>
      </c>
      <c r="CZ1445" s="45">
        <v>0</v>
      </c>
      <c r="DA1445" s="45" t="str">
        <v>Nothing</v>
      </c>
      <c r="DU1445" s="52"/>
      <c r="DV1445" s="50"/>
    </row>
    <row r="1446" spans="91:126" ht="23.5">
      <c r="CM1446" s="45">
        <v>1442</v>
      </c>
      <c r="CN1446" s="48">
        <v>8.236816598581914</v>
      </c>
      <c r="CO1446" s="45" t="str">
        <v>Invest</v>
      </c>
      <c r="CP1446" s="61"/>
      <c r="CQ1446" s="45">
        <v>1442</v>
      </c>
      <c r="CR1446" s="45">
        <v>21.345546216907479</v>
      </c>
      <c r="CS1446" s="45" t="str">
        <v>Invest</v>
      </c>
      <c r="CT1446" s="61"/>
      <c r="CU1446" s="45">
        <v>1442</v>
      </c>
      <c r="CV1446" s="45">
        <v>0</v>
      </c>
      <c r="CW1446" s="45" t="str">
        <v>Nothing</v>
      </c>
      <c r="CX1446" s="61"/>
      <c r="CY1446" s="45">
        <v>1442</v>
      </c>
      <c r="CZ1446" s="45">
        <v>0</v>
      </c>
      <c r="DA1446" s="45" t="str">
        <v>Nothing</v>
      </c>
      <c r="DU1446" s="52"/>
      <c r="DV1446" s="50"/>
    </row>
    <row r="1447" spans="91:126" ht="23.5">
      <c r="CM1447" s="45">
        <v>1443</v>
      </c>
      <c r="CN1447" s="48">
        <v>16.709614766972916</v>
      </c>
      <c r="CO1447" s="45" t="str">
        <v>Invest</v>
      </c>
      <c r="CP1447" s="61"/>
      <c r="CQ1447" s="45">
        <v>1443</v>
      </c>
      <c r="CR1447" s="45">
        <v>30.340350581016736</v>
      </c>
      <c r="CS1447" s="45" t="str">
        <v>Invest</v>
      </c>
      <c r="CT1447" s="61"/>
      <c r="CU1447" s="45">
        <v>1443</v>
      </c>
      <c r="CV1447" s="45">
        <v>29.68493356681137</v>
      </c>
      <c r="CW1447" s="45" t="str">
        <v>Invest</v>
      </c>
      <c r="CX1447" s="61"/>
      <c r="CY1447" s="45">
        <v>1443</v>
      </c>
      <c r="CZ1447" s="45">
        <v>17.503292053695933</v>
      </c>
      <c r="DA1447" s="45" t="str">
        <v>Invest</v>
      </c>
      <c r="DU1447" s="52"/>
      <c r="DV1447" s="50"/>
    </row>
    <row r="1448" spans="91:126" ht="23.5">
      <c r="CM1448" s="45">
        <v>1444</v>
      </c>
      <c r="CN1448" s="48">
        <v>0</v>
      </c>
      <c r="CO1448" s="45" t="str">
        <v>Nothing</v>
      </c>
      <c r="CP1448" s="61"/>
      <c r="CQ1448" s="45">
        <v>1444</v>
      </c>
      <c r="CR1448" s="45">
        <v>0</v>
      </c>
      <c r="CS1448" s="45" t="str">
        <v>Nothing</v>
      </c>
      <c r="CT1448" s="61"/>
      <c r="CU1448" s="45">
        <v>1444</v>
      </c>
      <c r="CV1448" s="45">
        <v>1.9179114194345033</v>
      </c>
      <c r="CW1448" s="45" t="str">
        <v>Invest</v>
      </c>
      <c r="CX1448" s="61"/>
      <c r="CY1448" s="45">
        <v>1444</v>
      </c>
      <c r="CZ1448" s="45">
        <v>15.069443330337101</v>
      </c>
      <c r="DA1448" s="45" t="str">
        <v>Invest</v>
      </c>
      <c r="DU1448" s="52"/>
      <c r="DV1448" s="50"/>
    </row>
    <row r="1449" spans="91:126" ht="23.5">
      <c r="CM1449" s="45">
        <v>1445</v>
      </c>
      <c r="CN1449" s="48">
        <v>29.750827609483949</v>
      </c>
      <c r="CO1449" s="45" t="str">
        <v>Invest</v>
      </c>
      <c r="CP1449" s="61"/>
      <c r="CQ1449" s="45">
        <v>1445</v>
      </c>
      <c r="CR1449" s="45">
        <v>10.700401160600222</v>
      </c>
      <c r="CS1449" s="45" t="str">
        <v>Invest</v>
      </c>
      <c r="CT1449" s="61"/>
      <c r="CU1449" s="45">
        <v>1445</v>
      </c>
      <c r="CV1449" s="45">
        <v>0</v>
      </c>
      <c r="CW1449" s="45" t="str">
        <v>Nothing</v>
      </c>
      <c r="CX1449" s="61"/>
      <c r="CY1449" s="45">
        <v>1445</v>
      </c>
      <c r="CZ1449" s="45">
        <v>16.101024373689413</v>
      </c>
      <c r="DA1449" s="45" t="str">
        <v>Invest</v>
      </c>
      <c r="DU1449" s="52"/>
      <c r="DV1449" s="50"/>
    </row>
    <row r="1450" spans="91:126" ht="23.5">
      <c r="CM1450" s="45">
        <v>1446</v>
      </c>
      <c r="CN1450" s="48">
        <v>11.023482592344306</v>
      </c>
      <c r="CO1450" s="45" t="str">
        <v>Invest</v>
      </c>
      <c r="CP1450" s="61"/>
      <c r="CQ1450" s="45">
        <v>1446</v>
      </c>
      <c r="CR1450" s="45">
        <v>19.650011697626187</v>
      </c>
      <c r="CS1450" s="45" t="str">
        <v>Invest</v>
      </c>
      <c r="CT1450" s="61"/>
      <c r="CU1450" s="45">
        <v>1446</v>
      </c>
      <c r="CV1450" s="45">
        <v>3.7045773190524045E-2</v>
      </c>
      <c r="CW1450" s="45" t="str">
        <v>Invest</v>
      </c>
      <c r="CX1450" s="61"/>
      <c r="CY1450" s="45">
        <v>1446</v>
      </c>
      <c r="CZ1450" s="45">
        <v>38.823155109606311</v>
      </c>
      <c r="DA1450" s="45" t="str">
        <v>Invest</v>
      </c>
      <c r="DU1450" s="52"/>
      <c r="DV1450" s="50"/>
    </row>
    <row r="1451" spans="91:126" ht="23.5">
      <c r="CM1451" s="45">
        <v>1447</v>
      </c>
      <c r="CN1451" s="48">
        <v>35.049188094503378</v>
      </c>
      <c r="CO1451" s="45" t="str">
        <v>Invest</v>
      </c>
      <c r="CP1451" s="61"/>
      <c r="CQ1451" s="45">
        <v>1447</v>
      </c>
      <c r="CR1451" s="45">
        <v>0</v>
      </c>
      <c r="CS1451" s="45" t="str">
        <v>Nothing</v>
      </c>
      <c r="CT1451" s="61"/>
      <c r="CU1451" s="45">
        <v>1447</v>
      </c>
      <c r="CV1451" s="45">
        <v>1.26775901351707</v>
      </c>
      <c r="CW1451" s="45" t="str">
        <v>Invest</v>
      </c>
      <c r="CX1451" s="61"/>
      <c r="CY1451" s="45">
        <v>1447</v>
      </c>
      <c r="CZ1451" s="45">
        <v>4.2739364870493173</v>
      </c>
      <c r="DA1451" s="45" t="str">
        <v>Invest</v>
      </c>
      <c r="DU1451" s="52"/>
      <c r="DV1451" s="50"/>
    </row>
    <row r="1452" spans="91:126" ht="23.5">
      <c r="CM1452" s="45">
        <v>1448</v>
      </c>
      <c r="CN1452" s="48">
        <v>7.9653095763369155</v>
      </c>
      <c r="CO1452" s="45" t="str">
        <v>Invest</v>
      </c>
      <c r="CP1452" s="61"/>
      <c r="CQ1452" s="45">
        <v>1448</v>
      </c>
      <c r="CR1452" s="45">
        <v>11.514704842235238</v>
      </c>
      <c r="CS1452" s="45" t="str">
        <v>Invest</v>
      </c>
      <c r="CT1452" s="61"/>
      <c r="CU1452" s="45">
        <v>1448</v>
      </c>
      <c r="CV1452" s="45">
        <v>25.219159475148615</v>
      </c>
      <c r="CW1452" s="45" t="str">
        <v>Invest</v>
      </c>
      <c r="CX1452" s="61"/>
      <c r="CY1452" s="45">
        <v>1448</v>
      </c>
      <c r="CZ1452" s="45">
        <v>9.8913239564101119</v>
      </c>
      <c r="DA1452" s="45" t="str">
        <v>Invest</v>
      </c>
      <c r="DU1452" s="52"/>
      <c r="DV1452" s="50"/>
    </row>
    <row r="1453" spans="91:126" ht="23.5">
      <c r="CM1453" s="45">
        <v>1449</v>
      </c>
      <c r="CN1453" s="48">
        <v>4.170095989031207</v>
      </c>
      <c r="CO1453" s="45" t="str">
        <v>Invest</v>
      </c>
      <c r="CP1453" s="61"/>
      <c r="CQ1453" s="45">
        <v>1449</v>
      </c>
      <c r="CR1453" s="45">
        <v>29.051174139698659</v>
      </c>
      <c r="CS1453" s="45" t="str">
        <v>Invest</v>
      </c>
      <c r="CT1453" s="61"/>
      <c r="CU1453" s="45">
        <v>1449</v>
      </c>
      <c r="CV1453" s="45">
        <v>54.880539938721327</v>
      </c>
      <c r="CW1453" s="45" t="str">
        <v>Invest</v>
      </c>
      <c r="CX1453" s="61"/>
      <c r="CY1453" s="45">
        <v>1449</v>
      </c>
      <c r="CZ1453" s="45">
        <v>33.344850177772273</v>
      </c>
      <c r="DA1453" s="45" t="str">
        <v>Invest</v>
      </c>
      <c r="DU1453" s="52"/>
      <c r="DV1453" s="50"/>
    </row>
    <row r="1454" spans="91:126" ht="23.5">
      <c r="CM1454" s="45">
        <v>1450</v>
      </c>
      <c r="CN1454" s="48">
        <v>0</v>
      </c>
      <c r="CO1454" s="45" t="str">
        <v>Nothing</v>
      </c>
      <c r="CP1454" s="61"/>
      <c r="CQ1454" s="45">
        <v>1450</v>
      </c>
      <c r="CR1454" s="45">
        <v>46.695603414413405</v>
      </c>
      <c r="CS1454" s="45" t="str">
        <v>Invest</v>
      </c>
      <c r="CT1454" s="61"/>
      <c r="CU1454" s="45">
        <v>1450</v>
      </c>
      <c r="CV1454" s="45">
        <v>3.3918659493784684</v>
      </c>
      <c r="CW1454" s="45" t="str">
        <v>Invest</v>
      </c>
      <c r="CX1454" s="61"/>
      <c r="CY1454" s="45">
        <v>1450</v>
      </c>
      <c r="CZ1454" s="45">
        <v>2.5138864896175193</v>
      </c>
      <c r="DA1454" s="45" t="str">
        <v>Invest</v>
      </c>
      <c r="DU1454" s="52"/>
      <c r="DV1454" s="50"/>
    </row>
    <row r="1455" spans="91:126" ht="23.5">
      <c r="CM1455" s="45">
        <v>1451</v>
      </c>
      <c r="CN1455" s="48">
        <v>0</v>
      </c>
      <c r="CO1455" s="45" t="str">
        <v>Nothing</v>
      </c>
      <c r="CP1455" s="61"/>
      <c r="CQ1455" s="45">
        <v>1451</v>
      </c>
      <c r="CR1455" s="45">
        <v>0</v>
      </c>
      <c r="CS1455" s="45" t="str">
        <v>Nothing</v>
      </c>
      <c r="CT1455" s="61"/>
      <c r="CU1455" s="45">
        <v>1451</v>
      </c>
      <c r="CV1455" s="45">
        <v>0</v>
      </c>
      <c r="CW1455" s="45" t="str">
        <v>Nothing</v>
      </c>
      <c r="CX1455" s="61"/>
      <c r="CY1455" s="45">
        <v>1451</v>
      </c>
      <c r="CZ1455" s="45">
        <v>0</v>
      </c>
      <c r="DA1455" s="45" t="str">
        <v>Nothing</v>
      </c>
      <c r="DU1455" s="52"/>
      <c r="DV1455" s="50"/>
    </row>
    <row r="1456" spans="91:126" ht="23.5">
      <c r="CM1456" s="45">
        <v>1452</v>
      </c>
      <c r="CN1456" s="48">
        <v>38.124620856569408</v>
      </c>
      <c r="CO1456" s="45" t="str">
        <v>Invest</v>
      </c>
      <c r="CP1456" s="61"/>
      <c r="CQ1456" s="45">
        <v>1452</v>
      </c>
      <c r="CR1456" s="45">
        <v>20.636593384343723</v>
      </c>
      <c r="CS1456" s="45" t="str">
        <v>Invest</v>
      </c>
      <c r="CT1456" s="61"/>
      <c r="CU1456" s="45">
        <v>1452</v>
      </c>
      <c r="CV1456" s="45">
        <v>7.4389735911783843</v>
      </c>
      <c r="CW1456" s="45" t="str">
        <v>Invest</v>
      </c>
      <c r="CX1456" s="61"/>
      <c r="CY1456" s="45">
        <v>1452</v>
      </c>
      <c r="CZ1456" s="45">
        <v>0</v>
      </c>
      <c r="DA1456" s="45" t="str">
        <v>Nothing</v>
      </c>
      <c r="DU1456" s="52"/>
      <c r="DV1456" s="50"/>
    </row>
    <row r="1457" spans="91:126" ht="23.5">
      <c r="CM1457" s="45">
        <v>1453</v>
      </c>
      <c r="CN1457" s="48">
        <v>50.734870929716742</v>
      </c>
      <c r="CO1457" s="45" t="str">
        <v>Invest</v>
      </c>
      <c r="CP1457" s="61"/>
      <c r="CQ1457" s="45">
        <v>1453</v>
      </c>
      <c r="CR1457" s="45">
        <v>20.11647828367067</v>
      </c>
      <c r="CS1457" s="45" t="str">
        <v>Invest</v>
      </c>
      <c r="CT1457" s="61"/>
      <c r="CU1457" s="45">
        <v>1453</v>
      </c>
      <c r="CV1457" s="45">
        <v>18.582907777566913</v>
      </c>
      <c r="CW1457" s="45" t="str">
        <v>Invest</v>
      </c>
      <c r="CX1457" s="61"/>
      <c r="CY1457" s="45">
        <v>1453</v>
      </c>
      <c r="CZ1457" s="45">
        <v>8.2797587844715359</v>
      </c>
      <c r="DA1457" s="45" t="str">
        <v>Invest</v>
      </c>
      <c r="DU1457" s="52"/>
      <c r="DV1457" s="50"/>
    </row>
    <row r="1458" spans="91:126" ht="23.5">
      <c r="CM1458" s="45">
        <v>1454</v>
      </c>
      <c r="CN1458" s="48">
        <v>25.794913584567482</v>
      </c>
      <c r="CO1458" s="45" t="str">
        <v>Invest</v>
      </c>
      <c r="CP1458" s="61"/>
      <c r="CQ1458" s="45">
        <v>1454</v>
      </c>
      <c r="CR1458" s="45">
        <v>26.398619744661261</v>
      </c>
      <c r="CS1458" s="45" t="str">
        <v>Invest</v>
      </c>
      <c r="CT1458" s="61"/>
      <c r="CU1458" s="45">
        <v>1454</v>
      </c>
      <c r="CV1458" s="45">
        <v>39.225092862965468</v>
      </c>
      <c r="CW1458" s="45" t="str">
        <v>Invest</v>
      </c>
      <c r="CX1458" s="61"/>
      <c r="CY1458" s="45">
        <v>1454</v>
      </c>
      <c r="CZ1458" s="45">
        <v>9.0426820577092588</v>
      </c>
      <c r="DA1458" s="45" t="str">
        <v>Invest</v>
      </c>
      <c r="DU1458" s="52"/>
      <c r="DV1458" s="50"/>
    </row>
    <row r="1459" spans="91:126" ht="23.5">
      <c r="CM1459" s="45">
        <v>1455</v>
      </c>
      <c r="CN1459" s="48">
        <v>0</v>
      </c>
      <c r="CO1459" s="45" t="str">
        <v>Nothing</v>
      </c>
      <c r="CP1459" s="61"/>
      <c r="CQ1459" s="45">
        <v>1455</v>
      </c>
      <c r="CR1459" s="45">
        <v>25.347161345033808</v>
      </c>
      <c r="CS1459" s="45" t="str">
        <v>Invest</v>
      </c>
      <c r="CT1459" s="61"/>
      <c r="CU1459" s="45">
        <v>1455</v>
      </c>
      <c r="CV1459" s="45">
        <v>4.0015704644138399</v>
      </c>
      <c r="CW1459" s="45" t="str">
        <v>Invest</v>
      </c>
      <c r="CX1459" s="61"/>
      <c r="CY1459" s="45">
        <v>1455</v>
      </c>
      <c r="CZ1459" s="45">
        <v>6.1390525469574344</v>
      </c>
      <c r="DA1459" s="45" t="str">
        <v>Invest</v>
      </c>
      <c r="DU1459" s="52"/>
      <c r="DV1459" s="50"/>
    </row>
    <row r="1460" spans="91:126" ht="23.5">
      <c r="CM1460" s="45">
        <v>1456</v>
      </c>
      <c r="CN1460" s="48">
        <v>23.960752848870634</v>
      </c>
      <c r="CO1460" s="45" t="str">
        <v>Invest</v>
      </c>
      <c r="CP1460" s="61"/>
      <c r="CQ1460" s="45">
        <v>1456</v>
      </c>
      <c r="CR1460" s="45">
        <v>5.453838390295207</v>
      </c>
      <c r="CS1460" s="45" t="str">
        <v>Invest</v>
      </c>
      <c r="CT1460" s="61"/>
      <c r="CU1460" s="45">
        <v>1456</v>
      </c>
      <c r="CV1460" s="45">
        <v>37.52154818241825</v>
      </c>
      <c r="CW1460" s="45" t="str">
        <v>Invest</v>
      </c>
      <c r="CX1460" s="61"/>
      <c r="CY1460" s="45">
        <v>1456</v>
      </c>
      <c r="CZ1460" s="45">
        <v>0</v>
      </c>
      <c r="DA1460" s="45" t="str">
        <v>Nothing</v>
      </c>
      <c r="DU1460" s="52"/>
      <c r="DV1460" s="50"/>
    </row>
    <row r="1461" spans="91:126" ht="23.5">
      <c r="CM1461" s="45">
        <v>1457</v>
      </c>
      <c r="CN1461" s="48">
        <v>4.0437630857409097</v>
      </c>
      <c r="CO1461" s="45" t="str">
        <v>Invest</v>
      </c>
      <c r="CP1461" s="61"/>
      <c r="CQ1461" s="45">
        <v>1457</v>
      </c>
      <c r="CR1461" s="45">
        <v>0</v>
      </c>
      <c r="CS1461" s="45" t="str">
        <v>Nothing</v>
      </c>
      <c r="CT1461" s="61"/>
      <c r="CU1461" s="45">
        <v>1457</v>
      </c>
      <c r="CV1461" s="45">
        <v>0</v>
      </c>
      <c r="CW1461" s="45" t="str">
        <v>Nothing</v>
      </c>
      <c r="CX1461" s="61"/>
      <c r="CY1461" s="45">
        <v>1457</v>
      </c>
      <c r="CZ1461" s="45">
        <v>0</v>
      </c>
      <c r="DA1461" s="45" t="str">
        <v>Nothing</v>
      </c>
      <c r="DU1461" s="52"/>
      <c r="DV1461" s="50"/>
    </row>
    <row r="1462" spans="91:126" ht="23.5">
      <c r="CM1462" s="45">
        <v>1458</v>
      </c>
      <c r="CN1462" s="48">
        <v>56.922287382990007</v>
      </c>
      <c r="CO1462" s="45" t="str">
        <v>Invest</v>
      </c>
      <c r="CP1462" s="61"/>
      <c r="CQ1462" s="45">
        <v>1458</v>
      </c>
      <c r="CR1462" s="45">
        <v>11.452436972979751</v>
      </c>
      <c r="CS1462" s="45" t="str">
        <v>Invest</v>
      </c>
      <c r="CT1462" s="61"/>
      <c r="CU1462" s="45">
        <v>1458</v>
      </c>
      <c r="CV1462" s="45">
        <v>6.3294965810042338</v>
      </c>
      <c r="CW1462" s="45" t="str">
        <v>Invest</v>
      </c>
      <c r="CX1462" s="61"/>
      <c r="CY1462" s="45">
        <v>1458</v>
      </c>
      <c r="CZ1462" s="45">
        <v>23.617377994997025</v>
      </c>
      <c r="DA1462" s="45" t="str">
        <v>Invest</v>
      </c>
      <c r="DU1462" s="52"/>
      <c r="DV1462" s="50"/>
    </row>
    <row r="1463" spans="91:126" ht="23.5">
      <c r="CM1463" s="45">
        <v>1459</v>
      </c>
      <c r="CN1463" s="48">
        <v>35.211211716311027</v>
      </c>
      <c r="CO1463" s="45" t="str">
        <v>Invest</v>
      </c>
      <c r="CP1463" s="61"/>
      <c r="CQ1463" s="45">
        <v>1459</v>
      </c>
      <c r="CR1463" s="45">
        <v>5.0666787322233837</v>
      </c>
      <c r="CS1463" s="45" t="str">
        <v>Invest</v>
      </c>
      <c r="CT1463" s="61"/>
      <c r="CU1463" s="45">
        <v>1459</v>
      </c>
      <c r="CV1463" s="45">
        <v>0</v>
      </c>
      <c r="CW1463" s="45" t="str">
        <v>Nothing</v>
      </c>
      <c r="CX1463" s="61"/>
      <c r="CY1463" s="45">
        <v>1459</v>
      </c>
      <c r="CZ1463" s="45">
        <v>25.750989441387425</v>
      </c>
      <c r="DA1463" s="45" t="str">
        <v>Invest</v>
      </c>
      <c r="DU1463" s="52"/>
      <c r="DV1463" s="50"/>
    </row>
    <row r="1464" spans="91:126" ht="23.5">
      <c r="CM1464" s="45">
        <v>1460</v>
      </c>
      <c r="CN1464" s="48">
        <v>0</v>
      </c>
      <c r="CO1464" s="45" t="str">
        <v>Nothing</v>
      </c>
      <c r="CP1464" s="61"/>
      <c r="CQ1464" s="45">
        <v>1460</v>
      </c>
      <c r="CR1464" s="45">
        <v>6.5137100362488063</v>
      </c>
      <c r="CS1464" s="45" t="str">
        <v>Invest</v>
      </c>
      <c r="CT1464" s="61"/>
      <c r="CU1464" s="45">
        <v>1460</v>
      </c>
      <c r="CV1464" s="45">
        <v>42.404665817379737</v>
      </c>
      <c r="CW1464" s="45" t="str">
        <v>Invest</v>
      </c>
      <c r="CX1464" s="61"/>
      <c r="CY1464" s="45">
        <v>1460</v>
      </c>
      <c r="CZ1464" s="45">
        <v>13.005247458279017</v>
      </c>
      <c r="DA1464" s="45" t="str">
        <v>Invest</v>
      </c>
      <c r="DU1464" s="52"/>
      <c r="DV1464" s="50"/>
    </row>
    <row r="1465" spans="91:126" ht="23.5">
      <c r="CM1465" s="45">
        <v>1461</v>
      </c>
      <c r="CN1465" s="48">
        <v>0</v>
      </c>
      <c r="CO1465" s="45" t="str">
        <v>Nothing</v>
      </c>
      <c r="CP1465" s="61"/>
      <c r="CQ1465" s="45">
        <v>1461</v>
      </c>
      <c r="CR1465" s="45">
        <v>26.356274517279573</v>
      </c>
      <c r="CS1465" s="45" t="str">
        <v>Invest</v>
      </c>
      <c r="CT1465" s="61"/>
      <c r="CU1465" s="45">
        <v>1461</v>
      </c>
      <c r="CV1465" s="45">
        <v>47.312314448272772</v>
      </c>
      <c r="CW1465" s="45" t="str">
        <v>Invest</v>
      </c>
      <c r="CX1465" s="61"/>
      <c r="CY1465" s="45">
        <v>1461</v>
      </c>
      <c r="CZ1465" s="45">
        <v>45.8648186056027</v>
      </c>
      <c r="DA1465" s="45" t="str">
        <v>Invest</v>
      </c>
      <c r="DU1465" s="52"/>
      <c r="DV1465" s="50"/>
    </row>
    <row r="1466" spans="91:126" ht="23.5">
      <c r="CM1466" s="45">
        <v>1462</v>
      </c>
      <c r="CN1466" s="48">
        <v>2.503346759586246</v>
      </c>
      <c r="CO1466" s="45" t="str">
        <v>Invest</v>
      </c>
      <c r="CP1466" s="61"/>
      <c r="CQ1466" s="45">
        <v>1462</v>
      </c>
      <c r="CR1466" s="45">
        <v>22.767297356859764</v>
      </c>
      <c r="CS1466" s="45" t="str">
        <v>Invest</v>
      </c>
      <c r="CT1466" s="61"/>
      <c r="CU1466" s="45">
        <v>1462</v>
      </c>
      <c r="CV1466" s="45">
        <v>65.968832331673156</v>
      </c>
      <c r="CW1466" s="45" t="str">
        <v>Invest</v>
      </c>
      <c r="CX1466" s="61"/>
      <c r="CY1466" s="45">
        <v>1462</v>
      </c>
      <c r="CZ1466" s="45">
        <v>27.016452918118411</v>
      </c>
      <c r="DA1466" s="45" t="str">
        <v>Invest</v>
      </c>
      <c r="DU1466" s="52"/>
      <c r="DV1466" s="50"/>
    </row>
    <row r="1467" spans="91:126" ht="23.5">
      <c r="CM1467" s="45">
        <v>1463</v>
      </c>
      <c r="CN1467" s="48">
        <v>3.6163143331764793</v>
      </c>
      <c r="CO1467" s="45" t="str">
        <v>Invest</v>
      </c>
      <c r="CP1467" s="61"/>
      <c r="CQ1467" s="45">
        <v>1463</v>
      </c>
      <c r="CR1467" s="45">
        <v>0</v>
      </c>
      <c r="CS1467" s="45" t="str">
        <v>Nothing</v>
      </c>
      <c r="CT1467" s="61"/>
      <c r="CU1467" s="45">
        <v>1463</v>
      </c>
      <c r="CV1467" s="45">
        <v>6.4912453083494057</v>
      </c>
      <c r="CW1467" s="45" t="str">
        <v>Invest</v>
      </c>
      <c r="CX1467" s="61"/>
      <c r="CY1467" s="45">
        <v>1463</v>
      </c>
      <c r="CZ1467" s="45">
        <v>0</v>
      </c>
      <c r="DA1467" s="45" t="str">
        <v>Nothing</v>
      </c>
      <c r="DU1467" s="52"/>
      <c r="DV1467" s="50"/>
    </row>
    <row r="1468" spans="91:126" ht="23.5">
      <c r="CM1468" s="45">
        <v>1464</v>
      </c>
      <c r="CN1468" s="48">
        <v>15.905504965528575</v>
      </c>
      <c r="CO1468" s="45" t="str">
        <v>Invest</v>
      </c>
      <c r="CP1468" s="61"/>
      <c r="CQ1468" s="45">
        <v>1464</v>
      </c>
      <c r="CR1468" s="45">
        <v>0</v>
      </c>
      <c r="CS1468" s="45" t="str">
        <v>Nothing</v>
      </c>
      <c r="CT1468" s="61"/>
      <c r="CU1468" s="45">
        <v>1464</v>
      </c>
      <c r="CV1468" s="45">
        <v>10.084481347304401</v>
      </c>
      <c r="CW1468" s="45" t="str">
        <v>Invest</v>
      </c>
      <c r="CX1468" s="61"/>
      <c r="CY1468" s="45">
        <v>1464</v>
      </c>
      <c r="CZ1468" s="45">
        <v>0</v>
      </c>
      <c r="DA1468" s="45" t="str">
        <v>Nothing</v>
      </c>
      <c r="DU1468" s="52"/>
      <c r="DV1468" s="50"/>
    </row>
    <row r="1469" spans="91:126" ht="23.5">
      <c r="CM1469" s="45">
        <v>1465</v>
      </c>
      <c r="CN1469" s="48">
        <v>0</v>
      </c>
      <c r="CO1469" s="45" t="str">
        <v>Nothing</v>
      </c>
      <c r="CP1469" s="61"/>
      <c r="CQ1469" s="45">
        <v>1465</v>
      </c>
      <c r="CR1469" s="45">
        <v>20.284807524120289</v>
      </c>
      <c r="CS1469" s="45" t="str">
        <v>Invest</v>
      </c>
      <c r="CT1469" s="61"/>
      <c r="CU1469" s="45">
        <v>1465</v>
      </c>
      <c r="CV1469" s="45">
        <v>31.87610236202606</v>
      </c>
      <c r="CW1469" s="45" t="str">
        <v>Invest</v>
      </c>
      <c r="CX1469" s="61"/>
      <c r="CY1469" s="45">
        <v>1465</v>
      </c>
      <c r="CZ1469" s="45">
        <v>0</v>
      </c>
      <c r="DA1469" s="45" t="str">
        <v>Nothing</v>
      </c>
      <c r="DU1469" s="52"/>
      <c r="DV1469" s="50"/>
    </row>
    <row r="1470" spans="91:126" ht="23.5">
      <c r="CM1470" s="45">
        <v>1466</v>
      </c>
      <c r="CN1470" s="48">
        <v>30.073008985103606</v>
      </c>
      <c r="CO1470" s="45" t="str">
        <v>Invest</v>
      </c>
      <c r="CP1470" s="61"/>
      <c r="CQ1470" s="45">
        <v>1466</v>
      </c>
      <c r="CR1470" s="45">
        <v>0</v>
      </c>
      <c r="CS1470" s="45" t="str">
        <v>Nothing</v>
      </c>
      <c r="CT1470" s="61"/>
      <c r="CU1470" s="45">
        <v>1466</v>
      </c>
      <c r="CV1470" s="45">
        <v>40.948203888890006</v>
      </c>
      <c r="CW1470" s="45" t="str">
        <v>Invest</v>
      </c>
      <c r="CX1470" s="61"/>
      <c r="CY1470" s="45">
        <v>1466</v>
      </c>
      <c r="CZ1470" s="45">
        <v>17.623374701928736</v>
      </c>
      <c r="DA1470" s="45" t="str">
        <v>Invest</v>
      </c>
      <c r="DU1470" s="52"/>
      <c r="DV1470" s="50"/>
    </row>
    <row r="1471" spans="91:126" ht="23.5">
      <c r="CM1471" s="45">
        <v>1467</v>
      </c>
      <c r="CN1471" s="48">
        <v>31.41837356514306</v>
      </c>
      <c r="CO1471" s="45" t="str">
        <v>Invest</v>
      </c>
      <c r="CP1471" s="61"/>
      <c r="CQ1471" s="45">
        <v>1467</v>
      </c>
      <c r="CR1471" s="45">
        <v>0</v>
      </c>
      <c r="CS1471" s="45" t="str">
        <v>Nothing</v>
      </c>
      <c r="CT1471" s="61"/>
      <c r="CU1471" s="45">
        <v>1467</v>
      </c>
      <c r="CV1471" s="45">
        <v>7.2605267336089749</v>
      </c>
      <c r="CW1471" s="45" t="str">
        <v>Invest</v>
      </c>
      <c r="CX1471" s="61"/>
      <c r="CY1471" s="45">
        <v>1467</v>
      </c>
      <c r="CZ1471" s="45">
        <v>28.32038685888611</v>
      </c>
      <c r="DA1471" s="45" t="str">
        <v>Invest</v>
      </c>
      <c r="DU1471" s="52"/>
      <c r="DV1471" s="50"/>
    </row>
    <row r="1472" spans="91:126" ht="23.5">
      <c r="CM1472" s="45">
        <v>1468</v>
      </c>
      <c r="CN1472" s="48">
        <v>0</v>
      </c>
      <c r="CO1472" s="45" t="str">
        <v>Nothing</v>
      </c>
      <c r="CP1472" s="61"/>
      <c r="CQ1472" s="45">
        <v>1468</v>
      </c>
      <c r="CR1472" s="45">
        <v>0</v>
      </c>
      <c r="CS1472" s="45" t="str">
        <v>Nothing</v>
      </c>
      <c r="CT1472" s="61"/>
      <c r="CU1472" s="45">
        <v>1468</v>
      </c>
      <c r="CV1472" s="45">
        <v>0</v>
      </c>
      <c r="CW1472" s="45" t="str">
        <v>Nothing</v>
      </c>
      <c r="CX1472" s="61"/>
      <c r="CY1472" s="45">
        <v>1468</v>
      </c>
      <c r="CZ1472" s="45">
        <v>59.25038464121485</v>
      </c>
      <c r="DA1472" s="45" t="str">
        <v>Invest</v>
      </c>
      <c r="DU1472" s="52"/>
      <c r="DV1472" s="50"/>
    </row>
    <row r="1473" spans="91:126" ht="23.5">
      <c r="CM1473" s="45">
        <v>1469</v>
      </c>
      <c r="CN1473" s="48">
        <v>6.9708277308006181</v>
      </c>
      <c r="CO1473" s="45" t="str">
        <v>Invest</v>
      </c>
      <c r="CP1473" s="61"/>
      <c r="CQ1473" s="45">
        <v>1469</v>
      </c>
      <c r="CR1473" s="45">
        <v>20.576179249647247</v>
      </c>
      <c r="CS1473" s="45" t="str">
        <v>Invest</v>
      </c>
      <c r="CT1473" s="61"/>
      <c r="CU1473" s="45">
        <v>1469</v>
      </c>
      <c r="CV1473" s="45">
        <v>47.124870368119176</v>
      </c>
      <c r="CW1473" s="45" t="str">
        <v>Invest</v>
      </c>
      <c r="CX1473" s="61"/>
      <c r="CY1473" s="45">
        <v>1469</v>
      </c>
      <c r="CZ1473" s="45">
        <v>11.865140288499475</v>
      </c>
      <c r="DA1473" s="45" t="str">
        <v>Invest</v>
      </c>
      <c r="DU1473" s="52"/>
      <c r="DV1473" s="50"/>
    </row>
    <row r="1474" spans="91:126" ht="23.5">
      <c r="CM1474" s="45">
        <v>1470</v>
      </c>
      <c r="CN1474" s="48">
        <v>50.992689715258003</v>
      </c>
      <c r="CO1474" s="45" t="str">
        <v>Invest</v>
      </c>
      <c r="CP1474" s="61"/>
      <c r="CQ1474" s="45">
        <v>1470</v>
      </c>
      <c r="CR1474" s="45">
        <v>28.967587790026823</v>
      </c>
      <c r="CS1474" s="45" t="str">
        <v>Invest</v>
      </c>
      <c r="CT1474" s="61"/>
      <c r="CU1474" s="45">
        <v>1470</v>
      </c>
      <c r="CV1474" s="45">
        <v>0</v>
      </c>
      <c r="CW1474" s="45" t="str">
        <v>Nothing</v>
      </c>
      <c r="CX1474" s="61"/>
      <c r="CY1474" s="45">
        <v>1470</v>
      </c>
      <c r="CZ1474" s="45">
        <v>0</v>
      </c>
      <c r="DA1474" s="45" t="str">
        <v>Nothing</v>
      </c>
      <c r="DU1474" s="52"/>
      <c r="DV1474" s="50"/>
    </row>
    <row r="1475" spans="91:126" ht="23.5">
      <c r="CM1475" s="45">
        <v>1471</v>
      </c>
      <c r="CN1475" s="48">
        <v>0</v>
      </c>
      <c r="CO1475" s="45" t="str">
        <v>Nothing</v>
      </c>
      <c r="CP1475" s="61"/>
      <c r="CQ1475" s="45">
        <v>1471</v>
      </c>
      <c r="CR1475" s="45">
        <v>18.648920018983279</v>
      </c>
      <c r="CS1475" s="45" t="str">
        <v>Invest</v>
      </c>
      <c r="CT1475" s="61"/>
      <c r="CU1475" s="45">
        <v>1471</v>
      </c>
      <c r="CV1475" s="45">
        <v>0</v>
      </c>
      <c r="CW1475" s="45" t="str">
        <v>Nothing</v>
      </c>
      <c r="CX1475" s="61"/>
      <c r="CY1475" s="45">
        <v>1471</v>
      </c>
      <c r="CZ1475" s="45">
        <v>11.107613400253687</v>
      </c>
      <c r="DA1475" s="45" t="str">
        <v>Invest</v>
      </c>
      <c r="DU1475" s="52"/>
      <c r="DV1475" s="50"/>
    </row>
    <row r="1476" spans="91:126" ht="23.5">
      <c r="CM1476" s="45">
        <v>1472</v>
      </c>
      <c r="CN1476" s="48">
        <v>40.995681112584741</v>
      </c>
      <c r="CO1476" s="45" t="str">
        <v>Invest</v>
      </c>
      <c r="CP1476" s="61"/>
      <c r="CQ1476" s="45">
        <v>1472</v>
      </c>
      <c r="CR1476" s="45">
        <v>0</v>
      </c>
      <c r="CS1476" s="45" t="str">
        <v>Nothing</v>
      </c>
      <c r="CT1476" s="61"/>
      <c r="CU1476" s="45">
        <v>1472</v>
      </c>
      <c r="CV1476" s="45">
        <v>30.026204592729059</v>
      </c>
      <c r="CW1476" s="45" t="str">
        <v>Invest</v>
      </c>
      <c r="CX1476" s="61"/>
      <c r="CY1476" s="45">
        <v>1472</v>
      </c>
      <c r="CZ1476" s="45">
        <v>34.569793695784782</v>
      </c>
      <c r="DA1476" s="45" t="str">
        <v>Invest</v>
      </c>
      <c r="DU1476" s="52"/>
      <c r="DV1476" s="50"/>
    </row>
    <row r="1477" spans="91:126" ht="23.5">
      <c r="CM1477" s="45">
        <v>1473</v>
      </c>
      <c r="CN1477" s="48">
        <v>0</v>
      </c>
      <c r="CO1477" s="45" t="str">
        <v>Nothing</v>
      </c>
      <c r="CP1477" s="61"/>
      <c r="CQ1477" s="45">
        <v>1473</v>
      </c>
      <c r="CR1477" s="45">
        <v>0</v>
      </c>
      <c r="CS1477" s="45" t="str">
        <v>Nothing</v>
      </c>
      <c r="CT1477" s="61"/>
      <c r="CU1477" s="45">
        <v>1473</v>
      </c>
      <c r="CV1477" s="45">
        <v>1.0869536705782075</v>
      </c>
      <c r="CW1477" s="45" t="str">
        <v>Invest</v>
      </c>
      <c r="CX1477" s="61"/>
      <c r="CY1477" s="45">
        <v>1473</v>
      </c>
      <c r="CZ1477" s="45">
        <v>19.258107035118261</v>
      </c>
      <c r="DA1477" s="45" t="str">
        <v>Invest</v>
      </c>
      <c r="DU1477" s="52"/>
      <c r="DV1477" s="50"/>
    </row>
    <row r="1478" spans="91:126" ht="23.5">
      <c r="CM1478" s="45">
        <v>1474</v>
      </c>
      <c r="CN1478" s="48">
        <v>0</v>
      </c>
      <c r="CO1478" s="45" t="str">
        <v>Nothing</v>
      </c>
      <c r="CP1478" s="61"/>
      <c r="CQ1478" s="45">
        <v>1474</v>
      </c>
      <c r="CR1478" s="45">
        <v>0</v>
      </c>
      <c r="CS1478" s="45" t="str">
        <v>Nothing</v>
      </c>
      <c r="CT1478" s="61"/>
      <c r="CU1478" s="45">
        <v>1474</v>
      </c>
      <c r="CV1478" s="45">
        <v>44.502952672195676</v>
      </c>
      <c r="CW1478" s="45" t="str">
        <v>Invest</v>
      </c>
      <c r="CX1478" s="61"/>
      <c r="CY1478" s="45">
        <v>1474</v>
      </c>
      <c r="CZ1478" s="45">
        <v>0</v>
      </c>
      <c r="DA1478" s="45" t="str">
        <v>Nothing</v>
      </c>
      <c r="DU1478" s="52"/>
      <c r="DV1478" s="50"/>
    </row>
    <row r="1479" spans="91:126" ht="23.5">
      <c r="CM1479" s="45">
        <v>1475</v>
      </c>
      <c r="CN1479" s="48">
        <v>0</v>
      </c>
      <c r="CO1479" s="45" t="str">
        <v>Nothing</v>
      </c>
      <c r="CP1479" s="61"/>
      <c r="CQ1479" s="45">
        <v>1475</v>
      </c>
      <c r="CR1479" s="45">
        <v>8.112457057325301</v>
      </c>
      <c r="CS1479" s="45" t="str">
        <v>Invest</v>
      </c>
      <c r="CT1479" s="61"/>
      <c r="CU1479" s="45">
        <v>1475</v>
      </c>
      <c r="CV1479" s="45">
        <v>26.404448443587839</v>
      </c>
      <c r="CW1479" s="45" t="str">
        <v>Invest</v>
      </c>
      <c r="CX1479" s="61"/>
      <c r="CY1479" s="45">
        <v>1475</v>
      </c>
      <c r="CZ1479" s="45">
        <v>39.504516211208561</v>
      </c>
      <c r="DA1479" s="45" t="str">
        <v>Invest</v>
      </c>
      <c r="DU1479" s="52"/>
      <c r="DV1479" s="50"/>
    </row>
    <row r="1480" spans="91:126" ht="23.5">
      <c r="CM1480" s="45">
        <v>1476</v>
      </c>
      <c r="CN1480" s="48">
        <v>8.8704614747589687</v>
      </c>
      <c r="CO1480" s="45" t="str">
        <v>Invest</v>
      </c>
      <c r="CP1480" s="61"/>
      <c r="CQ1480" s="45">
        <v>1476</v>
      </c>
      <c r="CR1480" s="45">
        <v>8.8973293278686931</v>
      </c>
      <c r="CS1480" s="45" t="str">
        <v>Invest</v>
      </c>
      <c r="CT1480" s="61"/>
      <c r="CU1480" s="45">
        <v>1476</v>
      </c>
      <c r="CV1480" s="45">
        <v>0</v>
      </c>
      <c r="CW1480" s="45" t="str">
        <v>Nothing</v>
      </c>
      <c r="CX1480" s="61"/>
      <c r="CY1480" s="45">
        <v>1476</v>
      </c>
      <c r="CZ1480" s="45">
        <v>0</v>
      </c>
      <c r="DA1480" s="45" t="str">
        <v>Nothing</v>
      </c>
      <c r="DU1480" s="52"/>
      <c r="DV1480" s="50"/>
    </row>
    <row r="1481" spans="91:126" ht="23.5">
      <c r="CM1481" s="45">
        <v>1477</v>
      </c>
      <c r="CN1481" s="48">
        <v>0</v>
      </c>
      <c r="CO1481" s="45" t="str">
        <v>Nothing</v>
      </c>
      <c r="CP1481" s="61"/>
      <c r="CQ1481" s="45">
        <v>1477</v>
      </c>
      <c r="CR1481" s="45">
        <v>0</v>
      </c>
      <c r="CS1481" s="45" t="str">
        <v>Nothing</v>
      </c>
      <c r="CT1481" s="61"/>
      <c r="CU1481" s="45">
        <v>1477</v>
      </c>
      <c r="CV1481" s="45">
        <v>0</v>
      </c>
      <c r="CW1481" s="45" t="str">
        <v>Nothing</v>
      </c>
      <c r="CX1481" s="61"/>
      <c r="CY1481" s="45">
        <v>1477</v>
      </c>
      <c r="CZ1481" s="45">
        <v>0</v>
      </c>
      <c r="DA1481" s="45" t="str">
        <v>Nothing</v>
      </c>
      <c r="DU1481" s="52"/>
      <c r="DV1481" s="50"/>
    </row>
    <row r="1482" spans="91:126" ht="23.5">
      <c r="CM1482" s="45">
        <v>1478</v>
      </c>
      <c r="CN1482" s="48">
        <v>43.492537269982023</v>
      </c>
      <c r="CO1482" s="45" t="str">
        <v>Invest</v>
      </c>
      <c r="CP1482" s="61"/>
      <c r="CQ1482" s="45">
        <v>1478</v>
      </c>
      <c r="CR1482" s="45">
        <v>0</v>
      </c>
      <c r="CS1482" s="45" t="str">
        <v>Nothing</v>
      </c>
      <c r="CT1482" s="61"/>
      <c r="CU1482" s="45">
        <v>1478</v>
      </c>
      <c r="CV1482" s="45">
        <v>0</v>
      </c>
      <c r="CW1482" s="45" t="str">
        <v>Nothing</v>
      </c>
      <c r="CX1482" s="61"/>
      <c r="CY1482" s="45">
        <v>1478</v>
      </c>
      <c r="CZ1482" s="45">
        <v>0</v>
      </c>
      <c r="DA1482" s="45" t="str">
        <v>Nothing</v>
      </c>
      <c r="DU1482" s="52"/>
      <c r="DV1482" s="50"/>
    </row>
    <row r="1483" spans="91:126" ht="23.5">
      <c r="CM1483" s="45">
        <v>1479</v>
      </c>
      <c r="CN1483" s="48">
        <v>8.1969242441266985</v>
      </c>
      <c r="CO1483" s="45" t="str">
        <v>Invest</v>
      </c>
      <c r="CP1483" s="61"/>
      <c r="CQ1483" s="45">
        <v>1479</v>
      </c>
      <c r="CR1483" s="45">
        <v>1.8897459625846356</v>
      </c>
      <c r="CS1483" s="45" t="str">
        <v>Invest</v>
      </c>
      <c r="CT1483" s="61"/>
      <c r="CU1483" s="45">
        <v>1479</v>
      </c>
      <c r="CV1483" s="45">
        <v>27.79036186935906</v>
      </c>
      <c r="CW1483" s="45" t="str">
        <v>Invest</v>
      </c>
      <c r="CX1483" s="61"/>
      <c r="CY1483" s="45">
        <v>1479</v>
      </c>
      <c r="CZ1483" s="45">
        <v>0.77812588100190183</v>
      </c>
      <c r="DA1483" s="45" t="str">
        <v>Invest</v>
      </c>
      <c r="DU1483" s="52"/>
      <c r="DV1483" s="50"/>
    </row>
    <row r="1484" spans="91:126" ht="23.5">
      <c r="CM1484" s="45">
        <v>1480</v>
      </c>
      <c r="CN1484" s="48">
        <v>3.5613271934679096</v>
      </c>
      <c r="CO1484" s="45" t="str">
        <v>Invest</v>
      </c>
      <c r="CP1484" s="61"/>
      <c r="CQ1484" s="45">
        <v>1480</v>
      </c>
      <c r="CR1484" s="45">
        <v>0.67911788192496658</v>
      </c>
      <c r="CS1484" s="45" t="str">
        <v>Invest</v>
      </c>
      <c r="CT1484" s="61"/>
      <c r="CU1484" s="45">
        <v>1480</v>
      </c>
      <c r="CV1484" s="45">
        <v>0</v>
      </c>
      <c r="CW1484" s="45" t="str">
        <v>Nothing</v>
      </c>
      <c r="CX1484" s="61"/>
      <c r="CY1484" s="45">
        <v>1480</v>
      </c>
      <c r="CZ1484" s="45">
        <v>6.8211556872139401</v>
      </c>
      <c r="DA1484" s="45" t="str">
        <v>Invest</v>
      </c>
      <c r="DU1484" s="52"/>
      <c r="DV1484" s="50"/>
    </row>
    <row r="1485" spans="91:126" ht="23.5">
      <c r="CM1485" s="45">
        <v>1481</v>
      </c>
      <c r="CN1485" s="48">
        <v>48.447787756174222</v>
      </c>
      <c r="CO1485" s="45" t="str">
        <v>Invest</v>
      </c>
      <c r="CP1485" s="61"/>
      <c r="CQ1485" s="45">
        <v>1481</v>
      </c>
      <c r="CR1485" s="45">
        <v>36.821853412190165</v>
      </c>
      <c r="CS1485" s="45" t="str">
        <v>Invest</v>
      </c>
      <c r="CT1485" s="61"/>
      <c r="CU1485" s="45">
        <v>1481</v>
      </c>
      <c r="CV1485" s="45">
        <v>0</v>
      </c>
      <c r="CW1485" s="45" t="str">
        <v>Nothing</v>
      </c>
      <c r="CX1485" s="61"/>
      <c r="CY1485" s="45">
        <v>1481</v>
      </c>
      <c r="CZ1485" s="45">
        <v>6.3649183834404539</v>
      </c>
      <c r="DA1485" s="45" t="str">
        <v>Invest</v>
      </c>
      <c r="DU1485" s="52"/>
      <c r="DV1485" s="50"/>
    </row>
    <row r="1486" spans="91:126" ht="23.5">
      <c r="CM1486" s="45">
        <v>1482</v>
      </c>
      <c r="CN1486" s="48">
        <v>11.328421209191198</v>
      </c>
      <c r="CO1486" s="45" t="str">
        <v>Invest</v>
      </c>
      <c r="CP1486" s="61"/>
      <c r="CQ1486" s="45">
        <v>1482</v>
      </c>
      <c r="CR1486" s="45">
        <v>16.605911313640593</v>
      </c>
      <c r="CS1486" s="45" t="str">
        <v>Invest</v>
      </c>
      <c r="CT1486" s="61"/>
      <c r="CU1486" s="45">
        <v>1482</v>
      </c>
      <c r="CV1486" s="45">
        <v>0</v>
      </c>
      <c r="CW1486" s="45" t="str">
        <v>Nothing</v>
      </c>
      <c r="CX1486" s="61"/>
      <c r="CY1486" s="45">
        <v>1482</v>
      </c>
      <c r="CZ1486" s="45">
        <v>39.088057470702381</v>
      </c>
      <c r="DA1486" s="45" t="str">
        <v>Invest</v>
      </c>
      <c r="DU1486" s="52"/>
      <c r="DV1486" s="50"/>
    </row>
    <row r="1487" spans="91:126" ht="23.5">
      <c r="CM1487" s="45">
        <v>1483</v>
      </c>
      <c r="CN1487" s="48">
        <v>15.856315832713314</v>
      </c>
      <c r="CO1487" s="45" t="str">
        <v>Invest</v>
      </c>
      <c r="CP1487" s="61"/>
      <c r="CQ1487" s="45">
        <v>1483</v>
      </c>
      <c r="CR1487" s="45">
        <v>19.888215065111851</v>
      </c>
      <c r="CS1487" s="45" t="str">
        <v>Invest</v>
      </c>
      <c r="CT1487" s="61"/>
      <c r="CU1487" s="45">
        <v>1483</v>
      </c>
      <c r="CV1487" s="45">
        <v>0</v>
      </c>
      <c r="CW1487" s="45" t="str">
        <v>Nothing</v>
      </c>
      <c r="CX1487" s="61"/>
      <c r="CY1487" s="45">
        <v>1483</v>
      </c>
      <c r="CZ1487" s="45">
        <v>4.4479609545383099</v>
      </c>
      <c r="DA1487" s="45" t="str">
        <v>Invest</v>
      </c>
      <c r="DU1487" s="52"/>
      <c r="DV1487" s="50"/>
    </row>
    <row r="1488" spans="91:126" ht="23.5">
      <c r="CM1488" s="45">
        <v>1484</v>
      </c>
      <c r="CN1488" s="48">
        <v>0</v>
      </c>
      <c r="CO1488" s="45" t="str">
        <v>Nothing</v>
      </c>
      <c r="CP1488" s="61"/>
      <c r="CQ1488" s="45">
        <v>1484</v>
      </c>
      <c r="CR1488" s="45">
        <v>39.344533636909752</v>
      </c>
      <c r="CS1488" s="45" t="str">
        <v>Invest</v>
      </c>
      <c r="CT1488" s="61"/>
      <c r="CU1488" s="45">
        <v>1484</v>
      </c>
      <c r="CV1488" s="45">
        <v>17.826248902264144</v>
      </c>
      <c r="CW1488" s="45" t="str">
        <v>Invest</v>
      </c>
      <c r="CX1488" s="61"/>
      <c r="CY1488" s="45">
        <v>1484</v>
      </c>
      <c r="CZ1488" s="45">
        <v>9.416285835297554</v>
      </c>
      <c r="DA1488" s="45" t="str">
        <v>Invest</v>
      </c>
      <c r="DU1488" s="52"/>
      <c r="DV1488" s="50"/>
    </row>
    <row r="1489" spans="91:126" ht="23.5">
      <c r="CM1489" s="45">
        <v>1485</v>
      </c>
      <c r="CN1489" s="48">
        <v>7.520262503908425</v>
      </c>
      <c r="CO1489" s="45" t="str">
        <v>Invest</v>
      </c>
      <c r="CP1489" s="61"/>
      <c r="CQ1489" s="45">
        <v>1485</v>
      </c>
      <c r="CR1489" s="45">
        <v>53.961143364457413</v>
      </c>
      <c r="CS1489" s="45" t="str">
        <v>Invest</v>
      </c>
      <c r="CT1489" s="61"/>
      <c r="CU1489" s="45">
        <v>1485</v>
      </c>
      <c r="CV1489" s="45">
        <v>22.730683037006077</v>
      </c>
      <c r="CW1489" s="45" t="str">
        <v>Invest</v>
      </c>
      <c r="CX1489" s="61"/>
      <c r="CY1489" s="45">
        <v>1485</v>
      </c>
      <c r="CZ1489" s="45">
        <v>0</v>
      </c>
      <c r="DA1489" s="45" t="str">
        <v>Nothing</v>
      </c>
      <c r="DU1489" s="52"/>
      <c r="DV1489" s="50"/>
    </row>
    <row r="1490" spans="91:126" ht="23.5">
      <c r="CM1490" s="45">
        <v>1486</v>
      </c>
      <c r="CN1490" s="48">
        <v>20.637397707265745</v>
      </c>
      <c r="CO1490" s="45" t="str">
        <v>Invest</v>
      </c>
      <c r="CP1490" s="61"/>
      <c r="CQ1490" s="45">
        <v>1486</v>
      </c>
      <c r="CR1490" s="45">
        <v>10.380625127492181</v>
      </c>
      <c r="CS1490" s="45" t="str">
        <v>Invest</v>
      </c>
      <c r="CT1490" s="61"/>
      <c r="CU1490" s="45">
        <v>1486</v>
      </c>
      <c r="CV1490" s="45">
        <v>26.725612870921488</v>
      </c>
      <c r="CW1490" s="45" t="str">
        <v>Invest</v>
      </c>
      <c r="CX1490" s="61"/>
      <c r="CY1490" s="45">
        <v>1486</v>
      </c>
      <c r="CZ1490" s="45">
        <v>14.537529165443797</v>
      </c>
      <c r="DA1490" s="45" t="str">
        <v>Invest</v>
      </c>
      <c r="DU1490" s="52"/>
      <c r="DV1490" s="50"/>
    </row>
    <row r="1491" spans="91:126" ht="23.5">
      <c r="CM1491" s="45">
        <v>1487</v>
      </c>
      <c r="CN1491" s="48">
        <v>0</v>
      </c>
      <c r="CO1491" s="45" t="str">
        <v>Nothing</v>
      </c>
      <c r="CP1491" s="61"/>
      <c r="CQ1491" s="45">
        <v>1487</v>
      </c>
      <c r="CR1491" s="45">
        <v>34.242417391598707</v>
      </c>
      <c r="CS1491" s="45" t="str">
        <v>Invest</v>
      </c>
      <c r="CT1491" s="61"/>
      <c r="CU1491" s="45">
        <v>1487</v>
      </c>
      <c r="CV1491" s="45">
        <v>14.708768712023577</v>
      </c>
      <c r="CW1491" s="45" t="str">
        <v>Invest</v>
      </c>
      <c r="CX1491" s="61"/>
      <c r="CY1491" s="45">
        <v>1487</v>
      </c>
      <c r="CZ1491" s="45">
        <v>8.7704044863334687</v>
      </c>
      <c r="DA1491" s="45" t="str">
        <v>Invest</v>
      </c>
      <c r="DU1491" s="52"/>
      <c r="DV1491" s="50"/>
    </row>
    <row r="1492" spans="91:126" ht="23.5">
      <c r="CM1492" s="45">
        <v>1488</v>
      </c>
      <c r="CN1492" s="48">
        <v>13.160074448533901</v>
      </c>
      <c r="CO1492" s="45" t="str">
        <v>Invest</v>
      </c>
      <c r="CP1492" s="61"/>
      <c r="CQ1492" s="45">
        <v>1488</v>
      </c>
      <c r="CR1492" s="45">
        <v>32.054260304212065</v>
      </c>
      <c r="CS1492" s="45" t="str">
        <v>Invest</v>
      </c>
      <c r="CT1492" s="61"/>
      <c r="CU1492" s="45">
        <v>1488</v>
      </c>
      <c r="CV1492" s="45">
        <v>0</v>
      </c>
      <c r="CW1492" s="45" t="str">
        <v>Nothing</v>
      </c>
      <c r="CX1492" s="61"/>
      <c r="CY1492" s="45">
        <v>1488</v>
      </c>
      <c r="CZ1492" s="45">
        <v>58.68652784950801</v>
      </c>
      <c r="DA1492" s="45" t="str">
        <v>Invest</v>
      </c>
      <c r="DU1492" s="52"/>
      <c r="DV1492" s="50"/>
    </row>
    <row r="1493" spans="91:126" ht="23.5">
      <c r="CM1493" s="45">
        <v>1489</v>
      </c>
      <c r="CN1493" s="48">
        <v>0</v>
      </c>
      <c r="CO1493" s="45" t="str">
        <v>Nothing</v>
      </c>
      <c r="CP1493" s="61"/>
      <c r="CQ1493" s="45">
        <v>1489</v>
      </c>
      <c r="CR1493" s="45">
        <v>20.722613803598598</v>
      </c>
      <c r="CS1493" s="45" t="str">
        <v>Invest</v>
      </c>
      <c r="CT1493" s="61"/>
      <c r="CU1493" s="45">
        <v>1489</v>
      </c>
      <c r="CV1493" s="45">
        <v>26.201765021570573</v>
      </c>
      <c r="CW1493" s="45" t="str">
        <v>Invest</v>
      </c>
      <c r="CX1493" s="61"/>
      <c r="CY1493" s="45">
        <v>1489</v>
      </c>
      <c r="CZ1493" s="45">
        <v>14.088556623128698</v>
      </c>
      <c r="DA1493" s="45" t="str">
        <v>Invest</v>
      </c>
      <c r="DU1493" s="52"/>
      <c r="DV1493" s="50"/>
    </row>
    <row r="1494" spans="91:126" ht="23.5">
      <c r="CM1494" s="45">
        <v>1490</v>
      </c>
      <c r="CN1494" s="48">
        <v>0</v>
      </c>
      <c r="CO1494" s="45" t="str">
        <v>Nothing</v>
      </c>
      <c r="CP1494" s="61"/>
      <c r="CQ1494" s="45">
        <v>1490</v>
      </c>
      <c r="CR1494" s="45">
        <v>20.778627553209024</v>
      </c>
      <c r="CS1494" s="45" t="str">
        <v>Invest</v>
      </c>
      <c r="CT1494" s="61"/>
      <c r="CU1494" s="45">
        <v>1490</v>
      </c>
      <c r="CV1494" s="45">
        <v>0</v>
      </c>
      <c r="CW1494" s="45" t="str">
        <v>Nothing</v>
      </c>
      <c r="CX1494" s="61"/>
      <c r="CY1494" s="45">
        <v>1490</v>
      </c>
      <c r="CZ1494" s="45">
        <v>20.649798085917261</v>
      </c>
      <c r="DA1494" s="45" t="str">
        <v>Invest</v>
      </c>
      <c r="DU1494" s="52"/>
      <c r="DV1494" s="50"/>
    </row>
    <row r="1495" spans="91:126" ht="23.5">
      <c r="CM1495" s="45">
        <v>1491</v>
      </c>
      <c r="CN1495" s="48">
        <v>41.962893545953484</v>
      </c>
      <c r="CO1495" s="45" t="str">
        <v>Invest</v>
      </c>
      <c r="CP1495" s="61"/>
      <c r="CQ1495" s="45">
        <v>1491</v>
      </c>
      <c r="CR1495" s="45">
        <v>30.358275309900392</v>
      </c>
      <c r="CS1495" s="45" t="str">
        <v>Invest</v>
      </c>
      <c r="CT1495" s="61"/>
      <c r="CU1495" s="45">
        <v>1491</v>
      </c>
      <c r="CV1495" s="45">
        <v>0</v>
      </c>
      <c r="CW1495" s="45" t="str">
        <v>Nothing</v>
      </c>
      <c r="CX1495" s="61"/>
      <c r="CY1495" s="45">
        <v>1491</v>
      </c>
      <c r="CZ1495" s="45">
        <v>45.140755582270231</v>
      </c>
      <c r="DA1495" s="45" t="str">
        <v>Invest</v>
      </c>
      <c r="DU1495" s="52"/>
      <c r="DV1495" s="50"/>
    </row>
    <row r="1496" spans="91:126" ht="23.5">
      <c r="CM1496" s="45">
        <v>1492</v>
      </c>
      <c r="CN1496" s="48">
        <v>16.168050943674736</v>
      </c>
      <c r="CO1496" s="45" t="str">
        <v>Invest</v>
      </c>
      <c r="CP1496" s="61"/>
      <c r="CQ1496" s="45">
        <v>1492</v>
      </c>
      <c r="CR1496" s="45">
        <v>19.732309980494591</v>
      </c>
      <c r="CS1496" s="45" t="str">
        <v>Invest</v>
      </c>
      <c r="CT1496" s="61"/>
      <c r="CU1496" s="45">
        <v>1492</v>
      </c>
      <c r="CV1496" s="45">
        <v>12.774973717931426</v>
      </c>
      <c r="CW1496" s="45" t="str">
        <v>Invest</v>
      </c>
      <c r="CX1496" s="61"/>
      <c r="CY1496" s="45">
        <v>1492</v>
      </c>
      <c r="CZ1496" s="45">
        <v>33.817333770738351</v>
      </c>
      <c r="DA1496" s="45" t="str">
        <v>Invest</v>
      </c>
      <c r="DU1496" s="52"/>
      <c r="DV1496" s="50"/>
    </row>
    <row r="1497" spans="91:126" ht="23.5">
      <c r="CM1497" s="45">
        <v>1493</v>
      </c>
      <c r="CN1497" s="48">
        <v>18.263989680492173</v>
      </c>
      <c r="CO1497" s="45" t="str">
        <v>Invest</v>
      </c>
      <c r="CP1497" s="61"/>
      <c r="CQ1497" s="45">
        <v>1493</v>
      </c>
      <c r="CR1497" s="45">
        <v>13.463668237653811</v>
      </c>
      <c r="CS1497" s="45" t="str">
        <v>Invest</v>
      </c>
      <c r="CT1497" s="61"/>
      <c r="CU1497" s="45">
        <v>1493</v>
      </c>
      <c r="CV1497" s="45">
        <v>35.992909744186839</v>
      </c>
      <c r="CW1497" s="45" t="str">
        <v>Invest</v>
      </c>
      <c r="CX1497" s="61"/>
      <c r="CY1497" s="45">
        <v>1493</v>
      </c>
      <c r="CZ1497" s="45">
        <v>27.912201989995509</v>
      </c>
      <c r="DA1497" s="45" t="str">
        <v>Invest</v>
      </c>
      <c r="DU1497" s="52"/>
      <c r="DV1497" s="50"/>
    </row>
    <row r="1498" spans="91:126" ht="23.5">
      <c r="CM1498" s="45">
        <v>1494</v>
      </c>
      <c r="CN1498" s="48">
        <v>8.5706094917346967</v>
      </c>
      <c r="CO1498" s="45" t="str">
        <v>Invest</v>
      </c>
      <c r="CP1498" s="61"/>
      <c r="CQ1498" s="45">
        <v>1494</v>
      </c>
      <c r="CR1498" s="45">
        <v>22.334287312349399</v>
      </c>
      <c r="CS1498" s="45" t="str">
        <v>Invest</v>
      </c>
      <c r="CT1498" s="61"/>
      <c r="CU1498" s="45">
        <v>1494</v>
      </c>
      <c r="CV1498" s="45">
        <v>0</v>
      </c>
      <c r="CW1498" s="45" t="str">
        <v>Nothing</v>
      </c>
      <c r="CX1498" s="61"/>
      <c r="CY1498" s="45">
        <v>1494</v>
      </c>
      <c r="CZ1498" s="45">
        <v>26.061933521798771</v>
      </c>
      <c r="DA1498" s="45" t="str">
        <v>Invest</v>
      </c>
      <c r="DU1498" s="52"/>
      <c r="DV1498" s="50"/>
    </row>
    <row r="1499" spans="91:126" ht="23.5">
      <c r="CM1499" s="45">
        <v>1495</v>
      </c>
      <c r="CN1499" s="48">
        <v>0</v>
      </c>
      <c r="CO1499" s="45" t="str">
        <v>Nothing</v>
      </c>
      <c r="CP1499" s="61"/>
      <c r="CQ1499" s="45">
        <v>1495</v>
      </c>
      <c r="CR1499" s="45">
        <v>41.02054869507306</v>
      </c>
      <c r="CS1499" s="45" t="str">
        <v>Invest</v>
      </c>
      <c r="CT1499" s="61"/>
      <c r="CU1499" s="45">
        <v>1495</v>
      </c>
      <c r="CV1499" s="45">
        <v>13.844919973151473</v>
      </c>
      <c r="CW1499" s="45" t="str">
        <v>Invest</v>
      </c>
      <c r="CX1499" s="61"/>
      <c r="CY1499" s="45">
        <v>1495</v>
      </c>
      <c r="CZ1499" s="45">
        <v>20.486313021760296</v>
      </c>
      <c r="DA1499" s="45" t="str">
        <v>Invest</v>
      </c>
      <c r="DU1499" s="52"/>
      <c r="DV1499" s="50"/>
    </row>
    <row r="1500" spans="91:126" ht="23.5">
      <c r="CM1500" s="45">
        <v>1496</v>
      </c>
      <c r="CN1500" s="48">
        <v>20.931837700308989</v>
      </c>
      <c r="CO1500" s="45" t="str">
        <v>Invest</v>
      </c>
      <c r="CP1500" s="61"/>
      <c r="CQ1500" s="45">
        <v>1496</v>
      </c>
      <c r="CR1500" s="45">
        <v>4.0393085375941489</v>
      </c>
      <c r="CS1500" s="45" t="str">
        <v>Invest</v>
      </c>
      <c r="CT1500" s="61"/>
      <c r="CU1500" s="45">
        <v>1496</v>
      </c>
      <c r="CV1500" s="45">
        <v>9.054351369666108</v>
      </c>
      <c r="CW1500" s="45" t="str">
        <v>Invest</v>
      </c>
      <c r="CX1500" s="61"/>
      <c r="CY1500" s="45">
        <v>1496</v>
      </c>
      <c r="CZ1500" s="45">
        <v>34.0151901385535</v>
      </c>
      <c r="DA1500" s="45" t="str">
        <v>Invest</v>
      </c>
      <c r="DU1500" s="52"/>
      <c r="DV1500" s="50"/>
    </row>
    <row r="1501" spans="91:126" ht="23.5">
      <c r="CM1501" s="45">
        <v>1497</v>
      </c>
      <c r="CN1501" s="48">
        <v>35.986401651377378</v>
      </c>
      <c r="CO1501" s="45" t="str">
        <v>Invest</v>
      </c>
      <c r="CP1501" s="61"/>
      <c r="CQ1501" s="45">
        <v>1497</v>
      </c>
      <c r="CR1501" s="45">
        <v>21.384831569638166</v>
      </c>
      <c r="CS1501" s="45" t="str">
        <v>Invest</v>
      </c>
      <c r="CT1501" s="61"/>
      <c r="CU1501" s="45">
        <v>1497</v>
      </c>
      <c r="CV1501" s="45">
        <v>31.707778295461594</v>
      </c>
      <c r="CW1501" s="45" t="str">
        <v>Invest</v>
      </c>
      <c r="CX1501" s="61"/>
      <c r="CY1501" s="45">
        <v>1497</v>
      </c>
      <c r="CZ1501" s="45">
        <v>26.222702646993191</v>
      </c>
      <c r="DA1501" s="45" t="str">
        <v>Invest</v>
      </c>
      <c r="DU1501" s="52"/>
      <c r="DV1501" s="50"/>
    </row>
    <row r="1502" spans="91:126" ht="23.5">
      <c r="CM1502" s="45">
        <v>1498</v>
      </c>
      <c r="CN1502" s="48">
        <v>28.997714517674908</v>
      </c>
      <c r="CO1502" s="45" t="str">
        <v>Invest</v>
      </c>
      <c r="CP1502" s="61"/>
      <c r="CQ1502" s="45">
        <v>1498</v>
      </c>
      <c r="CR1502" s="45">
        <v>55.513996752262706</v>
      </c>
      <c r="CS1502" s="45" t="str">
        <v>Invest</v>
      </c>
      <c r="CT1502" s="61"/>
      <c r="CU1502" s="45">
        <v>1498</v>
      </c>
      <c r="CV1502" s="45">
        <v>15.213243621928891</v>
      </c>
      <c r="CW1502" s="45" t="str">
        <v>Invest</v>
      </c>
      <c r="CX1502" s="61"/>
      <c r="CY1502" s="45">
        <v>1498</v>
      </c>
      <c r="CZ1502" s="45">
        <v>0</v>
      </c>
      <c r="DA1502" s="45" t="str">
        <v>Nothing</v>
      </c>
      <c r="DU1502" s="52"/>
      <c r="DV1502" s="50"/>
    </row>
    <row r="1503" spans="91:126" ht="23.5">
      <c r="CM1503" s="45">
        <v>1499</v>
      </c>
      <c r="CN1503" s="48">
        <v>9.3414388500435237</v>
      </c>
      <c r="CO1503" s="45" t="str">
        <v>Invest</v>
      </c>
      <c r="CP1503" s="61"/>
      <c r="CQ1503" s="45">
        <v>1499</v>
      </c>
      <c r="CR1503" s="45">
        <v>0</v>
      </c>
      <c r="CS1503" s="45" t="str">
        <v>Nothing</v>
      </c>
      <c r="CT1503" s="61"/>
      <c r="CU1503" s="45">
        <v>1499</v>
      </c>
      <c r="CV1503" s="45">
        <v>48.003939909178776</v>
      </c>
      <c r="CW1503" s="45" t="str">
        <v>Invest</v>
      </c>
      <c r="CX1503" s="61"/>
      <c r="CY1503" s="45">
        <v>1499</v>
      </c>
      <c r="CZ1503" s="45">
        <v>0.8991114025387752</v>
      </c>
      <c r="DA1503" s="45" t="str">
        <v>Invest</v>
      </c>
      <c r="DU1503" s="52"/>
      <c r="DV1503" s="50"/>
    </row>
    <row r="1504" spans="91:126" ht="23.5">
      <c r="CM1504" s="45">
        <v>1500</v>
      </c>
      <c r="CN1504" s="48">
        <v>11.112929311148436</v>
      </c>
      <c r="CO1504" s="45" t="str">
        <v>Invest</v>
      </c>
      <c r="CP1504" s="61"/>
      <c r="CQ1504" s="45">
        <v>1500</v>
      </c>
      <c r="CR1504" s="45">
        <v>26.218641952573638</v>
      </c>
      <c r="CS1504" s="45" t="str">
        <v>Invest</v>
      </c>
      <c r="CT1504" s="61"/>
      <c r="CU1504" s="45">
        <v>1500</v>
      </c>
      <c r="CV1504" s="45">
        <v>22.006256985656005</v>
      </c>
      <c r="CW1504" s="45" t="str">
        <v>Invest</v>
      </c>
      <c r="CX1504" s="61"/>
      <c r="CY1504" s="45">
        <v>1500</v>
      </c>
      <c r="CZ1504" s="45">
        <v>57.823477557152373</v>
      </c>
      <c r="DA1504" s="45" t="str">
        <v>Invest</v>
      </c>
      <c r="DU1504" s="52"/>
      <c r="DV1504" s="50"/>
    </row>
    <row r="1505" spans="91:126" ht="23.5">
      <c r="CM1505" s="45">
        <v>1501</v>
      </c>
      <c r="CN1505" s="48">
        <v>43.241699613365157</v>
      </c>
      <c r="CO1505" s="45" t="str">
        <v>Invest</v>
      </c>
      <c r="CP1505" s="61"/>
      <c r="CQ1505" s="45">
        <v>1501</v>
      </c>
      <c r="CR1505" s="45">
        <v>1.0411358069352303</v>
      </c>
      <c r="CS1505" s="45" t="str">
        <v>Invest</v>
      </c>
      <c r="CT1505" s="61"/>
      <c r="CU1505" s="45">
        <v>1501</v>
      </c>
      <c r="CV1505" s="45">
        <v>40.876398249777722</v>
      </c>
      <c r="CW1505" s="45" t="str">
        <v>Invest</v>
      </c>
      <c r="CX1505" s="61"/>
      <c r="CY1505" s="45">
        <v>1501</v>
      </c>
      <c r="CZ1505" s="45">
        <v>0</v>
      </c>
      <c r="DA1505" s="45" t="str">
        <v>Nothing</v>
      </c>
      <c r="DU1505" s="52"/>
      <c r="DV1505" s="50"/>
    </row>
    <row r="1506" spans="91:126" ht="23.5">
      <c r="CM1506" s="45">
        <v>1502</v>
      </c>
      <c r="CN1506" s="48">
        <v>30.680859045447129</v>
      </c>
      <c r="CO1506" s="45" t="str">
        <v>Invest</v>
      </c>
      <c r="CP1506" s="61"/>
      <c r="CQ1506" s="45">
        <v>1502</v>
      </c>
      <c r="CR1506" s="45">
        <v>5.5033262492482375</v>
      </c>
      <c r="CS1506" s="45" t="str">
        <v>Invest</v>
      </c>
      <c r="CT1506" s="61"/>
      <c r="CU1506" s="45">
        <v>1502</v>
      </c>
      <c r="CV1506" s="45">
        <v>10.058048946457802</v>
      </c>
      <c r="CW1506" s="45" t="str">
        <v>Invest</v>
      </c>
      <c r="CX1506" s="61"/>
      <c r="CY1506" s="45">
        <v>1502</v>
      </c>
      <c r="CZ1506" s="45">
        <v>6.9629338805688832</v>
      </c>
      <c r="DA1506" s="45" t="str">
        <v>Invest</v>
      </c>
      <c r="DU1506" s="52"/>
      <c r="DV1506" s="50"/>
    </row>
    <row r="1507" spans="91:126" ht="23.5">
      <c r="CM1507" s="45">
        <v>1503</v>
      </c>
      <c r="CN1507" s="48">
        <v>1.1957236529222808</v>
      </c>
      <c r="CO1507" s="45" t="str">
        <v>Invest</v>
      </c>
      <c r="CP1507" s="61"/>
      <c r="CQ1507" s="45">
        <v>1503</v>
      </c>
      <c r="CR1507" s="45">
        <v>47.769628837700992</v>
      </c>
      <c r="CS1507" s="45" t="str">
        <v>Invest</v>
      </c>
      <c r="CT1507" s="61"/>
      <c r="CU1507" s="45">
        <v>1503</v>
      </c>
      <c r="CV1507" s="45">
        <v>28.530388498695139</v>
      </c>
      <c r="CW1507" s="45" t="str">
        <v>Invest</v>
      </c>
      <c r="CX1507" s="61"/>
      <c r="CY1507" s="45">
        <v>1503</v>
      </c>
      <c r="CZ1507" s="45">
        <v>4.4123030057962334</v>
      </c>
      <c r="DA1507" s="45" t="str">
        <v>Invest</v>
      </c>
      <c r="DU1507" s="52"/>
      <c r="DV1507" s="50"/>
    </row>
    <row r="1508" spans="91:126" ht="23.5">
      <c r="CM1508" s="45">
        <v>1504</v>
      </c>
      <c r="CN1508" s="48">
        <v>25.659515414806812</v>
      </c>
      <c r="CO1508" s="45" t="str">
        <v>Invest</v>
      </c>
      <c r="CP1508" s="61"/>
      <c r="CQ1508" s="45">
        <v>1504</v>
      </c>
      <c r="CR1508" s="45">
        <v>0</v>
      </c>
      <c r="CS1508" s="45" t="str">
        <v>Nothing</v>
      </c>
      <c r="CT1508" s="61"/>
      <c r="CU1508" s="45">
        <v>1504</v>
      </c>
      <c r="CV1508" s="45">
        <v>33.139660771185973</v>
      </c>
      <c r="CW1508" s="45" t="str">
        <v>Invest</v>
      </c>
      <c r="CX1508" s="61"/>
      <c r="CY1508" s="45">
        <v>1504</v>
      </c>
      <c r="CZ1508" s="45">
        <v>10.520804916183847</v>
      </c>
      <c r="DA1508" s="45" t="str">
        <v>Invest</v>
      </c>
      <c r="DU1508" s="52"/>
      <c r="DV1508" s="50"/>
    </row>
    <row r="1509" spans="91:126" ht="23.5">
      <c r="CM1509" s="45">
        <v>1505</v>
      </c>
      <c r="CN1509" s="48">
        <v>32.233634616230269</v>
      </c>
      <c r="CO1509" s="45" t="str">
        <v>Invest</v>
      </c>
      <c r="CP1509" s="61"/>
      <c r="CQ1509" s="45">
        <v>1505</v>
      </c>
      <c r="CR1509" s="45">
        <v>31.750517866742133</v>
      </c>
      <c r="CS1509" s="45" t="str">
        <v>Invest</v>
      </c>
      <c r="CT1509" s="61"/>
      <c r="CU1509" s="45">
        <v>1505</v>
      </c>
      <c r="CV1509" s="45">
        <v>0</v>
      </c>
      <c r="CW1509" s="45" t="str">
        <v>Nothing</v>
      </c>
      <c r="CX1509" s="61"/>
      <c r="CY1509" s="45">
        <v>1505</v>
      </c>
      <c r="CZ1509" s="45">
        <v>8.5678584203031178</v>
      </c>
      <c r="DA1509" s="45" t="str">
        <v>Invest</v>
      </c>
      <c r="DU1509" s="52"/>
      <c r="DV1509" s="50"/>
    </row>
    <row r="1510" spans="91:126" ht="23.5">
      <c r="CM1510" s="45">
        <v>1506</v>
      </c>
      <c r="CN1510" s="48">
        <v>58.665806275989858</v>
      </c>
      <c r="CO1510" s="45" t="str">
        <v>Invest</v>
      </c>
      <c r="CP1510" s="61"/>
      <c r="CQ1510" s="45">
        <v>1506</v>
      </c>
      <c r="CR1510" s="45">
        <v>0</v>
      </c>
      <c r="CS1510" s="45" t="str">
        <v>Nothing</v>
      </c>
      <c r="CT1510" s="61"/>
      <c r="CU1510" s="45">
        <v>1506</v>
      </c>
      <c r="CV1510" s="45">
        <v>0</v>
      </c>
      <c r="CW1510" s="45" t="str">
        <v>Nothing</v>
      </c>
      <c r="CX1510" s="61"/>
      <c r="CY1510" s="45">
        <v>1506</v>
      </c>
      <c r="CZ1510" s="45">
        <v>2.2818907233150476</v>
      </c>
      <c r="DA1510" s="45" t="str">
        <v>Invest</v>
      </c>
      <c r="DU1510" s="52"/>
      <c r="DV1510" s="50"/>
    </row>
    <row r="1511" spans="91:126" ht="23.5">
      <c r="CM1511" s="45">
        <v>1507</v>
      </c>
      <c r="CN1511" s="48">
        <v>0</v>
      </c>
      <c r="CO1511" s="45" t="str">
        <v>Nothing</v>
      </c>
      <c r="CP1511" s="61"/>
      <c r="CQ1511" s="45">
        <v>1507</v>
      </c>
      <c r="CR1511" s="45">
        <v>8.9359666419437467</v>
      </c>
      <c r="CS1511" s="45" t="str">
        <v>Invest</v>
      </c>
      <c r="CT1511" s="61"/>
      <c r="CU1511" s="45">
        <v>1507</v>
      </c>
      <c r="CV1511" s="45">
        <v>1.2082165579593278</v>
      </c>
      <c r="CW1511" s="45" t="str">
        <v>Invest</v>
      </c>
      <c r="CX1511" s="61"/>
      <c r="CY1511" s="45">
        <v>1507</v>
      </c>
      <c r="CZ1511" s="45">
        <v>5.4663334250967068</v>
      </c>
      <c r="DA1511" s="45" t="str">
        <v>Invest</v>
      </c>
      <c r="DU1511" s="52"/>
      <c r="DV1511" s="50"/>
    </row>
    <row r="1512" spans="91:126" ht="23.5">
      <c r="CM1512" s="45">
        <v>1508</v>
      </c>
      <c r="CN1512" s="48">
        <v>51.833689522616872</v>
      </c>
      <c r="CO1512" s="45" t="str">
        <v>Invest</v>
      </c>
      <c r="CP1512" s="61"/>
      <c r="CQ1512" s="45">
        <v>1508</v>
      </c>
      <c r="CR1512" s="45">
        <v>11.721193914552645</v>
      </c>
      <c r="CS1512" s="45" t="str">
        <v>Invest</v>
      </c>
      <c r="CT1512" s="61"/>
      <c r="CU1512" s="45">
        <v>1508</v>
      </c>
      <c r="CV1512" s="45">
        <v>0</v>
      </c>
      <c r="CW1512" s="45" t="str">
        <v>Nothing</v>
      </c>
      <c r="CX1512" s="61"/>
      <c r="CY1512" s="45">
        <v>1508</v>
      </c>
      <c r="CZ1512" s="45">
        <v>0</v>
      </c>
      <c r="DA1512" s="45" t="str">
        <v>Nothing</v>
      </c>
      <c r="DU1512" s="52"/>
      <c r="DV1512" s="50"/>
    </row>
    <row r="1513" spans="91:126" ht="23.5">
      <c r="CM1513" s="45">
        <v>1509</v>
      </c>
      <c r="CN1513" s="48">
        <v>0</v>
      </c>
      <c r="CO1513" s="45" t="str">
        <v>Nothing</v>
      </c>
      <c r="CP1513" s="61"/>
      <c r="CQ1513" s="45">
        <v>1509</v>
      </c>
      <c r="CR1513" s="45">
        <v>0</v>
      </c>
      <c r="CS1513" s="45" t="str">
        <v>Nothing</v>
      </c>
      <c r="CT1513" s="61"/>
      <c r="CU1513" s="45">
        <v>1509</v>
      </c>
      <c r="CV1513" s="45">
        <v>15.156535299074283</v>
      </c>
      <c r="CW1513" s="45" t="str">
        <v>Invest</v>
      </c>
      <c r="CX1513" s="61"/>
      <c r="CY1513" s="45">
        <v>1509</v>
      </c>
      <c r="CZ1513" s="45">
        <v>0</v>
      </c>
      <c r="DA1513" s="45" t="str">
        <v>Nothing</v>
      </c>
      <c r="DU1513" s="52"/>
      <c r="DV1513" s="50"/>
    </row>
    <row r="1514" spans="91:126" ht="23.5">
      <c r="CM1514" s="45">
        <v>1510</v>
      </c>
      <c r="CN1514" s="48">
        <v>32.218124671066796</v>
      </c>
      <c r="CO1514" s="45" t="str">
        <v>Invest</v>
      </c>
      <c r="CP1514" s="61"/>
      <c r="CQ1514" s="45">
        <v>1510</v>
      </c>
      <c r="CR1514" s="45">
        <v>0</v>
      </c>
      <c r="CS1514" s="45" t="str">
        <v>Nothing</v>
      </c>
      <c r="CT1514" s="61"/>
      <c r="CU1514" s="45">
        <v>1510</v>
      </c>
      <c r="CV1514" s="45">
        <v>0</v>
      </c>
      <c r="CW1514" s="45" t="str">
        <v>Nothing</v>
      </c>
      <c r="CX1514" s="61"/>
      <c r="CY1514" s="45">
        <v>1510</v>
      </c>
      <c r="CZ1514" s="45">
        <v>9.0617616467045536</v>
      </c>
      <c r="DA1514" s="45" t="str">
        <v>Invest</v>
      </c>
      <c r="DU1514" s="52"/>
      <c r="DV1514" s="50"/>
    </row>
    <row r="1515" spans="91:126" ht="23.5">
      <c r="CM1515" s="45">
        <v>1511</v>
      </c>
      <c r="CN1515" s="48">
        <v>15.426026837496572</v>
      </c>
      <c r="CO1515" s="45" t="str">
        <v>Invest</v>
      </c>
      <c r="CP1515" s="61"/>
      <c r="CQ1515" s="45">
        <v>1511</v>
      </c>
      <c r="CR1515" s="45">
        <v>0</v>
      </c>
      <c r="CS1515" s="45" t="str">
        <v>Nothing</v>
      </c>
      <c r="CT1515" s="61"/>
      <c r="CU1515" s="45">
        <v>1511</v>
      </c>
      <c r="CV1515" s="45">
        <v>3.1970814695629635</v>
      </c>
      <c r="CW1515" s="45" t="str">
        <v>Invest</v>
      </c>
      <c r="CX1515" s="61"/>
      <c r="CY1515" s="45">
        <v>1511</v>
      </c>
      <c r="CZ1515" s="45">
        <v>0</v>
      </c>
      <c r="DA1515" s="45" t="str">
        <v>Nothing</v>
      </c>
      <c r="DU1515" s="52"/>
      <c r="DV1515" s="50"/>
    </row>
    <row r="1516" spans="91:126" ht="23.5">
      <c r="CM1516" s="45">
        <v>1512</v>
      </c>
      <c r="CN1516" s="48">
        <v>2.7377420806219934</v>
      </c>
      <c r="CO1516" s="45" t="str">
        <v>Invest</v>
      </c>
      <c r="CP1516" s="61"/>
      <c r="CQ1516" s="45">
        <v>1512</v>
      </c>
      <c r="CR1516" s="45">
        <v>0</v>
      </c>
      <c r="CS1516" s="45" t="str">
        <v>Nothing</v>
      </c>
      <c r="CT1516" s="61"/>
      <c r="CU1516" s="45">
        <v>1512</v>
      </c>
      <c r="CV1516" s="45">
        <v>0</v>
      </c>
      <c r="CW1516" s="45" t="str">
        <v>Nothing</v>
      </c>
      <c r="CX1516" s="61"/>
      <c r="CY1516" s="45">
        <v>1512</v>
      </c>
      <c r="CZ1516" s="45">
        <v>67.672952970316103</v>
      </c>
      <c r="DA1516" s="45" t="str">
        <v>Invest</v>
      </c>
      <c r="DU1516" s="52"/>
      <c r="DV1516" s="50"/>
    </row>
    <row r="1517" spans="91:126" ht="23.5">
      <c r="CM1517" s="45">
        <v>1513</v>
      </c>
      <c r="CN1517" s="48">
        <v>35.125162183645195</v>
      </c>
      <c r="CO1517" s="45" t="str">
        <v>Invest</v>
      </c>
      <c r="CP1517" s="61"/>
      <c r="CQ1517" s="45">
        <v>1513</v>
      </c>
      <c r="CR1517" s="45">
        <v>0</v>
      </c>
      <c r="CS1517" s="45" t="str">
        <v>Nothing</v>
      </c>
      <c r="CT1517" s="61"/>
      <c r="CU1517" s="45">
        <v>1513</v>
      </c>
      <c r="CV1517" s="45">
        <v>21.87180416382505</v>
      </c>
      <c r="CW1517" s="45" t="str">
        <v>Invest</v>
      </c>
      <c r="CX1517" s="61"/>
      <c r="CY1517" s="45">
        <v>1513</v>
      </c>
      <c r="CZ1517" s="45">
        <v>12.884956027571267</v>
      </c>
      <c r="DA1517" s="45" t="str">
        <v>Invest</v>
      </c>
      <c r="DU1517" s="52"/>
      <c r="DV1517" s="50"/>
    </row>
    <row r="1518" spans="91:126" ht="23.5">
      <c r="CM1518" s="45">
        <v>1514</v>
      </c>
      <c r="CN1518" s="48">
        <v>12.182029144256823</v>
      </c>
      <c r="CO1518" s="45" t="str">
        <v>Invest</v>
      </c>
      <c r="CP1518" s="61"/>
      <c r="CQ1518" s="45">
        <v>1514</v>
      </c>
      <c r="CR1518" s="45">
        <v>57.843431453185282</v>
      </c>
      <c r="CS1518" s="45" t="str">
        <v>Invest</v>
      </c>
      <c r="CT1518" s="61"/>
      <c r="CU1518" s="45">
        <v>1514</v>
      </c>
      <c r="CV1518" s="45">
        <v>25.967737031104249</v>
      </c>
      <c r="CW1518" s="45" t="str">
        <v>Invest</v>
      </c>
      <c r="CX1518" s="61"/>
      <c r="CY1518" s="45">
        <v>1514</v>
      </c>
      <c r="CZ1518" s="45">
        <v>11.627083258935288</v>
      </c>
      <c r="DA1518" s="45" t="str">
        <v>Invest</v>
      </c>
      <c r="DU1518" s="52"/>
      <c r="DV1518" s="50"/>
    </row>
    <row r="1519" spans="91:126" ht="23.5">
      <c r="CM1519" s="45">
        <v>1515</v>
      </c>
      <c r="CN1519" s="48">
        <v>57.756485302119138</v>
      </c>
      <c r="CO1519" s="45" t="str">
        <v>Invest</v>
      </c>
      <c r="CP1519" s="61"/>
      <c r="CQ1519" s="45">
        <v>1515</v>
      </c>
      <c r="CR1519" s="45">
        <v>59.627679635317683</v>
      </c>
      <c r="CS1519" s="45" t="str">
        <v>Invest</v>
      </c>
      <c r="CT1519" s="61"/>
      <c r="CU1519" s="45">
        <v>1515</v>
      </c>
      <c r="CV1519" s="45">
        <v>35.620164199164464</v>
      </c>
      <c r="CW1519" s="45" t="str">
        <v>Invest</v>
      </c>
      <c r="CX1519" s="61"/>
      <c r="CY1519" s="45">
        <v>1515</v>
      </c>
      <c r="CZ1519" s="45">
        <v>49.95889838927156</v>
      </c>
      <c r="DA1519" s="45" t="str">
        <v>Invest</v>
      </c>
      <c r="DU1519" s="52"/>
      <c r="DV1519" s="50"/>
    </row>
    <row r="1520" spans="91:126" ht="23.5">
      <c r="CM1520" s="45">
        <v>1516</v>
      </c>
      <c r="CN1520" s="48">
        <v>14.993334540390393</v>
      </c>
      <c r="CO1520" s="45" t="str">
        <v>Invest</v>
      </c>
      <c r="CP1520" s="61"/>
      <c r="CQ1520" s="45">
        <v>1516</v>
      </c>
      <c r="CR1520" s="45">
        <v>0</v>
      </c>
      <c r="CS1520" s="45" t="str">
        <v>Nothing</v>
      </c>
      <c r="CT1520" s="61"/>
      <c r="CU1520" s="45">
        <v>1516</v>
      </c>
      <c r="CV1520" s="45">
        <v>22.31464691945731</v>
      </c>
      <c r="CW1520" s="45" t="str">
        <v>Invest</v>
      </c>
      <c r="CX1520" s="61"/>
      <c r="CY1520" s="45">
        <v>1516</v>
      </c>
      <c r="CZ1520" s="45">
        <v>27.974491264888329</v>
      </c>
      <c r="DA1520" s="45" t="str">
        <v>Invest</v>
      </c>
      <c r="DU1520" s="52"/>
      <c r="DV1520" s="50"/>
    </row>
    <row r="1521" spans="91:126" ht="23.5">
      <c r="CM1521" s="45">
        <v>1517</v>
      </c>
      <c r="CN1521" s="48">
        <v>0</v>
      </c>
      <c r="CO1521" s="45" t="str">
        <v>Nothing</v>
      </c>
      <c r="CP1521" s="61"/>
      <c r="CQ1521" s="45">
        <v>1517</v>
      </c>
      <c r="CR1521" s="45">
        <v>0</v>
      </c>
      <c r="CS1521" s="45" t="str">
        <v>Nothing</v>
      </c>
      <c r="CT1521" s="61"/>
      <c r="CU1521" s="45">
        <v>1517</v>
      </c>
      <c r="CV1521" s="45">
        <v>22.915355985274267</v>
      </c>
      <c r="CW1521" s="45" t="str">
        <v>Invest</v>
      </c>
      <c r="CX1521" s="61"/>
      <c r="CY1521" s="45">
        <v>1517</v>
      </c>
      <c r="CZ1521" s="45">
        <v>0</v>
      </c>
      <c r="DA1521" s="45" t="str">
        <v>Nothing</v>
      </c>
      <c r="DU1521" s="52"/>
      <c r="DV1521" s="50"/>
    </row>
    <row r="1522" spans="91:126" ht="23.5">
      <c r="CM1522" s="45">
        <v>1518</v>
      </c>
      <c r="CN1522" s="48">
        <v>14.390524305212715</v>
      </c>
      <c r="CO1522" s="45" t="str">
        <v>Invest</v>
      </c>
      <c r="CP1522" s="61"/>
      <c r="CQ1522" s="45">
        <v>1518</v>
      </c>
      <c r="CR1522" s="45">
        <v>7.8485011957124318</v>
      </c>
      <c r="CS1522" s="45" t="str">
        <v>Invest</v>
      </c>
      <c r="CT1522" s="61"/>
      <c r="CU1522" s="45">
        <v>1518</v>
      </c>
      <c r="CV1522" s="45">
        <v>0.79594585538269058</v>
      </c>
      <c r="CW1522" s="45" t="str">
        <v>Invest</v>
      </c>
      <c r="CX1522" s="61"/>
      <c r="CY1522" s="45">
        <v>1518</v>
      </c>
      <c r="CZ1522" s="45">
        <v>26.832819056331296</v>
      </c>
      <c r="DA1522" s="45" t="str">
        <v>Invest</v>
      </c>
      <c r="DU1522" s="52"/>
      <c r="DV1522" s="50"/>
    </row>
    <row r="1523" spans="91:126" ht="23.5">
      <c r="CM1523" s="45">
        <v>1519</v>
      </c>
      <c r="CN1523" s="48">
        <v>30.864403090785331</v>
      </c>
      <c r="CO1523" s="45" t="str">
        <v>Invest</v>
      </c>
      <c r="CP1523" s="61"/>
      <c r="CQ1523" s="45">
        <v>1519</v>
      </c>
      <c r="CR1523" s="45">
        <v>2.49783408873515</v>
      </c>
      <c r="CS1523" s="45" t="str">
        <v>Invest</v>
      </c>
      <c r="CT1523" s="61"/>
      <c r="CU1523" s="45">
        <v>1519</v>
      </c>
      <c r="CV1523" s="45">
        <v>0</v>
      </c>
      <c r="CW1523" s="45" t="str">
        <v>Nothing</v>
      </c>
      <c r="CX1523" s="61"/>
      <c r="CY1523" s="45">
        <v>1519</v>
      </c>
      <c r="CZ1523" s="45">
        <v>37.268874814368345</v>
      </c>
      <c r="DA1523" s="45" t="str">
        <v>Invest</v>
      </c>
      <c r="DU1523" s="52"/>
      <c r="DV1523" s="50"/>
    </row>
    <row r="1524" spans="91:126" ht="23.5">
      <c r="CM1524" s="45">
        <v>1520</v>
      </c>
      <c r="CN1524" s="48">
        <v>6.4649450753708217</v>
      </c>
      <c r="CO1524" s="45" t="str">
        <v>Invest</v>
      </c>
      <c r="CP1524" s="61"/>
      <c r="CQ1524" s="45">
        <v>1520</v>
      </c>
      <c r="CR1524" s="45">
        <v>11.350910160927022</v>
      </c>
      <c r="CS1524" s="45" t="str">
        <v>Invest</v>
      </c>
      <c r="CT1524" s="61"/>
      <c r="CU1524" s="45">
        <v>1520</v>
      </c>
      <c r="CV1524" s="45">
        <v>0</v>
      </c>
      <c r="CW1524" s="45" t="str">
        <v>Nothing</v>
      </c>
      <c r="CX1524" s="61"/>
      <c r="CY1524" s="45">
        <v>1520</v>
      </c>
      <c r="CZ1524" s="45">
        <v>0</v>
      </c>
      <c r="DA1524" s="45" t="str">
        <v>Nothing</v>
      </c>
      <c r="DU1524" s="52"/>
      <c r="DV1524" s="50"/>
    </row>
    <row r="1525" spans="91:126" ht="23.5">
      <c r="CM1525" s="45">
        <v>1521</v>
      </c>
      <c r="CN1525" s="48">
        <v>52.162115505174</v>
      </c>
      <c r="CO1525" s="45" t="str">
        <v>Invest</v>
      </c>
      <c r="CP1525" s="61"/>
      <c r="CQ1525" s="45">
        <v>1521</v>
      </c>
      <c r="CR1525" s="45">
        <v>22.443608201042835</v>
      </c>
      <c r="CS1525" s="45" t="str">
        <v>Invest</v>
      </c>
      <c r="CT1525" s="61"/>
      <c r="CU1525" s="45">
        <v>1521</v>
      </c>
      <c r="CV1525" s="45">
        <v>8.3348645159842931</v>
      </c>
      <c r="CW1525" s="45" t="str">
        <v>Invest</v>
      </c>
      <c r="CX1525" s="61"/>
      <c r="CY1525" s="45">
        <v>1521</v>
      </c>
      <c r="CZ1525" s="45">
        <v>0</v>
      </c>
      <c r="DA1525" s="45" t="str">
        <v>Nothing</v>
      </c>
      <c r="DU1525" s="52"/>
      <c r="DV1525" s="50"/>
    </row>
    <row r="1526" spans="91:126" ht="23.5">
      <c r="CM1526" s="45">
        <v>1522</v>
      </c>
      <c r="CN1526" s="48">
        <v>36.118647495182969</v>
      </c>
      <c r="CO1526" s="45" t="str">
        <v>Invest</v>
      </c>
      <c r="CP1526" s="61"/>
      <c r="CQ1526" s="45">
        <v>1522</v>
      </c>
      <c r="CR1526" s="45">
        <v>15.609678268503078</v>
      </c>
      <c r="CS1526" s="45" t="str">
        <v>Invest</v>
      </c>
      <c r="CT1526" s="61"/>
      <c r="CU1526" s="45">
        <v>1522</v>
      </c>
      <c r="CV1526" s="45">
        <v>0</v>
      </c>
      <c r="CW1526" s="45" t="str">
        <v>Nothing</v>
      </c>
      <c r="CX1526" s="61"/>
      <c r="CY1526" s="45">
        <v>1522</v>
      </c>
      <c r="CZ1526" s="45">
        <v>23.569602932968674</v>
      </c>
      <c r="DA1526" s="45" t="str">
        <v>Invest</v>
      </c>
      <c r="DU1526" s="52"/>
      <c r="DV1526" s="50"/>
    </row>
    <row r="1527" spans="91:126" ht="23.5">
      <c r="CM1527" s="45">
        <v>1523</v>
      </c>
      <c r="CN1527" s="48">
        <v>47.02716122762024</v>
      </c>
      <c r="CO1527" s="45" t="str">
        <v>Invest</v>
      </c>
      <c r="CP1527" s="61"/>
      <c r="CQ1527" s="45">
        <v>1523</v>
      </c>
      <c r="CR1527" s="45">
        <v>13.531699663978554</v>
      </c>
      <c r="CS1527" s="45" t="str">
        <v>Invest</v>
      </c>
      <c r="CT1527" s="61"/>
      <c r="CU1527" s="45">
        <v>1523</v>
      </c>
      <c r="CV1527" s="45">
        <v>13.970884151950717</v>
      </c>
      <c r="CW1527" s="45" t="str">
        <v>Invest</v>
      </c>
      <c r="CX1527" s="61"/>
      <c r="CY1527" s="45">
        <v>1523</v>
      </c>
      <c r="CZ1527" s="45">
        <v>0</v>
      </c>
      <c r="DA1527" s="45" t="str">
        <v>Nothing</v>
      </c>
      <c r="DU1527" s="52"/>
      <c r="DV1527" s="50"/>
    </row>
    <row r="1528" spans="91:126" ht="23.5">
      <c r="CM1528" s="45">
        <v>1524</v>
      </c>
      <c r="CN1528" s="48">
        <v>22.622044072658127</v>
      </c>
      <c r="CO1528" s="45" t="str">
        <v>Invest</v>
      </c>
      <c r="CP1528" s="61"/>
      <c r="CQ1528" s="45">
        <v>1524</v>
      </c>
      <c r="CR1528" s="45">
        <v>37.360581041609215</v>
      </c>
      <c r="CS1528" s="45" t="str">
        <v>Invest</v>
      </c>
      <c r="CT1528" s="61"/>
      <c r="CU1528" s="45">
        <v>1524</v>
      </c>
      <c r="CV1528" s="45">
        <v>0</v>
      </c>
      <c r="CW1528" s="45" t="str">
        <v>Nothing</v>
      </c>
      <c r="CX1528" s="61"/>
      <c r="CY1528" s="45">
        <v>1524</v>
      </c>
      <c r="CZ1528" s="45">
        <v>0</v>
      </c>
      <c r="DA1528" s="45" t="str">
        <v>Nothing</v>
      </c>
      <c r="DU1528" s="52"/>
      <c r="DV1528" s="50"/>
    </row>
    <row r="1529" spans="91:126" ht="23.5">
      <c r="CM1529" s="45">
        <v>1525</v>
      </c>
      <c r="CN1529" s="48">
        <v>18.556660137996843</v>
      </c>
      <c r="CO1529" s="45" t="str">
        <v>Invest</v>
      </c>
      <c r="CP1529" s="61"/>
      <c r="CQ1529" s="45">
        <v>1525</v>
      </c>
      <c r="CR1529" s="45">
        <v>20.884512348159767</v>
      </c>
      <c r="CS1529" s="45" t="str">
        <v>Invest</v>
      </c>
      <c r="CT1529" s="61"/>
      <c r="CU1529" s="45">
        <v>1525</v>
      </c>
      <c r="CV1529" s="45">
        <v>0</v>
      </c>
      <c r="CW1529" s="45" t="str">
        <v>Nothing</v>
      </c>
      <c r="CX1529" s="61"/>
      <c r="CY1529" s="45">
        <v>1525</v>
      </c>
      <c r="CZ1529" s="45">
        <v>40.348141897382433</v>
      </c>
      <c r="DA1529" s="45" t="str">
        <v>Invest</v>
      </c>
      <c r="DU1529" s="52"/>
      <c r="DV1529" s="50"/>
    </row>
    <row r="1530" spans="91:126" ht="23.5">
      <c r="CM1530" s="45">
        <v>1526</v>
      </c>
      <c r="CN1530" s="48">
        <v>20.483447143073533</v>
      </c>
      <c r="CO1530" s="45" t="str">
        <v>Invest</v>
      </c>
      <c r="CP1530" s="61"/>
      <c r="CQ1530" s="45">
        <v>1526</v>
      </c>
      <c r="CR1530" s="45">
        <v>23.475920925296613</v>
      </c>
      <c r="CS1530" s="45" t="str">
        <v>Invest</v>
      </c>
      <c r="CT1530" s="61"/>
      <c r="CU1530" s="45">
        <v>1526</v>
      </c>
      <c r="CV1530" s="45">
        <v>8.766219189193837</v>
      </c>
      <c r="CW1530" s="45" t="str">
        <v>Invest</v>
      </c>
      <c r="CX1530" s="61"/>
      <c r="CY1530" s="45">
        <v>1526</v>
      </c>
      <c r="CZ1530" s="45">
        <v>56.152522523187528</v>
      </c>
      <c r="DA1530" s="45" t="str">
        <v>Invest</v>
      </c>
      <c r="DU1530" s="52"/>
      <c r="DV1530" s="50"/>
    </row>
    <row r="1531" spans="91:126" ht="23.5">
      <c r="CM1531" s="45">
        <v>1527</v>
      </c>
      <c r="CN1531" s="48">
        <v>18.129297037204502</v>
      </c>
      <c r="CO1531" s="45" t="str">
        <v>Invest</v>
      </c>
      <c r="CP1531" s="61"/>
      <c r="CQ1531" s="45">
        <v>1527</v>
      </c>
      <c r="CR1531" s="45">
        <v>31.851326237941024</v>
      </c>
      <c r="CS1531" s="45" t="str">
        <v>Invest</v>
      </c>
      <c r="CT1531" s="61"/>
      <c r="CU1531" s="45">
        <v>1527</v>
      </c>
      <c r="CV1531" s="45">
        <v>18.105106184098155</v>
      </c>
      <c r="CW1531" s="45" t="str">
        <v>Invest</v>
      </c>
      <c r="CX1531" s="61"/>
      <c r="CY1531" s="45">
        <v>1527</v>
      </c>
      <c r="CZ1531" s="45">
        <v>46.263997675101692</v>
      </c>
      <c r="DA1531" s="45" t="str">
        <v>Invest</v>
      </c>
      <c r="DU1531" s="52"/>
      <c r="DV1531" s="50"/>
    </row>
    <row r="1532" spans="91:126" ht="23.5">
      <c r="CM1532" s="45">
        <v>1528</v>
      </c>
      <c r="CN1532" s="48">
        <v>0</v>
      </c>
      <c r="CO1532" s="45" t="str">
        <v>Nothing</v>
      </c>
      <c r="CP1532" s="61"/>
      <c r="CQ1532" s="45">
        <v>1528</v>
      </c>
      <c r="CR1532" s="45">
        <v>16.740216464628485</v>
      </c>
      <c r="CS1532" s="45" t="str">
        <v>Invest</v>
      </c>
      <c r="CT1532" s="61"/>
      <c r="CU1532" s="45">
        <v>1528</v>
      </c>
      <c r="CV1532" s="45">
        <v>0</v>
      </c>
      <c r="CW1532" s="45" t="str">
        <v>Nothing</v>
      </c>
      <c r="CX1532" s="61"/>
      <c r="CY1532" s="45">
        <v>1528</v>
      </c>
      <c r="CZ1532" s="45">
        <v>0</v>
      </c>
      <c r="DA1532" s="45" t="str">
        <v>Nothing</v>
      </c>
      <c r="DU1532" s="52"/>
      <c r="DV1532" s="50"/>
    </row>
    <row r="1533" spans="91:126" ht="23.5">
      <c r="CM1533" s="45">
        <v>1529</v>
      </c>
      <c r="CN1533" s="48">
        <v>15.222754511406167</v>
      </c>
      <c r="CO1533" s="45" t="str">
        <v>Invest</v>
      </c>
      <c r="CP1533" s="61"/>
      <c r="CQ1533" s="45">
        <v>1529</v>
      </c>
      <c r="CR1533" s="45">
        <v>28.460561531232763</v>
      </c>
      <c r="CS1533" s="45" t="str">
        <v>Invest</v>
      </c>
      <c r="CT1533" s="61"/>
      <c r="CU1533" s="45">
        <v>1529</v>
      </c>
      <c r="CV1533" s="45">
        <v>5.9926779168351896</v>
      </c>
      <c r="CW1533" s="45" t="str">
        <v>Invest</v>
      </c>
      <c r="CX1533" s="61"/>
      <c r="CY1533" s="45">
        <v>1529</v>
      </c>
      <c r="CZ1533" s="45">
        <v>14.754187976531179</v>
      </c>
      <c r="DA1533" s="45" t="str">
        <v>Invest</v>
      </c>
      <c r="DU1533" s="52"/>
      <c r="DV1533" s="50"/>
    </row>
    <row r="1534" spans="91:126" ht="23.5">
      <c r="CM1534" s="45">
        <v>1530</v>
      </c>
      <c r="CN1534" s="48">
        <v>40.199615317301202</v>
      </c>
      <c r="CO1534" s="45" t="str">
        <v>Invest</v>
      </c>
      <c r="CP1534" s="61"/>
      <c r="CQ1534" s="45">
        <v>1530</v>
      </c>
      <c r="CR1534" s="45">
        <v>21.748877315941357</v>
      </c>
      <c r="CS1534" s="45" t="str">
        <v>Invest</v>
      </c>
      <c r="CT1534" s="61"/>
      <c r="CU1534" s="45">
        <v>1530</v>
      </c>
      <c r="CV1534" s="45">
        <v>19.213236916963524</v>
      </c>
      <c r="CW1534" s="45" t="str">
        <v>Invest</v>
      </c>
      <c r="CX1534" s="61"/>
      <c r="CY1534" s="45">
        <v>1530</v>
      </c>
      <c r="CZ1534" s="45">
        <v>0</v>
      </c>
      <c r="DA1534" s="45" t="str">
        <v>Nothing</v>
      </c>
      <c r="DU1534" s="52"/>
      <c r="DV1534" s="50"/>
    </row>
    <row r="1535" spans="91:126" ht="23.5">
      <c r="CM1535" s="45">
        <v>1531</v>
      </c>
      <c r="CN1535" s="48">
        <v>29.619157095421816</v>
      </c>
      <c r="CO1535" s="45" t="str">
        <v>Invest</v>
      </c>
      <c r="CP1535" s="61"/>
      <c r="CQ1535" s="45">
        <v>1531</v>
      </c>
      <c r="CR1535" s="45">
        <v>32.773501318378734</v>
      </c>
      <c r="CS1535" s="45" t="str">
        <v>Invest</v>
      </c>
      <c r="CT1535" s="61"/>
      <c r="CU1535" s="45">
        <v>1531</v>
      </c>
      <c r="CV1535" s="45">
        <v>5.3997400430171965</v>
      </c>
      <c r="CW1535" s="45" t="str">
        <v>Invest</v>
      </c>
      <c r="CX1535" s="61"/>
      <c r="CY1535" s="45">
        <v>1531</v>
      </c>
      <c r="CZ1535" s="45">
        <v>5.3703275198043645</v>
      </c>
      <c r="DA1535" s="45" t="str">
        <v>Invest</v>
      </c>
      <c r="DU1535" s="52"/>
      <c r="DV1535" s="50"/>
    </row>
    <row r="1536" spans="91:126" ht="23.5">
      <c r="CM1536" s="45">
        <v>1532</v>
      </c>
      <c r="CN1536" s="48">
        <v>24.308633994413892</v>
      </c>
      <c r="CO1536" s="45" t="str">
        <v>Invest</v>
      </c>
      <c r="CP1536" s="61"/>
      <c r="CQ1536" s="45">
        <v>1532</v>
      </c>
      <c r="CR1536" s="45">
        <v>0</v>
      </c>
      <c r="CS1536" s="45" t="str">
        <v>Nothing</v>
      </c>
      <c r="CT1536" s="61"/>
      <c r="CU1536" s="45">
        <v>1532</v>
      </c>
      <c r="CV1536" s="45">
        <v>10.247805586250541</v>
      </c>
      <c r="CW1536" s="45" t="str">
        <v>Invest</v>
      </c>
      <c r="CX1536" s="61"/>
      <c r="CY1536" s="45">
        <v>1532</v>
      </c>
      <c r="CZ1536" s="45">
        <v>9.6761820731700396</v>
      </c>
      <c r="DA1536" s="45" t="str">
        <v>Invest</v>
      </c>
      <c r="DU1536" s="52"/>
      <c r="DV1536" s="50"/>
    </row>
    <row r="1537" spans="91:126" ht="23.5">
      <c r="CM1537" s="45">
        <v>1533</v>
      </c>
      <c r="CN1537" s="48">
        <v>0</v>
      </c>
      <c r="CO1537" s="45" t="str">
        <v>Nothing</v>
      </c>
      <c r="CP1537" s="61"/>
      <c r="CQ1537" s="45">
        <v>1533</v>
      </c>
      <c r="CR1537" s="45">
        <v>4.3912900459907434</v>
      </c>
      <c r="CS1537" s="45" t="str">
        <v>Invest</v>
      </c>
      <c r="CT1537" s="61"/>
      <c r="CU1537" s="45">
        <v>1533</v>
      </c>
      <c r="CV1537" s="45">
        <v>19.098415650511086</v>
      </c>
      <c r="CW1537" s="45" t="str">
        <v>Invest</v>
      </c>
      <c r="CX1537" s="61"/>
      <c r="CY1537" s="45">
        <v>1533</v>
      </c>
      <c r="CZ1537" s="45">
        <v>0</v>
      </c>
      <c r="DA1537" s="45" t="str">
        <v>Nothing</v>
      </c>
      <c r="DU1537" s="52"/>
      <c r="DV1537" s="50"/>
    </row>
    <row r="1538" spans="91:126" ht="23.5">
      <c r="CM1538" s="45">
        <v>1534</v>
      </c>
      <c r="CN1538" s="48">
        <v>0</v>
      </c>
      <c r="CO1538" s="45" t="str">
        <v>Nothing</v>
      </c>
      <c r="CP1538" s="61"/>
      <c r="CQ1538" s="45">
        <v>1534</v>
      </c>
      <c r="CR1538" s="45">
        <v>0</v>
      </c>
      <c r="CS1538" s="45" t="str">
        <v>Nothing</v>
      </c>
      <c r="CT1538" s="61"/>
      <c r="CU1538" s="45">
        <v>1534</v>
      </c>
      <c r="CV1538" s="45">
        <v>0.86078327804621679</v>
      </c>
      <c r="CW1538" s="45" t="str">
        <v>Invest</v>
      </c>
      <c r="CX1538" s="61"/>
      <c r="CY1538" s="45">
        <v>1534</v>
      </c>
      <c r="CZ1538" s="45">
        <v>29.959043396949497</v>
      </c>
      <c r="DA1538" s="45" t="str">
        <v>Invest</v>
      </c>
      <c r="DU1538" s="52"/>
      <c r="DV1538" s="50"/>
    </row>
    <row r="1539" spans="91:126" ht="23.5">
      <c r="CM1539" s="45">
        <v>1535</v>
      </c>
      <c r="CN1539" s="48">
        <v>14.167182402040602</v>
      </c>
      <c r="CO1539" s="45" t="str">
        <v>Invest</v>
      </c>
      <c r="CP1539" s="61"/>
      <c r="CQ1539" s="45">
        <v>1535</v>
      </c>
      <c r="CR1539" s="45">
        <v>38.459027956335618</v>
      </c>
      <c r="CS1539" s="45" t="str">
        <v>Invest</v>
      </c>
      <c r="CT1539" s="61"/>
      <c r="CU1539" s="45">
        <v>1535</v>
      </c>
      <c r="CV1539" s="45">
        <v>36.630281554326913</v>
      </c>
      <c r="CW1539" s="45" t="str">
        <v>Invest</v>
      </c>
      <c r="CX1539" s="61"/>
      <c r="CY1539" s="45">
        <v>1535</v>
      </c>
      <c r="CZ1539" s="45">
        <v>53.158150002314343</v>
      </c>
      <c r="DA1539" s="45" t="str">
        <v>Invest</v>
      </c>
      <c r="DU1539" s="52"/>
      <c r="DV1539" s="50"/>
    </row>
    <row r="1540" spans="91:126" ht="23.5">
      <c r="CM1540" s="45">
        <v>1536</v>
      </c>
      <c r="CN1540" s="48">
        <v>9.9199504710047854</v>
      </c>
      <c r="CO1540" s="45" t="str">
        <v>Invest</v>
      </c>
      <c r="CP1540" s="61"/>
      <c r="CQ1540" s="45">
        <v>1536</v>
      </c>
      <c r="CR1540" s="45">
        <v>50.197301319570386</v>
      </c>
      <c r="CS1540" s="45" t="str">
        <v>Invest</v>
      </c>
      <c r="CT1540" s="61"/>
      <c r="CU1540" s="45">
        <v>1536</v>
      </c>
      <c r="CV1540" s="45">
        <v>13.729745899719406</v>
      </c>
      <c r="CW1540" s="45" t="str">
        <v>Invest</v>
      </c>
      <c r="CX1540" s="61"/>
      <c r="CY1540" s="45">
        <v>1536</v>
      </c>
      <c r="CZ1540" s="45">
        <v>26.689382093568753</v>
      </c>
      <c r="DA1540" s="45" t="str">
        <v>Invest</v>
      </c>
      <c r="DU1540" s="52"/>
      <c r="DV1540" s="50"/>
    </row>
    <row r="1541" spans="91:126" ht="23.5">
      <c r="CM1541" s="45">
        <v>1537</v>
      </c>
      <c r="CN1541" s="48">
        <v>34.69654739423126</v>
      </c>
      <c r="CO1541" s="45" t="str">
        <v>Invest</v>
      </c>
      <c r="CP1541" s="61"/>
      <c r="CQ1541" s="45">
        <v>1537</v>
      </c>
      <c r="CR1541" s="45">
        <v>3.9393542812950475</v>
      </c>
      <c r="CS1541" s="45" t="str">
        <v>Invest</v>
      </c>
      <c r="CT1541" s="61"/>
      <c r="CU1541" s="45">
        <v>1537</v>
      </c>
      <c r="CV1541" s="45">
        <v>18.69787496738973</v>
      </c>
      <c r="CW1541" s="45" t="str">
        <v>Invest</v>
      </c>
      <c r="CX1541" s="61"/>
      <c r="CY1541" s="45">
        <v>1537</v>
      </c>
      <c r="CZ1541" s="45">
        <v>0</v>
      </c>
      <c r="DA1541" s="45" t="str">
        <v>Nothing</v>
      </c>
      <c r="DU1541" s="52"/>
      <c r="DV1541" s="50"/>
    </row>
    <row r="1542" spans="91:126" ht="23.5">
      <c r="CM1542" s="45">
        <v>1538</v>
      </c>
      <c r="CN1542" s="48">
        <v>0</v>
      </c>
      <c r="CO1542" s="45" t="str">
        <v>Nothing</v>
      </c>
      <c r="CP1542" s="61"/>
      <c r="CQ1542" s="45">
        <v>1538</v>
      </c>
      <c r="CR1542" s="45">
        <v>25.422668820920883</v>
      </c>
      <c r="CS1542" s="45" t="str">
        <v>Invest</v>
      </c>
      <c r="CT1542" s="61"/>
      <c r="CU1542" s="45">
        <v>1538</v>
      </c>
      <c r="CV1542" s="45">
        <v>35.485853134108226</v>
      </c>
      <c r="CW1542" s="45" t="str">
        <v>Invest</v>
      </c>
      <c r="CX1542" s="61"/>
      <c r="CY1542" s="45">
        <v>1538</v>
      </c>
      <c r="CZ1542" s="45">
        <v>0</v>
      </c>
      <c r="DA1542" s="45" t="str">
        <v>Nothing</v>
      </c>
      <c r="DU1542" s="52"/>
      <c r="DV1542" s="50"/>
    </row>
    <row r="1543" spans="91:126" ht="23.5">
      <c r="CM1543" s="45">
        <v>1539</v>
      </c>
      <c r="CN1543" s="48">
        <v>31.227997650558166</v>
      </c>
      <c r="CO1543" s="45" t="str">
        <v>Invest</v>
      </c>
      <c r="CP1543" s="61"/>
      <c r="CQ1543" s="45">
        <v>1539</v>
      </c>
      <c r="CR1543" s="45">
        <v>10.447356955713815</v>
      </c>
      <c r="CS1543" s="45" t="str">
        <v>Invest</v>
      </c>
      <c r="CT1543" s="61"/>
      <c r="CU1543" s="45">
        <v>1539</v>
      </c>
      <c r="CV1543" s="45">
        <v>0</v>
      </c>
      <c r="CW1543" s="45" t="str">
        <v>Nothing</v>
      </c>
      <c r="CX1543" s="61"/>
      <c r="CY1543" s="45">
        <v>1539</v>
      </c>
      <c r="CZ1543" s="45">
        <v>0</v>
      </c>
      <c r="DA1543" s="45" t="str">
        <v>Nothing</v>
      </c>
      <c r="DU1543" s="52"/>
      <c r="DV1543" s="50"/>
    </row>
    <row r="1544" spans="91:126" ht="23.5">
      <c r="CM1544" s="45">
        <v>1540</v>
      </c>
      <c r="CN1544" s="48">
        <v>21.140213756124417</v>
      </c>
      <c r="CO1544" s="45" t="str">
        <v>Invest</v>
      </c>
      <c r="CP1544" s="61"/>
      <c r="CQ1544" s="45">
        <v>1540</v>
      </c>
      <c r="CR1544" s="45">
        <v>0</v>
      </c>
      <c r="CS1544" s="45" t="str">
        <v>Nothing</v>
      </c>
      <c r="CT1544" s="61"/>
      <c r="CU1544" s="45">
        <v>1540</v>
      </c>
      <c r="CV1544" s="45">
        <v>14.724289484128814</v>
      </c>
      <c r="CW1544" s="45" t="str">
        <v>Invest</v>
      </c>
      <c r="CX1544" s="61"/>
      <c r="CY1544" s="45">
        <v>1540</v>
      </c>
      <c r="CZ1544" s="45">
        <v>13.194670706700222</v>
      </c>
      <c r="DA1544" s="45" t="str">
        <v>Invest</v>
      </c>
      <c r="DU1544" s="52"/>
      <c r="DV1544" s="50"/>
    </row>
    <row r="1545" spans="91:126" ht="23.5">
      <c r="CM1545" s="45">
        <v>1541</v>
      </c>
      <c r="CN1545" s="48">
        <v>41.053020213800977</v>
      </c>
      <c r="CO1545" s="45" t="str">
        <v>Invest</v>
      </c>
      <c r="CP1545" s="61"/>
      <c r="CQ1545" s="45">
        <v>1541</v>
      </c>
      <c r="CR1545" s="45">
        <v>0</v>
      </c>
      <c r="CS1545" s="45" t="str">
        <v>Nothing</v>
      </c>
      <c r="CT1545" s="61"/>
      <c r="CU1545" s="45">
        <v>1541</v>
      </c>
      <c r="CV1545" s="45">
        <v>2.745439420852744</v>
      </c>
      <c r="CW1545" s="45" t="str">
        <v>Invest</v>
      </c>
      <c r="CX1545" s="61"/>
      <c r="CY1545" s="45">
        <v>1541</v>
      </c>
      <c r="CZ1545" s="45">
        <v>30.482449103253323</v>
      </c>
      <c r="DA1545" s="45" t="str">
        <v>Invest</v>
      </c>
      <c r="DU1545" s="52"/>
      <c r="DV1545" s="50"/>
    </row>
    <row r="1546" spans="91:126" ht="23.5">
      <c r="CM1546" s="45">
        <v>1542</v>
      </c>
      <c r="CN1546" s="48">
        <v>4.821407559965694</v>
      </c>
      <c r="CO1546" s="45" t="str">
        <v>Invest</v>
      </c>
      <c r="CP1546" s="61"/>
      <c r="CQ1546" s="45">
        <v>1542</v>
      </c>
      <c r="CR1546" s="45">
        <v>0</v>
      </c>
      <c r="CS1546" s="45" t="str">
        <v>Nothing</v>
      </c>
      <c r="CT1546" s="61"/>
      <c r="CU1546" s="45">
        <v>1542</v>
      </c>
      <c r="CV1546" s="45">
        <v>0</v>
      </c>
      <c r="CW1546" s="45" t="str">
        <v>Nothing</v>
      </c>
      <c r="CX1546" s="61"/>
      <c r="CY1546" s="45">
        <v>1542</v>
      </c>
      <c r="CZ1546" s="45">
        <v>16.098742625237797</v>
      </c>
      <c r="DA1546" s="45" t="str">
        <v>Invest</v>
      </c>
      <c r="DU1546" s="52"/>
      <c r="DV1546" s="50"/>
    </row>
    <row r="1547" spans="91:126" ht="23.5">
      <c r="CM1547" s="45">
        <v>1543</v>
      </c>
      <c r="CN1547" s="48">
        <v>0</v>
      </c>
      <c r="CO1547" s="45" t="str">
        <v>Nothing</v>
      </c>
      <c r="CP1547" s="61"/>
      <c r="CQ1547" s="45">
        <v>1543</v>
      </c>
      <c r="CR1547" s="45">
        <v>18.417242930038139</v>
      </c>
      <c r="CS1547" s="45" t="str">
        <v>Invest</v>
      </c>
      <c r="CT1547" s="61"/>
      <c r="CU1547" s="45">
        <v>1543</v>
      </c>
      <c r="CV1547" s="45">
        <v>0</v>
      </c>
      <c r="CW1547" s="45" t="str">
        <v>Nothing</v>
      </c>
      <c r="CX1547" s="61"/>
      <c r="CY1547" s="45">
        <v>1543</v>
      </c>
      <c r="CZ1547" s="45">
        <v>54.934695814560243</v>
      </c>
      <c r="DA1547" s="45" t="str">
        <v>Invest</v>
      </c>
      <c r="DU1547" s="52"/>
      <c r="DV1547" s="50"/>
    </row>
    <row r="1548" spans="91:126" ht="23.5">
      <c r="CM1548" s="45">
        <v>1544</v>
      </c>
      <c r="CN1548" s="48">
        <v>12.275920630461689</v>
      </c>
      <c r="CO1548" s="45" t="str">
        <v>Invest</v>
      </c>
      <c r="CP1548" s="61"/>
      <c r="CQ1548" s="45">
        <v>1544</v>
      </c>
      <c r="CR1548" s="45">
        <v>39.426395556855489</v>
      </c>
      <c r="CS1548" s="45" t="str">
        <v>Invest</v>
      </c>
      <c r="CT1548" s="61"/>
      <c r="CU1548" s="45">
        <v>1544</v>
      </c>
      <c r="CV1548" s="45">
        <v>28.73070322372806</v>
      </c>
      <c r="CW1548" s="45" t="str">
        <v>Invest</v>
      </c>
      <c r="CX1548" s="61"/>
      <c r="CY1548" s="45">
        <v>1544</v>
      </c>
      <c r="CZ1548" s="45">
        <v>5.2125916376783588</v>
      </c>
      <c r="DA1548" s="45" t="str">
        <v>Invest</v>
      </c>
      <c r="DU1548" s="52"/>
      <c r="DV1548" s="50"/>
    </row>
    <row r="1549" spans="91:126" ht="23.5">
      <c r="CM1549" s="45">
        <v>1545</v>
      </c>
      <c r="CN1549" s="48">
        <v>10.885910474253558</v>
      </c>
      <c r="CO1549" s="45" t="str">
        <v>Invest</v>
      </c>
      <c r="CP1549" s="61"/>
      <c r="CQ1549" s="45">
        <v>1545</v>
      </c>
      <c r="CR1549" s="45">
        <v>1.1043092635116878</v>
      </c>
      <c r="CS1549" s="45" t="str">
        <v>Invest</v>
      </c>
      <c r="CT1549" s="61"/>
      <c r="CU1549" s="45">
        <v>1545</v>
      </c>
      <c r="CV1549" s="45">
        <v>0</v>
      </c>
      <c r="CW1549" s="45" t="str">
        <v>Nothing</v>
      </c>
      <c r="CX1549" s="61"/>
      <c r="CY1549" s="45">
        <v>1545</v>
      </c>
      <c r="CZ1549" s="45">
        <v>7.6364424812203922</v>
      </c>
      <c r="DA1549" s="45" t="str">
        <v>Invest</v>
      </c>
      <c r="DU1549" s="52"/>
      <c r="DV1549" s="50"/>
    </row>
    <row r="1550" spans="91:126" ht="23.5">
      <c r="CM1550" s="45">
        <v>1546</v>
      </c>
      <c r="CN1550" s="48">
        <v>26.066959981915321</v>
      </c>
      <c r="CO1550" s="45" t="str">
        <v>Invest</v>
      </c>
      <c r="CP1550" s="61"/>
      <c r="CQ1550" s="45">
        <v>1546</v>
      </c>
      <c r="CR1550" s="45">
        <v>26.090172604271618</v>
      </c>
      <c r="CS1550" s="45" t="str">
        <v>Invest</v>
      </c>
      <c r="CT1550" s="61"/>
      <c r="CU1550" s="45">
        <v>1546</v>
      </c>
      <c r="CV1550" s="45">
        <v>18.513635202597044</v>
      </c>
      <c r="CW1550" s="45" t="str">
        <v>Invest</v>
      </c>
      <c r="CX1550" s="61"/>
      <c r="CY1550" s="45">
        <v>1546</v>
      </c>
      <c r="CZ1550" s="45">
        <v>21.658227290661809</v>
      </c>
      <c r="DA1550" s="45" t="str">
        <v>Invest</v>
      </c>
      <c r="DU1550" s="52"/>
      <c r="DV1550" s="50"/>
    </row>
    <row r="1551" spans="91:126" ht="23.5">
      <c r="CM1551" s="45">
        <v>1547</v>
      </c>
      <c r="CN1551" s="48">
        <v>36.53005688231233</v>
      </c>
      <c r="CO1551" s="45" t="str">
        <v>Invest</v>
      </c>
      <c r="CP1551" s="61"/>
      <c r="CQ1551" s="45">
        <v>1547</v>
      </c>
      <c r="CR1551" s="45">
        <v>16.464632801647653</v>
      </c>
      <c r="CS1551" s="45" t="str">
        <v>Invest</v>
      </c>
      <c r="CT1551" s="61"/>
      <c r="CU1551" s="45">
        <v>1547</v>
      </c>
      <c r="CV1551" s="45">
        <v>13.307745853098679</v>
      </c>
      <c r="CW1551" s="45" t="str">
        <v>Invest</v>
      </c>
      <c r="CX1551" s="61"/>
      <c r="CY1551" s="45">
        <v>1547</v>
      </c>
      <c r="CZ1551" s="45">
        <v>18.185380789734261</v>
      </c>
      <c r="DA1551" s="45" t="str">
        <v>Invest</v>
      </c>
      <c r="DU1551" s="52"/>
      <c r="DV1551" s="50"/>
    </row>
    <row r="1552" spans="91:126" ht="23.5">
      <c r="CM1552" s="45">
        <v>1548</v>
      </c>
      <c r="CN1552" s="48">
        <v>17.767891495391474</v>
      </c>
      <c r="CO1552" s="45" t="str">
        <v>Invest</v>
      </c>
      <c r="CP1552" s="61"/>
      <c r="CQ1552" s="45">
        <v>1548</v>
      </c>
      <c r="CR1552" s="45">
        <v>39.648820695566862</v>
      </c>
      <c r="CS1552" s="45" t="str">
        <v>Invest</v>
      </c>
      <c r="CT1552" s="61"/>
      <c r="CU1552" s="45">
        <v>1548</v>
      </c>
      <c r="CV1552" s="45">
        <v>31.395024737250399</v>
      </c>
      <c r="CW1552" s="45" t="str">
        <v>Invest</v>
      </c>
      <c r="CX1552" s="61"/>
      <c r="CY1552" s="45">
        <v>1548</v>
      </c>
      <c r="CZ1552" s="45">
        <v>0</v>
      </c>
      <c r="DA1552" s="45" t="str">
        <v>Nothing</v>
      </c>
      <c r="DU1552" s="52"/>
      <c r="DV1552" s="50"/>
    </row>
    <row r="1553" spans="91:126" ht="23.5">
      <c r="CM1553" s="45">
        <v>1549</v>
      </c>
      <c r="CN1553" s="48">
        <v>30.399201475523313</v>
      </c>
      <c r="CO1553" s="45" t="str">
        <v>Invest</v>
      </c>
      <c r="CP1553" s="61"/>
      <c r="CQ1553" s="45">
        <v>1549</v>
      </c>
      <c r="CR1553" s="45">
        <v>36.416091761566733</v>
      </c>
      <c r="CS1553" s="45" t="str">
        <v>Invest</v>
      </c>
      <c r="CT1553" s="61"/>
      <c r="CU1553" s="45">
        <v>1549</v>
      </c>
      <c r="CV1553" s="45">
        <v>0</v>
      </c>
      <c r="CW1553" s="45" t="str">
        <v>Nothing</v>
      </c>
      <c r="CX1553" s="61"/>
      <c r="CY1553" s="45">
        <v>1549</v>
      </c>
      <c r="CZ1553" s="45">
        <v>55.442724246767483</v>
      </c>
      <c r="DA1553" s="45" t="str">
        <v>Invest</v>
      </c>
      <c r="DU1553" s="52"/>
      <c r="DV1553" s="50"/>
    </row>
    <row r="1554" spans="91:126" ht="23.5">
      <c r="CM1554" s="45">
        <v>1550</v>
      </c>
      <c r="CN1554" s="48">
        <v>0</v>
      </c>
      <c r="CO1554" s="45" t="str">
        <v>Nothing</v>
      </c>
      <c r="CP1554" s="61"/>
      <c r="CQ1554" s="45">
        <v>1550</v>
      </c>
      <c r="CR1554" s="45">
        <v>8.4099588118870052</v>
      </c>
      <c r="CS1554" s="45" t="str">
        <v>Invest</v>
      </c>
      <c r="CT1554" s="61"/>
      <c r="CU1554" s="45">
        <v>1550</v>
      </c>
      <c r="CV1554" s="45">
        <v>22.697867782223316</v>
      </c>
      <c r="CW1554" s="45" t="str">
        <v>Invest</v>
      </c>
      <c r="CX1554" s="61"/>
      <c r="CY1554" s="45">
        <v>1550</v>
      </c>
      <c r="CZ1554" s="45">
        <v>3.0827065813992336</v>
      </c>
      <c r="DA1554" s="45" t="str">
        <v>Invest</v>
      </c>
      <c r="DU1554" s="52"/>
      <c r="DV1554" s="50"/>
    </row>
    <row r="1555" spans="91:126" ht="23.5">
      <c r="CM1555" s="45">
        <v>1551</v>
      </c>
      <c r="CN1555" s="48">
        <v>47.020368744473835</v>
      </c>
      <c r="CO1555" s="45" t="str">
        <v>Invest</v>
      </c>
      <c r="CP1555" s="61"/>
      <c r="CQ1555" s="45">
        <v>1551</v>
      </c>
      <c r="CR1555" s="45">
        <v>9.9196310858726875</v>
      </c>
      <c r="CS1555" s="45" t="str">
        <v>Invest</v>
      </c>
      <c r="CT1555" s="61"/>
      <c r="CU1555" s="45">
        <v>1551</v>
      </c>
      <c r="CV1555" s="45">
        <v>0</v>
      </c>
      <c r="CW1555" s="45" t="str">
        <v>Nothing</v>
      </c>
      <c r="CX1555" s="61"/>
      <c r="CY1555" s="45">
        <v>1551</v>
      </c>
      <c r="CZ1555" s="45">
        <v>17.629039585047863</v>
      </c>
      <c r="DA1555" s="45" t="str">
        <v>Invest</v>
      </c>
      <c r="DU1555" s="52"/>
      <c r="DV1555" s="50"/>
    </row>
    <row r="1556" spans="91:126" ht="23.5">
      <c r="CM1556" s="45">
        <v>1552</v>
      </c>
      <c r="CN1556" s="48">
        <v>0</v>
      </c>
      <c r="CO1556" s="45" t="str">
        <v>Nothing</v>
      </c>
      <c r="CP1556" s="61"/>
      <c r="CQ1556" s="45">
        <v>1552</v>
      </c>
      <c r="CR1556" s="45">
        <v>18.171252648701834</v>
      </c>
      <c r="CS1556" s="45" t="str">
        <v>Invest</v>
      </c>
      <c r="CT1556" s="61"/>
      <c r="CU1556" s="45">
        <v>1552</v>
      </c>
      <c r="CV1556" s="45">
        <v>7.0077875727227132</v>
      </c>
      <c r="CW1556" s="45" t="str">
        <v>Invest</v>
      </c>
      <c r="CX1556" s="61"/>
      <c r="CY1556" s="45">
        <v>1552</v>
      </c>
      <c r="CZ1556" s="45">
        <v>14.852567255664059</v>
      </c>
      <c r="DA1556" s="45" t="str">
        <v>Invest</v>
      </c>
      <c r="DU1556" s="52"/>
      <c r="DV1556" s="50"/>
    </row>
    <row r="1557" spans="91:126" ht="23.5">
      <c r="CM1557" s="45">
        <v>1553</v>
      </c>
      <c r="CN1557" s="48">
        <v>20.607961858026009</v>
      </c>
      <c r="CO1557" s="45" t="str">
        <v>Invest</v>
      </c>
      <c r="CP1557" s="61"/>
      <c r="CQ1557" s="45">
        <v>1553</v>
      </c>
      <c r="CR1557" s="45">
        <v>0</v>
      </c>
      <c r="CS1557" s="45" t="str">
        <v>Nothing</v>
      </c>
      <c r="CT1557" s="61"/>
      <c r="CU1557" s="45">
        <v>1553</v>
      </c>
      <c r="CV1557" s="45">
        <v>0.55415846786374257</v>
      </c>
      <c r="CW1557" s="45" t="str">
        <v>Invest</v>
      </c>
      <c r="CX1557" s="61"/>
      <c r="CY1557" s="45">
        <v>1553</v>
      </c>
      <c r="CZ1557" s="45">
        <v>1.6123391249866801</v>
      </c>
      <c r="DA1557" s="45" t="str">
        <v>Invest</v>
      </c>
      <c r="DU1557" s="52"/>
      <c r="DV1557" s="50"/>
    </row>
    <row r="1558" spans="91:126" ht="23.5">
      <c r="CM1558" s="45">
        <v>1554</v>
      </c>
      <c r="CN1558" s="48">
        <v>39.136620477927892</v>
      </c>
      <c r="CO1558" s="45" t="str">
        <v>Invest</v>
      </c>
      <c r="CP1558" s="61"/>
      <c r="CQ1558" s="45">
        <v>1554</v>
      </c>
      <c r="CR1558" s="45">
        <v>4.5940211529510542</v>
      </c>
      <c r="CS1558" s="45" t="str">
        <v>Invest</v>
      </c>
      <c r="CT1558" s="61"/>
      <c r="CU1558" s="45">
        <v>1554</v>
      </c>
      <c r="CV1558" s="45">
        <v>32.660280672035903</v>
      </c>
      <c r="CW1558" s="45" t="str">
        <v>Invest</v>
      </c>
      <c r="CX1558" s="61"/>
      <c r="CY1558" s="45">
        <v>1554</v>
      </c>
      <c r="CZ1558" s="45">
        <v>19.754887572147808</v>
      </c>
      <c r="DA1558" s="45" t="str">
        <v>Invest</v>
      </c>
      <c r="DU1558" s="52"/>
      <c r="DV1558" s="50"/>
    </row>
    <row r="1559" spans="91:126" ht="23.5">
      <c r="CM1559" s="45">
        <v>1555</v>
      </c>
      <c r="CN1559" s="48">
        <v>10.128407505395149</v>
      </c>
      <c r="CO1559" s="45" t="str">
        <v>Invest</v>
      </c>
      <c r="CP1559" s="61"/>
      <c r="CQ1559" s="45">
        <v>1555</v>
      </c>
      <c r="CR1559" s="45">
        <v>0</v>
      </c>
      <c r="CS1559" s="45" t="str">
        <v>Nothing</v>
      </c>
      <c r="CT1559" s="61"/>
      <c r="CU1559" s="45">
        <v>1555</v>
      </c>
      <c r="CV1559" s="45">
        <v>5.8711664381969673</v>
      </c>
      <c r="CW1559" s="45" t="str">
        <v>Invest</v>
      </c>
      <c r="CX1559" s="61"/>
      <c r="CY1559" s="45">
        <v>1555</v>
      </c>
      <c r="CZ1559" s="45">
        <v>46.728705933738034</v>
      </c>
      <c r="DA1559" s="45" t="str">
        <v>Invest</v>
      </c>
      <c r="DU1559" s="52"/>
      <c r="DV1559" s="50"/>
    </row>
    <row r="1560" spans="91:126" ht="23.5">
      <c r="CM1560" s="45">
        <v>1556</v>
      </c>
      <c r="CN1560" s="48">
        <v>41.043798197520431</v>
      </c>
      <c r="CO1560" s="45" t="str">
        <v>Invest</v>
      </c>
      <c r="CP1560" s="61"/>
      <c r="CQ1560" s="45">
        <v>1556</v>
      </c>
      <c r="CR1560" s="45">
        <v>2.2863297409190508</v>
      </c>
      <c r="CS1560" s="45" t="str">
        <v>Invest</v>
      </c>
      <c r="CT1560" s="61"/>
      <c r="CU1560" s="45">
        <v>1556</v>
      </c>
      <c r="CV1560" s="45">
        <v>4.0681102929041</v>
      </c>
      <c r="CW1560" s="45" t="str">
        <v>Invest</v>
      </c>
      <c r="CX1560" s="61"/>
      <c r="CY1560" s="45">
        <v>1556</v>
      </c>
      <c r="CZ1560" s="45">
        <v>0</v>
      </c>
      <c r="DA1560" s="45" t="str">
        <v>Nothing</v>
      </c>
      <c r="DU1560" s="52"/>
      <c r="DV1560" s="50"/>
    </row>
    <row r="1561" spans="91:126" ht="23.5">
      <c r="CM1561" s="45">
        <v>1557</v>
      </c>
      <c r="CN1561" s="48">
        <v>18.752692151791493</v>
      </c>
      <c r="CO1561" s="45" t="str">
        <v>Invest</v>
      </c>
      <c r="CP1561" s="61"/>
      <c r="CQ1561" s="45">
        <v>1557</v>
      </c>
      <c r="CR1561" s="45">
        <v>0</v>
      </c>
      <c r="CS1561" s="45" t="str">
        <v>Nothing</v>
      </c>
      <c r="CT1561" s="61"/>
      <c r="CU1561" s="45">
        <v>1557</v>
      </c>
      <c r="CV1561" s="45">
        <v>0</v>
      </c>
      <c r="CW1561" s="45" t="str">
        <v>Nothing</v>
      </c>
      <c r="CX1561" s="61"/>
      <c r="CY1561" s="45">
        <v>1557</v>
      </c>
      <c r="CZ1561" s="45">
        <v>0</v>
      </c>
      <c r="DA1561" s="45" t="str">
        <v>Nothing</v>
      </c>
      <c r="DU1561" s="52"/>
      <c r="DV1561" s="50"/>
    </row>
    <row r="1562" spans="91:126" ht="23.5">
      <c r="CM1562" s="45">
        <v>1558</v>
      </c>
      <c r="CN1562" s="48">
        <v>1.8833836923878664</v>
      </c>
      <c r="CO1562" s="45" t="str">
        <v>Invest</v>
      </c>
      <c r="CP1562" s="61"/>
      <c r="CQ1562" s="45">
        <v>1558</v>
      </c>
      <c r="CR1562" s="45">
        <v>61.229540685388351</v>
      </c>
      <c r="CS1562" s="45" t="str">
        <v>Invest</v>
      </c>
      <c r="CT1562" s="61"/>
      <c r="CU1562" s="45">
        <v>1558</v>
      </c>
      <c r="CV1562" s="45">
        <v>0</v>
      </c>
      <c r="CW1562" s="45" t="str">
        <v>Nothing</v>
      </c>
      <c r="CX1562" s="61"/>
      <c r="CY1562" s="45">
        <v>1558</v>
      </c>
      <c r="CZ1562" s="45">
        <v>26.395432877151137</v>
      </c>
      <c r="DA1562" s="45" t="str">
        <v>Invest</v>
      </c>
      <c r="DU1562" s="52"/>
      <c r="DV1562" s="50"/>
    </row>
    <row r="1563" spans="91:126" ht="23.5">
      <c r="CM1563" s="45">
        <v>1559</v>
      </c>
      <c r="CN1563" s="48">
        <v>29.948485829563072</v>
      </c>
      <c r="CO1563" s="45" t="str">
        <v>Invest</v>
      </c>
      <c r="CP1563" s="61"/>
      <c r="CQ1563" s="45">
        <v>1559</v>
      </c>
      <c r="CR1563" s="45">
        <v>13.88990062479256</v>
      </c>
      <c r="CS1563" s="45" t="str">
        <v>Invest</v>
      </c>
      <c r="CT1563" s="61"/>
      <c r="CU1563" s="45">
        <v>1559</v>
      </c>
      <c r="CV1563" s="45">
        <v>0</v>
      </c>
      <c r="CW1563" s="45" t="str">
        <v>Nothing</v>
      </c>
      <c r="CX1563" s="61"/>
      <c r="CY1563" s="45">
        <v>1559</v>
      </c>
      <c r="CZ1563" s="45">
        <v>2.0356342446208551</v>
      </c>
      <c r="DA1563" s="45" t="str">
        <v>Invest</v>
      </c>
      <c r="DU1563" s="52"/>
      <c r="DV1563" s="50"/>
    </row>
    <row r="1564" spans="91:126" ht="23.5">
      <c r="CM1564" s="45">
        <v>1560</v>
      </c>
      <c r="CN1564" s="48">
        <v>0</v>
      </c>
      <c r="CO1564" s="45" t="str">
        <v>Nothing</v>
      </c>
      <c r="CP1564" s="61"/>
      <c r="CQ1564" s="45">
        <v>1560</v>
      </c>
      <c r="CR1564" s="45">
        <v>0</v>
      </c>
      <c r="CS1564" s="45" t="str">
        <v>Nothing</v>
      </c>
      <c r="CT1564" s="61"/>
      <c r="CU1564" s="45">
        <v>1560</v>
      </c>
      <c r="CV1564" s="45">
        <v>8.5467568057799479</v>
      </c>
      <c r="CW1564" s="45" t="str">
        <v>Invest</v>
      </c>
      <c r="CX1564" s="61"/>
      <c r="CY1564" s="45">
        <v>1560</v>
      </c>
      <c r="CZ1564" s="45">
        <v>24.672857933378641</v>
      </c>
      <c r="DA1564" s="45" t="str">
        <v>Invest</v>
      </c>
      <c r="DU1564" s="52"/>
      <c r="DV1564" s="50"/>
    </row>
    <row r="1565" spans="91:126" ht="23.5">
      <c r="CM1565" s="45">
        <v>1561</v>
      </c>
      <c r="CN1565" s="48">
        <v>0</v>
      </c>
      <c r="CO1565" s="45" t="str">
        <v>Nothing</v>
      </c>
      <c r="CP1565" s="61"/>
      <c r="CQ1565" s="45">
        <v>1561</v>
      </c>
      <c r="CR1565" s="45">
        <v>32.148426231928624</v>
      </c>
      <c r="CS1565" s="45" t="str">
        <v>Invest</v>
      </c>
      <c r="CT1565" s="61"/>
      <c r="CU1565" s="45">
        <v>1561</v>
      </c>
      <c r="CV1565" s="45">
        <v>26.773224731823813</v>
      </c>
      <c r="CW1565" s="45" t="str">
        <v>Invest</v>
      </c>
      <c r="CX1565" s="61"/>
      <c r="CY1565" s="45">
        <v>1561</v>
      </c>
      <c r="CZ1565" s="45">
        <v>27.892238084445118</v>
      </c>
      <c r="DA1565" s="45" t="str">
        <v>Invest</v>
      </c>
      <c r="DU1565" s="52"/>
      <c r="DV1565" s="50"/>
    </row>
    <row r="1566" spans="91:126" ht="23.5">
      <c r="CM1566" s="45">
        <v>1562</v>
      </c>
      <c r="CN1566" s="48">
        <v>25.166536308678712</v>
      </c>
      <c r="CO1566" s="45" t="str">
        <v>Invest</v>
      </c>
      <c r="CP1566" s="61"/>
      <c r="CQ1566" s="45">
        <v>1562</v>
      </c>
      <c r="CR1566" s="45">
        <v>0</v>
      </c>
      <c r="CS1566" s="45" t="str">
        <v>Nothing</v>
      </c>
      <c r="CT1566" s="61"/>
      <c r="CU1566" s="45">
        <v>1562</v>
      </c>
      <c r="CV1566" s="45">
        <v>14.257131863175275</v>
      </c>
      <c r="CW1566" s="45" t="str">
        <v>Invest</v>
      </c>
      <c r="CX1566" s="61"/>
      <c r="CY1566" s="45">
        <v>1562</v>
      </c>
      <c r="CZ1566" s="45">
        <v>35.903637050589076</v>
      </c>
      <c r="DA1566" s="45" t="str">
        <v>Invest</v>
      </c>
      <c r="DU1566" s="52"/>
      <c r="DV1566" s="50"/>
    </row>
    <row r="1567" spans="91:126" ht="23.5">
      <c r="CM1567" s="45">
        <v>1563</v>
      </c>
      <c r="CN1567" s="48">
        <v>38.661417663175015</v>
      </c>
      <c r="CO1567" s="45" t="str">
        <v>Invest</v>
      </c>
      <c r="CP1567" s="61"/>
      <c r="CQ1567" s="45">
        <v>1563</v>
      </c>
      <c r="CR1567" s="45">
        <v>0</v>
      </c>
      <c r="CS1567" s="45" t="str">
        <v>Nothing</v>
      </c>
      <c r="CT1567" s="61"/>
      <c r="CU1567" s="45">
        <v>1563</v>
      </c>
      <c r="CV1567" s="45">
        <v>4.3941660581720718</v>
      </c>
      <c r="CW1567" s="45" t="str">
        <v>Invest</v>
      </c>
      <c r="CX1567" s="61"/>
      <c r="CY1567" s="45">
        <v>1563</v>
      </c>
      <c r="CZ1567" s="45">
        <v>0</v>
      </c>
      <c r="DA1567" s="45" t="str">
        <v>Nothing</v>
      </c>
      <c r="DU1567" s="52"/>
      <c r="DV1567" s="50"/>
    </row>
    <row r="1568" spans="91:126" ht="23.5">
      <c r="CM1568" s="45">
        <v>1564</v>
      </c>
      <c r="CN1568" s="48">
        <v>0</v>
      </c>
      <c r="CO1568" s="45" t="str">
        <v>Nothing</v>
      </c>
      <c r="CP1568" s="61"/>
      <c r="CQ1568" s="45">
        <v>1564</v>
      </c>
      <c r="CR1568" s="45">
        <v>1.9474996817536603</v>
      </c>
      <c r="CS1568" s="45" t="str">
        <v>Invest</v>
      </c>
      <c r="CT1568" s="61"/>
      <c r="CU1568" s="45">
        <v>1564</v>
      </c>
      <c r="CV1568" s="45">
        <v>1.6270460788881236</v>
      </c>
      <c r="CW1568" s="45" t="str">
        <v>Invest</v>
      </c>
      <c r="CX1568" s="61"/>
      <c r="CY1568" s="45">
        <v>1564</v>
      </c>
      <c r="CZ1568" s="45">
        <v>0</v>
      </c>
      <c r="DA1568" s="45" t="str">
        <v>Nothing</v>
      </c>
      <c r="DU1568" s="52"/>
      <c r="DV1568" s="50"/>
    </row>
    <row r="1569" spans="91:126" ht="23.5">
      <c r="CM1569" s="45">
        <v>1565</v>
      </c>
      <c r="CN1569" s="48">
        <v>43.57727105315255</v>
      </c>
      <c r="CO1569" s="45" t="str">
        <v>Invest</v>
      </c>
      <c r="CP1569" s="61"/>
      <c r="CQ1569" s="45">
        <v>1565</v>
      </c>
      <c r="CR1569" s="45">
        <v>0</v>
      </c>
      <c r="CS1569" s="45" t="str">
        <v>Nothing</v>
      </c>
      <c r="CT1569" s="61"/>
      <c r="CU1569" s="45">
        <v>1565</v>
      </c>
      <c r="CV1569" s="45">
        <v>16.149428850997253</v>
      </c>
      <c r="CW1569" s="45" t="str">
        <v>Invest</v>
      </c>
      <c r="CX1569" s="61"/>
      <c r="CY1569" s="45">
        <v>1565</v>
      </c>
      <c r="CZ1569" s="45">
        <v>27.481728522708842</v>
      </c>
      <c r="DA1569" s="45" t="str">
        <v>Invest</v>
      </c>
      <c r="DU1569" s="52"/>
      <c r="DV1569" s="50"/>
    </row>
    <row r="1570" spans="91:126" ht="23.5">
      <c r="CM1570" s="45">
        <v>1566</v>
      </c>
      <c r="CN1570" s="48">
        <v>0</v>
      </c>
      <c r="CO1570" s="45" t="str">
        <v>Nothing</v>
      </c>
      <c r="CP1570" s="61"/>
      <c r="CQ1570" s="45">
        <v>1566</v>
      </c>
      <c r="CR1570" s="45">
        <v>30.438662927180907</v>
      </c>
      <c r="CS1570" s="45" t="str">
        <v>Invest</v>
      </c>
      <c r="CT1570" s="61"/>
      <c r="CU1570" s="45">
        <v>1566</v>
      </c>
      <c r="CV1570" s="45">
        <v>36.014856535893159</v>
      </c>
      <c r="CW1570" s="45" t="str">
        <v>Invest</v>
      </c>
      <c r="CX1570" s="61"/>
      <c r="CY1570" s="45">
        <v>1566</v>
      </c>
      <c r="CZ1570" s="45">
        <v>32.710865129827987</v>
      </c>
      <c r="DA1570" s="45" t="str">
        <v>Invest</v>
      </c>
      <c r="DU1570" s="52"/>
      <c r="DV1570" s="50"/>
    </row>
    <row r="1571" spans="91:126" ht="23.5">
      <c r="CM1571" s="45">
        <v>1567</v>
      </c>
      <c r="CN1571" s="48">
        <v>22.097583655238388</v>
      </c>
      <c r="CO1571" s="45" t="str">
        <v>Invest</v>
      </c>
      <c r="CP1571" s="61"/>
      <c r="CQ1571" s="45">
        <v>1567</v>
      </c>
      <c r="CR1571" s="45">
        <v>51.394649472914288</v>
      </c>
      <c r="CS1571" s="45" t="str">
        <v>Invest</v>
      </c>
      <c r="CT1571" s="61"/>
      <c r="CU1571" s="45">
        <v>1567</v>
      </c>
      <c r="CV1571" s="45">
        <v>1.3634628923799674</v>
      </c>
      <c r="CW1571" s="45" t="str">
        <v>Invest</v>
      </c>
      <c r="CX1571" s="61"/>
      <c r="CY1571" s="45">
        <v>1567</v>
      </c>
      <c r="CZ1571" s="45">
        <v>19.632661790077595</v>
      </c>
      <c r="DA1571" s="45" t="str">
        <v>Invest</v>
      </c>
      <c r="DU1571" s="52"/>
      <c r="DV1571" s="50"/>
    </row>
    <row r="1572" spans="91:126" ht="23.5">
      <c r="CM1572" s="45">
        <v>1568</v>
      </c>
      <c r="CN1572" s="48">
        <v>15.799962622309717</v>
      </c>
      <c r="CO1572" s="45" t="str">
        <v>Invest</v>
      </c>
      <c r="CP1572" s="61"/>
      <c r="CQ1572" s="45">
        <v>1568</v>
      </c>
      <c r="CR1572" s="45">
        <v>11.475050490179004</v>
      </c>
      <c r="CS1572" s="45" t="str">
        <v>Invest</v>
      </c>
      <c r="CT1572" s="61"/>
      <c r="CU1572" s="45">
        <v>1568</v>
      </c>
      <c r="CV1572" s="45">
        <v>27.341080653890394</v>
      </c>
      <c r="CW1572" s="45" t="str">
        <v>Invest</v>
      </c>
      <c r="CX1572" s="61"/>
      <c r="CY1572" s="45">
        <v>1568</v>
      </c>
      <c r="CZ1572" s="45">
        <v>8.0134068615413057</v>
      </c>
      <c r="DA1572" s="45" t="str">
        <v>Invest</v>
      </c>
      <c r="DU1572" s="52"/>
      <c r="DV1572" s="50"/>
    </row>
    <row r="1573" spans="91:126" ht="23.5">
      <c r="CM1573" s="45">
        <v>1569</v>
      </c>
      <c r="CN1573" s="48">
        <v>6.4044690276024951</v>
      </c>
      <c r="CO1573" s="45" t="str">
        <v>Invest</v>
      </c>
      <c r="CP1573" s="61"/>
      <c r="CQ1573" s="45">
        <v>1569</v>
      </c>
      <c r="CR1573" s="45">
        <v>17.456607432220764</v>
      </c>
      <c r="CS1573" s="45" t="str">
        <v>Invest</v>
      </c>
      <c r="CT1573" s="61"/>
      <c r="CU1573" s="45">
        <v>1569</v>
      </c>
      <c r="CV1573" s="45">
        <v>0</v>
      </c>
      <c r="CW1573" s="45" t="str">
        <v>Nothing</v>
      </c>
      <c r="CX1573" s="61"/>
      <c r="CY1573" s="45">
        <v>1569</v>
      </c>
      <c r="CZ1573" s="45">
        <v>18.365407684686527</v>
      </c>
      <c r="DA1573" s="45" t="str">
        <v>Invest</v>
      </c>
      <c r="DU1573" s="52"/>
      <c r="DV1573" s="50"/>
    </row>
    <row r="1574" spans="91:126" ht="23.5">
      <c r="CM1574" s="45">
        <v>1570</v>
      </c>
      <c r="CN1574" s="48">
        <v>37.735478108059027</v>
      </c>
      <c r="CO1574" s="45" t="str">
        <v>Invest</v>
      </c>
      <c r="CP1574" s="61"/>
      <c r="CQ1574" s="45">
        <v>1570</v>
      </c>
      <c r="CR1574" s="45">
        <v>54.286759207543859</v>
      </c>
      <c r="CS1574" s="45" t="str">
        <v>Invest</v>
      </c>
      <c r="CT1574" s="61"/>
      <c r="CU1574" s="45">
        <v>1570</v>
      </c>
      <c r="CV1574" s="45">
        <v>0</v>
      </c>
      <c r="CW1574" s="45" t="str">
        <v>Nothing</v>
      </c>
      <c r="CX1574" s="61"/>
      <c r="CY1574" s="45">
        <v>1570</v>
      </c>
      <c r="CZ1574" s="45">
        <v>0</v>
      </c>
      <c r="DA1574" s="45" t="str">
        <v>Nothing</v>
      </c>
      <c r="DU1574" s="52"/>
      <c r="DV1574" s="50"/>
    </row>
    <row r="1575" spans="91:126" ht="23.5">
      <c r="CM1575" s="45">
        <v>1571</v>
      </c>
      <c r="CN1575" s="48">
        <v>9.9469859884047125</v>
      </c>
      <c r="CO1575" s="45" t="str">
        <v>Invest</v>
      </c>
      <c r="CP1575" s="61"/>
      <c r="CQ1575" s="45">
        <v>1571</v>
      </c>
      <c r="CR1575" s="45">
        <v>11.313868185956693</v>
      </c>
      <c r="CS1575" s="45" t="str">
        <v>Invest</v>
      </c>
      <c r="CT1575" s="61"/>
      <c r="CU1575" s="45">
        <v>1571</v>
      </c>
      <c r="CV1575" s="45">
        <v>20.345055421020277</v>
      </c>
      <c r="CW1575" s="45" t="str">
        <v>Invest</v>
      </c>
      <c r="CX1575" s="61"/>
      <c r="CY1575" s="45">
        <v>1571</v>
      </c>
      <c r="CZ1575" s="45">
        <v>39.215866245479518</v>
      </c>
      <c r="DA1575" s="45" t="str">
        <v>Invest</v>
      </c>
      <c r="DU1575" s="52"/>
      <c r="DV1575" s="50"/>
    </row>
    <row r="1576" spans="91:126" ht="23.5">
      <c r="CM1576" s="45">
        <v>1572</v>
      </c>
      <c r="CN1576" s="48">
        <v>17.150132287010479</v>
      </c>
      <c r="CO1576" s="45" t="str">
        <v>Invest</v>
      </c>
      <c r="CP1576" s="61"/>
      <c r="CQ1576" s="45">
        <v>1572</v>
      </c>
      <c r="CR1576" s="45">
        <v>13.689196855847708</v>
      </c>
      <c r="CS1576" s="45" t="str">
        <v>Invest</v>
      </c>
      <c r="CT1576" s="61"/>
      <c r="CU1576" s="45">
        <v>1572</v>
      </c>
      <c r="CV1576" s="45">
        <v>0</v>
      </c>
      <c r="CW1576" s="45" t="str">
        <v>Nothing</v>
      </c>
      <c r="CX1576" s="61"/>
      <c r="CY1576" s="45">
        <v>1572</v>
      </c>
      <c r="CZ1576" s="45">
        <v>7.1678727333066377</v>
      </c>
      <c r="DA1576" s="45" t="str">
        <v>Invest</v>
      </c>
      <c r="DU1576" s="52"/>
      <c r="DV1576" s="50"/>
    </row>
    <row r="1577" spans="91:126" ht="23.5">
      <c r="CM1577" s="45">
        <v>1573</v>
      </c>
      <c r="CN1577" s="48">
        <v>24.713340098909402</v>
      </c>
      <c r="CO1577" s="45" t="str">
        <v>Invest</v>
      </c>
      <c r="CP1577" s="61"/>
      <c r="CQ1577" s="45">
        <v>1573</v>
      </c>
      <c r="CR1577" s="45">
        <v>0</v>
      </c>
      <c r="CS1577" s="45" t="str">
        <v>Nothing</v>
      </c>
      <c r="CT1577" s="61"/>
      <c r="CU1577" s="45">
        <v>1573</v>
      </c>
      <c r="CV1577" s="45">
        <v>6.5551345127919891</v>
      </c>
      <c r="CW1577" s="45" t="str">
        <v>Invest</v>
      </c>
      <c r="CX1577" s="61"/>
      <c r="CY1577" s="45">
        <v>1573</v>
      </c>
      <c r="CZ1577" s="45">
        <v>42.732729934491459</v>
      </c>
      <c r="DA1577" s="45" t="str">
        <v>Invest</v>
      </c>
      <c r="DU1577" s="52"/>
      <c r="DV1577" s="50"/>
    </row>
    <row r="1578" spans="91:126" ht="23.5">
      <c r="CM1578" s="45">
        <v>1574</v>
      </c>
      <c r="CN1578" s="48">
        <v>12.338955398861906</v>
      </c>
      <c r="CO1578" s="45" t="str">
        <v>Invest</v>
      </c>
      <c r="CP1578" s="61"/>
      <c r="CQ1578" s="45">
        <v>1574</v>
      </c>
      <c r="CR1578" s="45">
        <v>34.254496694051021</v>
      </c>
      <c r="CS1578" s="45" t="str">
        <v>Invest</v>
      </c>
      <c r="CT1578" s="61"/>
      <c r="CU1578" s="45">
        <v>1574</v>
      </c>
      <c r="CV1578" s="45">
        <v>0</v>
      </c>
      <c r="CW1578" s="45" t="str">
        <v>Nothing</v>
      </c>
      <c r="CX1578" s="61"/>
      <c r="CY1578" s="45">
        <v>1574</v>
      </c>
      <c r="CZ1578" s="45">
        <v>0</v>
      </c>
      <c r="DA1578" s="45" t="str">
        <v>Nothing</v>
      </c>
      <c r="DU1578" s="52"/>
      <c r="DV1578" s="50"/>
    </row>
    <row r="1579" spans="91:126" ht="23.5">
      <c r="CM1579" s="45">
        <v>1575</v>
      </c>
      <c r="CN1579" s="48">
        <v>43.935295229974223</v>
      </c>
      <c r="CO1579" s="45" t="str">
        <v>Invest</v>
      </c>
      <c r="CP1579" s="61"/>
      <c r="CQ1579" s="45">
        <v>1575</v>
      </c>
      <c r="CR1579" s="45">
        <v>4.9634834016140612</v>
      </c>
      <c r="CS1579" s="45" t="str">
        <v>Invest</v>
      </c>
      <c r="CT1579" s="61"/>
      <c r="CU1579" s="45">
        <v>1575</v>
      </c>
      <c r="CV1579" s="45">
        <v>35.579606487616616</v>
      </c>
      <c r="CW1579" s="45" t="str">
        <v>Invest</v>
      </c>
      <c r="CX1579" s="61"/>
      <c r="CY1579" s="45">
        <v>1575</v>
      </c>
      <c r="CZ1579" s="45">
        <v>25.42621069340835</v>
      </c>
      <c r="DA1579" s="45" t="str">
        <v>Invest</v>
      </c>
      <c r="DU1579" s="52"/>
      <c r="DV1579" s="50"/>
    </row>
    <row r="1580" spans="91:126" ht="23.5">
      <c r="CM1580" s="45">
        <v>1576</v>
      </c>
      <c r="CN1580" s="48">
        <v>39.260752441834441</v>
      </c>
      <c r="CO1580" s="45" t="str">
        <v>Invest</v>
      </c>
      <c r="CP1580" s="61"/>
      <c r="CQ1580" s="45">
        <v>1576</v>
      </c>
      <c r="CR1580" s="45">
        <v>41.2580722569475</v>
      </c>
      <c r="CS1580" s="45" t="str">
        <v>Invest</v>
      </c>
      <c r="CT1580" s="61"/>
      <c r="CU1580" s="45">
        <v>1576</v>
      </c>
      <c r="CV1580" s="45">
        <v>25.449657534121087</v>
      </c>
      <c r="CW1580" s="45" t="str">
        <v>Invest</v>
      </c>
      <c r="CX1580" s="61"/>
      <c r="CY1580" s="45">
        <v>1576</v>
      </c>
      <c r="CZ1580" s="45">
        <v>18.858621853639796</v>
      </c>
      <c r="DA1580" s="45" t="str">
        <v>Invest</v>
      </c>
      <c r="DU1580" s="52"/>
      <c r="DV1580" s="50"/>
    </row>
    <row r="1581" spans="91:126" ht="23.5">
      <c r="CM1581" s="45">
        <v>1577</v>
      </c>
      <c r="CN1581" s="48">
        <v>30.618898700396695</v>
      </c>
      <c r="CO1581" s="45" t="str">
        <v>Invest</v>
      </c>
      <c r="CP1581" s="61"/>
      <c r="CQ1581" s="45">
        <v>1577</v>
      </c>
      <c r="CR1581" s="45">
        <v>0</v>
      </c>
      <c r="CS1581" s="45" t="str">
        <v>Nothing</v>
      </c>
      <c r="CT1581" s="61"/>
      <c r="CU1581" s="45">
        <v>1577</v>
      </c>
      <c r="CV1581" s="45">
        <v>9.1195995826185623</v>
      </c>
      <c r="CW1581" s="45" t="str">
        <v>Invest</v>
      </c>
      <c r="CX1581" s="61"/>
      <c r="CY1581" s="45">
        <v>1577</v>
      </c>
      <c r="CZ1581" s="45">
        <v>30.470979138615455</v>
      </c>
      <c r="DA1581" s="45" t="str">
        <v>Invest</v>
      </c>
      <c r="DU1581" s="52"/>
      <c r="DV1581" s="50"/>
    </row>
    <row r="1582" spans="91:126" ht="23.5">
      <c r="CM1582" s="45">
        <v>1578</v>
      </c>
      <c r="CN1582" s="48">
        <v>17.895224127035576</v>
      </c>
      <c r="CO1582" s="45" t="str">
        <v>Invest</v>
      </c>
      <c r="CP1582" s="61"/>
      <c r="CQ1582" s="45">
        <v>1578</v>
      </c>
      <c r="CR1582" s="45">
        <v>4.6390643783842966</v>
      </c>
      <c r="CS1582" s="45" t="str">
        <v>Invest</v>
      </c>
      <c r="CT1582" s="61"/>
      <c r="CU1582" s="45">
        <v>1578</v>
      </c>
      <c r="CV1582" s="45">
        <v>0</v>
      </c>
      <c r="CW1582" s="45" t="str">
        <v>Nothing</v>
      </c>
      <c r="CX1582" s="61"/>
      <c r="CY1582" s="45">
        <v>1578</v>
      </c>
      <c r="CZ1582" s="45">
        <v>5.7199531937337511E-2</v>
      </c>
      <c r="DA1582" s="45" t="str">
        <v>Invest</v>
      </c>
      <c r="DU1582" s="52"/>
      <c r="DV1582" s="50"/>
    </row>
    <row r="1583" spans="91:126" ht="23.5">
      <c r="CM1583" s="45">
        <v>1579</v>
      </c>
      <c r="CN1583" s="48">
        <v>0</v>
      </c>
      <c r="CO1583" s="45" t="str">
        <v>Nothing</v>
      </c>
      <c r="CP1583" s="61"/>
      <c r="CQ1583" s="45">
        <v>1579</v>
      </c>
      <c r="CR1583" s="45">
        <v>15.514101614459044</v>
      </c>
      <c r="CS1583" s="45" t="str">
        <v>Invest</v>
      </c>
      <c r="CT1583" s="61"/>
      <c r="CU1583" s="45">
        <v>1579</v>
      </c>
      <c r="CV1583" s="45">
        <v>55.283629275296661</v>
      </c>
      <c r="CW1583" s="45" t="str">
        <v>Invest</v>
      </c>
      <c r="CX1583" s="61"/>
      <c r="CY1583" s="45">
        <v>1579</v>
      </c>
      <c r="CZ1583" s="45">
        <v>23.294441572232955</v>
      </c>
      <c r="DA1583" s="45" t="str">
        <v>Invest</v>
      </c>
      <c r="DU1583" s="52"/>
      <c r="DV1583" s="50"/>
    </row>
    <row r="1584" spans="91:126" ht="23.5">
      <c r="CM1584" s="45">
        <v>1580</v>
      </c>
      <c r="CN1584" s="48">
        <v>13.442598527094912</v>
      </c>
      <c r="CO1584" s="45" t="str">
        <v>Invest</v>
      </c>
      <c r="CP1584" s="61"/>
      <c r="CQ1584" s="45">
        <v>1580</v>
      </c>
      <c r="CR1584" s="45">
        <v>0</v>
      </c>
      <c r="CS1584" s="45" t="str">
        <v>Nothing</v>
      </c>
      <c r="CT1584" s="61"/>
      <c r="CU1584" s="45">
        <v>1580</v>
      </c>
      <c r="CV1584" s="45">
        <v>33.494261055161246</v>
      </c>
      <c r="CW1584" s="45" t="str">
        <v>Invest</v>
      </c>
      <c r="CX1584" s="61"/>
      <c r="CY1584" s="45">
        <v>1580</v>
      </c>
      <c r="CZ1584" s="45">
        <v>2.4056569119317928</v>
      </c>
      <c r="DA1584" s="45" t="str">
        <v>Invest</v>
      </c>
      <c r="DU1584" s="52"/>
      <c r="DV1584" s="50"/>
    </row>
    <row r="1585" spans="91:126" ht="23.5">
      <c r="CM1585" s="45">
        <v>1581</v>
      </c>
      <c r="CN1585" s="48">
        <v>8.769805972988248</v>
      </c>
      <c r="CO1585" s="45" t="str">
        <v>Invest</v>
      </c>
      <c r="CP1585" s="61"/>
      <c r="CQ1585" s="45">
        <v>1581</v>
      </c>
      <c r="CR1585" s="45">
        <v>5.9407422055468047</v>
      </c>
      <c r="CS1585" s="45" t="str">
        <v>Invest</v>
      </c>
      <c r="CT1585" s="61"/>
      <c r="CU1585" s="45">
        <v>1581</v>
      </c>
      <c r="CV1585" s="45">
        <v>0</v>
      </c>
      <c r="CW1585" s="45" t="str">
        <v>Nothing</v>
      </c>
      <c r="CX1585" s="61"/>
      <c r="CY1585" s="45">
        <v>1581</v>
      </c>
      <c r="CZ1585" s="45">
        <v>24.203269512047701</v>
      </c>
      <c r="DA1585" s="45" t="str">
        <v>Invest</v>
      </c>
      <c r="DU1585" s="52"/>
      <c r="DV1585" s="50"/>
    </row>
    <row r="1586" spans="91:126" ht="23.5">
      <c r="CM1586" s="45">
        <v>1582</v>
      </c>
      <c r="CN1586" s="48">
        <v>25.75374176042423</v>
      </c>
      <c r="CO1586" s="45" t="str">
        <v>Invest</v>
      </c>
      <c r="CP1586" s="61"/>
      <c r="CQ1586" s="45">
        <v>1582</v>
      </c>
      <c r="CR1586" s="45">
        <v>15.318612629550604</v>
      </c>
      <c r="CS1586" s="45" t="str">
        <v>Invest</v>
      </c>
      <c r="CT1586" s="61"/>
      <c r="CU1586" s="45">
        <v>1582</v>
      </c>
      <c r="CV1586" s="45">
        <v>23.632024037051046</v>
      </c>
      <c r="CW1586" s="45" t="str">
        <v>Invest</v>
      </c>
      <c r="CX1586" s="61"/>
      <c r="CY1586" s="45">
        <v>1582</v>
      </c>
      <c r="CZ1586" s="45">
        <v>9.6376561765763835</v>
      </c>
      <c r="DA1586" s="45" t="str">
        <v>Invest</v>
      </c>
      <c r="DU1586" s="52"/>
      <c r="DV1586" s="50"/>
    </row>
    <row r="1587" spans="91:126" ht="23.5">
      <c r="CM1587" s="45">
        <v>1583</v>
      </c>
      <c r="CN1587" s="48">
        <v>0</v>
      </c>
      <c r="CO1587" s="45" t="str">
        <v>Nothing</v>
      </c>
      <c r="CP1587" s="61"/>
      <c r="CQ1587" s="45">
        <v>1583</v>
      </c>
      <c r="CR1587" s="45">
        <v>25.933867969515259</v>
      </c>
      <c r="CS1587" s="45" t="str">
        <v>Invest</v>
      </c>
      <c r="CT1587" s="61"/>
      <c r="CU1587" s="45">
        <v>1583</v>
      </c>
      <c r="CV1587" s="45">
        <v>40.996651382694829</v>
      </c>
      <c r="CW1587" s="45" t="str">
        <v>Invest</v>
      </c>
      <c r="CX1587" s="61"/>
      <c r="CY1587" s="45">
        <v>1583</v>
      </c>
      <c r="CZ1587" s="45">
        <v>7.4349898211465923</v>
      </c>
      <c r="DA1587" s="45" t="str">
        <v>Invest</v>
      </c>
      <c r="DU1587" s="52"/>
      <c r="DV1587" s="50"/>
    </row>
    <row r="1588" spans="91:126" ht="23.5">
      <c r="CM1588" s="45">
        <v>1584</v>
      </c>
      <c r="CN1588" s="48">
        <v>45.76849911198557</v>
      </c>
      <c r="CO1588" s="45" t="str">
        <v>Invest</v>
      </c>
      <c r="CP1588" s="61"/>
      <c r="CQ1588" s="45">
        <v>1584</v>
      </c>
      <c r="CR1588" s="45">
        <v>0</v>
      </c>
      <c r="CS1588" s="45" t="str">
        <v>Nothing</v>
      </c>
      <c r="CT1588" s="61"/>
      <c r="CU1588" s="45">
        <v>1584</v>
      </c>
      <c r="CV1588" s="45">
        <v>24.315713762389038</v>
      </c>
      <c r="CW1588" s="45" t="str">
        <v>Invest</v>
      </c>
      <c r="CX1588" s="61"/>
      <c r="CY1588" s="45">
        <v>1584</v>
      </c>
      <c r="CZ1588" s="45">
        <v>26.823729667532142</v>
      </c>
      <c r="DA1588" s="45" t="str">
        <v>Invest</v>
      </c>
      <c r="DU1588" s="52"/>
      <c r="DV1588" s="50"/>
    </row>
    <row r="1589" spans="91:126" ht="23.5">
      <c r="CM1589" s="45">
        <v>1585</v>
      </c>
      <c r="CN1589" s="48">
        <v>0</v>
      </c>
      <c r="CO1589" s="45" t="str">
        <v>Nothing</v>
      </c>
      <c r="CP1589" s="61"/>
      <c r="CQ1589" s="45">
        <v>1585</v>
      </c>
      <c r="CR1589" s="45">
        <v>52.823696882827981</v>
      </c>
      <c r="CS1589" s="45" t="str">
        <v>Invest</v>
      </c>
      <c r="CT1589" s="61"/>
      <c r="CU1589" s="45">
        <v>1585</v>
      </c>
      <c r="CV1589" s="45">
        <v>28.564148293811616</v>
      </c>
      <c r="CW1589" s="45" t="str">
        <v>Invest</v>
      </c>
      <c r="CX1589" s="61"/>
      <c r="CY1589" s="45">
        <v>1585</v>
      </c>
      <c r="CZ1589" s="45">
        <v>0</v>
      </c>
      <c r="DA1589" s="45" t="str">
        <v>Nothing</v>
      </c>
      <c r="DU1589" s="52"/>
      <c r="DV1589" s="50"/>
    </row>
    <row r="1590" spans="91:126" ht="23.5">
      <c r="CM1590" s="45">
        <v>1586</v>
      </c>
      <c r="CN1590" s="48">
        <v>0</v>
      </c>
      <c r="CO1590" s="45" t="str">
        <v>Nothing</v>
      </c>
      <c r="CP1590" s="61"/>
      <c r="CQ1590" s="45">
        <v>1586</v>
      </c>
      <c r="CR1590" s="45">
        <v>12.965532193644055</v>
      </c>
      <c r="CS1590" s="45" t="str">
        <v>Invest</v>
      </c>
      <c r="CT1590" s="61"/>
      <c r="CU1590" s="45">
        <v>1586</v>
      </c>
      <c r="CV1590" s="45">
        <v>10.631862528585902</v>
      </c>
      <c r="CW1590" s="45" t="str">
        <v>Invest</v>
      </c>
      <c r="CX1590" s="61"/>
      <c r="CY1590" s="45">
        <v>1586</v>
      </c>
      <c r="CZ1590" s="45">
        <v>0</v>
      </c>
      <c r="DA1590" s="45" t="str">
        <v>Nothing</v>
      </c>
      <c r="DU1590" s="52"/>
      <c r="DV1590" s="50"/>
    </row>
    <row r="1591" spans="91:126" ht="23.5">
      <c r="CM1591" s="45">
        <v>1587</v>
      </c>
      <c r="CN1591" s="48">
        <v>50.570457395154655</v>
      </c>
      <c r="CO1591" s="45" t="str">
        <v>Invest</v>
      </c>
      <c r="CP1591" s="61"/>
      <c r="CQ1591" s="45">
        <v>1587</v>
      </c>
      <c r="CR1591" s="45">
        <v>11.20177039000499</v>
      </c>
      <c r="CS1591" s="45" t="str">
        <v>Invest</v>
      </c>
      <c r="CT1591" s="61"/>
      <c r="CU1591" s="45">
        <v>1587</v>
      </c>
      <c r="CV1591" s="45">
        <v>7.2710933773727842</v>
      </c>
      <c r="CW1591" s="45" t="str">
        <v>Invest</v>
      </c>
      <c r="CX1591" s="61"/>
      <c r="CY1591" s="45">
        <v>1587</v>
      </c>
      <c r="CZ1591" s="45">
        <v>13.856857074160358</v>
      </c>
      <c r="DA1591" s="45" t="str">
        <v>Invest</v>
      </c>
      <c r="DU1591" s="52"/>
      <c r="DV1591" s="50"/>
    </row>
    <row r="1592" spans="91:126" ht="23.5">
      <c r="CM1592" s="45">
        <v>1588</v>
      </c>
      <c r="CN1592" s="48">
        <v>30.280896490689962</v>
      </c>
      <c r="CO1592" s="45" t="str">
        <v>Invest</v>
      </c>
      <c r="CP1592" s="61"/>
      <c r="CQ1592" s="45">
        <v>1588</v>
      </c>
      <c r="CR1592" s="45">
        <v>0</v>
      </c>
      <c r="CS1592" s="45" t="str">
        <v>Nothing</v>
      </c>
      <c r="CT1592" s="61"/>
      <c r="CU1592" s="45">
        <v>1588</v>
      </c>
      <c r="CV1592" s="45">
        <v>24.376855172894942</v>
      </c>
      <c r="CW1592" s="45" t="str">
        <v>Invest</v>
      </c>
      <c r="CX1592" s="61"/>
      <c r="CY1592" s="45">
        <v>1588</v>
      </c>
      <c r="CZ1592" s="45">
        <v>43.012402245592305</v>
      </c>
      <c r="DA1592" s="45" t="str">
        <v>Invest</v>
      </c>
      <c r="DU1592" s="52"/>
      <c r="DV1592" s="50"/>
    </row>
    <row r="1593" spans="91:126" ht="23.5">
      <c r="CM1593" s="45">
        <v>1589</v>
      </c>
      <c r="CN1593" s="48">
        <v>7.6324958369340177</v>
      </c>
      <c r="CO1593" s="45" t="str">
        <v>Invest</v>
      </c>
      <c r="CP1593" s="61"/>
      <c r="CQ1593" s="45">
        <v>1589</v>
      </c>
      <c r="CR1593" s="45">
        <v>26.887727829444025</v>
      </c>
      <c r="CS1593" s="45" t="str">
        <v>Invest</v>
      </c>
      <c r="CT1593" s="61"/>
      <c r="CU1593" s="45">
        <v>1589</v>
      </c>
      <c r="CV1593" s="45">
        <v>0</v>
      </c>
      <c r="CW1593" s="45" t="str">
        <v>Nothing</v>
      </c>
      <c r="CX1593" s="61"/>
      <c r="CY1593" s="45">
        <v>1589</v>
      </c>
      <c r="CZ1593" s="45">
        <v>38.114798042797524</v>
      </c>
      <c r="DA1593" s="45" t="str">
        <v>Invest</v>
      </c>
      <c r="DU1593" s="52"/>
      <c r="DV1593" s="50"/>
    </row>
    <row r="1594" spans="91:126" ht="23.5">
      <c r="CM1594" s="45">
        <v>1590</v>
      </c>
      <c r="CN1594" s="48">
        <v>0</v>
      </c>
      <c r="CO1594" s="45" t="str">
        <v>Nothing</v>
      </c>
      <c r="CP1594" s="61"/>
      <c r="CQ1594" s="45">
        <v>1590</v>
      </c>
      <c r="CR1594" s="45">
        <v>28.960988713893123</v>
      </c>
      <c r="CS1594" s="45" t="str">
        <v>Invest</v>
      </c>
      <c r="CT1594" s="61"/>
      <c r="CU1594" s="45">
        <v>1590</v>
      </c>
      <c r="CV1594" s="45">
        <v>0</v>
      </c>
      <c r="CW1594" s="45" t="str">
        <v>Nothing</v>
      </c>
      <c r="CX1594" s="61"/>
      <c r="CY1594" s="45">
        <v>1590</v>
      </c>
      <c r="CZ1594" s="45">
        <v>0</v>
      </c>
      <c r="DA1594" s="45" t="str">
        <v>Nothing</v>
      </c>
      <c r="DU1594" s="52"/>
      <c r="DV1594" s="50"/>
    </row>
    <row r="1595" spans="91:126" ht="23.5">
      <c r="CM1595" s="45">
        <v>1591</v>
      </c>
      <c r="CN1595" s="48">
        <v>0</v>
      </c>
      <c r="CO1595" s="45" t="str">
        <v>Nothing</v>
      </c>
      <c r="CP1595" s="61"/>
      <c r="CQ1595" s="45">
        <v>1591</v>
      </c>
      <c r="CR1595" s="45">
        <v>11.95019730162752</v>
      </c>
      <c r="CS1595" s="45" t="str">
        <v>Invest</v>
      </c>
      <c r="CT1595" s="61"/>
      <c r="CU1595" s="45">
        <v>1591</v>
      </c>
      <c r="CV1595" s="45">
        <v>6.6639638767526925</v>
      </c>
      <c r="CW1595" s="45" t="str">
        <v>Invest</v>
      </c>
      <c r="CX1595" s="61"/>
      <c r="CY1595" s="45">
        <v>1591</v>
      </c>
      <c r="CZ1595" s="45">
        <v>23.665634091820554</v>
      </c>
      <c r="DA1595" s="45" t="str">
        <v>Invest</v>
      </c>
      <c r="DU1595" s="52"/>
      <c r="DV1595" s="50"/>
    </row>
    <row r="1596" spans="91:126" ht="23.5">
      <c r="CM1596" s="45">
        <v>1592</v>
      </c>
      <c r="CN1596" s="48">
        <v>0</v>
      </c>
      <c r="CO1596" s="45" t="str">
        <v>Nothing</v>
      </c>
      <c r="CP1596" s="61"/>
      <c r="CQ1596" s="45">
        <v>1592</v>
      </c>
      <c r="CR1596" s="45">
        <v>6.9113487281353825</v>
      </c>
      <c r="CS1596" s="45" t="str">
        <v>Invest</v>
      </c>
      <c r="CT1596" s="61"/>
      <c r="CU1596" s="45">
        <v>1592</v>
      </c>
      <c r="CV1596" s="45">
        <v>38.397528951309781</v>
      </c>
      <c r="CW1596" s="45" t="str">
        <v>Invest</v>
      </c>
      <c r="CX1596" s="61"/>
      <c r="CY1596" s="45">
        <v>1592</v>
      </c>
      <c r="CZ1596" s="45">
        <v>0</v>
      </c>
      <c r="DA1596" s="45" t="str">
        <v>Nothing</v>
      </c>
      <c r="DU1596" s="52"/>
      <c r="DV1596" s="50"/>
    </row>
    <row r="1597" spans="91:126" ht="23.5">
      <c r="CM1597" s="45">
        <v>1593</v>
      </c>
      <c r="CN1597" s="48">
        <v>21.143782072543559</v>
      </c>
      <c r="CO1597" s="45" t="str">
        <v>Invest</v>
      </c>
      <c r="CP1597" s="61"/>
      <c r="CQ1597" s="45">
        <v>1593</v>
      </c>
      <c r="CR1597" s="45">
        <v>26.199030392363596</v>
      </c>
      <c r="CS1597" s="45" t="str">
        <v>Invest</v>
      </c>
      <c r="CT1597" s="61"/>
      <c r="CU1597" s="45">
        <v>1593</v>
      </c>
      <c r="CV1597" s="45">
        <v>17.169672174200738</v>
      </c>
      <c r="CW1597" s="45" t="str">
        <v>Invest</v>
      </c>
      <c r="CX1597" s="61"/>
      <c r="CY1597" s="45">
        <v>1593</v>
      </c>
      <c r="CZ1597" s="45">
        <v>44.818454161400084</v>
      </c>
      <c r="DA1597" s="45" t="str">
        <v>Invest</v>
      </c>
      <c r="DU1597" s="52"/>
      <c r="DV1597" s="50"/>
    </row>
    <row r="1598" spans="91:126" ht="23.5">
      <c r="CM1598" s="45">
        <v>1594</v>
      </c>
      <c r="CN1598" s="48">
        <v>0</v>
      </c>
      <c r="CO1598" s="45" t="str">
        <v>Nothing</v>
      </c>
      <c r="CP1598" s="61"/>
      <c r="CQ1598" s="45">
        <v>1594</v>
      </c>
      <c r="CR1598" s="45">
        <v>38.378758707682231</v>
      </c>
      <c r="CS1598" s="45" t="str">
        <v>Invest</v>
      </c>
      <c r="CT1598" s="61"/>
      <c r="CU1598" s="45">
        <v>1594</v>
      </c>
      <c r="CV1598" s="45">
        <v>0</v>
      </c>
      <c r="CW1598" s="45" t="str">
        <v>Nothing</v>
      </c>
      <c r="CX1598" s="61"/>
      <c r="CY1598" s="45">
        <v>1594</v>
      </c>
      <c r="CZ1598" s="45">
        <v>49.718634160971988</v>
      </c>
      <c r="DA1598" s="45" t="str">
        <v>Invest</v>
      </c>
      <c r="DU1598" s="52"/>
      <c r="DV1598" s="50"/>
    </row>
    <row r="1599" spans="91:126" ht="23.5">
      <c r="CM1599" s="45">
        <v>1595</v>
      </c>
      <c r="CN1599" s="48">
        <v>0</v>
      </c>
      <c r="CO1599" s="45" t="str">
        <v>Nothing</v>
      </c>
      <c r="CP1599" s="61"/>
      <c r="CQ1599" s="45">
        <v>1595</v>
      </c>
      <c r="CR1599" s="45">
        <v>38.918359079105429</v>
      </c>
      <c r="CS1599" s="45" t="str">
        <v>Invest</v>
      </c>
      <c r="CT1599" s="61"/>
      <c r="CU1599" s="45">
        <v>1595</v>
      </c>
      <c r="CV1599" s="45">
        <v>28.826905877886233</v>
      </c>
      <c r="CW1599" s="45" t="str">
        <v>Invest</v>
      </c>
      <c r="CX1599" s="61"/>
      <c r="CY1599" s="45">
        <v>1595</v>
      </c>
      <c r="CZ1599" s="45">
        <v>0</v>
      </c>
      <c r="DA1599" s="45" t="str">
        <v>Nothing</v>
      </c>
      <c r="DU1599" s="52"/>
      <c r="DV1599" s="50"/>
    </row>
    <row r="1600" spans="91:126" ht="23.5">
      <c r="CM1600" s="45">
        <v>1596</v>
      </c>
      <c r="CN1600" s="48">
        <v>22.201069295282725</v>
      </c>
      <c r="CO1600" s="45" t="str">
        <v>Invest</v>
      </c>
      <c r="CP1600" s="61"/>
      <c r="CQ1600" s="45">
        <v>1596</v>
      </c>
      <c r="CR1600" s="45">
        <v>25.524157236023036</v>
      </c>
      <c r="CS1600" s="45" t="str">
        <v>Invest</v>
      </c>
      <c r="CT1600" s="61"/>
      <c r="CU1600" s="45">
        <v>1596</v>
      </c>
      <c r="CV1600" s="45">
        <v>0</v>
      </c>
      <c r="CW1600" s="45" t="str">
        <v>Nothing</v>
      </c>
      <c r="CX1600" s="61"/>
      <c r="CY1600" s="45">
        <v>1596</v>
      </c>
      <c r="CZ1600" s="45">
        <v>42.849639346035843</v>
      </c>
      <c r="DA1600" s="45" t="str">
        <v>Invest</v>
      </c>
      <c r="DU1600" s="52"/>
      <c r="DV1600" s="50"/>
    </row>
    <row r="1601" spans="91:126" ht="23.5">
      <c r="CM1601" s="45">
        <v>1597</v>
      </c>
      <c r="CN1601" s="48">
        <v>0</v>
      </c>
      <c r="CO1601" s="45" t="str">
        <v>Nothing</v>
      </c>
      <c r="CP1601" s="61"/>
      <c r="CQ1601" s="45">
        <v>1597</v>
      </c>
      <c r="CR1601" s="45">
        <v>0</v>
      </c>
      <c r="CS1601" s="45" t="str">
        <v>Nothing</v>
      </c>
      <c r="CT1601" s="61"/>
      <c r="CU1601" s="45">
        <v>1597</v>
      </c>
      <c r="CV1601" s="45">
        <v>15.562373822272015</v>
      </c>
      <c r="CW1601" s="45" t="str">
        <v>Invest</v>
      </c>
      <c r="CX1601" s="61"/>
      <c r="CY1601" s="45">
        <v>1597</v>
      </c>
      <c r="CZ1601" s="45">
        <v>14.082128127142422</v>
      </c>
      <c r="DA1601" s="45" t="str">
        <v>Invest</v>
      </c>
      <c r="DU1601" s="52"/>
      <c r="DV1601" s="50"/>
    </row>
    <row r="1602" spans="91:126" ht="23.5">
      <c r="CM1602" s="45">
        <v>1598</v>
      </c>
      <c r="CN1602" s="48">
        <v>0</v>
      </c>
      <c r="CO1602" s="45" t="str">
        <v>Nothing</v>
      </c>
      <c r="CP1602" s="61"/>
      <c r="CQ1602" s="45">
        <v>1598</v>
      </c>
      <c r="CR1602" s="45">
        <v>8.8788383384252292</v>
      </c>
      <c r="CS1602" s="45" t="str">
        <v>Invest</v>
      </c>
      <c r="CT1602" s="61"/>
      <c r="CU1602" s="45">
        <v>1598</v>
      </c>
      <c r="CV1602" s="45">
        <v>1.2739863359155956</v>
      </c>
      <c r="CW1602" s="45" t="str">
        <v>Invest</v>
      </c>
      <c r="CX1602" s="61"/>
      <c r="CY1602" s="45">
        <v>1598</v>
      </c>
      <c r="CZ1602" s="45">
        <v>0.12506252259724349</v>
      </c>
      <c r="DA1602" s="45" t="str">
        <v>Invest</v>
      </c>
      <c r="DU1602" s="52"/>
      <c r="DV1602" s="50"/>
    </row>
    <row r="1603" spans="91:126" ht="23.5">
      <c r="CM1603" s="45">
        <v>1599</v>
      </c>
      <c r="CN1603" s="48">
        <v>0</v>
      </c>
      <c r="CO1603" s="45" t="str">
        <v>Nothing</v>
      </c>
      <c r="CP1603" s="61"/>
      <c r="CQ1603" s="45">
        <v>1599</v>
      </c>
      <c r="CR1603" s="45">
        <v>14.730716871804148</v>
      </c>
      <c r="CS1603" s="45" t="str">
        <v>Invest</v>
      </c>
      <c r="CT1603" s="61"/>
      <c r="CU1603" s="45">
        <v>1599</v>
      </c>
      <c r="CV1603" s="45">
        <v>34.578090641875718</v>
      </c>
      <c r="CW1603" s="45" t="str">
        <v>Invest</v>
      </c>
      <c r="CX1603" s="61"/>
      <c r="CY1603" s="45">
        <v>1599</v>
      </c>
      <c r="CZ1603" s="45">
        <v>0</v>
      </c>
      <c r="DA1603" s="45" t="str">
        <v>Nothing</v>
      </c>
      <c r="DU1603" s="52"/>
      <c r="DV1603" s="50"/>
    </row>
    <row r="1604" spans="91:126" ht="23.5">
      <c r="CM1604" s="45">
        <v>1600</v>
      </c>
      <c r="CN1604" s="48">
        <v>29.288876142227888</v>
      </c>
      <c r="CO1604" s="45" t="str">
        <v>Invest</v>
      </c>
      <c r="CP1604" s="61"/>
      <c r="CQ1604" s="45">
        <v>1600</v>
      </c>
      <c r="CR1604" s="45">
        <v>0</v>
      </c>
      <c r="CS1604" s="45" t="str">
        <v>Nothing</v>
      </c>
      <c r="CT1604" s="61"/>
      <c r="CU1604" s="45">
        <v>1600</v>
      </c>
      <c r="CV1604" s="45">
        <v>0</v>
      </c>
      <c r="CW1604" s="45" t="str">
        <v>Nothing</v>
      </c>
      <c r="CX1604" s="61"/>
      <c r="CY1604" s="45">
        <v>1600</v>
      </c>
      <c r="CZ1604" s="45">
        <v>31.694417009185464</v>
      </c>
      <c r="DA1604" s="45" t="str">
        <v>Invest</v>
      </c>
      <c r="DU1604" s="52"/>
      <c r="DV1604" s="50"/>
    </row>
    <row r="1605" spans="91:126" ht="23.5">
      <c r="CM1605" s="45">
        <v>1601</v>
      </c>
      <c r="CN1605" s="48">
        <v>18.47486990845934</v>
      </c>
      <c r="CO1605" s="45" t="str">
        <v>Invest</v>
      </c>
      <c r="CP1605" s="61"/>
      <c r="CQ1605" s="45">
        <v>1601</v>
      </c>
      <c r="CR1605" s="45">
        <v>22.951767984064283</v>
      </c>
      <c r="CS1605" s="45" t="str">
        <v>Invest</v>
      </c>
      <c r="CT1605" s="61"/>
      <c r="CU1605" s="45">
        <v>1601</v>
      </c>
      <c r="CV1605" s="45">
        <v>7.8798864934251149</v>
      </c>
      <c r="CW1605" s="45" t="str">
        <v>Invest</v>
      </c>
      <c r="CX1605" s="61"/>
      <c r="CY1605" s="45">
        <v>1601</v>
      </c>
      <c r="CZ1605" s="45">
        <v>2.072178507509399</v>
      </c>
      <c r="DA1605" s="45" t="str">
        <v>Invest</v>
      </c>
      <c r="DU1605" s="52"/>
      <c r="DV1605" s="50"/>
    </row>
    <row r="1606" spans="91:126" ht="23.5">
      <c r="CM1606" s="45">
        <v>1602</v>
      </c>
      <c r="CN1606" s="48">
        <v>8.816053747509665</v>
      </c>
      <c r="CO1606" s="45" t="str">
        <v>Invest</v>
      </c>
      <c r="CP1606" s="61"/>
      <c r="CQ1606" s="45">
        <v>1602</v>
      </c>
      <c r="CR1606" s="45">
        <v>1.7210321845624383</v>
      </c>
      <c r="CS1606" s="45" t="str">
        <v>Invest</v>
      </c>
      <c r="CT1606" s="61"/>
      <c r="CU1606" s="45">
        <v>1602</v>
      </c>
      <c r="CV1606" s="45">
        <v>8.7123891610812745</v>
      </c>
      <c r="CW1606" s="45" t="str">
        <v>Invest</v>
      </c>
      <c r="CX1606" s="61"/>
      <c r="CY1606" s="45">
        <v>1602</v>
      </c>
      <c r="CZ1606" s="45">
        <v>0</v>
      </c>
      <c r="DA1606" s="45" t="str">
        <v>Nothing</v>
      </c>
      <c r="DU1606" s="52"/>
      <c r="DV1606" s="50"/>
    </row>
    <row r="1607" spans="91:126" ht="23.5">
      <c r="CM1607" s="45">
        <v>1603</v>
      </c>
      <c r="CN1607" s="48">
        <v>16.386622438079279</v>
      </c>
      <c r="CO1607" s="45" t="str">
        <v>Invest</v>
      </c>
      <c r="CP1607" s="61"/>
      <c r="CQ1607" s="45">
        <v>1603</v>
      </c>
      <c r="CR1607" s="45">
        <v>0</v>
      </c>
      <c r="CS1607" s="45" t="str">
        <v>Nothing</v>
      </c>
      <c r="CT1607" s="61"/>
      <c r="CU1607" s="45">
        <v>1603</v>
      </c>
      <c r="CV1607" s="45">
        <v>22.762832769833665</v>
      </c>
      <c r="CW1607" s="45" t="str">
        <v>Invest</v>
      </c>
      <c r="CX1607" s="61"/>
      <c r="CY1607" s="45">
        <v>1603</v>
      </c>
      <c r="CZ1607" s="45">
        <v>25.513655061074367</v>
      </c>
      <c r="DA1607" s="45" t="str">
        <v>Invest</v>
      </c>
      <c r="DU1607" s="52"/>
      <c r="DV1607" s="50"/>
    </row>
    <row r="1608" spans="91:126" ht="23.5">
      <c r="CM1608" s="45">
        <v>1604</v>
      </c>
      <c r="CN1608" s="48">
        <v>50.247439984252942</v>
      </c>
      <c r="CO1608" s="45" t="str">
        <v>Invest</v>
      </c>
      <c r="CP1608" s="61"/>
      <c r="CQ1608" s="45">
        <v>1604</v>
      </c>
      <c r="CR1608" s="45">
        <v>0</v>
      </c>
      <c r="CS1608" s="45" t="str">
        <v>Nothing</v>
      </c>
      <c r="CT1608" s="61"/>
      <c r="CU1608" s="45">
        <v>1604</v>
      </c>
      <c r="CV1608" s="45">
        <v>0</v>
      </c>
      <c r="CW1608" s="45" t="str">
        <v>Nothing</v>
      </c>
      <c r="CX1608" s="61"/>
      <c r="CY1608" s="45">
        <v>1604</v>
      </c>
      <c r="CZ1608" s="45">
        <v>36.202386931067551</v>
      </c>
      <c r="DA1608" s="45" t="str">
        <v>Invest</v>
      </c>
      <c r="DU1608" s="52"/>
      <c r="DV1608" s="50"/>
    </row>
    <row r="1609" spans="91:126" ht="23.5">
      <c r="CM1609" s="45">
        <v>1605</v>
      </c>
      <c r="CN1609" s="48">
        <v>13.68569550786065</v>
      </c>
      <c r="CO1609" s="45" t="str">
        <v>Invest</v>
      </c>
      <c r="CP1609" s="61"/>
      <c r="CQ1609" s="45">
        <v>1605</v>
      </c>
      <c r="CR1609" s="45">
        <v>31.893447382024</v>
      </c>
      <c r="CS1609" s="45" t="str">
        <v>Invest</v>
      </c>
      <c r="CT1609" s="61"/>
      <c r="CU1609" s="45">
        <v>1605</v>
      </c>
      <c r="CV1609" s="45">
        <v>38.095746972252762</v>
      </c>
      <c r="CW1609" s="45" t="str">
        <v>Invest</v>
      </c>
      <c r="CX1609" s="61"/>
      <c r="CY1609" s="45">
        <v>1605</v>
      </c>
      <c r="CZ1609" s="45">
        <v>15.255393978045301</v>
      </c>
      <c r="DA1609" s="45" t="str">
        <v>Invest</v>
      </c>
      <c r="DU1609" s="52"/>
      <c r="DV1609" s="50"/>
    </row>
    <row r="1610" spans="91:126" ht="23.5">
      <c r="CM1610" s="45">
        <v>1606</v>
      </c>
      <c r="CN1610" s="48">
        <v>3.5230152532351955</v>
      </c>
      <c r="CO1610" s="45" t="str">
        <v>Invest</v>
      </c>
      <c r="CP1610" s="61"/>
      <c r="CQ1610" s="45">
        <v>1606</v>
      </c>
      <c r="CR1610" s="45">
        <v>25.854198820139501</v>
      </c>
      <c r="CS1610" s="45" t="str">
        <v>Invest</v>
      </c>
      <c r="CT1610" s="61"/>
      <c r="CU1610" s="45">
        <v>1606</v>
      </c>
      <c r="CV1610" s="45">
        <v>0</v>
      </c>
      <c r="CW1610" s="45" t="str">
        <v>Nothing</v>
      </c>
      <c r="CX1610" s="61"/>
      <c r="CY1610" s="45">
        <v>1606</v>
      </c>
      <c r="CZ1610" s="45">
        <v>11.915389018178272</v>
      </c>
      <c r="DA1610" s="45" t="str">
        <v>Invest</v>
      </c>
      <c r="DU1610" s="52"/>
      <c r="DV1610" s="50"/>
    </row>
    <row r="1611" spans="91:126" ht="23.5">
      <c r="CM1611" s="45">
        <v>1607</v>
      </c>
      <c r="CN1611" s="48">
        <v>0</v>
      </c>
      <c r="CO1611" s="45" t="str">
        <v>Nothing</v>
      </c>
      <c r="CP1611" s="61"/>
      <c r="CQ1611" s="45">
        <v>1607</v>
      </c>
      <c r="CR1611" s="45">
        <v>0</v>
      </c>
      <c r="CS1611" s="45" t="str">
        <v>Nothing</v>
      </c>
      <c r="CT1611" s="61"/>
      <c r="CU1611" s="45">
        <v>1607</v>
      </c>
      <c r="CV1611" s="45">
        <v>0</v>
      </c>
      <c r="CW1611" s="45" t="str">
        <v>Nothing</v>
      </c>
      <c r="CX1611" s="61"/>
      <c r="CY1611" s="45">
        <v>1607</v>
      </c>
      <c r="CZ1611" s="45">
        <v>13.878651376107133</v>
      </c>
      <c r="DA1611" s="45" t="str">
        <v>Invest</v>
      </c>
      <c r="DU1611" s="52"/>
      <c r="DV1611" s="50"/>
    </row>
    <row r="1612" spans="91:126" ht="23.5">
      <c r="CM1612" s="45">
        <v>1608</v>
      </c>
      <c r="CN1612" s="48">
        <v>12.43846061744012</v>
      </c>
      <c r="CO1612" s="45" t="str">
        <v>Invest</v>
      </c>
      <c r="CP1612" s="61"/>
      <c r="CQ1612" s="45">
        <v>1608</v>
      </c>
      <c r="CR1612" s="45">
        <v>0</v>
      </c>
      <c r="CS1612" s="45" t="str">
        <v>Nothing</v>
      </c>
      <c r="CT1612" s="61"/>
      <c r="CU1612" s="45">
        <v>1608</v>
      </c>
      <c r="CV1612" s="45">
        <v>17.43643805189636</v>
      </c>
      <c r="CW1612" s="45" t="str">
        <v>Invest</v>
      </c>
      <c r="CX1612" s="61"/>
      <c r="CY1612" s="45">
        <v>1608</v>
      </c>
      <c r="CZ1612" s="45">
        <v>26.72754686261883</v>
      </c>
      <c r="DA1612" s="45" t="str">
        <v>Invest</v>
      </c>
      <c r="DU1612" s="52"/>
      <c r="DV1612" s="50"/>
    </row>
    <row r="1613" spans="91:126" ht="23.5">
      <c r="CM1613" s="45">
        <v>1609</v>
      </c>
      <c r="CN1613" s="48">
        <v>15.816486403883614</v>
      </c>
      <c r="CO1613" s="45" t="str">
        <v>Invest</v>
      </c>
      <c r="CP1613" s="61"/>
      <c r="CQ1613" s="45">
        <v>1609</v>
      </c>
      <c r="CR1613" s="45">
        <v>0</v>
      </c>
      <c r="CS1613" s="45" t="str">
        <v>Nothing</v>
      </c>
      <c r="CT1613" s="61"/>
      <c r="CU1613" s="45">
        <v>1609</v>
      </c>
      <c r="CV1613" s="45">
        <v>0</v>
      </c>
      <c r="CW1613" s="45" t="str">
        <v>Nothing</v>
      </c>
      <c r="CX1613" s="61"/>
      <c r="CY1613" s="45">
        <v>1609</v>
      </c>
      <c r="CZ1613" s="45">
        <v>0</v>
      </c>
      <c r="DA1613" s="45" t="str">
        <v>Nothing</v>
      </c>
      <c r="DU1613" s="52"/>
      <c r="DV1613" s="50"/>
    </row>
    <row r="1614" spans="91:126" ht="23.5">
      <c r="CM1614" s="45">
        <v>1610</v>
      </c>
      <c r="CN1614" s="48">
        <v>56.667539982778052</v>
      </c>
      <c r="CO1614" s="45" t="str">
        <v>Invest</v>
      </c>
      <c r="CP1614" s="61"/>
      <c r="CQ1614" s="45">
        <v>1610</v>
      </c>
      <c r="CR1614" s="45">
        <v>52.710754912387294</v>
      </c>
      <c r="CS1614" s="45" t="str">
        <v>Invest</v>
      </c>
      <c r="CT1614" s="61"/>
      <c r="CU1614" s="45">
        <v>1610</v>
      </c>
      <c r="CV1614" s="45">
        <v>19.414616763179907</v>
      </c>
      <c r="CW1614" s="45" t="str">
        <v>Invest</v>
      </c>
      <c r="CX1614" s="61"/>
      <c r="CY1614" s="45">
        <v>1610</v>
      </c>
      <c r="CZ1614" s="45">
        <v>0.20581770023762314</v>
      </c>
      <c r="DA1614" s="45" t="str">
        <v>Invest</v>
      </c>
      <c r="DU1614" s="52"/>
      <c r="DV1614" s="50"/>
    </row>
    <row r="1615" spans="91:126" ht="23.5">
      <c r="CM1615" s="45">
        <v>1611</v>
      </c>
      <c r="CN1615" s="48">
        <v>0</v>
      </c>
      <c r="CO1615" s="45" t="str">
        <v>Nothing</v>
      </c>
      <c r="CP1615" s="61"/>
      <c r="CQ1615" s="45">
        <v>1611</v>
      </c>
      <c r="CR1615" s="45">
        <v>29.26314688086774</v>
      </c>
      <c r="CS1615" s="45" t="str">
        <v>Invest</v>
      </c>
      <c r="CT1615" s="61"/>
      <c r="CU1615" s="45">
        <v>1611</v>
      </c>
      <c r="CV1615" s="45">
        <v>7.5236738860818555</v>
      </c>
      <c r="CW1615" s="45" t="str">
        <v>Invest</v>
      </c>
      <c r="CX1615" s="61"/>
      <c r="CY1615" s="45">
        <v>1611</v>
      </c>
      <c r="CZ1615" s="45">
        <v>0</v>
      </c>
      <c r="DA1615" s="45" t="str">
        <v>Nothing</v>
      </c>
      <c r="DU1615" s="52"/>
      <c r="DV1615" s="50"/>
    </row>
    <row r="1616" spans="91:126" ht="23.5">
      <c r="CM1616" s="45">
        <v>1612</v>
      </c>
      <c r="CN1616" s="48">
        <v>12.018427384369655</v>
      </c>
      <c r="CO1616" s="45" t="str">
        <v>Invest</v>
      </c>
      <c r="CP1616" s="61"/>
      <c r="CQ1616" s="45">
        <v>1612</v>
      </c>
      <c r="CR1616" s="45">
        <v>16.013451109731722</v>
      </c>
      <c r="CS1616" s="45" t="str">
        <v>Invest</v>
      </c>
      <c r="CT1616" s="61"/>
      <c r="CU1616" s="45">
        <v>1612</v>
      </c>
      <c r="CV1616" s="45">
        <v>0</v>
      </c>
      <c r="CW1616" s="45" t="str">
        <v>Nothing</v>
      </c>
      <c r="CX1616" s="61"/>
      <c r="CY1616" s="45">
        <v>1612</v>
      </c>
      <c r="CZ1616" s="45">
        <v>40.165410789634947</v>
      </c>
      <c r="DA1616" s="45" t="str">
        <v>Invest</v>
      </c>
      <c r="DU1616" s="52"/>
      <c r="DV1616" s="50"/>
    </row>
    <row r="1617" spans="91:126" ht="23.5">
      <c r="CM1617" s="45">
        <v>1613</v>
      </c>
      <c r="CN1617" s="48">
        <v>18.709246155532043</v>
      </c>
      <c r="CO1617" s="45" t="str">
        <v>Invest</v>
      </c>
      <c r="CP1617" s="61"/>
      <c r="CQ1617" s="45">
        <v>1613</v>
      </c>
      <c r="CR1617" s="45">
        <v>49.281469286390276</v>
      </c>
      <c r="CS1617" s="45" t="str">
        <v>Invest</v>
      </c>
      <c r="CT1617" s="61"/>
      <c r="CU1617" s="45">
        <v>1613</v>
      </c>
      <c r="CV1617" s="45">
        <v>15.38236585869895</v>
      </c>
      <c r="CW1617" s="45" t="str">
        <v>Invest</v>
      </c>
      <c r="CX1617" s="61"/>
      <c r="CY1617" s="45">
        <v>1613</v>
      </c>
      <c r="CZ1617" s="45">
        <v>11.534700926806346</v>
      </c>
      <c r="DA1617" s="45" t="str">
        <v>Invest</v>
      </c>
      <c r="DU1617" s="52"/>
      <c r="DV1617" s="50"/>
    </row>
    <row r="1618" spans="91:126" ht="23.5">
      <c r="CM1618" s="45">
        <v>1614</v>
      </c>
      <c r="CN1618" s="48">
        <v>43.444345114260599</v>
      </c>
      <c r="CO1618" s="45" t="str">
        <v>Invest</v>
      </c>
      <c r="CP1618" s="61"/>
      <c r="CQ1618" s="45">
        <v>1614</v>
      </c>
      <c r="CR1618" s="45">
        <v>0</v>
      </c>
      <c r="CS1618" s="45" t="str">
        <v>Nothing</v>
      </c>
      <c r="CT1618" s="61"/>
      <c r="CU1618" s="45">
        <v>1614</v>
      </c>
      <c r="CV1618" s="45">
        <v>0</v>
      </c>
      <c r="CW1618" s="45" t="str">
        <v>Nothing</v>
      </c>
      <c r="CX1618" s="61"/>
      <c r="CY1618" s="45">
        <v>1614</v>
      </c>
      <c r="CZ1618" s="45">
        <v>0</v>
      </c>
      <c r="DA1618" s="45" t="str">
        <v>Nothing</v>
      </c>
      <c r="DU1618" s="52"/>
      <c r="DV1618" s="50"/>
    </row>
    <row r="1619" spans="91:126" ht="23.5">
      <c r="CM1619" s="45">
        <v>1615</v>
      </c>
      <c r="CN1619" s="48">
        <v>41.179551859109345</v>
      </c>
      <c r="CO1619" s="45" t="str">
        <v>Invest</v>
      </c>
      <c r="CP1619" s="61"/>
      <c r="CQ1619" s="45">
        <v>1615</v>
      </c>
      <c r="CR1619" s="45">
        <v>0</v>
      </c>
      <c r="CS1619" s="45" t="str">
        <v>Nothing</v>
      </c>
      <c r="CT1619" s="61"/>
      <c r="CU1619" s="45">
        <v>1615</v>
      </c>
      <c r="CV1619" s="45">
        <v>0</v>
      </c>
      <c r="CW1619" s="45" t="str">
        <v>Nothing</v>
      </c>
      <c r="CX1619" s="61"/>
      <c r="CY1619" s="45">
        <v>1615</v>
      </c>
      <c r="CZ1619" s="45">
        <v>8.9670965633550654</v>
      </c>
      <c r="DA1619" s="45" t="str">
        <v>Invest</v>
      </c>
      <c r="DU1619" s="52"/>
      <c r="DV1619" s="50"/>
    </row>
    <row r="1620" spans="91:126" ht="23.5">
      <c r="CM1620" s="45">
        <v>1616</v>
      </c>
      <c r="CN1620" s="48">
        <v>19.240801086454972</v>
      </c>
      <c r="CO1620" s="45" t="str">
        <v>Invest</v>
      </c>
      <c r="CP1620" s="61"/>
      <c r="CQ1620" s="45">
        <v>1616</v>
      </c>
      <c r="CR1620" s="45">
        <v>0</v>
      </c>
      <c r="CS1620" s="45" t="str">
        <v>Nothing</v>
      </c>
      <c r="CT1620" s="61"/>
      <c r="CU1620" s="45">
        <v>1616</v>
      </c>
      <c r="CV1620" s="45">
        <v>42.62081728764602</v>
      </c>
      <c r="CW1620" s="45" t="str">
        <v>Invest</v>
      </c>
      <c r="CX1620" s="61"/>
      <c r="CY1620" s="45">
        <v>1616</v>
      </c>
      <c r="CZ1620" s="45">
        <v>7.5453294944332754</v>
      </c>
      <c r="DA1620" s="45" t="str">
        <v>Invest</v>
      </c>
      <c r="DU1620" s="52"/>
      <c r="DV1620" s="50"/>
    </row>
    <row r="1621" spans="91:126" ht="23.5">
      <c r="CM1621" s="45">
        <v>1617</v>
      </c>
      <c r="CN1621" s="48">
        <v>14.699224834703845</v>
      </c>
      <c r="CO1621" s="45" t="str">
        <v>Invest</v>
      </c>
      <c r="CP1621" s="61"/>
      <c r="CQ1621" s="45">
        <v>1617</v>
      </c>
      <c r="CR1621" s="45">
        <v>35.253609034414559</v>
      </c>
      <c r="CS1621" s="45" t="str">
        <v>Invest</v>
      </c>
      <c r="CT1621" s="61"/>
      <c r="CU1621" s="45">
        <v>1617</v>
      </c>
      <c r="CV1621" s="45">
        <v>8.9234726953134906</v>
      </c>
      <c r="CW1621" s="45" t="str">
        <v>Invest</v>
      </c>
      <c r="CX1621" s="61"/>
      <c r="CY1621" s="45">
        <v>1617</v>
      </c>
      <c r="CZ1621" s="45">
        <v>8.4661825827334631</v>
      </c>
      <c r="DA1621" s="45" t="str">
        <v>Invest</v>
      </c>
      <c r="DU1621" s="52"/>
      <c r="DV1621" s="50"/>
    </row>
    <row r="1622" spans="91:126" ht="23.5">
      <c r="CM1622" s="45">
        <v>1618</v>
      </c>
      <c r="CN1622" s="48">
        <v>10.319893532390783</v>
      </c>
      <c r="CO1622" s="45" t="str">
        <v>Invest</v>
      </c>
      <c r="CP1622" s="61"/>
      <c r="CQ1622" s="45">
        <v>1618</v>
      </c>
      <c r="CR1622" s="45">
        <v>0</v>
      </c>
      <c r="CS1622" s="45" t="str">
        <v>Nothing</v>
      </c>
      <c r="CT1622" s="61"/>
      <c r="CU1622" s="45">
        <v>1618</v>
      </c>
      <c r="CV1622" s="45">
        <v>0.40315584110713232</v>
      </c>
      <c r="CW1622" s="45" t="str">
        <v>Invest</v>
      </c>
      <c r="CX1622" s="61"/>
      <c r="CY1622" s="45">
        <v>1618</v>
      </c>
      <c r="CZ1622" s="45">
        <v>6.9382030369876411</v>
      </c>
      <c r="DA1622" s="45" t="str">
        <v>Invest</v>
      </c>
      <c r="DU1622" s="52"/>
      <c r="DV1622" s="50"/>
    </row>
    <row r="1623" spans="91:126" ht="23.5">
      <c r="CM1623" s="45">
        <v>1619</v>
      </c>
      <c r="CN1623" s="48">
        <v>27.39614515983704</v>
      </c>
      <c r="CO1623" s="45" t="str">
        <v>Invest</v>
      </c>
      <c r="CP1623" s="61"/>
      <c r="CQ1623" s="45">
        <v>1619</v>
      </c>
      <c r="CR1623" s="45">
        <v>9.6049531837286874</v>
      </c>
      <c r="CS1623" s="45" t="str">
        <v>Invest</v>
      </c>
      <c r="CT1623" s="61"/>
      <c r="CU1623" s="45">
        <v>1619</v>
      </c>
      <c r="CV1623" s="45">
        <v>41.7969896705888</v>
      </c>
      <c r="CW1623" s="45" t="str">
        <v>Invest</v>
      </c>
      <c r="CX1623" s="61"/>
      <c r="CY1623" s="45">
        <v>1619</v>
      </c>
      <c r="CZ1623" s="45">
        <v>3.1937974259659461</v>
      </c>
      <c r="DA1623" s="45" t="str">
        <v>Invest</v>
      </c>
      <c r="DU1623" s="52"/>
      <c r="DV1623" s="50"/>
    </row>
    <row r="1624" spans="91:126" ht="23.5">
      <c r="CM1624" s="45">
        <v>1620</v>
      </c>
      <c r="CN1624" s="48">
        <v>0</v>
      </c>
      <c r="CO1624" s="45" t="str">
        <v>Nothing</v>
      </c>
      <c r="CP1624" s="61"/>
      <c r="CQ1624" s="45">
        <v>1620</v>
      </c>
      <c r="CR1624" s="45">
        <v>0</v>
      </c>
      <c r="CS1624" s="45" t="str">
        <v>Nothing</v>
      </c>
      <c r="CT1624" s="61"/>
      <c r="CU1624" s="45">
        <v>1620</v>
      </c>
      <c r="CV1624" s="45">
        <v>37.405227940102542</v>
      </c>
      <c r="CW1624" s="45" t="str">
        <v>Invest</v>
      </c>
      <c r="CX1624" s="61"/>
      <c r="CY1624" s="45">
        <v>1620</v>
      </c>
      <c r="CZ1624" s="45">
        <v>0</v>
      </c>
      <c r="DA1624" s="45" t="str">
        <v>Nothing</v>
      </c>
      <c r="DU1624" s="52"/>
      <c r="DV1624" s="50"/>
    </row>
    <row r="1625" spans="91:126" ht="23.5">
      <c r="CM1625" s="45">
        <v>1621</v>
      </c>
      <c r="CN1625" s="48">
        <v>42.348099478028558</v>
      </c>
      <c r="CO1625" s="45" t="str">
        <v>Invest</v>
      </c>
      <c r="CP1625" s="61"/>
      <c r="CQ1625" s="45">
        <v>1621</v>
      </c>
      <c r="CR1625" s="45">
        <v>15.470211990182005</v>
      </c>
      <c r="CS1625" s="45" t="str">
        <v>Invest</v>
      </c>
      <c r="CT1625" s="61"/>
      <c r="CU1625" s="45">
        <v>1621</v>
      </c>
      <c r="CV1625" s="45">
        <v>36.776252541725292</v>
      </c>
      <c r="CW1625" s="45" t="str">
        <v>Invest</v>
      </c>
      <c r="CX1625" s="61"/>
      <c r="CY1625" s="45">
        <v>1621</v>
      </c>
      <c r="CZ1625" s="45">
        <v>0</v>
      </c>
      <c r="DA1625" s="45" t="str">
        <v>Nothing</v>
      </c>
      <c r="DU1625" s="52"/>
      <c r="DV1625" s="50"/>
    </row>
    <row r="1626" spans="91:126" ht="23.5">
      <c r="CM1626" s="45">
        <v>1622</v>
      </c>
      <c r="CN1626" s="48">
        <v>20.993339852556069</v>
      </c>
      <c r="CO1626" s="45" t="str">
        <v>Invest</v>
      </c>
      <c r="CP1626" s="61"/>
      <c r="CQ1626" s="45">
        <v>1622</v>
      </c>
      <c r="CR1626" s="45">
        <v>32.24652432498074</v>
      </c>
      <c r="CS1626" s="45" t="str">
        <v>Invest</v>
      </c>
      <c r="CT1626" s="61"/>
      <c r="CU1626" s="45">
        <v>1622</v>
      </c>
      <c r="CV1626" s="45">
        <v>35.087602281843267</v>
      </c>
      <c r="CW1626" s="45" t="str">
        <v>Invest</v>
      </c>
      <c r="CX1626" s="61"/>
      <c r="CY1626" s="45">
        <v>1622</v>
      </c>
      <c r="CZ1626" s="45">
        <v>0</v>
      </c>
      <c r="DA1626" s="45" t="str">
        <v>Nothing</v>
      </c>
      <c r="DU1626" s="52"/>
      <c r="DV1626" s="50"/>
    </row>
    <row r="1627" spans="91:126" ht="23.5">
      <c r="CM1627" s="45">
        <v>1623</v>
      </c>
      <c r="CN1627" s="48">
        <v>3.6838951111150564</v>
      </c>
      <c r="CO1627" s="45" t="str">
        <v>Invest</v>
      </c>
      <c r="CP1627" s="61"/>
      <c r="CQ1627" s="45">
        <v>1623</v>
      </c>
      <c r="CR1627" s="45">
        <v>0</v>
      </c>
      <c r="CS1627" s="45" t="str">
        <v>Nothing</v>
      </c>
      <c r="CT1627" s="61"/>
      <c r="CU1627" s="45">
        <v>1623</v>
      </c>
      <c r="CV1627" s="45">
        <v>19.955780548117524</v>
      </c>
      <c r="CW1627" s="45" t="str">
        <v>Invest</v>
      </c>
      <c r="CX1627" s="61"/>
      <c r="CY1627" s="45">
        <v>1623</v>
      </c>
      <c r="CZ1627" s="45">
        <v>6.1967445526391618</v>
      </c>
      <c r="DA1627" s="45" t="str">
        <v>Invest</v>
      </c>
      <c r="DU1627" s="52"/>
      <c r="DV1627" s="50"/>
    </row>
    <row r="1628" spans="91:126" ht="23.5">
      <c r="CM1628" s="45">
        <v>1624</v>
      </c>
      <c r="CN1628" s="48">
        <v>57.073324900020822</v>
      </c>
      <c r="CO1628" s="45" t="str">
        <v>Invest</v>
      </c>
      <c r="CP1628" s="61"/>
      <c r="CQ1628" s="45">
        <v>1624</v>
      </c>
      <c r="CR1628" s="45">
        <v>33.206369322225711</v>
      </c>
      <c r="CS1628" s="45" t="str">
        <v>Invest</v>
      </c>
      <c r="CT1628" s="61"/>
      <c r="CU1628" s="45">
        <v>1624</v>
      </c>
      <c r="CV1628" s="45">
        <v>2.6756823719703604</v>
      </c>
      <c r="CW1628" s="45" t="str">
        <v>Invest</v>
      </c>
      <c r="CX1628" s="61"/>
      <c r="CY1628" s="45">
        <v>1624</v>
      </c>
      <c r="CZ1628" s="45">
        <v>14.687965495128191</v>
      </c>
      <c r="DA1628" s="45" t="str">
        <v>Invest</v>
      </c>
      <c r="DU1628" s="52"/>
      <c r="DV1628" s="50"/>
    </row>
    <row r="1629" spans="91:126" ht="23.5">
      <c r="CM1629" s="45">
        <v>1625</v>
      </c>
      <c r="CN1629" s="48">
        <v>0</v>
      </c>
      <c r="CO1629" s="45" t="str">
        <v>Nothing</v>
      </c>
      <c r="CP1629" s="61"/>
      <c r="CQ1629" s="45">
        <v>1625</v>
      </c>
      <c r="CR1629" s="45">
        <v>19.855650986713663</v>
      </c>
      <c r="CS1629" s="45" t="str">
        <v>Invest</v>
      </c>
      <c r="CT1629" s="61"/>
      <c r="CU1629" s="45">
        <v>1625</v>
      </c>
      <c r="CV1629" s="45">
        <v>0</v>
      </c>
      <c r="CW1629" s="45" t="str">
        <v>Nothing</v>
      </c>
      <c r="CX1629" s="61"/>
      <c r="CY1629" s="45">
        <v>1625</v>
      </c>
      <c r="CZ1629" s="45">
        <v>0</v>
      </c>
      <c r="DA1629" s="45" t="str">
        <v>Nothing</v>
      </c>
      <c r="DU1629" s="52"/>
      <c r="DV1629" s="50"/>
    </row>
    <row r="1630" spans="91:126" ht="23.5">
      <c r="CM1630" s="45">
        <v>1626</v>
      </c>
      <c r="CN1630" s="48">
        <v>12.595620480749133</v>
      </c>
      <c r="CO1630" s="45" t="str">
        <v>Invest</v>
      </c>
      <c r="CP1630" s="61"/>
      <c r="CQ1630" s="45">
        <v>1626</v>
      </c>
      <c r="CR1630" s="45">
        <v>19.820119517161071</v>
      </c>
      <c r="CS1630" s="45" t="str">
        <v>Invest</v>
      </c>
      <c r="CT1630" s="61"/>
      <c r="CU1630" s="45">
        <v>1626</v>
      </c>
      <c r="CV1630" s="45">
        <v>33.108347701743753</v>
      </c>
      <c r="CW1630" s="45" t="str">
        <v>Invest</v>
      </c>
      <c r="CX1630" s="61"/>
      <c r="CY1630" s="45">
        <v>1626</v>
      </c>
      <c r="CZ1630" s="45">
        <v>39.653168307493971</v>
      </c>
      <c r="DA1630" s="45" t="str">
        <v>Invest</v>
      </c>
      <c r="DU1630" s="52"/>
      <c r="DV1630" s="50"/>
    </row>
    <row r="1631" spans="91:126" ht="23.5">
      <c r="CM1631" s="45">
        <v>1627</v>
      </c>
      <c r="CN1631" s="48">
        <v>36.246532079582778</v>
      </c>
      <c r="CO1631" s="45" t="str">
        <v>Invest</v>
      </c>
      <c r="CP1631" s="61"/>
      <c r="CQ1631" s="45">
        <v>1627</v>
      </c>
      <c r="CR1631" s="45">
        <v>4.9156989606962682</v>
      </c>
      <c r="CS1631" s="45" t="str">
        <v>Invest</v>
      </c>
      <c r="CT1631" s="61"/>
      <c r="CU1631" s="45">
        <v>1627</v>
      </c>
      <c r="CV1631" s="45">
        <v>13.814183654264426</v>
      </c>
      <c r="CW1631" s="45" t="str">
        <v>Invest</v>
      </c>
      <c r="CX1631" s="61"/>
      <c r="CY1631" s="45">
        <v>1627</v>
      </c>
      <c r="CZ1631" s="45">
        <v>9.6336853167268295</v>
      </c>
      <c r="DA1631" s="45" t="str">
        <v>Invest</v>
      </c>
      <c r="DU1631" s="52"/>
      <c r="DV1631" s="50"/>
    </row>
    <row r="1632" spans="91:126" ht="23.5">
      <c r="CM1632" s="45">
        <v>1628</v>
      </c>
      <c r="CN1632" s="48">
        <v>23.468468246590341</v>
      </c>
      <c r="CO1632" s="45" t="str">
        <v>Invest</v>
      </c>
      <c r="CP1632" s="61"/>
      <c r="CQ1632" s="45">
        <v>1628</v>
      </c>
      <c r="CR1632" s="45">
        <v>1.7880028311691873</v>
      </c>
      <c r="CS1632" s="45" t="str">
        <v>Invest</v>
      </c>
      <c r="CT1632" s="61"/>
      <c r="CU1632" s="45">
        <v>1628</v>
      </c>
      <c r="CV1632" s="45">
        <v>33.846783499059249</v>
      </c>
      <c r="CW1632" s="45" t="str">
        <v>Invest</v>
      </c>
      <c r="CX1632" s="61"/>
      <c r="CY1632" s="45">
        <v>1628</v>
      </c>
      <c r="CZ1632" s="45">
        <v>14.992174400424783</v>
      </c>
      <c r="DA1632" s="45" t="str">
        <v>Invest</v>
      </c>
      <c r="DU1632" s="52"/>
      <c r="DV1632" s="50"/>
    </row>
    <row r="1633" spans="91:126" ht="23.5">
      <c r="CM1633" s="45">
        <v>1629</v>
      </c>
      <c r="CN1633" s="48">
        <v>3.9429187506418515</v>
      </c>
      <c r="CO1633" s="45" t="str">
        <v>Invest</v>
      </c>
      <c r="CP1633" s="61"/>
      <c r="CQ1633" s="45">
        <v>1629</v>
      </c>
      <c r="CR1633" s="45">
        <v>33.12676781319233</v>
      </c>
      <c r="CS1633" s="45" t="str">
        <v>Invest</v>
      </c>
      <c r="CT1633" s="61"/>
      <c r="CU1633" s="45">
        <v>1629</v>
      </c>
      <c r="CV1633" s="45">
        <v>16.114397720384417</v>
      </c>
      <c r="CW1633" s="45" t="str">
        <v>Invest</v>
      </c>
      <c r="CX1633" s="61"/>
      <c r="CY1633" s="45">
        <v>1629</v>
      </c>
      <c r="CZ1633" s="45">
        <v>10.343851434150359</v>
      </c>
      <c r="DA1633" s="45" t="str">
        <v>Invest</v>
      </c>
      <c r="DU1633" s="52"/>
      <c r="DV1633" s="50"/>
    </row>
    <row r="1634" spans="91:126" ht="23.5">
      <c r="CM1634" s="45">
        <v>1630</v>
      </c>
      <c r="CN1634" s="48">
        <v>40.472284964393793</v>
      </c>
      <c r="CO1634" s="45" t="str">
        <v>Invest</v>
      </c>
      <c r="CP1634" s="61"/>
      <c r="CQ1634" s="45">
        <v>1630</v>
      </c>
      <c r="CR1634" s="45">
        <v>5.2797177132465016</v>
      </c>
      <c r="CS1634" s="45" t="str">
        <v>Invest</v>
      </c>
      <c r="CT1634" s="61"/>
      <c r="CU1634" s="45">
        <v>1630</v>
      </c>
      <c r="CV1634" s="45">
        <v>44.869698431892509</v>
      </c>
      <c r="CW1634" s="45" t="str">
        <v>Invest</v>
      </c>
      <c r="CX1634" s="61"/>
      <c r="CY1634" s="45">
        <v>1630</v>
      </c>
      <c r="CZ1634" s="45">
        <v>39.361850158853706</v>
      </c>
      <c r="DA1634" s="45" t="str">
        <v>Invest</v>
      </c>
      <c r="DU1634" s="52"/>
      <c r="DV1634" s="50"/>
    </row>
    <row r="1635" spans="91:126" ht="23.5">
      <c r="CM1635" s="45">
        <v>1631</v>
      </c>
      <c r="CN1635" s="48">
        <v>30.81926101854668</v>
      </c>
      <c r="CO1635" s="45" t="str">
        <v>Invest</v>
      </c>
      <c r="CP1635" s="61"/>
      <c r="CQ1635" s="45">
        <v>1631</v>
      </c>
      <c r="CR1635" s="45">
        <v>6.7477202249481545</v>
      </c>
      <c r="CS1635" s="45" t="str">
        <v>Invest</v>
      </c>
      <c r="CT1635" s="61"/>
      <c r="CU1635" s="45">
        <v>1631</v>
      </c>
      <c r="CV1635" s="45">
        <v>15.348601029469433</v>
      </c>
      <c r="CW1635" s="45" t="str">
        <v>Invest</v>
      </c>
      <c r="CX1635" s="61"/>
      <c r="CY1635" s="45">
        <v>1631</v>
      </c>
      <c r="CZ1635" s="45">
        <v>13.029378929642347</v>
      </c>
      <c r="DA1635" s="45" t="str">
        <v>Invest</v>
      </c>
      <c r="DU1635" s="52"/>
      <c r="DV1635" s="50"/>
    </row>
    <row r="1636" spans="91:126" ht="23.5">
      <c r="CM1636" s="45">
        <v>1632</v>
      </c>
      <c r="CN1636" s="48">
        <v>6.6848490340116973</v>
      </c>
      <c r="CO1636" s="45" t="str">
        <v>Invest</v>
      </c>
      <c r="CP1636" s="61"/>
      <c r="CQ1636" s="45">
        <v>1632</v>
      </c>
      <c r="CR1636" s="45">
        <v>11.371110244879086</v>
      </c>
      <c r="CS1636" s="45" t="str">
        <v>Invest</v>
      </c>
      <c r="CT1636" s="61"/>
      <c r="CU1636" s="45">
        <v>1632</v>
      </c>
      <c r="CV1636" s="45">
        <v>13.725252042253398</v>
      </c>
      <c r="CW1636" s="45" t="str">
        <v>Invest</v>
      </c>
      <c r="CX1636" s="61"/>
      <c r="CY1636" s="45">
        <v>1632</v>
      </c>
      <c r="CZ1636" s="45">
        <v>37.792393008762417</v>
      </c>
      <c r="DA1636" s="45" t="str">
        <v>Invest</v>
      </c>
      <c r="DU1636" s="52"/>
      <c r="DV1636" s="50"/>
    </row>
    <row r="1637" spans="91:126" ht="23.5">
      <c r="CM1637" s="45">
        <v>1633</v>
      </c>
      <c r="CN1637" s="48">
        <v>52.86926516601352</v>
      </c>
      <c r="CO1637" s="45" t="str">
        <v>Invest</v>
      </c>
      <c r="CP1637" s="61"/>
      <c r="CQ1637" s="45">
        <v>1633</v>
      </c>
      <c r="CR1637" s="45">
        <v>0</v>
      </c>
      <c r="CS1637" s="45" t="str">
        <v>Nothing</v>
      </c>
      <c r="CT1637" s="61"/>
      <c r="CU1637" s="45">
        <v>1633</v>
      </c>
      <c r="CV1637" s="45">
        <v>23.8618357336243</v>
      </c>
      <c r="CW1637" s="45" t="str">
        <v>Invest</v>
      </c>
      <c r="CX1637" s="61"/>
      <c r="CY1637" s="45">
        <v>1633</v>
      </c>
      <c r="CZ1637" s="45">
        <v>0.3209277268987627</v>
      </c>
      <c r="DA1637" s="45" t="str">
        <v>Invest</v>
      </c>
      <c r="DU1637" s="52"/>
      <c r="DV1637" s="50"/>
    </row>
    <row r="1638" spans="91:126" ht="23.5">
      <c r="CM1638" s="45">
        <v>1634</v>
      </c>
      <c r="CN1638" s="48">
        <v>3.04518235893363</v>
      </c>
      <c r="CO1638" s="45" t="str">
        <v>Invest</v>
      </c>
      <c r="CP1638" s="61"/>
      <c r="CQ1638" s="45">
        <v>1634</v>
      </c>
      <c r="CR1638" s="45">
        <v>20.855715267726815</v>
      </c>
      <c r="CS1638" s="45" t="str">
        <v>Invest</v>
      </c>
      <c r="CT1638" s="61"/>
      <c r="CU1638" s="45">
        <v>1634</v>
      </c>
      <c r="CV1638" s="45">
        <v>0</v>
      </c>
      <c r="CW1638" s="45" t="str">
        <v>Nothing</v>
      </c>
      <c r="CX1638" s="61"/>
      <c r="CY1638" s="45">
        <v>1634</v>
      </c>
      <c r="CZ1638" s="45">
        <v>8.5682523422184307</v>
      </c>
      <c r="DA1638" s="45" t="str">
        <v>Invest</v>
      </c>
      <c r="DU1638" s="52"/>
      <c r="DV1638" s="50"/>
    </row>
    <row r="1639" spans="91:126" ht="23.5">
      <c r="CM1639" s="45">
        <v>1635</v>
      </c>
      <c r="CN1639" s="48">
        <v>0</v>
      </c>
      <c r="CO1639" s="45" t="str">
        <v>Nothing</v>
      </c>
      <c r="CP1639" s="61"/>
      <c r="CQ1639" s="45">
        <v>1635</v>
      </c>
      <c r="CR1639" s="45">
        <v>0</v>
      </c>
      <c r="CS1639" s="45" t="str">
        <v>Nothing</v>
      </c>
      <c r="CT1639" s="61"/>
      <c r="CU1639" s="45">
        <v>1635</v>
      </c>
      <c r="CV1639" s="45">
        <v>0</v>
      </c>
      <c r="CW1639" s="45" t="str">
        <v>Nothing</v>
      </c>
      <c r="CX1639" s="61"/>
      <c r="CY1639" s="45">
        <v>1635</v>
      </c>
      <c r="CZ1639" s="45">
        <v>33.801781694332121</v>
      </c>
      <c r="DA1639" s="45" t="str">
        <v>Invest</v>
      </c>
      <c r="DU1639" s="52"/>
      <c r="DV1639" s="50"/>
    </row>
    <row r="1640" spans="91:126" ht="23.5">
      <c r="CM1640" s="45">
        <v>1636</v>
      </c>
      <c r="CN1640" s="48">
        <v>37.163750314593564</v>
      </c>
      <c r="CO1640" s="45" t="str">
        <v>Invest</v>
      </c>
      <c r="CP1640" s="61"/>
      <c r="CQ1640" s="45">
        <v>1636</v>
      </c>
      <c r="CR1640" s="45">
        <v>37.128512187898252</v>
      </c>
      <c r="CS1640" s="45" t="str">
        <v>Invest</v>
      </c>
      <c r="CT1640" s="61"/>
      <c r="CU1640" s="45">
        <v>1636</v>
      </c>
      <c r="CV1640" s="45">
        <v>22.223032003257615</v>
      </c>
      <c r="CW1640" s="45" t="str">
        <v>Invest</v>
      </c>
      <c r="CX1640" s="61"/>
      <c r="CY1640" s="45">
        <v>1636</v>
      </c>
      <c r="CZ1640" s="45">
        <v>39.124059974431773</v>
      </c>
      <c r="DA1640" s="45" t="str">
        <v>Invest</v>
      </c>
      <c r="DU1640" s="52"/>
      <c r="DV1640" s="50"/>
    </row>
    <row r="1641" spans="91:126" ht="23.5">
      <c r="CM1641" s="45">
        <v>1637</v>
      </c>
      <c r="CN1641" s="48">
        <v>0</v>
      </c>
      <c r="CO1641" s="45" t="str">
        <v>Nothing</v>
      </c>
      <c r="CP1641" s="61"/>
      <c r="CQ1641" s="45">
        <v>1637</v>
      </c>
      <c r="CR1641" s="45">
        <v>14.126482642694365</v>
      </c>
      <c r="CS1641" s="45" t="str">
        <v>Invest</v>
      </c>
      <c r="CT1641" s="61"/>
      <c r="CU1641" s="45">
        <v>1637</v>
      </c>
      <c r="CV1641" s="45">
        <v>10.620107278244351</v>
      </c>
      <c r="CW1641" s="45" t="str">
        <v>Invest</v>
      </c>
      <c r="CX1641" s="61"/>
      <c r="CY1641" s="45">
        <v>1637</v>
      </c>
      <c r="CZ1641" s="45">
        <v>31.546573096623845</v>
      </c>
      <c r="DA1641" s="45" t="str">
        <v>Invest</v>
      </c>
      <c r="DU1641" s="52"/>
      <c r="DV1641" s="50"/>
    </row>
    <row r="1642" spans="91:126" ht="23.5">
      <c r="CM1642" s="45">
        <v>1638</v>
      </c>
      <c r="CN1642" s="48">
        <v>35.146972203537615</v>
      </c>
      <c r="CO1642" s="45" t="str">
        <v>Invest</v>
      </c>
      <c r="CP1642" s="61"/>
      <c r="CQ1642" s="45">
        <v>1638</v>
      </c>
      <c r="CR1642" s="45">
        <v>6.3105567668158606</v>
      </c>
      <c r="CS1642" s="45" t="str">
        <v>Invest</v>
      </c>
      <c r="CT1642" s="61"/>
      <c r="CU1642" s="45">
        <v>1638</v>
      </c>
      <c r="CV1642" s="45">
        <v>0.8187453030098002</v>
      </c>
      <c r="CW1642" s="45" t="str">
        <v>Invest</v>
      </c>
      <c r="CX1642" s="61"/>
      <c r="CY1642" s="45">
        <v>1638</v>
      </c>
      <c r="CZ1642" s="45">
        <v>46.913938314790485</v>
      </c>
      <c r="DA1642" s="45" t="str">
        <v>Invest</v>
      </c>
      <c r="DU1642" s="52"/>
      <c r="DV1642" s="50"/>
    </row>
    <row r="1643" spans="91:126" ht="23.5">
      <c r="CM1643" s="45">
        <v>1639</v>
      </c>
      <c r="CN1643" s="48">
        <v>24.752482866091952</v>
      </c>
      <c r="CO1643" s="45" t="str">
        <v>Invest</v>
      </c>
      <c r="CP1643" s="61"/>
      <c r="CQ1643" s="45">
        <v>1639</v>
      </c>
      <c r="CR1643" s="45">
        <v>6.5993730440835954</v>
      </c>
      <c r="CS1643" s="45" t="str">
        <v>Invest</v>
      </c>
      <c r="CT1643" s="61"/>
      <c r="CU1643" s="45">
        <v>1639</v>
      </c>
      <c r="CV1643" s="45">
        <v>30.439209468575704</v>
      </c>
      <c r="CW1643" s="45" t="str">
        <v>Invest</v>
      </c>
      <c r="CX1643" s="61"/>
      <c r="CY1643" s="45">
        <v>1639</v>
      </c>
      <c r="CZ1643" s="45">
        <v>0</v>
      </c>
      <c r="DA1643" s="45" t="str">
        <v>Nothing</v>
      </c>
      <c r="DU1643" s="52"/>
      <c r="DV1643" s="50"/>
    </row>
    <row r="1644" spans="91:126" ht="23.5">
      <c r="CM1644" s="45">
        <v>1640</v>
      </c>
      <c r="CN1644" s="48">
        <v>4.1232962629101984</v>
      </c>
      <c r="CO1644" s="45" t="str">
        <v>Invest</v>
      </c>
      <c r="CP1644" s="61"/>
      <c r="CQ1644" s="45">
        <v>1640</v>
      </c>
      <c r="CR1644" s="45">
        <v>33.282014890832272</v>
      </c>
      <c r="CS1644" s="45" t="str">
        <v>Invest</v>
      </c>
      <c r="CT1644" s="61"/>
      <c r="CU1644" s="45">
        <v>1640</v>
      </c>
      <c r="CV1644" s="45">
        <v>59.349366502149465</v>
      </c>
      <c r="CW1644" s="45" t="str">
        <v>Invest</v>
      </c>
      <c r="CX1644" s="61"/>
      <c r="CY1644" s="45">
        <v>1640</v>
      </c>
      <c r="CZ1644" s="45">
        <v>20.695555307291269</v>
      </c>
      <c r="DA1644" s="45" t="str">
        <v>Invest</v>
      </c>
      <c r="DU1644" s="52"/>
      <c r="DV1644" s="50"/>
    </row>
    <row r="1645" spans="91:126" ht="23.5">
      <c r="CM1645" s="45">
        <v>1641</v>
      </c>
      <c r="CN1645" s="48">
        <v>19.938755428652936</v>
      </c>
      <c r="CO1645" s="45" t="str">
        <v>Invest</v>
      </c>
      <c r="CP1645" s="61"/>
      <c r="CQ1645" s="45">
        <v>1641</v>
      </c>
      <c r="CR1645" s="45">
        <v>47.147222814313075</v>
      </c>
      <c r="CS1645" s="45" t="str">
        <v>Invest</v>
      </c>
      <c r="CT1645" s="61"/>
      <c r="CU1645" s="45">
        <v>1641</v>
      </c>
      <c r="CV1645" s="45">
        <v>0</v>
      </c>
      <c r="CW1645" s="45" t="str">
        <v>Nothing</v>
      </c>
      <c r="CX1645" s="61"/>
      <c r="CY1645" s="45">
        <v>1641</v>
      </c>
      <c r="CZ1645" s="45">
        <v>50.440394753048928</v>
      </c>
      <c r="DA1645" s="45" t="str">
        <v>Invest</v>
      </c>
      <c r="DU1645" s="52"/>
      <c r="DV1645" s="50"/>
    </row>
    <row r="1646" spans="91:126" ht="23.5">
      <c r="CM1646" s="45">
        <v>1642</v>
      </c>
      <c r="CN1646" s="48">
        <v>2.3266292494330258</v>
      </c>
      <c r="CO1646" s="45" t="str">
        <v>Invest</v>
      </c>
      <c r="CP1646" s="61"/>
      <c r="CQ1646" s="45">
        <v>1642</v>
      </c>
      <c r="CR1646" s="45">
        <v>0</v>
      </c>
      <c r="CS1646" s="45" t="str">
        <v>Nothing</v>
      </c>
      <c r="CT1646" s="61"/>
      <c r="CU1646" s="45">
        <v>1642</v>
      </c>
      <c r="CV1646" s="45">
        <v>27.718151005190368</v>
      </c>
      <c r="CW1646" s="45" t="str">
        <v>Invest</v>
      </c>
      <c r="CX1646" s="61"/>
      <c r="CY1646" s="45">
        <v>1642</v>
      </c>
      <c r="CZ1646" s="45">
        <v>27.24273350392447</v>
      </c>
      <c r="DA1646" s="45" t="str">
        <v>Invest</v>
      </c>
      <c r="DU1646" s="52"/>
      <c r="DV1646" s="50"/>
    </row>
    <row r="1647" spans="91:126" ht="23.5">
      <c r="CM1647" s="45">
        <v>1643</v>
      </c>
      <c r="CN1647" s="48">
        <v>0</v>
      </c>
      <c r="CO1647" s="45" t="str">
        <v>Nothing</v>
      </c>
      <c r="CP1647" s="61"/>
      <c r="CQ1647" s="45">
        <v>1643</v>
      </c>
      <c r="CR1647" s="45">
        <v>56.83030899270981</v>
      </c>
      <c r="CS1647" s="45" t="str">
        <v>Invest</v>
      </c>
      <c r="CT1647" s="61"/>
      <c r="CU1647" s="45">
        <v>1643</v>
      </c>
      <c r="CV1647" s="45">
        <v>17.506267649005618</v>
      </c>
      <c r="CW1647" s="45" t="str">
        <v>Invest</v>
      </c>
      <c r="CX1647" s="61"/>
      <c r="CY1647" s="45">
        <v>1643</v>
      </c>
      <c r="CZ1647" s="45">
        <v>0</v>
      </c>
      <c r="DA1647" s="45" t="str">
        <v>Nothing</v>
      </c>
      <c r="DU1647" s="52"/>
      <c r="DV1647" s="50"/>
    </row>
    <row r="1648" spans="91:126" ht="23.5">
      <c r="CM1648" s="45">
        <v>1644</v>
      </c>
      <c r="CN1648" s="48">
        <v>4.9044717747318511</v>
      </c>
      <c r="CO1648" s="45" t="str">
        <v>Invest</v>
      </c>
      <c r="CP1648" s="61"/>
      <c r="CQ1648" s="45">
        <v>1644</v>
      </c>
      <c r="CR1648" s="45">
        <v>13.384322917701567</v>
      </c>
      <c r="CS1648" s="45" t="str">
        <v>Invest</v>
      </c>
      <c r="CT1648" s="61"/>
      <c r="CU1648" s="45">
        <v>1644</v>
      </c>
      <c r="CV1648" s="45">
        <v>18.457256485909483</v>
      </c>
      <c r="CW1648" s="45" t="str">
        <v>Invest</v>
      </c>
      <c r="CX1648" s="61"/>
      <c r="CY1648" s="45">
        <v>1644</v>
      </c>
      <c r="CZ1648" s="45">
        <v>24.877883501308769</v>
      </c>
      <c r="DA1648" s="45" t="str">
        <v>Invest</v>
      </c>
      <c r="DU1648" s="52"/>
      <c r="DV1648" s="50"/>
    </row>
    <row r="1649" spans="91:126" ht="23.5">
      <c r="CM1649" s="45">
        <v>1645</v>
      </c>
      <c r="CN1649" s="48">
        <v>10.879790028082798</v>
      </c>
      <c r="CO1649" s="45" t="str">
        <v>Invest</v>
      </c>
      <c r="CP1649" s="61"/>
      <c r="CQ1649" s="45">
        <v>1645</v>
      </c>
      <c r="CR1649" s="45">
        <v>0</v>
      </c>
      <c r="CS1649" s="45" t="str">
        <v>Nothing</v>
      </c>
      <c r="CT1649" s="61"/>
      <c r="CU1649" s="45">
        <v>1645</v>
      </c>
      <c r="CV1649" s="45">
        <v>12.306283195246699</v>
      </c>
      <c r="CW1649" s="45" t="str">
        <v>Invest</v>
      </c>
      <c r="CX1649" s="61"/>
      <c r="CY1649" s="45">
        <v>1645</v>
      </c>
      <c r="CZ1649" s="45">
        <v>0</v>
      </c>
      <c r="DA1649" s="45" t="str">
        <v>Nothing</v>
      </c>
      <c r="DU1649" s="52"/>
      <c r="DV1649" s="50"/>
    </row>
    <row r="1650" spans="91:126" ht="23.5">
      <c r="CM1650" s="45">
        <v>1646</v>
      </c>
      <c r="CN1650" s="48">
        <v>0</v>
      </c>
      <c r="CO1650" s="45" t="str">
        <v>Nothing</v>
      </c>
      <c r="CP1650" s="61"/>
      <c r="CQ1650" s="45">
        <v>1646</v>
      </c>
      <c r="CR1650" s="45">
        <v>0</v>
      </c>
      <c r="CS1650" s="45" t="str">
        <v>Nothing</v>
      </c>
      <c r="CT1650" s="61"/>
      <c r="CU1650" s="45">
        <v>1646</v>
      </c>
      <c r="CV1650" s="45">
        <v>0</v>
      </c>
      <c r="CW1650" s="45" t="str">
        <v>Nothing</v>
      </c>
      <c r="CX1650" s="61"/>
      <c r="CY1650" s="45">
        <v>1646</v>
      </c>
      <c r="CZ1650" s="45">
        <v>0</v>
      </c>
      <c r="DA1650" s="45" t="str">
        <v>Nothing</v>
      </c>
      <c r="DU1650" s="52"/>
      <c r="DV1650" s="50"/>
    </row>
    <row r="1651" spans="91:126" ht="23.5">
      <c r="CM1651" s="45">
        <v>1647</v>
      </c>
      <c r="CN1651" s="48">
        <v>22.977355361539207</v>
      </c>
      <c r="CO1651" s="45" t="str">
        <v>Invest</v>
      </c>
      <c r="CP1651" s="61"/>
      <c r="CQ1651" s="45">
        <v>1647</v>
      </c>
      <c r="CR1651" s="45">
        <v>5.9486398880592031</v>
      </c>
      <c r="CS1651" s="45" t="str">
        <v>Invest</v>
      </c>
      <c r="CT1651" s="61"/>
      <c r="CU1651" s="45">
        <v>1647</v>
      </c>
      <c r="CV1651" s="45">
        <v>0</v>
      </c>
      <c r="CW1651" s="45" t="str">
        <v>Nothing</v>
      </c>
      <c r="CX1651" s="61"/>
      <c r="CY1651" s="45">
        <v>1647</v>
      </c>
      <c r="CZ1651" s="45">
        <v>0</v>
      </c>
      <c r="DA1651" s="45" t="str">
        <v>Nothing</v>
      </c>
      <c r="DU1651" s="52"/>
      <c r="DV1651" s="50"/>
    </row>
    <row r="1652" spans="91:126" ht="23.5">
      <c r="CM1652" s="45">
        <v>1648</v>
      </c>
      <c r="CN1652" s="48">
        <v>0</v>
      </c>
      <c r="CO1652" s="45" t="str">
        <v>Nothing</v>
      </c>
      <c r="CP1652" s="61"/>
      <c r="CQ1652" s="45">
        <v>1648</v>
      </c>
      <c r="CR1652" s="45">
        <v>65.167818507307288</v>
      </c>
      <c r="CS1652" s="45" t="str">
        <v>Invest</v>
      </c>
      <c r="CT1652" s="61"/>
      <c r="CU1652" s="45">
        <v>1648</v>
      </c>
      <c r="CV1652" s="45">
        <v>35.009839943350514</v>
      </c>
      <c r="CW1652" s="45" t="str">
        <v>Invest</v>
      </c>
      <c r="CX1652" s="61"/>
      <c r="CY1652" s="45">
        <v>1648</v>
      </c>
      <c r="CZ1652" s="45">
        <v>30.401073920626917</v>
      </c>
      <c r="DA1652" s="45" t="str">
        <v>Invest</v>
      </c>
      <c r="DU1652" s="52"/>
      <c r="DV1652" s="50"/>
    </row>
    <row r="1653" spans="91:126" ht="23.5">
      <c r="CM1653" s="45">
        <v>1649</v>
      </c>
      <c r="CN1653" s="48">
        <v>17.996540722238031</v>
      </c>
      <c r="CO1653" s="45" t="str">
        <v>Invest</v>
      </c>
      <c r="CP1653" s="61"/>
      <c r="CQ1653" s="45">
        <v>1649</v>
      </c>
      <c r="CR1653" s="45">
        <v>15.309807325718875</v>
      </c>
      <c r="CS1653" s="45" t="str">
        <v>Invest</v>
      </c>
      <c r="CT1653" s="61"/>
      <c r="CU1653" s="45">
        <v>1649</v>
      </c>
      <c r="CV1653" s="45">
        <v>21.713475157906885</v>
      </c>
      <c r="CW1653" s="45" t="str">
        <v>Invest</v>
      </c>
      <c r="CX1653" s="61"/>
      <c r="CY1653" s="45">
        <v>1649</v>
      </c>
      <c r="CZ1653" s="45">
        <v>32.682148581795822</v>
      </c>
      <c r="DA1653" s="45" t="str">
        <v>Invest</v>
      </c>
      <c r="DU1653" s="52"/>
      <c r="DV1653" s="50"/>
    </row>
    <row r="1654" spans="91:126" ht="23.5">
      <c r="CM1654" s="45">
        <v>1650</v>
      </c>
      <c r="CN1654" s="48">
        <v>46.057384408085532</v>
      </c>
      <c r="CO1654" s="45" t="str">
        <v>Invest</v>
      </c>
      <c r="CP1654" s="61"/>
      <c r="CQ1654" s="45">
        <v>1650</v>
      </c>
      <c r="CR1654" s="45">
        <v>0</v>
      </c>
      <c r="CS1654" s="45" t="str">
        <v>Nothing</v>
      </c>
      <c r="CT1654" s="61"/>
      <c r="CU1654" s="45">
        <v>1650</v>
      </c>
      <c r="CV1654" s="45">
        <v>25.920189336565176</v>
      </c>
      <c r="CW1654" s="45" t="str">
        <v>Invest</v>
      </c>
      <c r="CX1654" s="61"/>
      <c r="CY1654" s="45">
        <v>1650</v>
      </c>
      <c r="CZ1654" s="45">
        <v>6.3864426399990819</v>
      </c>
      <c r="DA1654" s="45" t="str">
        <v>Invest</v>
      </c>
      <c r="DU1654" s="52"/>
      <c r="DV1654" s="50"/>
    </row>
    <row r="1655" spans="91:126" ht="23.5">
      <c r="CM1655" s="45">
        <v>1651</v>
      </c>
      <c r="CN1655" s="48">
        <v>10.031650857054391</v>
      </c>
      <c r="CO1655" s="45" t="str">
        <v>Invest</v>
      </c>
      <c r="CP1655" s="61"/>
      <c r="CQ1655" s="45">
        <v>1651</v>
      </c>
      <c r="CR1655" s="45">
        <v>0</v>
      </c>
      <c r="CS1655" s="45" t="str">
        <v>Nothing</v>
      </c>
      <c r="CT1655" s="61"/>
      <c r="CU1655" s="45">
        <v>1651</v>
      </c>
      <c r="CV1655" s="45">
        <v>27.571590779435788</v>
      </c>
      <c r="CW1655" s="45" t="str">
        <v>Invest</v>
      </c>
      <c r="CX1655" s="61"/>
      <c r="CY1655" s="45">
        <v>1651</v>
      </c>
      <c r="CZ1655" s="45">
        <v>15.456012107734242</v>
      </c>
      <c r="DA1655" s="45" t="str">
        <v>Invest</v>
      </c>
      <c r="DU1655" s="52"/>
      <c r="DV1655" s="50"/>
    </row>
    <row r="1656" spans="91:126" ht="23.5">
      <c r="CM1656" s="45">
        <v>1652</v>
      </c>
      <c r="CN1656" s="48">
        <v>18.273781503413069</v>
      </c>
      <c r="CO1656" s="45" t="str">
        <v>Invest</v>
      </c>
      <c r="CP1656" s="61"/>
      <c r="CQ1656" s="45">
        <v>1652</v>
      </c>
      <c r="CR1656" s="45">
        <v>0</v>
      </c>
      <c r="CS1656" s="45" t="str">
        <v>Nothing</v>
      </c>
      <c r="CT1656" s="61"/>
      <c r="CU1656" s="45">
        <v>1652</v>
      </c>
      <c r="CV1656" s="45">
        <v>0</v>
      </c>
      <c r="CW1656" s="45" t="str">
        <v>Nothing</v>
      </c>
      <c r="CX1656" s="61"/>
      <c r="CY1656" s="45">
        <v>1652</v>
      </c>
      <c r="CZ1656" s="45">
        <v>6.7014684851921071</v>
      </c>
      <c r="DA1656" s="45" t="str">
        <v>Invest</v>
      </c>
      <c r="DU1656" s="52"/>
      <c r="DV1656" s="50"/>
    </row>
    <row r="1657" spans="91:126" ht="23.5">
      <c r="CM1657" s="45">
        <v>1653</v>
      </c>
      <c r="CN1657" s="48">
        <v>0</v>
      </c>
      <c r="CO1657" s="45" t="str">
        <v>Nothing</v>
      </c>
      <c r="CP1657" s="61"/>
      <c r="CQ1657" s="45">
        <v>1653</v>
      </c>
      <c r="CR1657" s="45">
        <v>0</v>
      </c>
      <c r="CS1657" s="45" t="str">
        <v>Nothing</v>
      </c>
      <c r="CT1657" s="61"/>
      <c r="CU1657" s="45">
        <v>1653</v>
      </c>
      <c r="CV1657" s="45">
        <v>0</v>
      </c>
      <c r="CW1657" s="45" t="str">
        <v>Nothing</v>
      </c>
      <c r="CX1657" s="61"/>
      <c r="CY1657" s="45">
        <v>1653</v>
      </c>
      <c r="CZ1657" s="45">
        <v>0</v>
      </c>
      <c r="DA1657" s="45" t="str">
        <v>Nothing</v>
      </c>
      <c r="DU1657" s="52"/>
      <c r="DV1657" s="50"/>
    </row>
    <row r="1658" spans="91:126" ht="23.5">
      <c r="CM1658" s="45">
        <v>1654</v>
      </c>
      <c r="CN1658" s="48">
        <v>23.351643179549448</v>
      </c>
      <c r="CO1658" s="45" t="str">
        <v>Invest</v>
      </c>
      <c r="CP1658" s="61"/>
      <c r="CQ1658" s="45">
        <v>1654</v>
      </c>
      <c r="CR1658" s="45">
        <v>8.8382765593590626</v>
      </c>
      <c r="CS1658" s="45" t="str">
        <v>Invest</v>
      </c>
      <c r="CT1658" s="61"/>
      <c r="CU1658" s="45">
        <v>1654</v>
      </c>
      <c r="CV1658" s="45">
        <v>11.569950152702447</v>
      </c>
      <c r="CW1658" s="45" t="str">
        <v>Invest</v>
      </c>
      <c r="CX1658" s="61"/>
      <c r="CY1658" s="45">
        <v>1654</v>
      </c>
      <c r="CZ1658" s="45">
        <v>21.782330493257358</v>
      </c>
      <c r="DA1658" s="45" t="str">
        <v>Invest</v>
      </c>
      <c r="DU1658" s="52"/>
      <c r="DV1658" s="50"/>
    </row>
    <row r="1659" spans="91:126" ht="23.5">
      <c r="CM1659" s="45">
        <v>1655</v>
      </c>
      <c r="CN1659" s="48">
        <v>1.003770802714854</v>
      </c>
      <c r="CO1659" s="45" t="str">
        <v>Invest</v>
      </c>
      <c r="CP1659" s="61"/>
      <c r="CQ1659" s="45">
        <v>1655</v>
      </c>
      <c r="CR1659" s="45">
        <v>6.0262435015174738</v>
      </c>
      <c r="CS1659" s="45" t="str">
        <v>Invest</v>
      </c>
      <c r="CT1659" s="61"/>
      <c r="CU1659" s="45">
        <v>1655</v>
      </c>
      <c r="CV1659" s="45">
        <v>0</v>
      </c>
      <c r="CW1659" s="45" t="str">
        <v>Nothing</v>
      </c>
      <c r="CX1659" s="61"/>
      <c r="CY1659" s="45">
        <v>1655</v>
      </c>
      <c r="CZ1659" s="45">
        <v>0</v>
      </c>
      <c r="DA1659" s="45" t="str">
        <v>Nothing</v>
      </c>
      <c r="DU1659" s="52"/>
      <c r="DV1659" s="50"/>
    </row>
    <row r="1660" spans="91:126" ht="23.5">
      <c r="CM1660" s="45">
        <v>1656</v>
      </c>
      <c r="CN1660" s="48">
        <v>55.25455466412879</v>
      </c>
      <c r="CO1660" s="45" t="str">
        <v>Invest</v>
      </c>
      <c r="CP1660" s="61"/>
      <c r="CQ1660" s="45">
        <v>1656</v>
      </c>
      <c r="CR1660" s="45">
        <v>15.525270522255347</v>
      </c>
      <c r="CS1660" s="45" t="str">
        <v>Invest</v>
      </c>
      <c r="CT1660" s="61"/>
      <c r="CU1660" s="45">
        <v>1656</v>
      </c>
      <c r="CV1660" s="45">
        <v>13.614561267860022</v>
      </c>
      <c r="CW1660" s="45" t="str">
        <v>Invest</v>
      </c>
      <c r="CX1660" s="61"/>
      <c r="CY1660" s="45">
        <v>1656</v>
      </c>
      <c r="CZ1660" s="45">
        <v>11.507873539662718</v>
      </c>
      <c r="DA1660" s="45" t="str">
        <v>Invest</v>
      </c>
      <c r="DU1660" s="52"/>
      <c r="DV1660" s="50"/>
    </row>
    <row r="1661" spans="91:126" ht="23.5">
      <c r="CM1661" s="45">
        <v>1657</v>
      </c>
      <c r="CN1661" s="48">
        <v>0</v>
      </c>
      <c r="CO1661" s="45" t="str">
        <v>Nothing</v>
      </c>
      <c r="CP1661" s="61"/>
      <c r="CQ1661" s="45">
        <v>1657</v>
      </c>
      <c r="CR1661" s="45">
        <v>32.382596403647057</v>
      </c>
      <c r="CS1661" s="45" t="str">
        <v>Invest</v>
      </c>
      <c r="CT1661" s="61"/>
      <c r="CU1661" s="45">
        <v>1657</v>
      </c>
      <c r="CV1661" s="45">
        <v>6.5007790141616262</v>
      </c>
      <c r="CW1661" s="45" t="str">
        <v>Invest</v>
      </c>
      <c r="CX1661" s="61"/>
      <c r="CY1661" s="45">
        <v>1657</v>
      </c>
      <c r="CZ1661" s="45">
        <v>6.6782559139255682</v>
      </c>
      <c r="DA1661" s="45" t="str">
        <v>Invest</v>
      </c>
      <c r="DU1661" s="52"/>
      <c r="DV1661" s="50"/>
    </row>
    <row r="1662" spans="91:126" ht="23.5">
      <c r="CM1662" s="45">
        <v>1658</v>
      </c>
      <c r="CN1662" s="48">
        <v>12.682275239789746</v>
      </c>
      <c r="CO1662" s="45" t="str">
        <v>Invest</v>
      </c>
      <c r="CP1662" s="61"/>
      <c r="CQ1662" s="45">
        <v>1658</v>
      </c>
      <c r="CR1662" s="45">
        <v>0</v>
      </c>
      <c r="CS1662" s="45" t="str">
        <v>Nothing</v>
      </c>
      <c r="CT1662" s="61"/>
      <c r="CU1662" s="45">
        <v>1658</v>
      </c>
      <c r="CV1662" s="45">
        <v>49.705165341521599</v>
      </c>
      <c r="CW1662" s="45" t="str">
        <v>Invest</v>
      </c>
      <c r="CX1662" s="61"/>
      <c r="CY1662" s="45">
        <v>1658</v>
      </c>
      <c r="CZ1662" s="45">
        <v>21.283857333124701</v>
      </c>
      <c r="DA1662" s="45" t="str">
        <v>Invest</v>
      </c>
      <c r="DU1662" s="52"/>
      <c r="DV1662" s="50"/>
    </row>
    <row r="1663" spans="91:126" ht="23.5">
      <c r="CM1663" s="45">
        <v>1659</v>
      </c>
      <c r="CN1663" s="48">
        <v>31.625197965259709</v>
      </c>
      <c r="CO1663" s="45" t="str">
        <v>Invest</v>
      </c>
      <c r="CP1663" s="61"/>
      <c r="CQ1663" s="45">
        <v>1659</v>
      </c>
      <c r="CR1663" s="45">
        <v>22.113112390942906</v>
      </c>
      <c r="CS1663" s="45" t="str">
        <v>Invest</v>
      </c>
      <c r="CT1663" s="61"/>
      <c r="CU1663" s="45">
        <v>1659</v>
      </c>
      <c r="CV1663" s="45">
        <v>14.30542513367592</v>
      </c>
      <c r="CW1663" s="45" t="str">
        <v>Invest</v>
      </c>
      <c r="CX1663" s="61"/>
      <c r="CY1663" s="45">
        <v>1659</v>
      </c>
      <c r="CZ1663" s="45">
        <v>16.469426092694583</v>
      </c>
      <c r="DA1663" s="45" t="str">
        <v>Invest</v>
      </c>
      <c r="DU1663" s="52"/>
      <c r="DV1663" s="50"/>
    </row>
    <row r="1664" spans="91:126" ht="23.5">
      <c r="CM1664" s="45">
        <v>1660</v>
      </c>
      <c r="CN1664" s="48">
        <v>0</v>
      </c>
      <c r="CO1664" s="45" t="str">
        <v>Nothing</v>
      </c>
      <c r="CP1664" s="61"/>
      <c r="CQ1664" s="45">
        <v>1660</v>
      </c>
      <c r="CR1664" s="45">
        <v>24.552382837808842</v>
      </c>
      <c r="CS1664" s="45" t="str">
        <v>Invest</v>
      </c>
      <c r="CT1664" s="61"/>
      <c r="CU1664" s="45">
        <v>1660</v>
      </c>
      <c r="CV1664" s="45">
        <v>24.65767198716517</v>
      </c>
      <c r="CW1664" s="45" t="str">
        <v>Invest</v>
      </c>
      <c r="CX1664" s="61"/>
      <c r="CY1664" s="45">
        <v>1660</v>
      </c>
      <c r="CZ1664" s="45">
        <v>0</v>
      </c>
      <c r="DA1664" s="45" t="str">
        <v>Nothing</v>
      </c>
      <c r="DU1664" s="52"/>
      <c r="DV1664" s="50"/>
    </row>
    <row r="1665" spans="91:126" ht="23.5">
      <c r="CM1665" s="45">
        <v>1661</v>
      </c>
      <c r="CN1665" s="48">
        <v>35.668690564646717</v>
      </c>
      <c r="CO1665" s="45" t="str">
        <v>Invest</v>
      </c>
      <c r="CP1665" s="61"/>
      <c r="CQ1665" s="45">
        <v>1661</v>
      </c>
      <c r="CR1665" s="45">
        <v>0</v>
      </c>
      <c r="CS1665" s="45" t="str">
        <v>Nothing</v>
      </c>
      <c r="CT1665" s="61"/>
      <c r="CU1665" s="45">
        <v>1661</v>
      </c>
      <c r="CV1665" s="45">
        <v>23.997468627124945</v>
      </c>
      <c r="CW1665" s="45" t="str">
        <v>Invest</v>
      </c>
      <c r="CX1665" s="61"/>
      <c r="CY1665" s="45">
        <v>1661</v>
      </c>
      <c r="CZ1665" s="45">
        <v>23.318856321408958</v>
      </c>
      <c r="DA1665" s="45" t="str">
        <v>Invest</v>
      </c>
      <c r="DU1665" s="52"/>
      <c r="DV1665" s="50"/>
    </row>
    <row r="1666" spans="91:126" ht="23.5">
      <c r="CM1666" s="45">
        <v>1662</v>
      </c>
      <c r="CN1666" s="48">
        <v>16.806914662749328</v>
      </c>
      <c r="CO1666" s="45" t="str">
        <v>Invest</v>
      </c>
      <c r="CP1666" s="61"/>
      <c r="CQ1666" s="45">
        <v>1662</v>
      </c>
      <c r="CR1666" s="45">
        <v>8.7901461978274078</v>
      </c>
      <c r="CS1666" s="45" t="str">
        <v>Invest</v>
      </c>
      <c r="CT1666" s="61"/>
      <c r="CU1666" s="45">
        <v>1662</v>
      </c>
      <c r="CV1666" s="45">
        <v>16.388037099914271</v>
      </c>
      <c r="CW1666" s="45" t="str">
        <v>Invest</v>
      </c>
      <c r="CX1666" s="61"/>
      <c r="CY1666" s="45">
        <v>1662</v>
      </c>
      <c r="CZ1666" s="45">
        <v>53.752448482050106</v>
      </c>
      <c r="DA1666" s="45" t="str">
        <v>Invest</v>
      </c>
      <c r="DU1666" s="52"/>
      <c r="DV1666" s="50"/>
    </row>
    <row r="1667" spans="91:126" ht="23.5">
      <c r="CM1667" s="45">
        <v>1663</v>
      </c>
      <c r="CN1667" s="48">
        <v>24.029023856398847</v>
      </c>
      <c r="CO1667" s="45" t="str">
        <v>Invest</v>
      </c>
      <c r="CP1667" s="61"/>
      <c r="CQ1667" s="45">
        <v>1663</v>
      </c>
      <c r="CR1667" s="45">
        <v>8.9047678495711793</v>
      </c>
      <c r="CS1667" s="45" t="str">
        <v>Invest</v>
      </c>
      <c r="CT1667" s="61"/>
      <c r="CU1667" s="45">
        <v>1663</v>
      </c>
      <c r="CV1667" s="45">
        <v>0</v>
      </c>
      <c r="CW1667" s="45" t="str">
        <v>Nothing</v>
      </c>
      <c r="CX1667" s="61"/>
      <c r="CY1667" s="45">
        <v>1663</v>
      </c>
      <c r="CZ1667" s="45">
        <v>59.609175262166517</v>
      </c>
      <c r="DA1667" s="45" t="str">
        <v>Invest</v>
      </c>
      <c r="DU1667" s="52"/>
      <c r="DV1667" s="50"/>
    </row>
    <row r="1668" spans="91:126" ht="23.5">
      <c r="CM1668" s="45">
        <v>1664</v>
      </c>
      <c r="CN1668" s="48">
        <v>0</v>
      </c>
      <c r="CO1668" s="45" t="str">
        <v>Nothing</v>
      </c>
      <c r="CP1668" s="61"/>
      <c r="CQ1668" s="45">
        <v>1664</v>
      </c>
      <c r="CR1668" s="45">
        <v>14.155924846235719</v>
      </c>
      <c r="CS1668" s="45" t="str">
        <v>Invest</v>
      </c>
      <c r="CT1668" s="61"/>
      <c r="CU1668" s="45">
        <v>1664</v>
      </c>
      <c r="CV1668" s="45">
        <v>23.84791080449007</v>
      </c>
      <c r="CW1668" s="45" t="str">
        <v>Invest</v>
      </c>
      <c r="CX1668" s="61"/>
      <c r="CY1668" s="45">
        <v>1664</v>
      </c>
      <c r="CZ1668" s="45">
        <v>14.094538296469134</v>
      </c>
      <c r="DA1668" s="45" t="str">
        <v>Invest</v>
      </c>
      <c r="DU1668" s="52"/>
      <c r="DV1668" s="50"/>
    </row>
    <row r="1669" spans="91:126" ht="23.5">
      <c r="CM1669" s="45">
        <v>1665</v>
      </c>
      <c r="CN1669" s="48">
        <v>1.3382454740923038</v>
      </c>
      <c r="CO1669" s="45" t="str">
        <v>Invest</v>
      </c>
      <c r="CP1669" s="61"/>
      <c r="CQ1669" s="45">
        <v>1665</v>
      </c>
      <c r="CR1669" s="45">
        <v>13.588888116143783</v>
      </c>
      <c r="CS1669" s="45" t="str">
        <v>Invest</v>
      </c>
      <c r="CT1669" s="61"/>
      <c r="CU1669" s="45">
        <v>1665</v>
      </c>
      <c r="CV1669" s="45">
        <v>12.645600636888632</v>
      </c>
      <c r="CW1669" s="45" t="str">
        <v>Invest</v>
      </c>
      <c r="CX1669" s="61"/>
      <c r="CY1669" s="45">
        <v>1665</v>
      </c>
      <c r="CZ1669" s="45">
        <v>21.573370096614795</v>
      </c>
      <c r="DA1669" s="45" t="str">
        <v>Invest</v>
      </c>
      <c r="DU1669" s="52"/>
      <c r="DV1669" s="50"/>
    </row>
    <row r="1670" spans="91:126" ht="23.5">
      <c r="CM1670" s="45">
        <v>1666</v>
      </c>
      <c r="CN1670" s="48">
        <v>2.2251139199637411</v>
      </c>
      <c r="CO1670" s="45" t="str">
        <v>Invest</v>
      </c>
      <c r="CP1670" s="61"/>
      <c r="CQ1670" s="45">
        <v>1666</v>
      </c>
      <c r="CR1670" s="45">
        <v>26.357977919809166</v>
      </c>
      <c r="CS1670" s="45" t="str">
        <v>Invest</v>
      </c>
      <c r="CT1670" s="61"/>
      <c r="CU1670" s="45">
        <v>1666</v>
      </c>
      <c r="CV1670" s="45">
        <v>10.603771142220799</v>
      </c>
      <c r="CW1670" s="45" t="str">
        <v>Invest</v>
      </c>
      <c r="CX1670" s="61"/>
      <c r="CY1670" s="45">
        <v>1666</v>
      </c>
      <c r="CZ1670" s="45">
        <v>17.774978794883857</v>
      </c>
      <c r="DA1670" s="45" t="str">
        <v>Invest</v>
      </c>
      <c r="DU1670" s="52"/>
      <c r="DV1670" s="50"/>
    </row>
    <row r="1671" spans="91:126" ht="23.5">
      <c r="CM1671" s="45">
        <v>1667</v>
      </c>
      <c r="CN1671" s="48">
        <v>0</v>
      </c>
      <c r="CO1671" s="45" t="str">
        <v>Nothing</v>
      </c>
      <c r="CP1671" s="61"/>
      <c r="CQ1671" s="45">
        <v>1667</v>
      </c>
      <c r="CR1671" s="45">
        <v>4.6024673272409835</v>
      </c>
      <c r="CS1671" s="45" t="str">
        <v>Invest</v>
      </c>
      <c r="CT1671" s="61"/>
      <c r="CU1671" s="45">
        <v>1667</v>
      </c>
      <c r="CV1671" s="45">
        <v>32.669647098637896</v>
      </c>
      <c r="CW1671" s="45" t="str">
        <v>Invest</v>
      </c>
      <c r="CX1671" s="61"/>
      <c r="CY1671" s="45">
        <v>1667</v>
      </c>
      <c r="CZ1671" s="45">
        <v>5.3821418525928646</v>
      </c>
      <c r="DA1671" s="45" t="str">
        <v>Invest</v>
      </c>
      <c r="DU1671" s="52"/>
      <c r="DV1671" s="50"/>
    </row>
    <row r="1672" spans="91:126" ht="23.5">
      <c r="CM1672" s="45">
        <v>1668</v>
      </c>
      <c r="CN1672" s="48">
        <v>11.251337631449758</v>
      </c>
      <c r="CO1672" s="45" t="str">
        <v>Invest</v>
      </c>
      <c r="CP1672" s="61"/>
      <c r="CQ1672" s="45">
        <v>1668</v>
      </c>
      <c r="CR1672" s="45">
        <v>19.167836768621079</v>
      </c>
      <c r="CS1672" s="45" t="str">
        <v>Invest</v>
      </c>
      <c r="CT1672" s="61"/>
      <c r="CU1672" s="45">
        <v>1668</v>
      </c>
      <c r="CV1672" s="45">
        <v>0</v>
      </c>
      <c r="CW1672" s="45" t="str">
        <v>Nothing</v>
      </c>
      <c r="CX1672" s="61"/>
      <c r="CY1672" s="45">
        <v>1668</v>
      </c>
      <c r="CZ1672" s="45">
        <v>20.820591630982989</v>
      </c>
      <c r="DA1672" s="45" t="str">
        <v>Invest</v>
      </c>
      <c r="DU1672" s="52"/>
      <c r="DV1672" s="50"/>
    </row>
    <row r="1673" spans="91:126" ht="23.5">
      <c r="CM1673" s="45">
        <v>1669</v>
      </c>
      <c r="CN1673" s="48">
        <v>2.8325613166177206</v>
      </c>
      <c r="CO1673" s="45" t="str">
        <v>Invest</v>
      </c>
      <c r="CP1673" s="61"/>
      <c r="CQ1673" s="45">
        <v>1669</v>
      </c>
      <c r="CR1673" s="45">
        <v>22.217488367226338</v>
      </c>
      <c r="CS1673" s="45" t="str">
        <v>Invest</v>
      </c>
      <c r="CT1673" s="61"/>
      <c r="CU1673" s="45">
        <v>1669</v>
      </c>
      <c r="CV1673" s="45">
        <v>17.021240218196741</v>
      </c>
      <c r="CW1673" s="45" t="str">
        <v>Invest</v>
      </c>
      <c r="CX1673" s="61"/>
      <c r="CY1673" s="45">
        <v>1669</v>
      </c>
      <c r="CZ1673" s="45">
        <v>13.050312539741102</v>
      </c>
      <c r="DA1673" s="45" t="str">
        <v>Invest</v>
      </c>
      <c r="DU1673" s="52"/>
      <c r="DV1673" s="50"/>
    </row>
    <row r="1674" spans="91:126" ht="23.5">
      <c r="CM1674" s="45">
        <v>1670</v>
      </c>
      <c r="CN1674" s="48">
        <v>0.22368465929797576</v>
      </c>
      <c r="CO1674" s="45" t="str">
        <v>Invest</v>
      </c>
      <c r="CP1674" s="61"/>
      <c r="CQ1674" s="45">
        <v>1670</v>
      </c>
      <c r="CR1674" s="45">
        <v>37.304849352984903</v>
      </c>
      <c r="CS1674" s="45" t="str">
        <v>Invest</v>
      </c>
      <c r="CT1674" s="61"/>
      <c r="CU1674" s="45">
        <v>1670</v>
      </c>
      <c r="CV1674" s="45">
        <v>0</v>
      </c>
      <c r="CW1674" s="45" t="str">
        <v>Nothing</v>
      </c>
      <c r="CX1674" s="61"/>
      <c r="CY1674" s="45">
        <v>1670</v>
      </c>
      <c r="CZ1674" s="45">
        <v>5.7842014048678241</v>
      </c>
      <c r="DA1674" s="45" t="str">
        <v>Invest</v>
      </c>
      <c r="DU1674" s="52"/>
      <c r="DV1674" s="50"/>
    </row>
    <row r="1675" spans="91:126" ht="23.5">
      <c r="CM1675" s="45">
        <v>1671</v>
      </c>
      <c r="CN1675" s="48">
        <v>6.272625989567584</v>
      </c>
      <c r="CO1675" s="45" t="str">
        <v>Invest</v>
      </c>
      <c r="CP1675" s="61"/>
      <c r="CQ1675" s="45">
        <v>1671</v>
      </c>
      <c r="CR1675" s="45">
        <v>24.554129302557381</v>
      </c>
      <c r="CS1675" s="45" t="str">
        <v>Invest</v>
      </c>
      <c r="CT1675" s="61"/>
      <c r="CU1675" s="45">
        <v>1671</v>
      </c>
      <c r="CV1675" s="45">
        <v>36.327591818894462</v>
      </c>
      <c r="CW1675" s="45" t="str">
        <v>Invest</v>
      </c>
      <c r="CX1675" s="61"/>
      <c r="CY1675" s="45">
        <v>1671</v>
      </c>
      <c r="CZ1675" s="45">
        <v>15.413965481666114</v>
      </c>
      <c r="DA1675" s="45" t="str">
        <v>Invest</v>
      </c>
      <c r="DU1675" s="52"/>
      <c r="DV1675" s="50"/>
    </row>
    <row r="1676" spans="91:126" ht="23.5">
      <c r="CM1676" s="45">
        <v>1672</v>
      </c>
      <c r="CN1676" s="48">
        <v>0</v>
      </c>
      <c r="CO1676" s="45" t="str">
        <v>Nothing</v>
      </c>
      <c r="CP1676" s="61"/>
      <c r="CQ1676" s="45">
        <v>1672</v>
      </c>
      <c r="CR1676" s="45">
        <v>41.427641168872384</v>
      </c>
      <c r="CS1676" s="45" t="str">
        <v>Invest</v>
      </c>
      <c r="CT1676" s="61"/>
      <c r="CU1676" s="45">
        <v>1672</v>
      </c>
      <c r="CV1676" s="45">
        <v>0</v>
      </c>
      <c r="CW1676" s="45" t="str">
        <v>Nothing</v>
      </c>
      <c r="CX1676" s="61"/>
      <c r="CY1676" s="45">
        <v>1672</v>
      </c>
      <c r="CZ1676" s="45">
        <v>0</v>
      </c>
      <c r="DA1676" s="45" t="str">
        <v>Nothing</v>
      </c>
      <c r="DU1676" s="52"/>
      <c r="DV1676" s="50"/>
    </row>
    <row r="1677" spans="91:126" ht="23.5">
      <c r="CM1677" s="45">
        <v>1673</v>
      </c>
      <c r="CN1677" s="48">
        <v>13.788314587302196</v>
      </c>
      <c r="CO1677" s="45" t="str">
        <v>Invest</v>
      </c>
      <c r="CP1677" s="61"/>
      <c r="CQ1677" s="45">
        <v>1673</v>
      </c>
      <c r="CR1677" s="45">
        <v>55.416239912852049</v>
      </c>
      <c r="CS1677" s="45" t="str">
        <v>Invest</v>
      </c>
      <c r="CT1677" s="61"/>
      <c r="CU1677" s="45">
        <v>1673</v>
      </c>
      <c r="CV1677" s="45">
        <v>0</v>
      </c>
      <c r="CW1677" s="45" t="str">
        <v>Nothing</v>
      </c>
      <c r="CX1677" s="61"/>
      <c r="CY1677" s="45">
        <v>1673</v>
      </c>
      <c r="CZ1677" s="45">
        <v>41.607819880181665</v>
      </c>
      <c r="DA1677" s="45" t="str">
        <v>Invest</v>
      </c>
      <c r="DU1677" s="52"/>
      <c r="DV1677" s="50"/>
    </row>
    <row r="1678" spans="91:126" ht="23.5">
      <c r="CM1678" s="45">
        <v>1674</v>
      </c>
      <c r="CN1678" s="48">
        <v>57.33997765583532</v>
      </c>
      <c r="CO1678" s="45" t="str">
        <v>Invest</v>
      </c>
      <c r="CP1678" s="61"/>
      <c r="CQ1678" s="45">
        <v>1674</v>
      </c>
      <c r="CR1678" s="45">
        <v>0</v>
      </c>
      <c r="CS1678" s="45" t="str">
        <v>Nothing</v>
      </c>
      <c r="CT1678" s="61"/>
      <c r="CU1678" s="45">
        <v>1674</v>
      </c>
      <c r="CV1678" s="45">
        <v>0.80268820380893402</v>
      </c>
      <c r="CW1678" s="45" t="str">
        <v>Invest</v>
      </c>
      <c r="CX1678" s="61"/>
      <c r="CY1678" s="45">
        <v>1674</v>
      </c>
      <c r="CZ1678" s="45">
        <v>25.876658834305029</v>
      </c>
      <c r="DA1678" s="45" t="str">
        <v>Invest</v>
      </c>
      <c r="DU1678" s="52"/>
      <c r="DV1678" s="50"/>
    </row>
    <row r="1679" spans="91:126" ht="23.5">
      <c r="CM1679" s="45">
        <v>1675</v>
      </c>
      <c r="CN1679" s="48">
        <v>7.2461806632903922</v>
      </c>
      <c r="CO1679" s="45" t="str">
        <v>Invest</v>
      </c>
      <c r="CP1679" s="61"/>
      <c r="CQ1679" s="45">
        <v>1675</v>
      </c>
      <c r="CR1679" s="45">
        <v>2.4650018075168489</v>
      </c>
      <c r="CS1679" s="45" t="str">
        <v>Invest</v>
      </c>
      <c r="CT1679" s="61"/>
      <c r="CU1679" s="45">
        <v>1675</v>
      </c>
      <c r="CV1679" s="45">
        <v>24.769289082970374</v>
      </c>
      <c r="CW1679" s="45" t="str">
        <v>Invest</v>
      </c>
      <c r="CX1679" s="61"/>
      <c r="CY1679" s="45">
        <v>1675</v>
      </c>
      <c r="CZ1679" s="45">
        <v>0</v>
      </c>
      <c r="DA1679" s="45" t="str">
        <v>Nothing</v>
      </c>
      <c r="DU1679" s="52"/>
      <c r="DV1679" s="50"/>
    </row>
    <row r="1680" spans="91:126" ht="23.5">
      <c r="CM1680" s="45">
        <v>1676</v>
      </c>
      <c r="CN1680" s="48">
        <v>6.7598285598873176</v>
      </c>
      <c r="CO1680" s="45" t="str">
        <v>Invest</v>
      </c>
      <c r="CP1680" s="61"/>
      <c r="CQ1680" s="45">
        <v>1676</v>
      </c>
      <c r="CR1680" s="45">
        <v>11.068630597816018</v>
      </c>
      <c r="CS1680" s="45" t="str">
        <v>Invest</v>
      </c>
      <c r="CT1680" s="61"/>
      <c r="CU1680" s="45">
        <v>1676</v>
      </c>
      <c r="CV1680" s="45">
        <v>14.710508098269971</v>
      </c>
      <c r="CW1680" s="45" t="str">
        <v>Invest</v>
      </c>
      <c r="CX1680" s="61"/>
      <c r="CY1680" s="45">
        <v>1676</v>
      </c>
      <c r="CZ1680" s="45">
        <v>7.9416969484886302</v>
      </c>
      <c r="DA1680" s="45" t="str">
        <v>Invest</v>
      </c>
      <c r="DU1680" s="52"/>
      <c r="DV1680" s="50"/>
    </row>
    <row r="1681" spans="91:126" ht="23.5">
      <c r="CM1681" s="45">
        <v>1677</v>
      </c>
      <c r="CN1681" s="48">
        <v>8.7183889384846474</v>
      </c>
      <c r="CO1681" s="45" t="str">
        <v>Invest</v>
      </c>
      <c r="CP1681" s="61"/>
      <c r="CQ1681" s="45">
        <v>1677</v>
      </c>
      <c r="CR1681" s="45">
        <v>36.113615537893189</v>
      </c>
      <c r="CS1681" s="45" t="str">
        <v>Invest</v>
      </c>
      <c r="CT1681" s="61"/>
      <c r="CU1681" s="45">
        <v>1677</v>
      </c>
      <c r="CV1681" s="45">
        <v>27.187861882303423</v>
      </c>
      <c r="CW1681" s="45" t="str">
        <v>Invest</v>
      </c>
      <c r="CX1681" s="61"/>
      <c r="CY1681" s="45">
        <v>1677</v>
      </c>
      <c r="CZ1681" s="45">
        <v>16.804079827554272</v>
      </c>
      <c r="DA1681" s="45" t="str">
        <v>Invest</v>
      </c>
      <c r="DU1681" s="52"/>
      <c r="DV1681" s="50"/>
    </row>
    <row r="1682" spans="91:126" ht="23.5">
      <c r="CM1682" s="45">
        <v>1678</v>
      </c>
      <c r="CN1682" s="48">
        <v>2.0347526899454129</v>
      </c>
      <c r="CO1682" s="45" t="str">
        <v>Invest</v>
      </c>
      <c r="CP1682" s="61"/>
      <c r="CQ1682" s="45">
        <v>1678</v>
      </c>
      <c r="CR1682" s="45">
        <v>19.962981413950949</v>
      </c>
      <c r="CS1682" s="45" t="str">
        <v>Invest</v>
      </c>
      <c r="CT1682" s="61"/>
      <c r="CU1682" s="45">
        <v>1678</v>
      </c>
      <c r="CV1682" s="45">
        <v>19.118638894439606</v>
      </c>
      <c r="CW1682" s="45" t="str">
        <v>Invest</v>
      </c>
      <c r="CX1682" s="61"/>
      <c r="CY1682" s="45">
        <v>1678</v>
      </c>
      <c r="CZ1682" s="45">
        <v>35.56442646440226</v>
      </c>
      <c r="DA1682" s="45" t="str">
        <v>Invest</v>
      </c>
      <c r="DU1682" s="52"/>
      <c r="DV1682" s="50"/>
    </row>
    <row r="1683" spans="91:126" ht="23.5">
      <c r="CM1683" s="45">
        <v>1679</v>
      </c>
      <c r="CN1683" s="48">
        <v>36.286186721703658</v>
      </c>
      <c r="CO1683" s="45" t="str">
        <v>Invest</v>
      </c>
      <c r="CP1683" s="61"/>
      <c r="CQ1683" s="45">
        <v>1679</v>
      </c>
      <c r="CR1683" s="45">
        <v>33.243373915910063</v>
      </c>
      <c r="CS1683" s="45" t="str">
        <v>Invest</v>
      </c>
      <c r="CT1683" s="61"/>
      <c r="CU1683" s="45">
        <v>1679</v>
      </c>
      <c r="CV1683" s="45">
        <v>12.789275435110943</v>
      </c>
      <c r="CW1683" s="45" t="str">
        <v>Invest</v>
      </c>
      <c r="CX1683" s="61"/>
      <c r="CY1683" s="45">
        <v>1679</v>
      </c>
      <c r="CZ1683" s="45">
        <v>32.976525997154127</v>
      </c>
      <c r="DA1683" s="45" t="str">
        <v>Invest</v>
      </c>
      <c r="DU1683" s="52"/>
      <c r="DV1683" s="50"/>
    </row>
    <row r="1684" spans="91:126" ht="23.5">
      <c r="CM1684" s="45">
        <v>1680</v>
      </c>
      <c r="CN1684" s="48">
        <v>17.67222319825369</v>
      </c>
      <c r="CO1684" s="45" t="str">
        <v>Invest</v>
      </c>
      <c r="CP1684" s="61"/>
      <c r="CQ1684" s="45">
        <v>1680</v>
      </c>
      <c r="CR1684" s="45">
        <v>0</v>
      </c>
      <c r="CS1684" s="45" t="str">
        <v>Nothing</v>
      </c>
      <c r="CT1684" s="61"/>
      <c r="CU1684" s="45">
        <v>1680</v>
      </c>
      <c r="CV1684" s="45">
        <v>15.807949753967973</v>
      </c>
      <c r="CW1684" s="45" t="str">
        <v>Invest</v>
      </c>
      <c r="CX1684" s="61"/>
      <c r="CY1684" s="45">
        <v>1680</v>
      </c>
      <c r="CZ1684" s="45">
        <v>35.695921251203885</v>
      </c>
      <c r="DA1684" s="45" t="str">
        <v>Invest</v>
      </c>
      <c r="DU1684" s="52"/>
      <c r="DV1684" s="50"/>
    </row>
    <row r="1685" spans="91:126" ht="23.5">
      <c r="CM1685" s="45">
        <v>1681</v>
      </c>
      <c r="CN1685" s="48">
        <v>39.183185258149251</v>
      </c>
      <c r="CO1685" s="45" t="str">
        <v>Invest</v>
      </c>
      <c r="CP1685" s="61"/>
      <c r="CQ1685" s="45">
        <v>1681</v>
      </c>
      <c r="CR1685" s="45">
        <v>39.696511166795261</v>
      </c>
      <c r="CS1685" s="45" t="str">
        <v>Invest</v>
      </c>
      <c r="CT1685" s="61"/>
      <c r="CU1685" s="45">
        <v>1681</v>
      </c>
      <c r="CV1685" s="45">
        <v>0</v>
      </c>
      <c r="CW1685" s="45" t="str">
        <v>Nothing</v>
      </c>
      <c r="CX1685" s="61"/>
      <c r="CY1685" s="45">
        <v>1681</v>
      </c>
      <c r="CZ1685" s="45">
        <v>9.64522112626954</v>
      </c>
      <c r="DA1685" s="45" t="str">
        <v>Invest</v>
      </c>
      <c r="DU1685" s="52"/>
      <c r="DV1685" s="50"/>
    </row>
    <row r="1686" spans="91:126" ht="23.5">
      <c r="CM1686" s="45">
        <v>1682</v>
      </c>
      <c r="CN1686" s="48">
        <v>37.461764133573489</v>
      </c>
      <c r="CO1686" s="45" t="str">
        <v>Invest</v>
      </c>
      <c r="CP1686" s="61"/>
      <c r="CQ1686" s="45">
        <v>1682</v>
      </c>
      <c r="CR1686" s="45">
        <v>10.667577453203837</v>
      </c>
      <c r="CS1686" s="45" t="str">
        <v>Invest</v>
      </c>
      <c r="CT1686" s="61"/>
      <c r="CU1686" s="45">
        <v>1682</v>
      </c>
      <c r="CV1686" s="45">
        <v>0.62853627427751846</v>
      </c>
      <c r="CW1686" s="45" t="str">
        <v>Invest</v>
      </c>
      <c r="CX1686" s="61"/>
      <c r="CY1686" s="45">
        <v>1682</v>
      </c>
      <c r="CZ1686" s="45">
        <v>26.157176536747194</v>
      </c>
      <c r="DA1686" s="45" t="str">
        <v>Invest</v>
      </c>
      <c r="DU1686" s="52"/>
      <c r="DV1686" s="50"/>
    </row>
    <row r="1687" spans="91:126" ht="23.5">
      <c r="CM1687" s="45">
        <v>1683</v>
      </c>
      <c r="CN1687" s="48">
        <v>12.330549292437819</v>
      </c>
      <c r="CO1687" s="45" t="str">
        <v>Invest</v>
      </c>
      <c r="CP1687" s="61"/>
      <c r="CQ1687" s="45">
        <v>1683</v>
      </c>
      <c r="CR1687" s="45">
        <v>8.1502482775812766</v>
      </c>
      <c r="CS1687" s="45" t="str">
        <v>Invest</v>
      </c>
      <c r="CT1687" s="61"/>
      <c r="CU1687" s="45">
        <v>1683</v>
      </c>
      <c r="CV1687" s="45">
        <v>50.416252514484846</v>
      </c>
      <c r="CW1687" s="45" t="str">
        <v>Invest</v>
      </c>
      <c r="CX1687" s="61"/>
      <c r="CY1687" s="45">
        <v>1683</v>
      </c>
      <c r="CZ1687" s="45">
        <v>2.7541868068341131</v>
      </c>
      <c r="DA1687" s="45" t="str">
        <v>Invest</v>
      </c>
      <c r="DU1687" s="52"/>
      <c r="DV1687" s="50"/>
    </row>
    <row r="1688" spans="91:126" ht="23.5">
      <c r="CM1688" s="45">
        <v>1684</v>
      </c>
      <c r="CN1688" s="48">
        <v>21.350144528460877</v>
      </c>
      <c r="CO1688" s="45" t="str">
        <v>Invest</v>
      </c>
      <c r="CP1688" s="61"/>
      <c r="CQ1688" s="45">
        <v>1684</v>
      </c>
      <c r="CR1688" s="45">
        <v>0</v>
      </c>
      <c r="CS1688" s="45" t="str">
        <v>Nothing</v>
      </c>
      <c r="CT1688" s="61"/>
      <c r="CU1688" s="45">
        <v>1684</v>
      </c>
      <c r="CV1688" s="45">
        <v>2.9205905527019085</v>
      </c>
      <c r="CW1688" s="45" t="str">
        <v>Invest</v>
      </c>
      <c r="CX1688" s="61"/>
      <c r="CY1688" s="45">
        <v>1684</v>
      </c>
      <c r="CZ1688" s="45">
        <v>7.3095729771617002</v>
      </c>
      <c r="DA1688" s="45" t="str">
        <v>Invest</v>
      </c>
      <c r="DU1688" s="52"/>
      <c r="DV1688" s="50"/>
    </row>
    <row r="1689" spans="91:126" ht="23.5">
      <c r="CM1689" s="45">
        <v>1685</v>
      </c>
      <c r="CN1689" s="48">
        <v>10.591249666798266</v>
      </c>
      <c r="CO1689" s="45" t="str">
        <v>Invest</v>
      </c>
      <c r="CP1689" s="61"/>
      <c r="CQ1689" s="45">
        <v>1685</v>
      </c>
      <c r="CR1689" s="45">
        <v>20.697183681394129</v>
      </c>
      <c r="CS1689" s="45" t="str">
        <v>Invest</v>
      </c>
      <c r="CT1689" s="61"/>
      <c r="CU1689" s="45">
        <v>1685</v>
      </c>
      <c r="CV1689" s="45">
        <v>43.86588894144073</v>
      </c>
      <c r="CW1689" s="45" t="str">
        <v>Invest</v>
      </c>
      <c r="CX1689" s="61"/>
      <c r="CY1689" s="45">
        <v>1685</v>
      </c>
      <c r="CZ1689" s="45">
        <v>32.344677084507111</v>
      </c>
      <c r="DA1689" s="45" t="str">
        <v>Invest</v>
      </c>
      <c r="DU1689" s="52"/>
      <c r="DV1689" s="50"/>
    </row>
    <row r="1690" spans="91:126" ht="23.5">
      <c r="CM1690" s="45">
        <v>1686</v>
      </c>
      <c r="CN1690" s="48">
        <v>16.809480879715736</v>
      </c>
      <c r="CO1690" s="45" t="str">
        <v>Invest</v>
      </c>
      <c r="CP1690" s="61"/>
      <c r="CQ1690" s="45">
        <v>1686</v>
      </c>
      <c r="CR1690" s="45">
        <v>0</v>
      </c>
      <c r="CS1690" s="45" t="str">
        <v>Nothing</v>
      </c>
      <c r="CT1690" s="61"/>
      <c r="CU1690" s="45">
        <v>1686</v>
      </c>
      <c r="CV1690" s="45">
        <v>31.321594999202482</v>
      </c>
      <c r="CW1690" s="45" t="str">
        <v>Invest</v>
      </c>
      <c r="CX1690" s="61"/>
      <c r="CY1690" s="45">
        <v>1686</v>
      </c>
      <c r="CZ1690" s="45">
        <v>39.470319538001348</v>
      </c>
      <c r="DA1690" s="45" t="str">
        <v>Invest</v>
      </c>
      <c r="DU1690" s="52"/>
      <c r="DV1690" s="50"/>
    </row>
    <row r="1691" spans="91:126" ht="23.5">
      <c r="CM1691" s="45">
        <v>1687</v>
      </c>
      <c r="CN1691" s="48">
        <v>11.400971854317508</v>
      </c>
      <c r="CO1691" s="45" t="str">
        <v>Invest</v>
      </c>
      <c r="CP1691" s="61"/>
      <c r="CQ1691" s="45">
        <v>1687</v>
      </c>
      <c r="CR1691" s="45">
        <v>0</v>
      </c>
      <c r="CS1691" s="45" t="str">
        <v>Nothing</v>
      </c>
      <c r="CT1691" s="61"/>
      <c r="CU1691" s="45">
        <v>1687</v>
      </c>
      <c r="CV1691" s="45">
        <v>0</v>
      </c>
      <c r="CW1691" s="45" t="str">
        <v>Nothing</v>
      </c>
      <c r="CX1691" s="61"/>
      <c r="CY1691" s="45">
        <v>1687</v>
      </c>
      <c r="CZ1691" s="45">
        <v>36.651201500257351</v>
      </c>
      <c r="DA1691" s="45" t="str">
        <v>Invest</v>
      </c>
      <c r="DU1691" s="52"/>
      <c r="DV1691" s="50"/>
    </row>
    <row r="1692" spans="91:126" ht="23.5">
      <c r="CM1692" s="45">
        <v>1688</v>
      </c>
      <c r="CN1692" s="48">
        <v>17.253440160345065</v>
      </c>
      <c r="CO1692" s="45" t="str">
        <v>Invest</v>
      </c>
      <c r="CP1692" s="61"/>
      <c r="CQ1692" s="45">
        <v>1688</v>
      </c>
      <c r="CR1692" s="45">
        <v>16.473119165146606</v>
      </c>
      <c r="CS1692" s="45" t="str">
        <v>Invest</v>
      </c>
      <c r="CT1692" s="61"/>
      <c r="CU1692" s="45">
        <v>1688</v>
      </c>
      <c r="CV1692" s="45">
        <v>5.2000794640459098</v>
      </c>
      <c r="CW1692" s="45" t="str">
        <v>Invest</v>
      </c>
      <c r="CX1692" s="61"/>
      <c r="CY1692" s="45">
        <v>1688</v>
      </c>
      <c r="CZ1692" s="45">
        <v>18.197029758702946</v>
      </c>
      <c r="DA1692" s="45" t="str">
        <v>Invest</v>
      </c>
      <c r="DU1692" s="52"/>
      <c r="DV1692" s="50"/>
    </row>
    <row r="1693" spans="91:126" ht="23.5">
      <c r="CM1693" s="45">
        <v>1689</v>
      </c>
      <c r="CN1693" s="48">
        <v>2.6816519050262677</v>
      </c>
      <c r="CO1693" s="45" t="str">
        <v>Invest</v>
      </c>
      <c r="CP1693" s="61"/>
      <c r="CQ1693" s="45">
        <v>1689</v>
      </c>
      <c r="CR1693" s="45">
        <v>0</v>
      </c>
      <c r="CS1693" s="45" t="str">
        <v>Nothing</v>
      </c>
      <c r="CT1693" s="61"/>
      <c r="CU1693" s="45">
        <v>1689</v>
      </c>
      <c r="CV1693" s="45">
        <v>35.254279183345105</v>
      </c>
      <c r="CW1693" s="45" t="str">
        <v>Invest</v>
      </c>
      <c r="CX1693" s="61"/>
      <c r="CY1693" s="45">
        <v>1689</v>
      </c>
      <c r="CZ1693" s="45">
        <v>21.871706181854385</v>
      </c>
      <c r="DA1693" s="45" t="str">
        <v>Invest</v>
      </c>
      <c r="DU1693" s="52"/>
      <c r="DV1693" s="50"/>
    </row>
    <row r="1694" spans="91:126" ht="23.5">
      <c r="CM1694" s="45">
        <v>1690</v>
      </c>
      <c r="CN1694" s="48">
        <v>0</v>
      </c>
      <c r="CO1694" s="45" t="str">
        <v>Nothing</v>
      </c>
      <c r="CP1694" s="61"/>
      <c r="CQ1694" s="45">
        <v>1690</v>
      </c>
      <c r="CR1694" s="45">
        <v>0</v>
      </c>
      <c r="CS1694" s="45" t="str">
        <v>Nothing</v>
      </c>
      <c r="CT1694" s="61"/>
      <c r="CU1694" s="45">
        <v>1690</v>
      </c>
      <c r="CV1694" s="45">
        <v>0</v>
      </c>
      <c r="CW1694" s="45" t="str">
        <v>Nothing</v>
      </c>
      <c r="CX1694" s="61"/>
      <c r="CY1694" s="45">
        <v>1690</v>
      </c>
      <c r="CZ1694" s="45">
        <v>42.599493703868568</v>
      </c>
      <c r="DA1694" s="45" t="str">
        <v>Invest</v>
      </c>
      <c r="DU1694" s="52"/>
      <c r="DV1694" s="50"/>
    </row>
    <row r="1695" spans="91:126" ht="23.5">
      <c r="CM1695" s="45">
        <v>1691</v>
      </c>
      <c r="CN1695" s="48">
        <v>10.913074180057571</v>
      </c>
      <c r="CO1695" s="45" t="str">
        <v>Invest</v>
      </c>
      <c r="CP1695" s="61"/>
      <c r="CQ1695" s="45">
        <v>1691</v>
      </c>
      <c r="CR1695" s="45">
        <v>40.638905238535244</v>
      </c>
      <c r="CS1695" s="45" t="str">
        <v>Invest</v>
      </c>
      <c r="CT1695" s="61"/>
      <c r="CU1695" s="45">
        <v>1691</v>
      </c>
      <c r="CV1695" s="45">
        <v>14.616444435119984</v>
      </c>
      <c r="CW1695" s="45" t="str">
        <v>Invest</v>
      </c>
      <c r="CX1695" s="61"/>
      <c r="CY1695" s="45">
        <v>1691</v>
      </c>
      <c r="CZ1695" s="45">
        <v>40.355944653329637</v>
      </c>
      <c r="DA1695" s="45" t="str">
        <v>Invest</v>
      </c>
      <c r="DU1695" s="52"/>
      <c r="DV1695" s="50"/>
    </row>
    <row r="1696" spans="91:126" ht="23.5">
      <c r="CM1696" s="45">
        <v>1692</v>
      </c>
      <c r="CN1696" s="48">
        <v>16.732092429453417</v>
      </c>
      <c r="CO1696" s="45" t="str">
        <v>Invest</v>
      </c>
      <c r="CP1696" s="61"/>
      <c r="CQ1696" s="45">
        <v>1692</v>
      </c>
      <c r="CR1696" s="45">
        <v>11.249000795675862</v>
      </c>
      <c r="CS1696" s="45" t="str">
        <v>Invest</v>
      </c>
      <c r="CT1696" s="61"/>
      <c r="CU1696" s="45">
        <v>1692</v>
      </c>
      <c r="CV1696" s="45">
        <v>31.467333309193897</v>
      </c>
      <c r="CW1696" s="45" t="str">
        <v>Invest</v>
      </c>
      <c r="CX1696" s="61"/>
      <c r="CY1696" s="45">
        <v>1692</v>
      </c>
      <c r="CZ1696" s="45">
        <v>17.176758536367238</v>
      </c>
      <c r="DA1696" s="45" t="str">
        <v>Invest</v>
      </c>
      <c r="DU1696" s="52"/>
      <c r="DV1696" s="50"/>
    </row>
    <row r="1697" spans="91:126" ht="23.5">
      <c r="CM1697" s="45">
        <v>1693</v>
      </c>
      <c r="CN1697" s="48">
        <v>26.161850677466411</v>
      </c>
      <c r="CO1697" s="45" t="str">
        <v>Invest</v>
      </c>
      <c r="CP1697" s="61"/>
      <c r="CQ1697" s="45">
        <v>1693</v>
      </c>
      <c r="CR1697" s="45">
        <v>13.398531124878691</v>
      </c>
      <c r="CS1697" s="45" t="str">
        <v>Invest</v>
      </c>
      <c r="CT1697" s="61"/>
      <c r="CU1697" s="45">
        <v>1693</v>
      </c>
      <c r="CV1697" s="45">
        <v>44.546204467123843</v>
      </c>
      <c r="CW1697" s="45" t="str">
        <v>Invest</v>
      </c>
      <c r="CX1697" s="61"/>
      <c r="CY1697" s="45">
        <v>1693</v>
      </c>
      <c r="CZ1697" s="45">
        <v>17.078807711061799</v>
      </c>
      <c r="DA1697" s="45" t="str">
        <v>Invest</v>
      </c>
      <c r="DU1697" s="52"/>
      <c r="DV1697" s="50"/>
    </row>
    <row r="1698" spans="91:126" ht="23.5">
      <c r="CM1698" s="45">
        <v>1694</v>
      </c>
      <c r="CN1698" s="48">
        <v>4.0746453736323716</v>
      </c>
      <c r="CO1698" s="45" t="str">
        <v>Invest</v>
      </c>
      <c r="CP1698" s="61"/>
      <c r="CQ1698" s="45">
        <v>1694</v>
      </c>
      <c r="CR1698" s="45">
        <v>2.3303068112288834</v>
      </c>
      <c r="CS1698" s="45" t="str">
        <v>Invest</v>
      </c>
      <c r="CT1698" s="61"/>
      <c r="CU1698" s="45">
        <v>1694</v>
      </c>
      <c r="CV1698" s="45">
        <v>56.530575452002907</v>
      </c>
      <c r="CW1698" s="45" t="str">
        <v>Invest</v>
      </c>
      <c r="CX1698" s="61"/>
      <c r="CY1698" s="45">
        <v>1694</v>
      </c>
      <c r="CZ1698" s="45">
        <v>25.541591241577631</v>
      </c>
      <c r="DA1698" s="45" t="str">
        <v>Invest</v>
      </c>
      <c r="DU1698" s="52"/>
      <c r="DV1698" s="50"/>
    </row>
    <row r="1699" spans="91:126" ht="23.5">
      <c r="CM1699" s="45">
        <v>1695</v>
      </c>
      <c r="CN1699" s="48">
        <v>20.025919127897911</v>
      </c>
      <c r="CO1699" s="45" t="str">
        <v>Invest</v>
      </c>
      <c r="CP1699" s="61"/>
      <c r="CQ1699" s="45">
        <v>1695</v>
      </c>
      <c r="CR1699" s="45">
        <v>2.0095715658967883</v>
      </c>
      <c r="CS1699" s="45" t="str">
        <v>Invest</v>
      </c>
      <c r="CT1699" s="61"/>
      <c r="CU1699" s="45">
        <v>1695</v>
      </c>
      <c r="CV1699" s="45">
        <v>12.249769348869155</v>
      </c>
      <c r="CW1699" s="45" t="str">
        <v>Invest</v>
      </c>
      <c r="CX1699" s="61"/>
      <c r="CY1699" s="45">
        <v>1695</v>
      </c>
      <c r="CZ1699" s="45">
        <v>13.521093959873406</v>
      </c>
      <c r="DA1699" s="45" t="str">
        <v>Invest</v>
      </c>
      <c r="DU1699" s="52"/>
      <c r="DV1699" s="50"/>
    </row>
    <row r="1700" spans="91:126" ht="23.5">
      <c r="CM1700" s="45">
        <v>1696</v>
      </c>
      <c r="CN1700" s="48">
        <v>35.718384692139431</v>
      </c>
      <c r="CO1700" s="45" t="str">
        <v>Invest</v>
      </c>
      <c r="CP1700" s="61"/>
      <c r="CQ1700" s="45">
        <v>1696</v>
      </c>
      <c r="CR1700" s="45">
        <v>47.868138796705026</v>
      </c>
      <c r="CS1700" s="45" t="str">
        <v>Invest</v>
      </c>
      <c r="CT1700" s="61"/>
      <c r="CU1700" s="45">
        <v>1696</v>
      </c>
      <c r="CV1700" s="45">
        <v>18.59001602977348</v>
      </c>
      <c r="CW1700" s="45" t="str">
        <v>Invest</v>
      </c>
      <c r="CX1700" s="61"/>
      <c r="CY1700" s="45">
        <v>1696</v>
      </c>
      <c r="CZ1700" s="45">
        <v>13.040916418489561</v>
      </c>
      <c r="DA1700" s="45" t="str">
        <v>Invest</v>
      </c>
      <c r="DU1700" s="52"/>
      <c r="DV1700" s="50"/>
    </row>
    <row r="1701" spans="91:126" ht="23.5">
      <c r="CM1701" s="45">
        <v>1697</v>
      </c>
      <c r="CN1701" s="48">
        <v>0</v>
      </c>
      <c r="CO1701" s="45" t="str">
        <v>Nothing</v>
      </c>
      <c r="CP1701" s="61"/>
      <c r="CQ1701" s="45">
        <v>1697</v>
      </c>
      <c r="CR1701" s="45">
        <v>18.778774642400421</v>
      </c>
      <c r="CS1701" s="45" t="str">
        <v>Invest</v>
      </c>
      <c r="CT1701" s="61"/>
      <c r="CU1701" s="45">
        <v>1697</v>
      </c>
      <c r="CV1701" s="45">
        <v>30.465119419507651</v>
      </c>
      <c r="CW1701" s="45" t="str">
        <v>Invest</v>
      </c>
      <c r="CX1701" s="61"/>
      <c r="CY1701" s="45">
        <v>1697</v>
      </c>
      <c r="CZ1701" s="45">
        <v>14.52709516928345</v>
      </c>
      <c r="DA1701" s="45" t="str">
        <v>Invest</v>
      </c>
      <c r="DU1701" s="52"/>
      <c r="DV1701" s="50"/>
    </row>
    <row r="1702" spans="91:126" ht="23.5">
      <c r="CM1702" s="45">
        <v>1698</v>
      </c>
      <c r="CN1702" s="48">
        <v>0</v>
      </c>
      <c r="CO1702" s="45" t="str">
        <v>Nothing</v>
      </c>
      <c r="CP1702" s="61"/>
      <c r="CQ1702" s="45">
        <v>1698</v>
      </c>
      <c r="CR1702" s="45">
        <v>22.517360637447069</v>
      </c>
      <c r="CS1702" s="45" t="str">
        <v>Invest</v>
      </c>
      <c r="CT1702" s="61"/>
      <c r="CU1702" s="45">
        <v>1698</v>
      </c>
      <c r="CV1702" s="45">
        <v>5.8261037237241773</v>
      </c>
      <c r="CW1702" s="45" t="str">
        <v>Invest</v>
      </c>
      <c r="CX1702" s="61"/>
      <c r="CY1702" s="45">
        <v>1698</v>
      </c>
      <c r="CZ1702" s="45">
        <v>2.8865255942390533</v>
      </c>
      <c r="DA1702" s="45" t="str">
        <v>Invest</v>
      </c>
      <c r="DU1702" s="52"/>
      <c r="DV1702" s="50"/>
    </row>
    <row r="1703" spans="91:126" ht="23.5">
      <c r="CM1703" s="45">
        <v>1699</v>
      </c>
      <c r="CN1703" s="48">
        <v>2.2264517583315584</v>
      </c>
      <c r="CO1703" s="45" t="str">
        <v>Invest</v>
      </c>
      <c r="CP1703" s="61"/>
      <c r="CQ1703" s="45">
        <v>1699</v>
      </c>
      <c r="CR1703" s="45">
        <v>1.928913118944287</v>
      </c>
      <c r="CS1703" s="45" t="str">
        <v>Invest</v>
      </c>
      <c r="CT1703" s="61"/>
      <c r="CU1703" s="45">
        <v>1699</v>
      </c>
      <c r="CV1703" s="45">
        <v>0</v>
      </c>
      <c r="CW1703" s="45" t="str">
        <v>Nothing</v>
      </c>
      <c r="CX1703" s="61"/>
      <c r="CY1703" s="45">
        <v>1699</v>
      </c>
      <c r="CZ1703" s="45">
        <v>23.310808177313746</v>
      </c>
      <c r="DA1703" s="45" t="str">
        <v>Invest</v>
      </c>
      <c r="DU1703" s="52"/>
      <c r="DV1703" s="50"/>
    </row>
    <row r="1704" spans="91:126" ht="23.5">
      <c r="CM1704" s="45">
        <v>1700</v>
      </c>
      <c r="CN1704" s="48">
        <v>0</v>
      </c>
      <c r="CO1704" s="45" t="str">
        <v>Nothing</v>
      </c>
      <c r="CP1704" s="61"/>
      <c r="CQ1704" s="45">
        <v>1700</v>
      </c>
      <c r="CR1704" s="45">
        <v>0</v>
      </c>
      <c r="CS1704" s="45" t="str">
        <v>Nothing</v>
      </c>
      <c r="CT1704" s="61"/>
      <c r="CU1704" s="45">
        <v>1700</v>
      </c>
      <c r="CV1704" s="45">
        <v>0</v>
      </c>
      <c r="CW1704" s="45" t="str">
        <v>Nothing</v>
      </c>
      <c r="CX1704" s="61"/>
      <c r="CY1704" s="45">
        <v>1700</v>
      </c>
      <c r="CZ1704" s="45">
        <v>37.651199489844636</v>
      </c>
      <c r="DA1704" s="45" t="str">
        <v>Invest</v>
      </c>
      <c r="DU1704" s="52"/>
      <c r="DV1704" s="50"/>
    </row>
    <row r="1705" spans="91:126" ht="23.5">
      <c r="CM1705" s="45">
        <v>1701</v>
      </c>
      <c r="CN1705" s="48">
        <v>0</v>
      </c>
      <c r="CO1705" s="45" t="str">
        <v>Nothing</v>
      </c>
      <c r="CP1705" s="61"/>
      <c r="CQ1705" s="45">
        <v>1701</v>
      </c>
      <c r="CR1705" s="45">
        <v>27.62144702982561</v>
      </c>
      <c r="CS1705" s="45" t="str">
        <v>Invest</v>
      </c>
      <c r="CT1705" s="61"/>
      <c r="CU1705" s="45">
        <v>1701</v>
      </c>
      <c r="CV1705" s="45">
        <v>17.580974171040616</v>
      </c>
      <c r="CW1705" s="45" t="str">
        <v>Invest</v>
      </c>
      <c r="CX1705" s="61"/>
      <c r="CY1705" s="45">
        <v>1701</v>
      </c>
      <c r="CZ1705" s="45">
        <v>14.208294916014184</v>
      </c>
      <c r="DA1705" s="45" t="str">
        <v>Invest</v>
      </c>
      <c r="DU1705" s="52"/>
      <c r="DV1705" s="50"/>
    </row>
    <row r="1706" spans="91:126" ht="23.5">
      <c r="CM1706" s="45">
        <v>1702</v>
      </c>
      <c r="CN1706" s="48">
        <v>0</v>
      </c>
      <c r="CO1706" s="45" t="str">
        <v>Nothing</v>
      </c>
      <c r="CP1706" s="61"/>
      <c r="CQ1706" s="45">
        <v>1702</v>
      </c>
      <c r="CR1706" s="45">
        <v>16.241885102541119</v>
      </c>
      <c r="CS1706" s="45" t="str">
        <v>Invest</v>
      </c>
      <c r="CT1706" s="61"/>
      <c r="CU1706" s="45">
        <v>1702</v>
      </c>
      <c r="CV1706" s="45">
        <v>35.308917434916708</v>
      </c>
      <c r="CW1706" s="45" t="str">
        <v>Invest</v>
      </c>
      <c r="CX1706" s="61"/>
      <c r="CY1706" s="45">
        <v>1702</v>
      </c>
      <c r="CZ1706" s="45">
        <v>27.657870542988057</v>
      </c>
      <c r="DA1706" s="45" t="str">
        <v>Invest</v>
      </c>
      <c r="DU1706" s="52"/>
      <c r="DV1706" s="50"/>
    </row>
    <row r="1707" spans="91:126" ht="23.5">
      <c r="CM1707" s="45">
        <v>1703</v>
      </c>
      <c r="CN1707" s="48">
        <v>41.327196542037541</v>
      </c>
      <c r="CO1707" s="45" t="str">
        <v>Invest</v>
      </c>
      <c r="CP1707" s="61"/>
      <c r="CQ1707" s="45">
        <v>1703</v>
      </c>
      <c r="CR1707" s="45">
        <v>0</v>
      </c>
      <c r="CS1707" s="45" t="str">
        <v>Nothing</v>
      </c>
      <c r="CT1707" s="61"/>
      <c r="CU1707" s="45">
        <v>1703</v>
      </c>
      <c r="CV1707" s="45">
        <v>23.737081273838871</v>
      </c>
      <c r="CW1707" s="45" t="str">
        <v>Invest</v>
      </c>
      <c r="CX1707" s="61"/>
      <c r="CY1707" s="45">
        <v>1703</v>
      </c>
      <c r="CZ1707" s="45">
        <v>12.875626003965682</v>
      </c>
      <c r="DA1707" s="45" t="str">
        <v>Invest</v>
      </c>
      <c r="DU1707" s="52"/>
      <c r="DV1707" s="50"/>
    </row>
    <row r="1708" spans="91:126" ht="23.5">
      <c r="CM1708" s="45">
        <v>1704</v>
      </c>
      <c r="CN1708" s="48">
        <v>0</v>
      </c>
      <c r="CO1708" s="45" t="str">
        <v>Nothing</v>
      </c>
      <c r="CP1708" s="61"/>
      <c r="CQ1708" s="45">
        <v>1704</v>
      </c>
      <c r="CR1708" s="45">
        <v>16.476635299936653</v>
      </c>
      <c r="CS1708" s="45" t="str">
        <v>Invest</v>
      </c>
      <c r="CT1708" s="61"/>
      <c r="CU1708" s="45">
        <v>1704</v>
      </c>
      <c r="CV1708" s="45">
        <v>0</v>
      </c>
      <c r="CW1708" s="45" t="str">
        <v>Nothing</v>
      </c>
      <c r="CX1708" s="61"/>
      <c r="CY1708" s="45">
        <v>1704</v>
      </c>
      <c r="CZ1708" s="45">
        <v>0</v>
      </c>
      <c r="DA1708" s="45" t="str">
        <v>Nothing</v>
      </c>
      <c r="DU1708" s="52"/>
      <c r="DV1708" s="50"/>
    </row>
    <row r="1709" spans="91:126" ht="23.5">
      <c r="CM1709" s="45">
        <v>1705</v>
      </c>
      <c r="CN1709" s="48">
        <v>7.6963094639858038</v>
      </c>
      <c r="CO1709" s="45" t="str">
        <v>Invest</v>
      </c>
      <c r="CP1709" s="61"/>
      <c r="CQ1709" s="45">
        <v>1705</v>
      </c>
      <c r="CR1709" s="45">
        <v>18.104084056312693</v>
      </c>
      <c r="CS1709" s="45" t="str">
        <v>Invest</v>
      </c>
      <c r="CT1709" s="61"/>
      <c r="CU1709" s="45">
        <v>1705</v>
      </c>
      <c r="CV1709" s="45">
        <v>0</v>
      </c>
      <c r="CW1709" s="45" t="str">
        <v>Nothing</v>
      </c>
      <c r="CX1709" s="61"/>
      <c r="CY1709" s="45">
        <v>1705</v>
      </c>
      <c r="CZ1709" s="45">
        <v>22.610751276069941</v>
      </c>
      <c r="DA1709" s="45" t="str">
        <v>Invest</v>
      </c>
      <c r="DU1709" s="52"/>
      <c r="DV1709" s="50"/>
    </row>
    <row r="1710" spans="91:126" ht="23.5">
      <c r="CM1710" s="45">
        <v>1706</v>
      </c>
      <c r="CN1710" s="48">
        <v>0</v>
      </c>
      <c r="CO1710" s="45" t="str">
        <v>Nothing</v>
      </c>
      <c r="CP1710" s="61"/>
      <c r="CQ1710" s="45">
        <v>1706</v>
      </c>
      <c r="CR1710" s="45">
        <v>0</v>
      </c>
      <c r="CS1710" s="45" t="str">
        <v>Nothing</v>
      </c>
      <c r="CT1710" s="61"/>
      <c r="CU1710" s="45">
        <v>1706</v>
      </c>
      <c r="CV1710" s="45">
        <v>0.43938741490811495</v>
      </c>
      <c r="CW1710" s="45" t="str">
        <v>Invest</v>
      </c>
      <c r="CX1710" s="61"/>
      <c r="CY1710" s="45">
        <v>1706</v>
      </c>
      <c r="CZ1710" s="45">
        <v>0</v>
      </c>
      <c r="DA1710" s="45" t="str">
        <v>Nothing</v>
      </c>
      <c r="DU1710" s="52"/>
      <c r="DV1710" s="50"/>
    </row>
    <row r="1711" spans="91:126" ht="23.5">
      <c r="CM1711" s="45">
        <v>1707</v>
      </c>
      <c r="CN1711" s="48">
        <v>2.6561786982963476</v>
      </c>
      <c r="CO1711" s="45" t="str">
        <v>Invest</v>
      </c>
      <c r="CP1711" s="61"/>
      <c r="CQ1711" s="45">
        <v>1707</v>
      </c>
      <c r="CR1711" s="45">
        <v>14.549220666807624</v>
      </c>
      <c r="CS1711" s="45" t="str">
        <v>Invest</v>
      </c>
      <c r="CT1711" s="61"/>
      <c r="CU1711" s="45">
        <v>1707</v>
      </c>
      <c r="CV1711" s="45">
        <v>0</v>
      </c>
      <c r="CW1711" s="45" t="str">
        <v>Nothing</v>
      </c>
      <c r="CX1711" s="61"/>
      <c r="CY1711" s="45">
        <v>1707</v>
      </c>
      <c r="CZ1711" s="45">
        <v>0</v>
      </c>
      <c r="DA1711" s="45" t="str">
        <v>Nothing</v>
      </c>
      <c r="DU1711" s="52"/>
      <c r="DV1711" s="50"/>
    </row>
    <row r="1712" spans="91:126" ht="23.5">
      <c r="CM1712" s="45">
        <v>1708</v>
      </c>
      <c r="CN1712" s="48">
        <v>20.495945768897396</v>
      </c>
      <c r="CO1712" s="45" t="str">
        <v>Invest</v>
      </c>
      <c r="CP1712" s="61"/>
      <c r="CQ1712" s="45">
        <v>1708</v>
      </c>
      <c r="CR1712" s="45">
        <v>0</v>
      </c>
      <c r="CS1712" s="45" t="str">
        <v>Nothing</v>
      </c>
      <c r="CT1712" s="61"/>
      <c r="CU1712" s="45">
        <v>1708</v>
      </c>
      <c r="CV1712" s="45">
        <v>0</v>
      </c>
      <c r="CW1712" s="45" t="str">
        <v>Nothing</v>
      </c>
      <c r="CX1712" s="61"/>
      <c r="CY1712" s="45">
        <v>1708</v>
      </c>
      <c r="CZ1712" s="45">
        <v>0</v>
      </c>
      <c r="DA1712" s="45" t="str">
        <v>Nothing</v>
      </c>
      <c r="DU1712" s="52"/>
      <c r="DV1712" s="50"/>
    </row>
    <row r="1713" spans="91:126" ht="23.5">
      <c r="CM1713" s="45">
        <v>1709</v>
      </c>
      <c r="CN1713" s="48">
        <v>6.553086173211053</v>
      </c>
      <c r="CO1713" s="45" t="str">
        <v>Invest</v>
      </c>
      <c r="CP1713" s="61"/>
      <c r="CQ1713" s="45">
        <v>1709</v>
      </c>
      <c r="CR1713" s="45">
        <v>28.030410476649564</v>
      </c>
      <c r="CS1713" s="45" t="str">
        <v>Invest</v>
      </c>
      <c r="CT1713" s="61"/>
      <c r="CU1713" s="45">
        <v>1709</v>
      </c>
      <c r="CV1713" s="45">
        <v>0</v>
      </c>
      <c r="CW1713" s="45" t="str">
        <v>Nothing</v>
      </c>
      <c r="CX1713" s="61"/>
      <c r="CY1713" s="45">
        <v>1709</v>
      </c>
      <c r="CZ1713" s="45">
        <v>0</v>
      </c>
      <c r="DA1713" s="45" t="str">
        <v>Nothing</v>
      </c>
      <c r="DU1713" s="52"/>
      <c r="DV1713" s="50"/>
    </row>
    <row r="1714" spans="91:126" ht="23.5">
      <c r="CM1714" s="45">
        <v>1710</v>
      </c>
      <c r="CN1714" s="48">
        <v>0</v>
      </c>
      <c r="CO1714" s="45" t="str">
        <v>Nothing</v>
      </c>
      <c r="CP1714" s="61"/>
      <c r="CQ1714" s="45">
        <v>1710</v>
      </c>
      <c r="CR1714" s="45">
        <v>19.280144575099275</v>
      </c>
      <c r="CS1714" s="45" t="str">
        <v>Invest</v>
      </c>
      <c r="CT1714" s="61"/>
      <c r="CU1714" s="45">
        <v>1710</v>
      </c>
      <c r="CV1714" s="45">
        <v>26.68595616522191</v>
      </c>
      <c r="CW1714" s="45" t="str">
        <v>Invest</v>
      </c>
      <c r="CX1714" s="61"/>
      <c r="CY1714" s="45">
        <v>1710</v>
      </c>
      <c r="CZ1714" s="45">
        <v>28.879379534547454</v>
      </c>
      <c r="DA1714" s="45" t="str">
        <v>Invest</v>
      </c>
      <c r="DU1714" s="52"/>
      <c r="DV1714" s="50"/>
    </row>
    <row r="1715" spans="91:126" ht="23.5">
      <c r="CM1715" s="45">
        <v>1711</v>
      </c>
      <c r="CN1715" s="48">
        <v>2.1923112493922083</v>
      </c>
      <c r="CO1715" s="45" t="str">
        <v>Invest</v>
      </c>
      <c r="CP1715" s="61"/>
      <c r="CQ1715" s="45">
        <v>1711</v>
      </c>
      <c r="CR1715" s="45">
        <v>19.994117518030691</v>
      </c>
      <c r="CS1715" s="45" t="str">
        <v>Invest</v>
      </c>
      <c r="CT1715" s="61"/>
      <c r="CU1715" s="45">
        <v>1711</v>
      </c>
      <c r="CV1715" s="45">
        <v>5.5430680738230338</v>
      </c>
      <c r="CW1715" s="45" t="str">
        <v>Invest</v>
      </c>
      <c r="CX1715" s="61"/>
      <c r="CY1715" s="45">
        <v>1711</v>
      </c>
      <c r="CZ1715" s="45">
        <v>32.347378552746164</v>
      </c>
      <c r="DA1715" s="45" t="str">
        <v>Invest</v>
      </c>
      <c r="DU1715" s="52"/>
      <c r="DV1715" s="50"/>
    </row>
    <row r="1716" spans="91:126" ht="23.5">
      <c r="CM1716" s="45">
        <v>1712</v>
      </c>
      <c r="CN1716" s="48">
        <v>25.492676635986136</v>
      </c>
      <c r="CO1716" s="45" t="str">
        <v>Invest</v>
      </c>
      <c r="CP1716" s="61"/>
      <c r="CQ1716" s="45">
        <v>1712</v>
      </c>
      <c r="CR1716" s="45">
        <v>0</v>
      </c>
      <c r="CS1716" s="45" t="str">
        <v>Nothing</v>
      </c>
      <c r="CT1716" s="61"/>
      <c r="CU1716" s="45">
        <v>1712</v>
      </c>
      <c r="CV1716" s="45">
        <v>0</v>
      </c>
      <c r="CW1716" s="45" t="str">
        <v>Nothing</v>
      </c>
      <c r="CX1716" s="61"/>
      <c r="CY1716" s="45">
        <v>1712</v>
      </c>
      <c r="CZ1716" s="45">
        <v>29.624621024691251</v>
      </c>
      <c r="DA1716" s="45" t="str">
        <v>Invest</v>
      </c>
      <c r="DU1716" s="52"/>
      <c r="DV1716" s="50"/>
    </row>
    <row r="1717" spans="91:126" ht="23.5">
      <c r="CM1717" s="45">
        <v>1713</v>
      </c>
      <c r="CN1717" s="48">
        <v>0</v>
      </c>
      <c r="CO1717" s="45" t="str">
        <v>Nothing</v>
      </c>
      <c r="CP1717" s="61"/>
      <c r="CQ1717" s="45">
        <v>1713</v>
      </c>
      <c r="CR1717" s="45">
        <v>23.716190598399134</v>
      </c>
      <c r="CS1717" s="45" t="str">
        <v>Invest</v>
      </c>
      <c r="CT1717" s="61"/>
      <c r="CU1717" s="45">
        <v>1713</v>
      </c>
      <c r="CV1717" s="45">
        <v>27.831745441329961</v>
      </c>
      <c r="CW1717" s="45" t="str">
        <v>Invest</v>
      </c>
      <c r="CX1717" s="61"/>
      <c r="CY1717" s="45">
        <v>1713</v>
      </c>
      <c r="CZ1717" s="45">
        <v>4.4864272257043023</v>
      </c>
      <c r="DA1717" s="45" t="str">
        <v>Invest</v>
      </c>
      <c r="DU1717" s="52"/>
      <c r="DV1717" s="50"/>
    </row>
    <row r="1718" spans="91:126" ht="23.5">
      <c r="CM1718" s="45">
        <v>1714</v>
      </c>
      <c r="CN1718" s="48">
        <v>39.477461644535985</v>
      </c>
      <c r="CO1718" s="45" t="str">
        <v>Invest</v>
      </c>
      <c r="CP1718" s="61"/>
      <c r="CQ1718" s="45">
        <v>1714</v>
      </c>
      <c r="CR1718" s="45">
        <v>23.9979857768881</v>
      </c>
      <c r="CS1718" s="45" t="str">
        <v>Invest</v>
      </c>
      <c r="CT1718" s="61"/>
      <c r="CU1718" s="45">
        <v>1714</v>
      </c>
      <c r="CV1718" s="45">
        <v>17.717199509747161</v>
      </c>
      <c r="CW1718" s="45" t="str">
        <v>Invest</v>
      </c>
      <c r="CX1718" s="61"/>
      <c r="CY1718" s="45">
        <v>1714</v>
      </c>
      <c r="CZ1718" s="45">
        <v>13.268992230025233</v>
      </c>
      <c r="DA1718" s="45" t="str">
        <v>Invest</v>
      </c>
      <c r="DU1718" s="52"/>
      <c r="DV1718" s="50"/>
    </row>
    <row r="1719" spans="91:126" ht="23.5">
      <c r="CM1719" s="45">
        <v>1715</v>
      </c>
      <c r="CN1719" s="48">
        <v>1.2517760907953557</v>
      </c>
      <c r="CO1719" s="45" t="str">
        <v>Invest</v>
      </c>
      <c r="CP1719" s="61"/>
      <c r="CQ1719" s="45">
        <v>1715</v>
      </c>
      <c r="CR1719" s="45">
        <v>22.470455404152631</v>
      </c>
      <c r="CS1719" s="45" t="str">
        <v>Invest</v>
      </c>
      <c r="CT1719" s="61"/>
      <c r="CU1719" s="45">
        <v>1715</v>
      </c>
      <c r="CV1719" s="45">
        <v>14.443954582513806</v>
      </c>
      <c r="CW1719" s="45" t="str">
        <v>Invest</v>
      </c>
      <c r="CX1719" s="61"/>
      <c r="CY1719" s="45">
        <v>1715</v>
      </c>
      <c r="CZ1719" s="45">
        <v>6.2239935737209855</v>
      </c>
      <c r="DA1719" s="45" t="str">
        <v>Invest</v>
      </c>
      <c r="DU1719" s="52"/>
      <c r="DV1719" s="50"/>
    </row>
    <row r="1720" spans="91:126" ht="23.5">
      <c r="CM1720" s="45">
        <v>1716</v>
      </c>
      <c r="CN1720" s="48">
        <v>17.601301692562529</v>
      </c>
      <c r="CO1720" s="45" t="str">
        <v>Invest</v>
      </c>
      <c r="CP1720" s="61"/>
      <c r="CQ1720" s="45">
        <v>1716</v>
      </c>
      <c r="CR1720" s="45">
        <v>11.661291744971702</v>
      </c>
      <c r="CS1720" s="45" t="str">
        <v>Invest</v>
      </c>
      <c r="CT1720" s="61"/>
      <c r="CU1720" s="45">
        <v>1716</v>
      </c>
      <c r="CV1720" s="45">
        <v>0</v>
      </c>
      <c r="CW1720" s="45" t="str">
        <v>Nothing</v>
      </c>
      <c r="CX1720" s="61"/>
      <c r="CY1720" s="45">
        <v>1716</v>
      </c>
      <c r="CZ1720" s="45">
        <v>0</v>
      </c>
      <c r="DA1720" s="45" t="str">
        <v>Nothing</v>
      </c>
      <c r="DU1720" s="52"/>
      <c r="DV1720" s="50"/>
    </row>
    <row r="1721" spans="91:126" ht="23.5">
      <c r="CM1721" s="45">
        <v>1717</v>
      </c>
      <c r="CN1721" s="48">
        <v>5.584620789916837</v>
      </c>
      <c r="CO1721" s="45" t="str">
        <v>Invest</v>
      </c>
      <c r="CP1721" s="61"/>
      <c r="CQ1721" s="45">
        <v>1717</v>
      </c>
      <c r="CR1721" s="45">
        <v>0</v>
      </c>
      <c r="CS1721" s="45" t="str">
        <v>Nothing</v>
      </c>
      <c r="CT1721" s="61"/>
      <c r="CU1721" s="45">
        <v>1717</v>
      </c>
      <c r="CV1721" s="45">
        <v>14.26514358431745</v>
      </c>
      <c r="CW1721" s="45" t="str">
        <v>Invest</v>
      </c>
      <c r="CX1721" s="61"/>
      <c r="CY1721" s="45">
        <v>1717</v>
      </c>
      <c r="CZ1721" s="45">
        <v>9.784988200740603</v>
      </c>
      <c r="DA1721" s="45" t="str">
        <v>Invest</v>
      </c>
      <c r="DU1721" s="52"/>
      <c r="DV1721" s="50"/>
    </row>
    <row r="1722" spans="91:126" ht="23.5">
      <c r="CM1722" s="45">
        <v>1718</v>
      </c>
      <c r="CN1722" s="48">
        <v>12.346045723992198</v>
      </c>
      <c r="CO1722" s="45" t="str">
        <v>Invest</v>
      </c>
      <c r="CP1722" s="61"/>
      <c r="CQ1722" s="45">
        <v>1718</v>
      </c>
      <c r="CR1722" s="45">
        <v>12.08952403769068</v>
      </c>
      <c r="CS1722" s="45" t="str">
        <v>Invest</v>
      </c>
      <c r="CT1722" s="61"/>
      <c r="CU1722" s="45">
        <v>1718</v>
      </c>
      <c r="CV1722" s="45">
        <v>27.969591843729816</v>
      </c>
      <c r="CW1722" s="45" t="str">
        <v>Invest</v>
      </c>
      <c r="CX1722" s="61"/>
      <c r="CY1722" s="45">
        <v>1718</v>
      </c>
      <c r="CZ1722" s="45">
        <v>32.860561232535147</v>
      </c>
      <c r="DA1722" s="45" t="str">
        <v>Invest</v>
      </c>
      <c r="DU1722" s="52"/>
      <c r="DV1722" s="50"/>
    </row>
    <row r="1723" spans="91:126" ht="23.5">
      <c r="CM1723" s="45">
        <v>1719</v>
      </c>
      <c r="CN1723" s="48">
        <v>18.459600283898048</v>
      </c>
      <c r="CO1723" s="45" t="str">
        <v>Invest</v>
      </c>
      <c r="CP1723" s="61"/>
      <c r="CQ1723" s="45">
        <v>1719</v>
      </c>
      <c r="CR1723" s="45">
        <v>0</v>
      </c>
      <c r="CS1723" s="45" t="str">
        <v>Nothing</v>
      </c>
      <c r="CT1723" s="61"/>
      <c r="CU1723" s="45">
        <v>1719</v>
      </c>
      <c r="CV1723" s="45">
        <v>10.408224907922845</v>
      </c>
      <c r="CW1723" s="45" t="str">
        <v>Invest</v>
      </c>
      <c r="CX1723" s="61"/>
      <c r="CY1723" s="45">
        <v>1719</v>
      </c>
      <c r="CZ1723" s="45">
        <v>18.644176717586355</v>
      </c>
      <c r="DA1723" s="45" t="str">
        <v>Invest</v>
      </c>
      <c r="DU1723" s="52"/>
      <c r="DV1723" s="50"/>
    </row>
    <row r="1724" spans="91:126" ht="23.5">
      <c r="CM1724" s="45">
        <v>1720</v>
      </c>
      <c r="CN1724" s="48">
        <v>0</v>
      </c>
      <c r="CO1724" s="45" t="str">
        <v>Nothing</v>
      </c>
      <c r="CP1724" s="61"/>
      <c r="CQ1724" s="45">
        <v>1720</v>
      </c>
      <c r="CR1724" s="45">
        <v>0</v>
      </c>
      <c r="CS1724" s="45" t="str">
        <v>Nothing</v>
      </c>
      <c r="CT1724" s="61"/>
      <c r="CU1724" s="45">
        <v>1720</v>
      </c>
      <c r="CV1724" s="45">
        <v>1.7779211088959688</v>
      </c>
      <c r="CW1724" s="45" t="str">
        <v>Invest</v>
      </c>
      <c r="CX1724" s="61"/>
      <c r="CY1724" s="45">
        <v>1720</v>
      </c>
      <c r="CZ1724" s="45">
        <v>0</v>
      </c>
      <c r="DA1724" s="45" t="str">
        <v>Nothing</v>
      </c>
      <c r="DU1724" s="52"/>
      <c r="DV1724" s="50"/>
    </row>
    <row r="1725" spans="91:126" ht="23.5">
      <c r="CM1725" s="45">
        <v>1721</v>
      </c>
      <c r="CN1725" s="48">
        <v>16.003989746251449</v>
      </c>
      <c r="CO1725" s="45" t="str">
        <v>Invest</v>
      </c>
      <c r="CP1725" s="61"/>
      <c r="CQ1725" s="45">
        <v>1721</v>
      </c>
      <c r="CR1725" s="45">
        <v>5.2037130375446656</v>
      </c>
      <c r="CS1725" s="45" t="str">
        <v>Invest</v>
      </c>
      <c r="CT1725" s="61"/>
      <c r="CU1725" s="45">
        <v>1721</v>
      </c>
      <c r="CV1725" s="45">
        <v>58.746600467259007</v>
      </c>
      <c r="CW1725" s="45" t="str">
        <v>Invest</v>
      </c>
      <c r="CX1725" s="61"/>
      <c r="CY1725" s="45">
        <v>1721</v>
      </c>
      <c r="CZ1725" s="45">
        <v>35.81509102165932</v>
      </c>
      <c r="DA1725" s="45" t="str">
        <v>Invest</v>
      </c>
      <c r="DU1725" s="52"/>
      <c r="DV1725" s="50"/>
    </row>
    <row r="1726" spans="91:126" ht="23.5">
      <c r="CM1726" s="45">
        <v>1722</v>
      </c>
      <c r="CN1726" s="48">
        <v>30.779240271313842</v>
      </c>
      <c r="CO1726" s="45" t="str">
        <v>Invest</v>
      </c>
      <c r="CP1726" s="61"/>
      <c r="CQ1726" s="45">
        <v>1722</v>
      </c>
      <c r="CR1726" s="45">
        <v>7.998563827444249</v>
      </c>
      <c r="CS1726" s="45" t="str">
        <v>Invest</v>
      </c>
      <c r="CT1726" s="61"/>
      <c r="CU1726" s="45">
        <v>1722</v>
      </c>
      <c r="CV1726" s="45">
        <v>0</v>
      </c>
      <c r="CW1726" s="45" t="str">
        <v>Nothing</v>
      </c>
      <c r="CX1726" s="61"/>
      <c r="CY1726" s="45">
        <v>1722</v>
      </c>
      <c r="CZ1726" s="45">
        <v>16.985173677541688</v>
      </c>
      <c r="DA1726" s="45" t="str">
        <v>Invest</v>
      </c>
      <c r="DU1726" s="52"/>
      <c r="DV1726" s="50"/>
    </row>
    <row r="1727" spans="91:126" ht="23.5">
      <c r="CM1727" s="45">
        <v>1723</v>
      </c>
      <c r="CN1727" s="48">
        <v>6.9328240970983082</v>
      </c>
      <c r="CO1727" s="45" t="str">
        <v>Invest</v>
      </c>
      <c r="CP1727" s="61"/>
      <c r="CQ1727" s="45">
        <v>1723</v>
      </c>
      <c r="CR1727" s="45">
        <v>16.30698891424235</v>
      </c>
      <c r="CS1727" s="45" t="str">
        <v>Invest</v>
      </c>
      <c r="CT1727" s="61"/>
      <c r="CU1727" s="45">
        <v>1723</v>
      </c>
      <c r="CV1727" s="45">
        <v>33.68725420849124</v>
      </c>
      <c r="CW1727" s="45" t="str">
        <v>Invest</v>
      </c>
      <c r="CX1727" s="61"/>
      <c r="CY1727" s="45">
        <v>1723</v>
      </c>
      <c r="CZ1727" s="45">
        <v>60.084435825051429</v>
      </c>
      <c r="DA1727" s="45" t="str">
        <v>Invest</v>
      </c>
      <c r="DU1727" s="52"/>
      <c r="DV1727" s="50"/>
    </row>
    <row r="1728" spans="91:126" ht="23.5">
      <c r="CM1728" s="45">
        <v>1724</v>
      </c>
      <c r="CN1728" s="48">
        <v>0</v>
      </c>
      <c r="CO1728" s="45" t="str">
        <v>Nothing</v>
      </c>
      <c r="CP1728" s="61"/>
      <c r="CQ1728" s="45">
        <v>1724</v>
      </c>
      <c r="CR1728" s="45">
        <v>53.043106665254832</v>
      </c>
      <c r="CS1728" s="45" t="str">
        <v>Invest</v>
      </c>
      <c r="CT1728" s="61"/>
      <c r="CU1728" s="45">
        <v>1724</v>
      </c>
      <c r="CV1728" s="45">
        <v>1.6921410909487946</v>
      </c>
      <c r="CW1728" s="45" t="str">
        <v>Invest</v>
      </c>
      <c r="CX1728" s="61"/>
      <c r="CY1728" s="45">
        <v>1724</v>
      </c>
      <c r="CZ1728" s="45">
        <v>4.9613079530099888</v>
      </c>
      <c r="DA1728" s="45" t="str">
        <v>Invest</v>
      </c>
      <c r="DU1728" s="52"/>
      <c r="DV1728" s="50"/>
    </row>
    <row r="1729" spans="91:126" ht="23.5">
      <c r="CM1729" s="45">
        <v>1725</v>
      </c>
      <c r="CN1729" s="48">
        <v>37.753096076094835</v>
      </c>
      <c r="CO1729" s="45" t="str">
        <v>Invest</v>
      </c>
      <c r="CP1729" s="61"/>
      <c r="CQ1729" s="45">
        <v>1725</v>
      </c>
      <c r="CR1729" s="45">
        <v>18.192085952996678</v>
      </c>
      <c r="CS1729" s="45" t="str">
        <v>Invest</v>
      </c>
      <c r="CT1729" s="61"/>
      <c r="CU1729" s="45">
        <v>1725</v>
      </c>
      <c r="CV1729" s="45">
        <v>11.838881335751815</v>
      </c>
      <c r="CW1729" s="45" t="str">
        <v>Invest</v>
      </c>
      <c r="CX1729" s="61"/>
      <c r="CY1729" s="45">
        <v>1725</v>
      </c>
      <c r="CZ1729" s="45">
        <v>8.3576253249900709</v>
      </c>
      <c r="DA1729" s="45" t="str">
        <v>Invest</v>
      </c>
      <c r="DU1729" s="52"/>
      <c r="DV1729" s="50"/>
    </row>
    <row r="1730" spans="91:126" ht="23.5">
      <c r="CM1730" s="45">
        <v>1726</v>
      </c>
      <c r="CN1730" s="48">
        <v>0</v>
      </c>
      <c r="CO1730" s="45" t="str">
        <v>Nothing</v>
      </c>
      <c r="CP1730" s="61"/>
      <c r="CQ1730" s="45">
        <v>1726</v>
      </c>
      <c r="CR1730" s="45">
        <v>0</v>
      </c>
      <c r="CS1730" s="45" t="str">
        <v>Nothing</v>
      </c>
      <c r="CT1730" s="61"/>
      <c r="CU1730" s="45">
        <v>1726</v>
      </c>
      <c r="CV1730" s="45">
        <v>0</v>
      </c>
      <c r="CW1730" s="45" t="str">
        <v>Nothing</v>
      </c>
      <c r="CX1730" s="61"/>
      <c r="CY1730" s="45">
        <v>1726</v>
      </c>
      <c r="CZ1730" s="45">
        <v>2.1842990164431075</v>
      </c>
      <c r="DA1730" s="45" t="str">
        <v>Invest</v>
      </c>
      <c r="DU1730" s="52"/>
      <c r="DV1730" s="50"/>
    </row>
    <row r="1731" spans="91:126" ht="23.5">
      <c r="CM1731" s="45">
        <v>1727</v>
      </c>
      <c r="CN1731" s="48">
        <v>39.316474876558331</v>
      </c>
      <c r="CO1731" s="45" t="str">
        <v>Invest</v>
      </c>
      <c r="CP1731" s="61"/>
      <c r="CQ1731" s="45">
        <v>1727</v>
      </c>
      <c r="CR1731" s="45">
        <v>18.579070203653878</v>
      </c>
      <c r="CS1731" s="45" t="str">
        <v>Invest</v>
      </c>
      <c r="CT1731" s="61"/>
      <c r="CU1731" s="45">
        <v>1727</v>
      </c>
      <c r="CV1731" s="45">
        <v>10.36091977373408</v>
      </c>
      <c r="CW1731" s="45" t="str">
        <v>Invest</v>
      </c>
      <c r="CX1731" s="61"/>
      <c r="CY1731" s="45">
        <v>1727</v>
      </c>
      <c r="CZ1731" s="45">
        <v>0</v>
      </c>
      <c r="DA1731" s="45" t="str">
        <v>Nothing</v>
      </c>
      <c r="DU1731" s="52"/>
      <c r="DV1731" s="50"/>
    </row>
    <row r="1732" spans="91:126" ht="23.5">
      <c r="CM1732" s="45">
        <v>1728</v>
      </c>
      <c r="CN1732" s="48">
        <v>39.365521140772543</v>
      </c>
      <c r="CO1732" s="45" t="str">
        <v>Invest</v>
      </c>
      <c r="CP1732" s="61"/>
      <c r="CQ1732" s="45">
        <v>1728</v>
      </c>
      <c r="CR1732" s="45">
        <v>0</v>
      </c>
      <c r="CS1732" s="45" t="str">
        <v>Nothing</v>
      </c>
      <c r="CT1732" s="61"/>
      <c r="CU1732" s="45">
        <v>1728</v>
      </c>
      <c r="CV1732" s="45">
        <v>0</v>
      </c>
      <c r="CW1732" s="45" t="str">
        <v>Nothing</v>
      </c>
      <c r="CX1732" s="61"/>
      <c r="CY1732" s="45">
        <v>1728</v>
      </c>
      <c r="CZ1732" s="45">
        <v>3.5291667338659796</v>
      </c>
      <c r="DA1732" s="45" t="str">
        <v>Invest</v>
      </c>
      <c r="DU1732" s="52"/>
      <c r="DV1732" s="50"/>
    </row>
    <row r="1733" spans="91:126" ht="23.5">
      <c r="CM1733" s="45">
        <v>1729</v>
      </c>
      <c r="CN1733" s="48">
        <v>0</v>
      </c>
      <c r="CO1733" s="45" t="str">
        <v>Nothing</v>
      </c>
      <c r="CP1733" s="61"/>
      <c r="CQ1733" s="45">
        <v>1729</v>
      </c>
      <c r="CR1733" s="45">
        <v>0</v>
      </c>
      <c r="CS1733" s="45" t="str">
        <v>Nothing</v>
      </c>
      <c r="CT1733" s="61"/>
      <c r="CU1733" s="45">
        <v>1729</v>
      </c>
      <c r="CV1733" s="45">
        <v>29.457663209522469</v>
      </c>
      <c r="CW1733" s="45" t="str">
        <v>Invest</v>
      </c>
      <c r="CX1733" s="61"/>
      <c r="CY1733" s="45">
        <v>1729</v>
      </c>
      <c r="CZ1733" s="45">
        <v>0</v>
      </c>
      <c r="DA1733" s="45" t="str">
        <v>Nothing</v>
      </c>
      <c r="DU1733" s="52"/>
      <c r="DV1733" s="50"/>
    </row>
    <row r="1734" spans="91:126" ht="23.5">
      <c r="CM1734" s="45">
        <v>1730</v>
      </c>
      <c r="CN1734" s="48">
        <v>0</v>
      </c>
      <c r="CO1734" s="45" t="str">
        <v>Nothing</v>
      </c>
      <c r="CP1734" s="61"/>
      <c r="CQ1734" s="45">
        <v>1730</v>
      </c>
      <c r="CR1734" s="45">
        <v>0</v>
      </c>
      <c r="CS1734" s="45" t="str">
        <v>Nothing</v>
      </c>
      <c r="CT1734" s="61"/>
      <c r="CU1734" s="45">
        <v>1730</v>
      </c>
      <c r="CV1734" s="45">
        <v>0</v>
      </c>
      <c r="CW1734" s="45" t="str">
        <v>Nothing</v>
      </c>
      <c r="CX1734" s="61"/>
      <c r="CY1734" s="45">
        <v>1730</v>
      </c>
      <c r="CZ1734" s="45">
        <v>0</v>
      </c>
      <c r="DA1734" s="45" t="str">
        <v>Nothing</v>
      </c>
      <c r="DU1734" s="52"/>
      <c r="DV1734" s="50"/>
    </row>
    <row r="1735" spans="91:126" ht="23.5">
      <c r="CM1735" s="45">
        <v>1731</v>
      </c>
      <c r="CN1735" s="48">
        <v>0</v>
      </c>
      <c r="CO1735" s="45" t="str">
        <v>Nothing</v>
      </c>
      <c r="CP1735" s="61"/>
      <c r="CQ1735" s="45">
        <v>1731</v>
      </c>
      <c r="CR1735" s="45">
        <v>0</v>
      </c>
      <c r="CS1735" s="45" t="str">
        <v>Nothing</v>
      </c>
      <c r="CT1735" s="61"/>
      <c r="CU1735" s="45">
        <v>1731</v>
      </c>
      <c r="CV1735" s="45">
        <v>48.673202164324366</v>
      </c>
      <c r="CW1735" s="45" t="str">
        <v>Invest</v>
      </c>
      <c r="CX1735" s="61"/>
      <c r="CY1735" s="45">
        <v>1731</v>
      </c>
      <c r="CZ1735" s="45">
        <v>0</v>
      </c>
      <c r="DA1735" s="45" t="str">
        <v>Nothing</v>
      </c>
      <c r="DU1735" s="52"/>
      <c r="DV1735" s="50"/>
    </row>
    <row r="1736" spans="91:126" ht="23.5">
      <c r="CM1736" s="45">
        <v>1732</v>
      </c>
      <c r="CN1736" s="48">
        <v>6.5740238011292575</v>
      </c>
      <c r="CO1736" s="45" t="str">
        <v>Invest</v>
      </c>
      <c r="CP1736" s="61"/>
      <c r="CQ1736" s="45">
        <v>1732</v>
      </c>
      <c r="CR1736" s="45">
        <v>32.684516152910895</v>
      </c>
      <c r="CS1736" s="45" t="str">
        <v>Invest</v>
      </c>
      <c r="CT1736" s="61"/>
      <c r="CU1736" s="45">
        <v>1732</v>
      </c>
      <c r="CV1736" s="45">
        <v>12.90256848583968</v>
      </c>
      <c r="CW1736" s="45" t="str">
        <v>Invest</v>
      </c>
      <c r="CX1736" s="61"/>
      <c r="CY1736" s="45">
        <v>1732</v>
      </c>
      <c r="CZ1736" s="45">
        <v>20.140933388343811</v>
      </c>
      <c r="DA1736" s="45" t="str">
        <v>Invest</v>
      </c>
      <c r="DU1736" s="52"/>
      <c r="DV1736" s="50"/>
    </row>
    <row r="1737" spans="91:126" ht="23.5">
      <c r="CM1737" s="45">
        <v>1733</v>
      </c>
      <c r="CN1737" s="48">
        <v>51.933291018386669</v>
      </c>
      <c r="CO1737" s="45" t="str">
        <v>Invest</v>
      </c>
      <c r="CP1737" s="61"/>
      <c r="CQ1737" s="45">
        <v>1733</v>
      </c>
      <c r="CR1737" s="45">
        <v>16.848927122513771</v>
      </c>
      <c r="CS1737" s="45" t="str">
        <v>Invest</v>
      </c>
      <c r="CT1737" s="61"/>
      <c r="CU1737" s="45">
        <v>1733</v>
      </c>
      <c r="CV1737" s="45">
        <v>30.930636993618396</v>
      </c>
      <c r="CW1737" s="45" t="str">
        <v>Invest</v>
      </c>
      <c r="CX1737" s="61"/>
      <c r="CY1737" s="45">
        <v>1733</v>
      </c>
      <c r="CZ1737" s="45">
        <v>40.154066631075437</v>
      </c>
      <c r="DA1737" s="45" t="str">
        <v>Invest</v>
      </c>
      <c r="DU1737" s="52"/>
      <c r="DV1737" s="50"/>
    </row>
    <row r="1738" spans="91:126" ht="23.5">
      <c r="CM1738" s="45">
        <v>1734</v>
      </c>
      <c r="CN1738" s="48">
        <v>31.958805659556869</v>
      </c>
      <c r="CO1738" s="45" t="str">
        <v>Invest</v>
      </c>
      <c r="CP1738" s="61"/>
      <c r="CQ1738" s="45">
        <v>1734</v>
      </c>
      <c r="CR1738" s="45">
        <v>26.499659939199883</v>
      </c>
      <c r="CS1738" s="45" t="str">
        <v>Invest</v>
      </c>
      <c r="CT1738" s="61"/>
      <c r="CU1738" s="45">
        <v>1734</v>
      </c>
      <c r="CV1738" s="45">
        <v>12.350540940413376</v>
      </c>
      <c r="CW1738" s="45" t="str">
        <v>Invest</v>
      </c>
      <c r="CX1738" s="61"/>
      <c r="CY1738" s="45">
        <v>1734</v>
      </c>
      <c r="CZ1738" s="45">
        <v>0</v>
      </c>
      <c r="DA1738" s="45" t="str">
        <v>Nothing</v>
      </c>
      <c r="DU1738" s="52"/>
      <c r="DV1738" s="50"/>
    </row>
    <row r="1739" spans="91:126" ht="23.5">
      <c r="CM1739" s="45">
        <v>1735</v>
      </c>
      <c r="CN1739" s="48">
        <v>0</v>
      </c>
      <c r="CO1739" s="45" t="str">
        <v>Nothing</v>
      </c>
      <c r="CP1739" s="61"/>
      <c r="CQ1739" s="45">
        <v>1735</v>
      </c>
      <c r="CR1739" s="45">
        <v>20.886392223457193</v>
      </c>
      <c r="CS1739" s="45" t="str">
        <v>Invest</v>
      </c>
      <c r="CT1739" s="61"/>
      <c r="CU1739" s="45">
        <v>1735</v>
      </c>
      <c r="CV1739" s="45">
        <v>27.215248740533937</v>
      </c>
      <c r="CW1739" s="45" t="str">
        <v>Invest</v>
      </c>
      <c r="CX1739" s="61"/>
      <c r="CY1739" s="45">
        <v>1735</v>
      </c>
      <c r="CZ1739" s="45">
        <v>0</v>
      </c>
      <c r="DA1739" s="45" t="str">
        <v>Nothing</v>
      </c>
      <c r="DU1739" s="52"/>
      <c r="DV1739" s="50"/>
    </row>
    <row r="1740" spans="91:126" ht="23.5">
      <c r="CM1740" s="45">
        <v>1736</v>
      </c>
      <c r="CN1740" s="48">
        <v>0</v>
      </c>
      <c r="CO1740" s="45" t="str">
        <v>Nothing</v>
      </c>
      <c r="CP1740" s="61"/>
      <c r="CQ1740" s="45">
        <v>1736</v>
      </c>
      <c r="CR1740" s="45">
        <v>21.938043065520866</v>
      </c>
      <c r="CS1740" s="45" t="str">
        <v>Invest</v>
      </c>
      <c r="CT1740" s="61"/>
      <c r="CU1740" s="45">
        <v>1736</v>
      </c>
      <c r="CV1740" s="45">
        <v>9.6780743160841034</v>
      </c>
      <c r="CW1740" s="45" t="str">
        <v>Invest</v>
      </c>
      <c r="CX1740" s="61"/>
      <c r="CY1740" s="45">
        <v>1736</v>
      </c>
      <c r="CZ1740" s="45">
        <v>0</v>
      </c>
      <c r="DA1740" s="45" t="str">
        <v>Nothing</v>
      </c>
      <c r="DU1740" s="52"/>
      <c r="DV1740" s="50"/>
    </row>
    <row r="1741" spans="91:126" ht="23.5">
      <c r="CM1741" s="45">
        <v>1737</v>
      </c>
      <c r="CN1741" s="48">
        <v>19.564231887057701</v>
      </c>
      <c r="CO1741" s="45" t="str">
        <v>Invest</v>
      </c>
      <c r="CP1741" s="61"/>
      <c r="CQ1741" s="45">
        <v>1737</v>
      </c>
      <c r="CR1741" s="45">
        <v>20.298413173646622</v>
      </c>
      <c r="CS1741" s="45" t="str">
        <v>Invest</v>
      </c>
      <c r="CT1741" s="61"/>
      <c r="CU1741" s="45">
        <v>1737</v>
      </c>
      <c r="CV1741" s="45">
        <v>31.087985482713524</v>
      </c>
      <c r="CW1741" s="45" t="str">
        <v>Invest</v>
      </c>
      <c r="CX1741" s="61"/>
      <c r="CY1741" s="45">
        <v>1737</v>
      </c>
      <c r="CZ1741" s="45">
        <v>0</v>
      </c>
      <c r="DA1741" s="45" t="str">
        <v>Nothing</v>
      </c>
      <c r="DU1741" s="52"/>
      <c r="DV1741" s="50"/>
    </row>
    <row r="1742" spans="91:126" ht="23.5">
      <c r="CM1742" s="45">
        <v>1738</v>
      </c>
      <c r="CN1742" s="48">
        <v>57.381904004805826</v>
      </c>
      <c r="CO1742" s="45" t="str">
        <v>Invest</v>
      </c>
      <c r="CP1742" s="61"/>
      <c r="CQ1742" s="45">
        <v>1738</v>
      </c>
      <c r="CR1742" s="45">
        <v>60.417229973633688</v>
      </c>
      <c r="CS1742" s="45" t="str">
        <v>Invest</v>
      </c>
      <c r="CT1742" s="61"/>
      <c r="CU1742" s="45">
        <v>1738</v>
      </c>
      <c r="CV1742" s="45">
        <v>30.862662296665743</v>
      </c>
      <c r="CW1742" s="45" t="str">
        <v>Invest</v>
      </c>
      <c r="CX1742" s="61"/>
      <c r="CY1742" s="45">
        <v>1738</v>
      </c>
      <c r="CZ1742" s="45">
        <v>0</v>
      </c>
      <c r="DA1742" s="45" t="str">
        <v>Nothing</v>
      </c>
      <c r="DU1742" s="52"/>
      <c r="DV1742" s="50"/>
    </row>
    <row r="1743" spans="91:126" ht="23.5">
      <c r="CM1743" s="45">
        <v>1739</v>
      </c>
      <c r="CN1743" s="48">
        <v>31.607242427880948</v>
      </c>
      <c r="CO1743" s="45" t="str">
        <v>Invest</v>
      </c>
      <c r="CP1743" s="61"/>
      <c r="CQ1743" s="45">
        <v>1739</v>
      </c>
      <c r="CR1743" s="45">
        <v>20.368916636574824</v>
      </c>
      <c r="CS1743" s="45" t="str">
        <v>Invest</v>
      </c>
      <c r="CT1743" s="61"/>
      <c r="CU1743" s="45">
        <v>1739</v>
      </c>
      <c r="CV1743" s="45">
        <v>54.002461759081392</v>
      </c>
      <c r="CW1743" s="45" t="str">
        <v>Invest</v>
      </c>
      <c r="CX1743" s="61"/>
      <c r="CY1743" s="45">
        <v>1739</v>
      </c>
      <c r="CZ1743" s="45">
        <v>12.010640931136175</v>
      </c>
      <c r="DA1743" s="45" t="str">
        <v>Invest</v>
      </c>
      <c r="DU1743" s="52"/>
      <c r="DV1743" s="50"/>
    </row>
    <row r="1744" spans="91:126" ht="23.5">
      <c r="CM1744" s="45">
        <v>1740</v>
      </c>
      <c r="CN1744" s="48">
        <v>0</v>
      </c>
      <c r="CO1744" s="45" t="str">
        <v>Nothing</v>
      </c>
      <c r="CP1744" s="61"/>
      <c r="CQ1744" s="45">
        <v>1740</v>
      </c>
      <c r="CR1744" s="45">
        <v>49.175707875141882</v>
      </c>
      <c r="CS1744" s="45" t="str">
        <v>Invest</v>
      </c>
      <c r="CT1744" s="61"/>
      <c r="CU1744" s="45">
        <v>1740</v>
      </c>
      <c r="CV1744" s="45">
        <v>19.824061244614079</v>
      </c>
      <c r="CW1744" s="45" t="str">
        <v>Invest</v>
      </c>
      <c r="CX1744" s="61"/>
      <c r="CY1744" s="45">
        <v>1740</v>
      </c>
      <c r="CZ1744" s="45">
        <v>0</v>
      </c>
      <c r="DA1744" s="45" t="str">
        <v>Nothing</v>
      </c>
      <c r="DU1744" s="52"/>
      <c r="DV1744" s="50"/>
    </row>
    <row r="1745" spans="91:126" ht="23.5">
      <c r="CM1745" s="45">
        <v>1741</v>
      </c>
      <c r="CN1745" s="48">
        <v>10.050775467119518</v>
      </c>
      <c r="CO1745" s="45" t="str">
        <v>Invest</v>
      </c>
      <c r="CP1745" s="61"/>
      <c r="CQ1745" s="45">
        <v>1741</v>
      </c>
      <c r="CR1745" s="45">
        <v>20.819692712806887</v>
      </c>
      <c r="CS1745" s="45" t="str">
        <v>Invest</v>
      </c>
      <c r="CT1745" s="61"/>
      <c r="CU1745" s="45">
        <v>1741</v>
      </c>
      <c r="CV1745" s="45">
        <v>0</v>
      </c>
      <c r="CW1745" s="45" t="str">
        <v>Nothing</v>
      </c>
      <c r="CX1745" s="61"/>
      <c r="CY1745" s="45">
        <v>1741</v>
      </c>
      <c r="CZ1745" s="45">
        <v>11.316575446329416</v>
      </c>
      <c r="DA1745" s="45" t="str">
        <v>Invest</v>
      </c>
      <c r="DU1745" s="52"/>
      <c r="DV1745" s="50"/>
    </row>
    <row r="1746" spans="91:126" ht="23.5">
      <c r="CM1746" s="45">
        <v>1742</v>
      </c>
      <c r="CN1746" s="48">
        <v>55.156602408148643</v>
      </c>
      <c r="CO1746" s="45" t="str">
        <v>Invest</v>
      </c>
      <c r="CP1746" s="61"/>
      <c r="CQ1746" s="45">
        <v>1742</v>
      </c>
      <c r="CR1746" s="45">
        <v>18.493347585318787</v>
      </c>
      <c r="CS1746" s="45" t="str">
        <v>Invest</v>
      </c>
      <c r="CT1746" s="61"/>
      <c r="CU1746" s="45">
        <v>1742</v>
      </c>
      <c r="CV1746" s="45">
        <v>25.711672037615976</v>
      </c>
      <c r="CW1746" s="45" t="str">
        <v>Invest</v>
      </c>
      <c r="CX1746" s="61"/>
      <c r="CY1746" s="45">
        <v>1742</v>
      </c>
      <c r="CZ1746" s="45">
        <v>29.837605002953769</v>
      </c>
      <c r="DA1746" s="45" t="str">
        <v>Invest</v>
      </c>
      <c r="DU1746" s="52"/>
      <c r="DV1746" s="50"/>
    </row>
    <row r="1747" spans="91:126" ht="23.5">
      <c r="CM1747" s="45">
        <v>1743</v>
      </c>
      <c r="CN1747" s="48">
        <v>10.25751209879321</v>
      </c>
      <c r="CO1747" s="45" t="str">
        <v>Invest</v>
      </c>
      <c r="CP1747" s="61"/>
      <c r="CQ1747" s="45">
        <v>1743</v>
      </c>
      <c r="CR1747" s="45">
        <v>0</v>
      </c>
      <c r="CS1747" s="45" t="str">
        <v>Nothing</v>
      </c>
      <c r="CT1747" s="61"/>
      <c r="CU1747" s="45">
        <v>1743</v>
      </c>
      <c r="CV1747" s="45">
        <v>17.202414493904005</v>
      </c>
      <c r="CW1747" s="45" t="str">
        <v>Invest</v>
      </c>
      <c r="CX1747" s="61"/>
      <c r="CY1747" s="45">
        <v>1743</v>
      </c>
      <c r="CZ1747" s="45">
        <v>12.766989458056667</v>
      </c>
      <c r="DA1747" s="45" t="str">
        <v>Invest</v>
      </c>
      <c r="DU1747" s="52"/>
      <c r="DV1747" s="50"/>
    </row>
    <row r="1748" spans="91:126" ht="23.5">
      <c r="CM1748" s="45">
        <v>1744</v>
      </c>
      <c r="CN1748" s="48">
        <v>2.0673970794054934</v>
      </c>
      <c r="CO1748" s="45" t="str">
        <v>Invest</v>
      </c>
      <c r="CP1748" s="61"/>
      <c r="CQ1748" s="45">
        <v>1744</v>
      </c>
      <c r="CR1748" s="45">
        <v>0</v>
      </c>
      <c r="CS1748" s="45" t="str">
        <v>Nothing</v>
      </c>
      <c r="CT1748" s="61"/>
      <c r="CU1748" s="45">
        <v>1744</v>
      </c>
      <c r="CV1748" s="45">
        <v>37.168085083794807</v>
      </c>
      <c r="CW1748" s="45" t="str">
        <v>Invest</v>
      </c>
      <c r="CX1748" s="61"/>
      <c r="CY1748" s="45">
        <v>1744</v>
      </c>
      <c r="CZ1748" s="45">
        <v>5.3817361026574133</v>
      </c>
      <c r="DA1748" s="45" t="str">
        <v>Invest</v>
      </c>
      <c r="DU1748" s="52"/>
      <c r="DV1748" s="50"/>
    </row>
    <row r="1749" spans="91:126" ht="23.5">
      <c r="CM1749" s="45">
        <v>1745</v>
      </c>
      <c r="CN1749" s="48">
        <v>3.8549240493555228</v>
      </c>
      <c r="CO1749" s="45" t="str">
        <v>Invest</v>
      </c>
      <c r="CP1749" s="61"/>
      <c r="CQ1749" s="45">
        <v>1745</v>
      </c>
      <c r="CR1749" s="45">
        <v>30.086435193114262</v>
      </c>
      <c r="CS1749" s="45" t="str">
        <v>Invest</v>
      </c>
      <c r="CT1749" s="61"/>
      <c r="CU1749" s="45">
        <v>1745</v>
      </c>
      <c r="CV1749" s="45">
        <v>18.426483063959239</v>
      </c>
      <c r="CW1749" s="45" t="str">
        <v>Invest</v>
      </c>
      <c r="CX1749" s="61"/>
      <c r="CY1749" s="45">
        <v>1745</v>
      </c>
      <c r="CZ1749" s="45">
        <v>3.3531871532732431</v>
      </c>
      <c r="DA1749" s="45" t="str">
        <v>Invest</v>
      </c>
      <c r="DU1749" s="52"/>
      <c r="DV1749" s="50"/>
    </row>
    <row r="1750" spans="91:126" ht="23.5">
      <c r="CM1750" s="45">
        <v>1746</v>
      </c>
      <c r="CN1750" s="48">
        <v>29.896015187409347</v>
      </c>
      <c r="CO1750" s="45" t="str">
        <v>Invest</v>
      </c>
      <c r="CP1750" s="61"/>
      <c r="CQ1750" s="45">
        <v>1746</v>
      </c>
      <c r="CR1750" s="45">
        <v>0</v>
      </c>
      <c r="CS1750" s="45" t="str">
        <v>Nothing</v>
      </c>
      <c r="CT1750" s="61"/>
      <c r="CU1750" s="45">
        <v>1746</v>
      </c>
      <c r="CV1750" s="45">
        <v>35.652298950592154</v>
      </c>
      <c r="CW1750" s="45" t="str">
        <v>Invest</v>
      </c>
      <c r="CX1750" s="61"/>
      <c r="CY1750" s="45">
        <v>1746</v>
      </c>
      <c r="CZ1750" s="45">
        <v>0</v>
      </c>
      <c r="DA1750" s="45" t="str">
        <v>Nothing</v>
      </c>
      <c r="DU1750" s="52"/>
      <c r="DV1750" s="50"/>
    </row>
    <row r="1751" spans="91:126" ht="23.5">
      <c r="CM1751" s="45">
        <v>1747</v>
      </c>
      <c r="CN1751" s="48">
        <v>0</v>
      </c>
      <c r="CO1751" s="45" t="str">
        <v>Nothing</v>
      </c>
      <c r="CP1751" s="61"/>
      <c r="CQ1751" s="45">
        <v>1747</v>
      </c>
      <c r="CR1751" s="45">
        <v>0</v>
      </c>
      <c r="CS1751" s="45" t="str">
        <v>Nothing</v>
      </c>
      <c r="CT1751" s="61"/>
      <c r="CU1751" s="45">
        <v>1747</v>
      </c>
      <c r="CV1751" s="45">
        <v>54.285442989552649</v>
      </c>
      <c r="CW1751" s="45" t="str">
        <v>Invest</v>
      </c>
      <c r="CX1751" s="61"/>
      <c r="CY1751" s="45">
        <v>1747</v>
      </c>
      <c r="CZ1751" s="45">
        <v>31.093290328203349</v>
      </c>
      <c r="DA1751" s="45" t="str">
        <v>Invest</v>
      </c>
      <c r="DU1751" s="52"/>
      <c r="DV1751" s="50"/>
    </row>
    <row r="1752" spans="91:126" ht="23.5">
      <c r="CM1752" s="45">
        <v>1748</v>
      </c>
      <c r="CN1752" s="48">
        <v>15.424517734627784</v>
      </c>
      <c r="CO1752" s="45" t="str">
        <v>Invest</v>
      </c>
      <c r="CP1752" s="61"/>
      <c r="CQ1752" s="45">
        <v>1748</v>
      </c>
      <c r="CR1752" s="45">
        <v>0</v>
      </c>
      <c r="CS1752" s="45" t="str">
        <v>Nothing</v>
      </c>
      <c r="CT1752" s="61"/>
      <c r="CU1752" s="45">
        <v>1748</v>
      </c>
      <c r="CV1752" s="45">
        <v>0</v>
      </c>
      <c r="CW1752" s="45" t="str">
        <v>Nothing</v>
      </c>
      <c r="CX1752" s="61"/>
      <c r="CY1752" s="45">
        <v>1748</v>
      </c>
      <c r="CZ1752" s="45">
        <v>19.177851364087068</v>
      </c>
      <c r="DA1752" s="45" t="str">
        <v>Invest</v>
      </c>
      <c r="DU1752" s="52"/>
      <c r="DV1752" s="50"/>
    </row>
    <row r="1753" spans="91:126" ht="23.5">
      <c r="CM1753" s="45">
        <v>1749</v>
      </c>
      <c r="CN1753" s="48">
        <v>52.224092471498565</v>
      </c>
      <c r="CO1753" s="45" t="str">
        <v>Invest</v>
      </c>
      <c r="CP1753" s="61"/>
      <c r="CQ1753" s="45">
        <v>1749</v>
      </c>
      <c r="CR1753" s="45">
        <v>37.67380943737146</v>
      </c>
      <c r="CS1753" s="45" t="str">
        <v>Invest</v>
      </c>
      <c r="CT1753" s="61"/>
      <c r="CU1753" s="45">
        <v>1749</v>
      </c>
      <c r="CV1753" s="45">
        <v>1.0928052227889715</v>
      </c>
      <c r="CW1753" s="45" t="str">
        <v>Invest</v>
      </c>
      <c r="CX1753" s="61"/>
      <c r="CY1753" s="45">
        <v>1749</v>
      </c>
      <c r="CZ1753" s="45">
        <v>53.021876815486785</v>
      </c>
      <c r="DA1753" s="45" t="str">
        <v>Invest</v>
      </c>
      <c r="DU1753" s="52"/>
      <c r="DV1753" s="50"/>
    </row>
    <row r="1754" spans="91:126" ht="23.5">
      <c r="CM1754" s="45">
        <v>1750</v>
      </c>
      <c r="CN1754" s="48">
        <v>46.027254287425222</v>
      </c>
      <c r="CO1754" s="45" t="str">
        <v>Invest</v>
      </c>
      <c r="CP1754" s="61"/>
      <c r="CQ1754" s="45">
        <v>1750</v>
      </c>
      <c r="CR1754" s="45">
        <v>4.2915068767016855</v>
      </c>
      <c r="CS1754" s="45" t="str">
        <v>Invest</v>
      </c>
      <c r="CT1754" s="61"/>
      <c r="CU1754" s="45">
        <v>1750</v>
      </c>
      <c r="CV1754" s="45">
        <v>0</v>
      </c>
      <c r="CW1754" s="45" t="str">
        <v>Nothing</v>
      </c>
      <c r="CX1754" s="61"/>
      <c r="CY1754" s="45">
        <v>1750</v>
      </c>
      <c r="CZ1754" s="45">
        <v>0</v>
      </c>
      <c r="DA1754" s="45" t="str">
        <v>Nothing</v>
      </c>
      <c r="DU1754" s="52"/>
      <c r="DV1754" s="50"/>
    </row>
    <row r="1755" spans="91:126" ht="23.5">
      <c r="CM1755" s="45">
        <v>1751</v>
      </c>
      <c r="CN1755" s="48">
        <v>14.079967021069125</v>
      </c>
      <c r="CO1755" s="45" t="str">
        <v>Invest</v>
      </c>
      <c r="CP1755" s="61"/>
      <c r="CQ1755" s="45">
        <v>1751</v>
      </c>
      <c r="CR1755" s="45">
        <v>5.7450529751353834</v>
      </c>
      <c r="CS1755" s="45" t="str">
        <v>Invest</v>
      </c>
      <c r="CT1755" s="61"/>
      <c r="CU1755" s="45">
        <v>1751</v>
      </c>
      <c r="CV1755" s="45">
        <v>0</v>
      </c>
      <c r="CW1755" s="45" t="str">
        <v>Nothing</v>
      </c>
      <c r="CX1755" s="61"/>
      <c r="CY1755" s="45">
        <v>1751</v>
      </c>
      <c r="CZ1755" s="45">
        <v>16.330996899576625</v>
      </c>
      <c r="DA1755" s="45" t="str">
        <v>Invest</v>
      </c>
      <c r="DU1755" s="52"/>
      <c r="DV1755" s="50"/>
    </row>
    <row r="1756" spans="91:126" ht="23.5">
      <c r="CM1756" s="45">
        <v>1752</v>
      </c>
      <c r="CN1756" s="48">
        <v>52.790247301718658</v>
      </c>
      <c r="CO1756" s="45" t="str">
        <v>Invest</v>
      </c>
      <c r="CP1756" s="61"/>
      <c r="CQ1756" s="45">
        <v>1752</v>
      </c>
      <c r="CR1756" s="45">
        <v>0</v>
      </c>
      <c r="CS1756" s="45" t="str">
        <v>Nothing</v>
      </c>
      <c r="CT1756" s="61"/>
      <c r="CU1756" s="45">
        <v>1752</v>
      </c>
      <c r="CV1756" s="45">
        <v>5.7584026586126917</v>
      </c>
      <c r="CW1756" s="45" t="str">
        <v>Invest</v>
      </c>
      <c r="CX1756" s="61"/>
      <c r="CY1756" s="45">
        <v>1752</v>
      </c>
      <c r="CZ1756" s="45">
        <v>0</v>
      </c>
      <c r="DA1756" s="45" t="str">
        <v>Nothing</v>
      </c>
      <c r="DU1756" s="52"/>
      <c r="DV1756" s="50"/>
    </row>
    <row r="1757" spans="91:126" ht="23.5">
      <c r="CM1757" s="45">
        <v>1753</v>
      </c>
      <c r="CN1757" s="48">
        <v>0</v>
      </c>
      <c r="CO1757" s="45" t="str">
        <v>Nothing</v>
      </c>
      <c r="CP1757" s="61"/>
      <c r="CQ1757" s="45">
        <v>1753</v>
      </c>
      <c r="CR1757" s="45">
        <v>19.058319447467301</v>
      </c>
      <c r="CS1757" s="45" t="str">
        <v>Invest</v>
      </c>
      <c r="CT1757" s="61"/>
      <c r="CU1757" s="45">
        <v>1753</v>
      </c>
      <c r="CV1757" s="45">
        <v>14.841185248168159</v>
      </c>
      <c r="CW1757" s="45" t="str">
        <v>Invest</v>
      </c>
      <c r="CX1757" s="61"/>
      <c r="CY1757" s="45">
        <v>1753</v>
      </c>
      <c r="CZ1757" s="45">
        <v>0</v>
      </c>
      <c r="DA1757" s="45" t="str">
        <v>Nothing</v>
      </c>
      <c r="DU1757" s="52"/>
      <c r="DV1757" s="50"/>
    </row>
    <row r="1758" spans="91:126" ht="23.5">
      <c r="CM1758" s="45">
        <v>1754</v>
      </c>
      <c r="CN1758" s="48">
        <v>42.625321962214279</v>
      </c>
      <c r="CO1758" s="45" t="str">
        <v>Invest</v>
      </c>
      <c r="CP1758" s="61"/>
      <c r="CQ1758" s="45">
        <v>1754</v>
      </c>
      <c r="CR1758" s="45">
        <v>0</v>
      </c>
      <c r="CS1758" s="45" t="str">
        <v>Nothing</v>
      </c>
      <c r="CT1758" s="61"/>
      <c r="CU1758" s="45">
        <v>1754</v>
      </c>
      <c r="CV1758" s="45">
        <v>14.983356537407907</v>
      </c>
      <c r="CW1758" s="45" t="str">
        <v>Invest</v>
      </c>
      <c r="CX1758" s="61"/>
      <c r="CY1758" s="45">
        <v>1754</v>
      </c>
      <c r="CZ1758" s="45">
        <v>0</v>
      </c>
      <c r="DA1758" s="45" t="str">
        <v>Nothing</v>
      </c>
      <c r="DU1758" s="52"/>
      <c r="DV1758" s="50"/>
    </row>
    <row r="1759" spans="91:126" ht="23.5">
      <c r="CM1759" s="45">
        <v>1755</v>
      </c>
      <c r="CN1759" s="48">
        <v>0</v>
      </c>
      <c r="CO1759" s="45" t="str">
        <v>Nothing</v>
      </c>
      <c r="CP1759" s="61"/>
      <c r="CQ1759" s="45">
        <v>1755</v>
      </c>
      <c r="CR1759" s="45">
        <v>11.85956613884559</v>
      </c>
      <c r="CS1759" s="45" t="str">
        <v>Invest</v>
      </c>
      <c r="CT1759" s="61"/>
      <c r="CU1759" s="45">
        <v>1755</v>
      </c>
      <c r="CV1759" s="45">
        <v>0</v>
      </c>
      <c r="CW1759" s="45" t="str">
        <v>Nothing</v>
      </c>
      <c r="CX1759" s="61"/>
      <c r="CY1759" s="45">
        <v>1755</v>
      </c>
      <c r="CZ1759" s="45">
        <v>0</v>
      </c>
      <c r="DA1759" s="45" t="str">
        <v>Nothing</v>
      </c>
      <c r="DU1759" s="52"/>
      <c r="DV1759" s="50"/>
    </row>
    <row r="1760" spans="91:126" ht="23.5">
      <c r="CM1760" s="45">
        <v>1756</v>
      </c>
      <c r="CN1760" s="48">
        <v>15.955462232070138</v>
      </c>
      <c r="CO1760" s="45" t="str">
        <v>Invest</v>
      </c>
      <c r="CP1760" s="61"/>
      <c r="CQ1760" s="45">
        <v>1756</v>
      </c>
      <c r="CR1760" s="45">
        <v>12.078073626875739</v>
      </c>
      <c r="CS1760" s="45" t="str">
        <v>Invest</v>
      </c>
      <c r="CT1760" s="61"/>
      <c r="CU1760" s="45">
        <v>1756</v>
      </c>
      <c r="CV1760" s="45">
        <v>8.6234642281472524</v>
      </c>
      <c r="CW1760" s="45" t="str">
        <v>Invest</v>
      </c>
      <c r="CX1760" s="61"/>
      <c r="CY1760" s="45">
        <v>1756</v>
      </c>
      <c r="CZ1760" s="45">
        <v>48.190580783499513</v>
      </c>
      <c r="DA1760" s="45" t="str">
        <v>Invest</v>
      </c>
      <c r="DU1760" s="52"/>
      <c r="DV1760" s="50"/>
    </row>
    <row r="1761" spans="91:126" ht="23.5">
      <c r="CM1761" s="45">
        <v>1757</v>
      </c>
      <c r="CN1761" s="48">
        <v>27.314885484035926</v>
      </c>
      <c r="CO1761" s="45" t="str">
        <v>Invest</v>
      </c>
      <c r="CP1761" s="61"/>
      <c r="CQ1761" s="45">
        <v>1757</v>
      </c>
      <c r="CR1761" s="45">
        <v>0</v>
      </c>
      <c r="CS1761" s="45" t="str">
        <v>Nothing</v>
      </c>
      <c r="CT1761" s="61"/>
      <c r="CU1761" s="45">
        <v>1757</v>
      </c>
      <c r="CV1761" s="45">
        <v>24.776168790885887</v>
      </c>
      <c r="CW1761" s="45" t="str">
        <v>Invest</v>
      </c>
      <c r="CX1761" s="61"/>
      <c r="CY1761" s="45">
        <v>1757</v>
      </c>
      <c r="CZ1761" s="45">
        <v>0</v>
      </c>
      <c r="DA1761" s="45" t="str">
        <v>Nothing</v>
      </c>
      <c r="DU1761" s="52"/>
      <c r="DV1761" s="50"/>
    </row>
    <row r="1762" spans="91:126" ht="23.5">
      <c r="CM1762" s="45">
        <v>1758</v>
      </c>
      <c r="CN1762" s="48">
        <v>0</v>
      </c>
      <c r="CO1762" s="45" t="str">
        <v>Nothing</v>
      </c>
      <c r="CP1762" s="61"/>
      <c r="CQ1762" s="45">
        <v>1758</v>
      </c>
      <c r="CR1762" s="45">
        <v>16.347299463026484</v>
      </c>
      <c r="CS1762" s="45" t="str">
        <v>Invest</v>
      </c>
      <c r="CT1762" s="61"/>
      <c r="CU1762" s="45">
        <v>1758</v>
      </c>
      <c r="CV1762" s="45">
        <v>5.5137886535138136</v>
      </c>
      <c r="CW1762" s="45" t="str">
        <v>Invest</v>
      </c>
      <c r="CX1762" s="61"/>
      <c r="CY1762" s="45">
        <v>1758</v>
      </c>
      <c r="CZ1762" s="45">
        <v>29.944753476035892</v>
      </c>
      <c r="DA1762" s="45" t="str">
        <v>Invest</v>
      </c>
      <c r="DU1762" s="52"/>
      <c r="DV1762" s="50"/>
    </row>
    <row r="1763" spans="91:126" ht="23.5">
      <c r="CM1763" s="45">
        <v>1759</v>
      </c>
      <c r="CN1763" s="48">
        <v>0</v>
      </c>
      <c r="CO1763" s="45" t="str">
        <v>Nothing</v>
      </c>
      <c r="CP1763" s="61"/>
      <c r="CQ1763" s="45">
        <v>1759</v>
      </c>
      <c r="CR1763" s="45">
        <v>11.275559774911658</v>
      </c>
      <c r="CS1763" s="45" t="str">
        <v>Invest</v>
      </c>
      <c r="CT1763" s="61"/>
      <c r="CU1763" s="45">
        <v>1759</v>
      </c>
      <c r="CV1763" s="45">
        <v>42.219980492659147</v>
      </c>
      <c r="CW1763" s="45" t="str">
        <v>Invest</v>
      </c>
      <c r="CX1763" s="61"/>
      <c r="CY1763" s="45">
        <v>1759</v>
      </c>
      <c r="CZ1763" s="45">
        <v>15.230626762931788</v>
      </c>
      <c r="DA1763" s="45" t="str">
        <v>Invest</v>
      </c>
      <c r="DU1763" s="52"/>
      <c r="DV1763" s="50"/>
    </row>
    <row r="1764" spans="91:126" ht="23.5">
      <c r="CM1764" s="45">
        <v>1760</v>
      </c>
      <c r="CN1764" s="48">
        <v>27.329152361277075</v>
      </c>
      <c r="CO1764" s="45" t="str">
        <v>Invest</v>
      </c>
      <c r="CP1764" s="61"/>
      <c r="CQ1764" s="45">
        <v>1760</v>
      </c>
      <c r="CR1764" s="45">
        <v>6.1336785796063262</v>
      </c>
      <c r="CS1764" s="45" t="str">
        <v>Invest</v>
      </c>
      <c r="CT1764" s="61"/>
      <c r="CU1764" s="45">
        <v>1760</v>
      </c>
      <c r="CV1764" s="45">
        <v>17.757084035204898</v>
      </c>
      <c r="CW1764" s="45" t="str">
        <v>Invest</v>
      </c>
      <c r="CX1764" s="61"/>
      <c r="CY1764" s="45">
        <v>1760</v>
      </c>
      <c r="CZ1764" s="45">
        <v>8.1897325515442265</v>
      </c>
      <c r="DA1764" s="45" t="str">
        <v>Invest</v>
      </c>
      <c r="DU1764" s="52"/>
      <c r="DV1764" s="50"/>
    </row>
    <row r="1765" spans="91:126" ht="23.5">
      <c r="CM1765" s="45">
        <v>1761</v>
      </c>
      <c r="CN1765" s="48">
        <v>2.5460424972983731E-2</v>
      </c>
      <c r="CO1765" s="45" t="str">
        <v>Invest</v>
      </c>
      <c r="CP1765" s="61"/>
      <c r="CQ1765" s="45">
        <v>1761</v>
      </c>
      <c r="CR1765" s="45">
        <v>0.38314259513951932</v>
      </c>
      <c r="CS1765" s="45" t="str">
        <v>Invest</v>
      </c>
      <c r="CT1765" s="61"/>
      <c r="CU1765" s="45">
        <v>1761</v>
      </c>
      <c r="CV1765" s="45">
        <v>2.7652673084884025</v>
      </c>
      <c r="CW1765" s="45" t="str">
        <v>Invest</v>
      </c>
      <c r="CX1765" s="61"/>
      <c r="CY1765" s="45">
        <v>1761</v>
      </c>
      <c r="CZ1765" s="45">
        <v>22.923040545193693</v>
      </c>
      <c r="DA1765" s="45" t="str">
        <v>Invest</v>
      </c>
      <c r="DU1765" s="52"/>
      <c r="DV1765" s="50"/>
    </row>
    <row r="1766" spans="91:126" ht="23.5">
      <c r="CM1766" s="45">
        <v>1762</v>
      </c>
      <c r="CN1766" s="48">
        <v>17.187647959801506</v>
      </c>
      <c r="CO1766" s="45" t="str">
        <v>Invest</v>
      </c>
      <c r="CP1766" s="61"/>
      <c r="CQ1766" s="45">
        <v>1762</v>
      </c>
      <c r="CR1766" s="45">
        <v>28.175280189788594</v>
      </c>
      <c r="CS1766" s="45" t="str">
        <v>Invest</v>
      </c>
      <c r="CT1766" s="61"/>
      <c r="CU1766" s="45">
        <v>1762</v>
      </c>
      <c r="CV1766" s="45">
        <v>43.189313295413967</v>
      </c>
      <c r="CW1766" s="45" t="str">
        <v>Invest</v>
      </c>
      <c r="CX1766" s="61"/>
      <c r="CY1766" s="45">
        <v>1762</v>
      </c>
      <c r="CZ1766" s="45">
        <v>0</v>
      </c>
      <c r="DA1766" s="45" t="str">
        <v>Nothing</v>
      </c>
      <c r="DU1766" s="52"/>
      <c r="DV1766" s="50"/>
    </row>
    <row r="1767" spans="91:126" ht="23.5">
      <c r="CM1767" s="45">
        <v>1763</v>
      </c>
      <c r="CN1767" s="48">
        <v>4.9806971651094578</v>
      </c>
      <c r="CO1767" s="45" t="str">
        <v>Invest</v>
      </c>
      <c r="CP1767" s="61"/>
      <c r="CQ1767" s="45">
        <v>1763</v>
      </c>
      <c r="CR1767" s="45">
        <v>3.0659330950327082</v>
      </c>
      <c r="CS1767" s="45" t="str">
        <v>Invest</v>
      </c>
      <c r="CT1767" s="61"/>
      <c r="CU1767" s="45">
        <v>1763</v>
      </c>
      <c r="CV1767" s="45">
        <v>0</v>
      </c>
      <c r="CW1767" s="45" t="str">
        <v>Nothing</v>
      </c>
      <c r="CX1767" s="61"/>
      <c r="CY1767" s="45">
        <v>1763</v>
      </c>
      <c r="CZ1767" s="45">
        <v>41.25430675598647</v>
      </c>
      <c r="DA1767" s="45" t="str">
        <v>Invest</v>
      </c>
      <c r="DU1767" s="52"/>
      <c r="DV1767" s="50"/>
    </row>
    <row r="1768" spans="91:126" ht="23.5">
      <c r="CM1768" s="45">
        <v>1764</v>
      </c>
      <c r="CN1768" s="48">
        <v>0</v>
      </c>
      <c r="CO1768" s="45" t="str">
        <v>Nothing</v>
      </c>
      <c r="CP1768" s="61"/>
      <c r="CQ1768" s="45">
        <v>1764</v>
      </c>
      <c r="CR1768" s="45">
        <v>0</v>
      </c>
      <c r="CS1768" s="45" t="str">
        <v>Nothing</v>
      </c>
      <c r="CT1768" s="61"/>
      <c r="CU1768" s="45">
        <v>1764</v>
      </c>
      <c r="CV1768" s="45">
        <v>0</v>
      </c>
      <c r="CW1768" s="45" t="str">
        <v>Nothing</v>
      </c>
      <c r="CX1768" s="61"/>
      <c r="CY1768" s="45">
        <v>1764</v>
      </c>
      <c r="CZ1768" s="45">
        <v>31.593537846702173</v>
      </c>
      <c r="DA1768" s="45" t="str">
        <v>Invest</v>
      </c>
      <c r="DU1768" s="52"/>
      <c r="DV1768" s="50"/>
    </row>
    <row r="1769" spans="91:126" ht="23.5">
      <c r="CM1769" s="45">
        <v>1765</v>
      </c>
      <c r="CN1769" s="48">
        <v>33.112685699731969</v>
      </c>
      <c r="CO1769" s="45" t="str">
        <v>Invest</v>
      </c>
      <c r="CP1769" s="61"/>
      <c r="CQ1769" s="45">
        <v>1765</v>
      </c>
      <c r="CR1769" s="45">
        <v>0</v>
      </c>
      <c r="CS1769" s="45" t="str">
        <v>Nothing</v>
      </c>
      <c r="CT1769" s="61"/>
      <c r="CU1769" s="45">
        <v>1765</v>
      </c>
      <c r="CV1769" s="45">
        <v>39.251991789040979</v>
      </c>
      <c r="CW1769" s="45" t="str">
        <v>Invest</v>
      </c>
      <c r="CX1769" s="61"/>
      <c r="CY1769" s="45">
        <v>1765</v>
      </c>
      <c r="CZ1769" s="45">
        <v>0</v>
      </c>
      <c r="DA1769" s="45" t="str">
        <v>Nothing</v>
      </c>
      <c r="DU1769" s="52"/>
      <c r="DV1769" s="50"/>
    </row>
    <row r="1770" spans="91:126" ht="23.5">
      <c r="CM1770" s="45">
        <v>1766</v>
      </c>
      <c r="CN1770" s="48">
        <v>0</v>
      </c>
      <c r="CO1770" s="45" t="str">
        <v>Nothing</v>
      </c>
      <c r="CP1770" s="61"/>
      <c r="CQ1770" s="45">
        <v>1766</v>
      </c>
      <c r="CR1770" s="45">
        <v>21.093441972775228</v>
      </c>
      <c r="CS1770" s="45" t="str">
        <v>Invest</v>
      </c>
      <c r="CT1770" s="61"/>
      <c r="CU1770" s="45">
        <v>1766</v>
      </c>
      <c r="CV1770" s="45">
        <v>47.319155208146178</v>
      </c>
      <c r="CW1770" s="45" t="str">
        <v>Invest</v>
      </c>
      <c r="CX1770" s="61"/>
      <c r="CY1770" s="45">
        <v>1766</v>
      </c>
      <c r="CZ1770" s="45">
        <v>0.43778235807222288</v>
      </c>
      <c r="DA1770" s="45" t="str">
        <v>Invest</v>
      </c>
      <c r="DU1770" s="52"/>
      <c r="DV1770" s="50"/>
    </row>
    <row r="1771" spans="91:126" ht="23.5">
      <c r="CM1771" s="45">
        <v>1767</v>
      </c>
      <c r="CN1771" s="48">
        <v>0</v>
      </c>
      <c r="CO1771" s="45" t="str">
        <v>Nothing</v>
      </c>
      <c r="CP1771" s="61"/>
      <c r="CQ1771" s="45">
        <v>1767</v>
      </c>
      <c r="CR1771" s="45">
        <v>21.753281785202265</v>
      </c>
      <c r="CS1771" s="45" t="str">
        <v>Invest</v>
      </c>
      <c r="CT1771" s="61"/>
      <c r="CU1771" s="45">
        <v>1767</v>
      </c>
      <c r="CV1771" s="45">
        <v>4.1866285822436122</v>
      </c>
      <c r="CW1771" s="45" t="str">
        <v>Invest</v>
      </c>
      <c r="CX1771" s="61"/>
      <c r="CY1771" s="45">
        <v>1767</v>
      </c>
      <c r="CZ1771" s="45">
        <v>15.200772378692964</v>
      </c>
      <c r="DA1771" s="45" t="str">
        <v>Invest</v>
      </c>
      <c r="DU1771" s="52"/>
      <c r="DV1771" s="50"/>
    </row>
    <row r="1772" spans="91:126" ht="23.5">
      <c r="CM1772" s="45">
        <v>1768</v>
      </c>
      <c r="CN1772" s="48">
        <v>39.024244178185739</v>
      </c>
      <c r="CO1772" s="45" t="str">
        <v>Invest</v>
      </c>
      <c r="CP1772" s="61"/>
      <c r="CQ1772" s="45">
        <v>1768</v>
      </c>
      <c r="CR1772" s="45">
        <v>3.5283125168043314</v>
      </c>
      <c r="CS1772" s="45" t="str">
        <v>Invest</v>
      </c>
      <c r="CT1772" s="61"/>
      <c r="CU1772" s="45">
        <v>1768</v>
      </c>
      <c r="CV1772" s="45">
        <v>15.551196138060059</v>
      </c>
      <c r="CW1772" s="45" t="str">
        <v>Invest</v>
      </c>
      <c r="CX1772" s="61"/>
      <c r="CY1772" s="45">
        <v>1768</v>
      </c>
      <c r="CZ1772" s="45">
        <v>0</v>
      </c>
      <c r="DA1772" s="45" t="str">
        <v>Nothing</v>
      </c>
      <c r="DU1772" s="52"/>
      <c r="DV1772" s="50"/>
    </row>
    <row r="1773" spans="91:126" ht="23.5">
      <c r="CM1773" s="45">
        <v>1769</v>
      </c>
      <c r="CN1773" s="48">
        <v>16.896292890639092</v>
      </c>
      <c r="CO1773" s="45" t="str">
        <v>Invest</v>
      </c>
      <c r="CP1773" s="61"/>
      <c r="CQ1773" s="45">
        <v>1769</v>
      </c>
      <c r="CR1773" s="45">
        <v>38.409594800468099</v>
      </c>
      <c r="CS1773" s="45" t="str">
        <v>Invest</v>
      </c>
      <c r="CT1773" s="61"/>
      <c r="CU1773" s="45">
        <v>1769</v>
      </c>
      <c r="CV1773" s="45">
        <v>49.265715987914149</v>
      </c>
      <c r="CW1773" s="45" t="str">
        <v>Invest</v>
      </c>
      <c r="CX1773" s="61"/>
      <c r="CY1773" s="45">
        <v>1769</v>
      </c>
      <c r="CZ1773" s="45">
        <v>23.960988301500677</v>
      </c>
      <c r="DA1773" s="45" t="str">
        <v>Invest</v>
      </c>
      <c r="DU1773" s="52"/>
      <c r="DV1773" s="50"/>
    </row>
    <row r="1774" spans="91:126" ht="23.5">
      <c r="CM1774" s="45">
        <v>1770</v>
      </c>
      <c r="CN1774" s="48">
        <v>11.873045214122241</v>
      </c>
      <c r="CO1774" s="45" t="str">
        <v>Invest</v>
      </c>
      <c r="CP1774" s="61"/>
      <c r="CQ1774" s="45">
        <v>1770</v>
      </c>
      <c r="CR1774" s="45">
        <v>53.419879255503112</v>
      </c>
      <c r="CS1774" s="45" t="str">
        <v>Invest</v>
      </c>
      <c r="CT1774" s="61"/>
      <c r="CU1774" s="45">
        <v>1770</v>
      </c>
      <c r="CV1774" s="45">
        <v>42.95084280375881</v>
      </c>
      <c r="CW1774" s="45" t="str">
        <v>Invest</v>
      </c>
      <c r="CX1774" s="61"/>
      <c r="CY1774" s="45">
        <v>1770</v>
      </c>
      <c r="CZ1774" s="45">
        <v>37.820938032489074</v>
      </c>
      <c r="DA1774" s="45" t="str">
        <v>Invest</v>
      </c>
      <c r="DU1774" s="52"/>
      <c r="DV1774" s="50"/>
    </row>
    <row r="1775" spans="91:126" ht="23.5">
      <c r="CM1775" s="45">
        <v>1771</v>
      </c>
      <c r="CN1775" s="48">
        <v>5.989695404595647</v>
      </c>
      <c r="CO1775" s="45" t="str">
        <v>Invest</v>
      </c>
      <c r="CP1775" s="61"/>
      <c r="CQ1775" s="45">
        <v>1771</v>
      </c>
      <c r="CR1775" s="45">
        <v>0</v>
      </c>
      <c r="CS1775" s="45" t="str">
        <v>Nothing</v>
      </c>
      <c r="CT1775" s="61"/>
      <c r="CU1775" s="45">
        <v>1771</v>
      </c>
      <c r="CV1775" s="45">
        <v>0</v>
      </c>
      <c r="CW1775" s="45" t="str">
        <v>Nothing</v>
      </c>
      <c r="CX1775" s="61"/>
      <c r="CY1775" s="45">
        <v>1771</v>
      </c>
      <c r="CZ1775" s="45">
        <v>23.933296275773472</v>
      </c>
      <c r="DA1775" s="45" t="str">
        <v>Invest</v>
      </c>
      <c r="DU1775" s="52"/>
      <c r="DV1775" s="50"/>
    </row>
    <row r="1776" spans="91:126" ht="23.5">
      <c r="CM1776" s="45">
        <v>1772</v>
      </c>
      <c r="CN1776" s="48">
        <v>7.6109149771409754</v>
      </c>
      <c r="CO1776" s="45" t="str">
        <v>Invest</v>
      </c>
      <c r="CP1776" s="61"/>
      <c r="CQ1776" s="45">
        <v>1772</v>
      </c>
      <c r="CR1776" s="45">
        <v>54.532084178691065</v>
      </c>
      <c r="CS1776" s="45" t="str">
        <v>Invest</v>
      </c>
      <c r="CT1776" s="61"/>
      <c r="CU1776" s="45">
        <v>1772</v>
      </c>
      <c r="CV1776" s="45">
        <v>48.595914736564765</v>
      </c>
      <c r="CW1776" s="45" t="str">
        <v>Invest</v>
      </c>
      <c r="CX1776" s="61"/>
      <c r="CY1776" s="45">
        <v>1772</v>
      </c>
      <c r="CZ1776" s="45">
        <v>0</v>
      </c>
      <c r="DA1776" s="45" t="str">
        <v>Nothing</v>
      </c>
      <c r="DU1776" s="52"/>
      <c r="DV1776" s="50"/>
    </row>
    <row r="1777" spans="91:126" ht="23.5">
      <c r="CM1777" s="45">
        <v>1773</v>
      </c>
      <c r="CN1777" s="48">
        <v>24.555202175325885</v>
      </c>
      <c r="CO1777" s="45" t="str">
        <v>Invest</v>
      </c>
      <c r="CP1777" s="61"/>
      <c r="CQ1777" s="45">
        <v>1773</v>
      </c>
      <c r="CR1777" s="45">
        <v>6.8701971527965142</v>
      </c>
      <c r="CS1777" s="45" t="str">
        <v>Invest</v>
      </c>
      <c r="CT1777" s="61"/>
      <c r="CU1777" s="45">
        <v>1773</v>
      </c>
      <c r="CV1777" s="45">
        <v>0</v>
      </c>
      <c r="CW1777" s="45" t="str">
        <v>Nothing</v>
      </c>
      <c r="CX1777" s="61"/>
      <c r="CY1777" s="45">
        <v>1773</v>
      </c>
      <c r="CZ1777" s="45">
        <v>0</v>
      </c>
      <c r="DA1777" s="45" t="str">
        <v>Nothing</v>
      </c>
      <c r="DU1777" s="52"/>
      <c r="DV1777" s="50"/>
    </row>
    <row r="1778" spans="91:126" ht="23.5">
      <c r="CM1778" s="45">
        <v>1774</v>
      </c>
      <c r="CN1778" s="48">
        <v>7.4028772945122663</v>
      </c>
      <c r="CO1778" s="45" t="str">
        <v>Invest</v>
      </c>
      <c r="CP1778" s="61"/>
      <c r="CQ1778" s="45">
        <v>1774</v>
      </c>
      <c r="CR1778" s="45">
        <v>0</v>
      </c>
      <c r="CS1778" s="45" t="str">
        <v>Nothing</v>
      </c>
      <c r="CT1778" s="61"/>
      <c r="CU1778" s="45">
        <v>1774</v>
      </c>
      <c r="CV1778" s="45">
        <v>4.0491330329457185</v>
      </c>
      <c r="CW1778" s="45" t="str">
        <v>Invest</v>
      </c>
      <c r="CX1778" s="61"/>
      <c r="CY1778" s="45">
        <v>1774</v>
      </c>
      <c r="CZ1778" s="45">
        <v>11.93477791348737</v>
      </c>
      <c r="DA1778" s="45" t="str">
        <v>Invest</v>
      </c>
      <c r="DU1778" s="52"/>
      <c r="DV1778" s="50"/>
    </row>
    <row r="1779" spans="91:126" ht="23.5">
      <c r="CM1779" s="45">
        <v>1775</v>
      </c>
      <c r="CN1779" s="48">
        <v>17.840450803752315</v>
      </c>
      <c r="CO1779" s="45" t="str">
        <v>Invest</v>
      </c>
      <c r="CP1779" s="61"/>
      <c r="CQ1779" s="45">
        <v>1775</v>
      </c>
      <c r="CR1779" s="45">
        <v>28.634656485461157</v>
      </c>
      <c r="CS1779" s="45" t="str">
        <v>Invest</v>
      </c>
      <c r="CT1779" s="61"/>
      <c r="CU1779" s="45">
        <v>1775</v>
      </c>
      <c r="CV1779" s="45">
        <v>19.400796081568405</v>
      </c>
      <c r="CW1779" s="45" t="str">
        <v>Invest</v>
      </c>
      <c r="CX1779" s="61"/>
      <c r="CY1779" s="45">
        <v>1775</v>
      </c>
      <c r="CZ1779" s="45">
        <v>0</v>
      </c>
      <c r="DA1779" s="45" t="str">
        <v>Nothing</v>
      </c>
      <c r="DU1779" s="52"/>
      <c r="DV1779" s="50"/>
    </row>
    <row r="1780" spans="91:126" ht="23.5">
      <c r="CM1780" s="45">
        <v>1776</v>
      </c>
      <c r="CN1780" s="48">
        <v>43.321293846245439</v>
      </c>
      <c r="CO1780" s="45" t="str">
        <v>Invest</v>
      </c>
      <c r="CP1780" s="61"/>
      <c r="CQ1780" s="45">
        <v>1776</v>
      </c>
      <c r="CR1780" s="45">
        <v>19.006207343510759</v>
      </c>
      <c r="CS1780" s="45" t="str">
        <v>Invest</v>
      </c>
      <c r="CT1780" s="61"/>
      <c r="CU1780" s="45">
        <v>1776</v>
      </c>
      <c r="CV1780" s="45">
        <v>0.35326351078231077</v>
      </c>
      <c r="CW1780" s="45" t="str">
        <v>Invest</v>
      </c>
      <c r="CX1780" s="61"/>
      <c r="CY1780" s="45">
        <v>1776</v>
      </c>
      <c r="CZ1780" s="45">
        <v>0</v>
      </c>
      <c r="DA1780" s="45" t="str">
        <v>Nothing</v>
      </c>
      <c r="DU1780" s="52"/>
      <c r="DV1780" s="50"/>
    </row>
    <row r="1781" spans="91:126" ht="23.5">
      <c r="CM1781" s="45">
        <v>1777</v>
      </c>
      <c r="CN1781" s="48">
        <v>2.0370650318444046</v>
      </c>
      <c r="CO1781" s="45" t="str">
        <v>Invest</v>
      </c>
      <c r="CP1781" s="61"/>
      <c r="CQ1781" s="45">
        <v>1777</v>
      </c>
      <c r="CR1781" s="45">
        <v>0.56793140647649309</v>
      </c>
      <c r="CS1781" s="45" t="str">
        <v>Invest</v>
      </c>
      <c r="CT1781" s="61"/>
      <c r="CU1781" s="45">
        <v>1777</v>
      </c>
      <c r="CV1781" s="45">
        <v>19.981868009643541</v>
      </c>
      <c r="CW1781" s="45" t="str">
        <v>Invest</v>
      </c>
      <c r="CX1781" s="61"/>
      <c r="CY1781" s="45">
        <v>1777</v>
      </c>
      <c r="CZ1781" s="45">
        <v>6.4096664965535712</v>
      </c>
      <c r="DA1781" s="45" t="str">
        <v>Invest</v>
      </c>
      <c r="DU1781" s="52"/>
      <c r="DV1781" s="50"/>
    </row>
    <row r="1782" spans="91:126" ht="23.5">
      <c r="CM1782" s="45">
        <v>1778</v>
      </c>
      <c r="CN1782" s="48">
        <v>52.978847656061433</v>
      </c>
      <c r="CO1782" s="45" t="str">
        <v>Invest</v>
      </c>
      <c r="CP1782" s="61"/>
      <c r="CQ1782" s="45">
        <v>1778</v>
      </c>
      <c r="CR1782" s="45">
        <v>20.621390359029466</v>
      </c>
      <c r="CS1782" s="45" t="str">
        <v>Invest</v>
      </c>
      <c r="CT1782" s="61"/>
      <c r="CU1782" s="45">
        <v>1778</v>
      </c>
      <c r="CV1782" s="45">
        <v>7.0290534790627923</v>
      </c>
      <c r="CW1782" s="45" t="str">
        <v>Invest</v>
      </c>
      <c r="CX1782" s="61"/>
      <c r="CY1782" s="45">
        <v>1778</v>
      </c>
      <c r="CZ1782" s="45">
        <v>7.62899505974638</v>
      </c>
      <c r="DA1782" s="45" t="str">
        <v>Invest</v>
      </c>
      <c r="DU1782" s="52"/>
      <c r="DV1782" s="50"/>
    </row>
    <row r="1783" spans="91:126" ht="23.5">
      <c r="CM1783" s="45">
        <v>1779</v>
      </c>
      <c r="CN1783" s="48">
        <v>20.758490897501591</v>
      </c>
      <c r="CO1783" s="45" t="str">
        <v>Invest</v>
      </c>
      <c r="CP1783" s="61"/>
      <c r="CQ1783" s="45">
        <v>1779</v>
      </c>
      <c r="CR1783" s="45">
        <v>5.210175328018086</v>
      </c>
      <c r="CS1783" s="45" t="str">
        <v>Invest</v>
      </c>
      <c r="CT1783" s="61"/>
      <c r="CU1783" s="45">
        <v>1779</v>
      </c>
      <c r="CV1783" s="45">
        <v>27.438990223217367</v>
      </c>
      <c r="CW1783" s="45" t="str">
        <v>Invest</v>
      </c>
      <c r="CX1783" s="61"/>
      <c r="CY1783" s="45">
        <v>1779</v>
      </c>
      <c r="CZ1783" s="45">
        <v>0</v>
      </c>
      <c r="DA1783" s="45" t="str">
        <v>Nothing</v>
      </c>
      <c r="DU1783" s="52"/>
      <c r="DV1783" s="50"/>
    </row>
    <row r="1784" spans="91:126" ht="23.5">
      <c r="CM1784" s="45">
        <v>1780</v>
      </c>
      <c r="CN1784" s="48">
        <v>23.461346074720964</v>
      </c>
      <c r="CO1784" s="45" t="str">
        <v>Invest</v>
      </c>
      <c r="CP1784" s="61"/>
      <c r="CQ1784" s="45">
        <v>1780</v>
      </c>
      <c r="CR1784" s="45">
        <v>6.109868286882314</v>
      </c>
      <c r="CS1784" s="45" t="str">
        <v>Invest</v>
      </c>
      <c r="CT1784" s="61"/>
      <c r="CU1784" s="45">
        <v>1780</v>
      </c>
      <c r="CV1784" s="45">
        <v>54.193074566045169</v>
      </c>
      <c r="CW1784" s="45" t="str">
        <v>Invest</v>
      </c>
      <c r="CX1784" s="61"/>
      <c r="CY1784" s="45">
        <v>1780</v>
      </c>
      <c r="CZ1784" s="45">
        <v>14.053979297903076</v>
      </c>
      <c r="DA1784" s="45" t="str">
        <v>Invest</v>
      </c>
      <c r="DU1784" s="52"/>
      <c r="DV1784" s="50"/>
    </row>
    <row r="1785" spans="91:126" ht="23.5">
      <c r="CM1785" s="45">
        <v>1781</v>
      </c>
      <c r="CN1785" s="48">
        <v>0</v>
      </c>
      <c r="CO1785" s="45" t="str">
        <v>Nothing</v>
      </c>
      <c r="CP1785" s="61"/>
      <c r="CQ1785" s="45">
        <v>1781</v>
      </c>
      <c r="CR1785" s="45">
        <v>0</v>
      </c>
      <c r="CS1785" s="45" t="str">
        <v>Nothing</v>
      </c>
      <c r="CT1785" s="61"/>
      <c r="CU1785" s="45">
        <v>1781</v>
      </c>
      <c r="CV1785" s="45">
        <v>23.409537959429969</v>
      </c>
      <c r="CW1785" s="45" t="str">
        <v>Invest</v>
      </c>
      <c r="CX1785" s="61"/>
      <c r="CY1785" s="45">
        <v>1781</v>
      </c>
      <c r="CZ1785" s="45">
        <v>37.061079000216857</v>
      </c>
      <c r="DA1785" s="45" t="str">
        <v>Invest</v>
      </c>
      <c r="DU1785" s="52"/>
      <c r="DV1785" s="50"/>
    </row>
    <row r="1786" spans="91:126" ht="23.5">
      <c r="CM1786" s="45">
        <v>1782</v>
      </c>
      <c r="CN1786" s="48">
        <v>3.3232485166850427</v>
      </c>
      <c r="CO1786" s="45" t="str">
        <v>Invest</v>
      </c>
      <c r="CP1786" s="61"/>
      <c r="CQ1786" s="45">
        <v>1782</v>
      </c>
      <c r="CR1786" s="45">
        <v>33.08116416571368</v>
      </c>
      <c r="CS1786" s="45" t="str">
        <v>Invest</v>
      </c>
      <c r="CT1786" s="61"/>
      <c r="CU1786" s="45">
        <v>1782</v>
      </c>
      <c r="CV1786" s="45">
        <v>7.8597327005192863</v>
      </c>
      <c r="CW1786" s="45" t="str">
        <v>Invest</v>
      </c>
      <c r="CX1786" s="61"/>
      <c r="CY1786" s="45">
        <v>1782</v>
      </c>
      <c r="CZ1786" s="45">
        <v>0</v>
      </c>
      <c r="DA1786" s="45" t="str">
        <v>Nothing</v>
      </c>
      <c r="DU1786" s="52"/>
      <c r="DV1786" s="50"/>
    </row>
    <row r="1787" spans="91:126" ht="23.5">
      <c r="CM1787" s="45">
        <v>1783</v>
      </c>
      <c r="CN1787" s="48">
        <v>0</v>
      </c>
      <c r="CO1787" s="45" t="str">
        <v>Nothing</v>
      </c>
      <c r="CP1787" s="61"/>
      <c r="CQ1787" s="45">
        <v>1783</v>
      </c>
      <c r="CR1787" s="45">
        <v>5.5188565070623703</v>
      </c>
      <c r="CS1787" s="45" t="str">
        <v>Invest</v>
      </c>
      <c r="CT1787" s="61"/>
      <c r="CU1787" s="45">
        <v>1783</v>
      </c>
      <c r="CV1787" s="45">
        <v>23.682147603197304</v>
      </c>
      <c r="CW1787" s="45" t="str">
        <v>Invest</v>
      </c>
      <c r="CX1787" s="61"/>
      <c r="CY1787" s="45">
        <v>1783</v>
      </c>
      <c r="CZ1787" s="45">
        <v>0</v>
      </c>
      <c r="DA1787" s="45" t="str">
        <v>Nothing</v>
      </c>
      <c r="DU1787" s="52"/>
      <c r="DV1787" s="50"/>
    </row>
    <row r="1788" spans="91:126" ht="23.5">
      <c r="CM1788" s="45">
        <v>1784</v>
      </c>
      <c r="CN1788" s="48">
        <v>0</v>
      </c>
      <c r="CO1788" s="45" t="str">
        <v>Nothing</v>
      </c>
      <c r="CP1788" s="61"/>
      <c r="CQ1788" s="45">
        <v>1784</v>
      </c>
      <c r="CR1788" s="45">
        <v>35.928372671561881</v>
      </c>
      <c r="CS1788" s="45" t="str">
        <v>Invest</v>
      </c>
      <c r="CT1788" s="61"/>
      <c r="CU1788" s="45">
        <v>1784</v>
      </c>
      <c r="CV1788" s="45">
        <v>7.3773888905902965</v>
      </c>
      <c r="CW1788" s="45" t="str">
        <v>Invest</v>
      </c>
      <c r="CX1788" s="61"/>
      <c r="CY1788" s="45">
        <v>1784</v>
      </c>
      <c r="CZ1788" s="45">
        <v>5.6280373868497016</v>
      </c>
      <c r="DA1788" s="45" t="str">
        <v>Invest</v>
      </c>
      <c r="DU1788" s="52"/>
      <c r="DV1788" s="50"/>
    </row>
    <row r="1789" spans="91:126" ht="23.5">
      <c r="CM1789" s="45">
        <v>1785</v>
      </c>
      <c r="CN1789" s="48">
        <v>28.094029955296833</v>
      </c>
      <c r="CO1789" s="45" t="str">
        <v>Invest</v>
      </c>
      <c r="CP1789" s="61"/>
      <c r="CQ1789" s="45">
        <v>1785</v>
      </c>
      <c r="CR1789" s="45">
        <v>0</v>
      </c>
      <c r="CS1789" s="45" t="str">
        <v>Nothing</v>
      </c>
      <c r="CT1789" s="61"/>
      <c r="CU1789" s="45">
        <v>1785</v>
      </c>
      <c r="CV1789" s="45">
        <v>0.93311540213767685</v>
      </c>
      <c r="CW1789" s="45" t="str">
        <v>Invest</v>
      </c>
      <c r="CX1789" s="61"/>
      <c r="CY1789" s="45">
        <v>1785</v>
      </c>
      <c r="CZ1789" s="45">
        <v>39.587914773096337</v>
      </c>
      <c r="DA1789" s="45" t="str">
        <v>Invest</v>
      </c>
      <c r="DU1789" s="52"/>
      <c r="DV1789" s="50"/>
    </row>
    <row r="1790" spans="91:126" ht="23.5">
      <c r="CM1790" s="45">
        <v>1786</v>
      </c>
      <c r="CN1790" s="48">
        <v>16.70247725498119</v>
      </c>
      <c r="CO1790" s="45" t="str">
        <v>Invest</v>
      </c>
      <c r="CP1790" s="61"/>
      <c r="CQ1790" s="45">
        <v>1786</v>
      </c>
      <c r="CR1790" s="45">
        <v>31.201319808737637</v>
      </c>
      <c r="CS1790" s="45" t="str">
        <v>Invest</v>
      </c>
      <c r="CT1790" s="61"/>
      <c r="CU1790" s="45">
        <v>1786</v>
      </c>
      <c r="CV1790" s="45">
        <v>0</v>
      </c>
      <c r="CW1790" s="45" t="str">
        <v>Nothing</v>
      </c>
      <c r="CX1790" s="61"/>
      <c r="CY1790" s="45">
        <v>1786</v>
      </c>
      <c r="CZ1790" s="45">
        <v>0</v>
      </c>
      <c r="DA1790" s="45" t="str">
        <v>Nothing</v>
      </c>
      <c r="DU1790" s="52"/>
      <c r="DV1790" s="50"/>
    </row>
    <row r="1791" spans="91:126" ht="23.5">
      <c r="CM1791" s="45">
        <v>1787</v>
      </c>
      <c r="CN1791" s="48">
        <v>15.473822156660184</v>
      </c>
      <c r="CO1791" s="45" t="str">
        <v>Invest</v>
      </c>
      <c r="CP1791" s="61"/>
      <c r="CQ1791" s="45">
        <v>1787</v>
      </c>
      <c r="CR1791" s="45">
        <v>0</v>
      </c>
      <c r="CS1791" s="45" t="str">
        <v>Nothing</v>
      </c>
      <c r="CT1791" s="61"/>
      <c r="CU1791" s="45">
        <v>1787</v>
      </c>
      <c r="CV1791" s="45">
        <v>17.652042581168878</v>
      </c>
      <c r="CW1791" s="45" t="str">
        <v>Invest</v>
      </c>
      <c r="CX1791" s="61"/>
      <c r="CY1791" s="45">
        <v>1787</v>
      </c>
      <c r="CZ1791" s="45">
        <v>1.2819922914127098</v>
      </c>
      <c r="DA1791" s="45" t="str">
        <v>Invest</v>
      </c>
      <c r="DU1791" s="52"/>
      <c r="DV1791" s="50"/>
    </row>
    <row r="1792" spans="91:126" ht="23.5">
      <c r="CM1792" s="45">
        <v>1788</v>
      </c>
      <c r="CN1792" s="48">
        <v>32.164038838516568</v>
      </c>
      <c r="CO1792" s="45" t="str">
        <v>Invest</v>
      </c>
      <c r="CP1792" s="61"/>
      <c r="CQ1792" s="45">
        <v>1788</v>
      </c>
      <c r="CR1792" s="45">
        <v>18.372137840829506</v>
      </c>
      <c r="CS1792" s="45" t="str">
        <v>Invest</v>
      </c>
      <c r="CT1792" s="61"/>
      <c r="CU1792" s="45">
        <v>1788</v>
      </c>
      <c r="CV1792" s="45">
        <v>11.994742220332654</v>
      </c>
      <c r="CW1792" s="45" t="str">
        <v>Invest</v>
      </c>
      <c r="CX1792" s="61"/>
      <c r="CY1792" s="45">
        <v>1788</v>
      </c>
      <c r="CZ1792" s="45">
        <v>0</v>
      </c>
      <c r="DA1792" s="45" t="str">
        <v>Nothing</v>
      </c>
      <c r="DU1792" s="52"/>
      <c r="DV1792" s="50"/>
    </row>
    <row r="1793" spans="91:126" ht="23.5">
      <c r="CM1793" s="45">
        <v>1789</v>
      </c>
      <c r="CN1793" s="48">
        <v>13.510324397472379</v>
      </c>
      <c r="CO1793" s="45" t="str">
        <v>Invest</v>
      </c>
      <c r="CP1793" s="61"/>
      <c r="CQ1793" s="45">
        <v>1789</v>
      </c>
      <c r="CR1793" s="45">
        <v>0</v>
      </c>
      <c r="CS1793" s="45" t="str">
        <v>Nothing</v>
      </c>
      <c r="CT1793" s="61"/>
      <c r="CU1793" s="45">
        <v>1789</v>
      </c>
      <c r="CV1793" s="45">
        <v>41.464709938772486</v>
      </c>
      <c r="CW1793" s="45" t="str">
        <v>Invest</v>
      </c>
      <c r="CX1793" s="61"/>
      <c r="CY1793" s="45">
        <v>1789</v>
      </c>
      <c r="CZ1793" s="45">
        <v>9.582562746733327</v>
      </c>
      <c r="DA1793" s="45" t="str">
        <v>Invest</v>
      </c>
      <c r="DU1793" s="52"/>
      <c r="DV1793" s="50"/>
    </row>
    <row r="1794" spans="91:126" ht="23.5">
      <c r="CM1794" s="45">
        <v>1790</v>
      </c>
      <c r="CN1794" s="48">
        <v>0</v>
      </c>
      <c r="CO1794" s="45" t="str">
        <v>Nothing</v>
      </c>
      <c r="CP1794" s="61"/>
      <c r="CQ1794" s="45">
        <v>1790</v>
      </c>
      <c r="CR1794" s="45">
        <v>41.249951696464024</v>
      </c>
      <c r="CS1794" s="45" t="str">
        <v>Invest</v>
      </c>
      <c r="CT1794" s="61"/>
      <c r="CU1794" s="45">
        <v>1790</v>
      </c>
      <c r="CV1794" s="45">
        <v>18.78900609371636</v>
      </c>
      <c r="CW1794" s="45" t="str">
        <v>Invest</v>
      </c>
      <c r="CX1794" s="61"/>
      <c r="CY1794" s="45">
        <v>1790</v>
      </c>
      <c r="CZ1794" s="45">
        <v>0</v>
      </c>
      <c r="DA1794" s="45" t="str">
        <v>Nothing</v>
      </c>
      <c r="DU1794" s="52"/>
      <c r="DV1794" s="50"/>
    </row>
    <row r="1795" spans="91:126" ht="23.5">
      <c r="CM1795" s="45">
        <v>1791</v>
      </c>
      <c r="CN1795" s="48">
        <v>32.040784234932801</v>
      </c>
      <c r="CO1795" s="45" t="str">
        <v>Invest</v>
      </c>
      <c r="CP1795" s="61"/>
      <c r="CQ1795" s="45">
        <v>1791</v>
      </c>
      <c r="CR1795" s="45">
        <v>13.970292219205952</v>
      </c>
      <c r="CS1795" s="45" t="str">
        <v>Invest</v>
      </c>
      <c r="CT1795" s="61"/>
      <c r="CU1795" s="45">
        <v>1791</v>
      </c>
      <c r="CV1795" s="45">
        <v>47.307867252690031</v>
      </c>
      <c r="CW1795" s="45" t="str">
        <v>Invest</v>
      </c>
      <c r="CX1795" s="61"/>
      <c r="CY1795" s="45">
        <v>1791</v>
      </c>
      <c r="CZ1795" s="45">
        <v>0</v>
      </c>
      <c r="DA1795" s="45" t="str">
        <v>Nothing</v>
      </c>
      <c r="DU1795" s="52"/>
      <c r="DV1795" s="50"/>
    </row>
    <row r="1796" spans="91:126" ht="23.5">
      <c r="CM1796" s="45">
        <v>1792</v>
      </c>
      <c r="CN1796" s="48">
        <v>24.586525839834515</v>
      </c>
      <c r="CO1796" s="45" t="str">
        <v>Invest</v>
      </c>
      <c r="CP1796" s="61"/>
      <c r="CQ1796" s="45">
        <v>1792</v>
      </c>
      <c r="CR1796" s="45">
        <v>0</v>
      </c>
      <c r="CS1796" s="45" t="str">
        <v>Nothing</v>
      </c>
      <c r="CT1796" s="61"/>
      <c r="CU1796" s="45">
        <v>1792</v>
      </c>
      <c r="CV1796" s="45">
        <v>16.962254903862632</v>
      </c>
      <c r="CW1796" s="45" t="str">
        <v>Invest</v>
      </c>
      <c r="CX1796" s="61"/>
      <c r="CY1796" s="45">
        <v>1792</v>
      </c>
      <c r="CZ1796" s="45">
        <v>7.3570566043194958</v>
      </c>
      <c r="DA1796" s="45" t="str">
        <v>Invest</v>
      </c>
      <c r="DU1796" s="52"/>
      <c r="DV1796" s="50"/>
    </row>
    <row r="1797" spans="91:126" ht="23.5">
      <c r="CM1797" s="45">
        <v>1793</v>
      </c>
      <c r="CN1797" s="48">
        <v>16.681493749598182</v>
      </c>
      <c r="CO1797" s="45" t="str">
        <v>Invest</v>
      </c>
      <c r="CP1797" s="61"/>
      <c r="CQ1797" s="45">
        <v>1793</v>
      </c>
      <c r="CR1797" s="45">
        <v>43.304481679200244</v>
      </c>
      <c r="CS1797" s="45" t="str">
        <v>Invest</v>
      </c>
      <c r="CT1797" s="61"/>
      <c r="CU1797" s="45">
        <v>1793</v>
      </c>
      <c r="CV1797" s="45">
        <v>19.959065698835449</v>
      </c>
      <c r="CW1797" s="45" t="str">
        <v>Invest</v>
      </c>
      <c r="CX1797" s="61"/>
      <c r="CY1797" s="45">
        <v>1793</v>
      </c>
      <c r="CZ1797" s="45">
        <v>14.175016734784123</v>
      </c>
      <c r="DA1797" s="45" t="str">
        <v>Invest</v>
      </c>
      <c r="DU1797" s="52"/>
      <c r="DV1797" s="50"/>
    </row>
    <row r="1798" spans="91:126" ht="23.5">
      <c r="CM1798" s="45">
        <v>1794</v>
      </c>
      <c r="CN1798" s="48">
        <v>29.964044375184891</v>
      </c>
      <c r="CO1798" s="45" t="str">
        <v>Invest</v>
      </c>
      <c r="CP1798" s="61"/>
      <c r="CQ1798" s="45">
        <v>1794</v>
      </c>
      <c r="CR1798" s="45">
        <v>0</v>
      </c>
      <c r="CS1798" s="45" t="str">
        <v>Nothing</v>
      </c>
      <c r="CT1798" s="61"/>
      <c r="CU1798" s="45">
        <v>1794</v>
      </c>
      <c r="CV1798" s="45">
        <v>18.673260294694572</v>
      </c>
      <c r="CW1798" s="45" t="str">
        <v>Invest</v>
      </c>
      <c r="CX1798" s="61"/>
      <c r="CY1798" s="45">
        <v>1794</v>
      </c>
      <c r="CZ1798" s="45">
        <v>8.7858070308304939</v>
      </c>
      <c r="DA1798" s="45" t="str">
        <v>Invest</v>
      </c>
      <c r="DU1798" s="52"/>
      <c r="DV1798" s="50"/>
    </row>
    <row r="1799" spans="91:126" ht="23.5">
      <c r="CM1799" s="45">
        <v>1795</v>
      </c>
      <c r="CN1799" s="48">
        <v>3.8321484892179356</v>
      </c>
      <c r="CO1799" s="45" t="str">
        <v>Invest</v>
      </c>
      <c r="CP1799" s="61"/>
      <c r="CQ1799" s="45">
        <v>1795</v>
      </c>
      <c r="CR1799" s="45">
        <v>18.41363014985637</v>
      </c>
      <c r="CS1799" s="45" t="str">
        <v>Invest</v>
      </c>
      <c r="CT1799" s="61"/>
      <c r="CU1799" s="45">
        <v>1795</v>
      </c>
      <c r="CV1799" s="45">
        <v>30.827222823805748</v>
      </c>
      <c r="CW1799" s="45" t="str">
        <v>Invest</v>
      </c>
      <c r="CX1799" s="61"/>
      <c r="CY1799" s="45">
        <v>1795</v>
      </c>
      <c r="CZ1799" s="45">
        <v>30.408850834647545</v>
      </c>
      <c r="DA1799" s="45" t="str">
        <v>Invest</v>
      </c>
      <c r="DU1799" s="52"/>
      <c r="DV1799" s="50"/>
    </row>
    <row r="1800" spans="91:126" ht="23.5">
      <c r="CM1800" s="45">
        <v>1796</v>
      </c>
      <c r="CN1800" s="48">
        <v>36.058128284093385</v>
      </c>
      <c r="CO1800" s="45" t="str">
        <v>Invest</v>
      </c>
      <c r="CP1800" s="61"/>
      <c r="CQ1800" s="45">
        <v>1796</v>
      </c>
      <c r="CR1800" s="45">
        <v>7.1022526206272794</v>
      </c>
      <c r="CS1800" s="45" t="str">
        <v>Invest</v>
      </c>
      <c r="CT1800" s="61"/>
      <c r="CU1800" s="45">
        <v>1796</v>
      </c>
      <c r="CV1800" s="45">
        <v>18.917955622900678</v>
      </c>
      <c r="CW1800" s="45" t="str">
        <v>Invest</v>
      </c>
      <c r="CX1800" s="61"/>
      <c r="CY1800" s="45">
        <v>1796</v>
      </c>
      <c r="CZ1800" s="45">
        <v>0</v>
      </c>
      <c r="DA1800" s="45" t="str">
        <v>Nothing</v>
      </c>
      <c r="DU1800" s="52"/>
      <c r="DV1800" s="50"/>
    </row>
    <row r="1801" spans="91:126" ht="23.5">
      <c r="CM1801" s="45">
        <v>1797</v>
      </c>
      <c r="CN1801" s="48">
        <v>36.455631157458512</v>
      </c>
      <c r="CO1801" s="45" t="str">
        <v>Invest</v>
      </c>
      <c r="CP1801" s="61"/>
      <c r="CQ1801" s="45">
        <v>1797</v>
      </c>
      <c r="CR1801" s="45">
        <v>1.685779387198572</v>
      </c>
      <c r="CS1801" s="45" t="str">
        <v>Invest</v>
      </c>
      <c r="CT1801" s="61"/>
      <c r="CU1801" s="45">
        <v>1797</v>
      </c>
      <c r="CV1801" s="45">
        <v>37.182989219312418</v>
      </c>
      <c r="CW1801" s="45" t="str">
        <v>Invest</v>
      </c>
      <c r="CX1801" s="61"/>
      <c r="CY1801" s="45">
        <v>1797</v>
      </c>
      <c r="CZ1801" s="45">
        <v>48.171958423888917</v>
      </c>
      <c r="DA1801" s="45" t="str">
        <v>Invest</v>
      </c>
      <c r="DU1801" s="52"/>
      <c r="DV1801" s="50"/>
    </row>
    <row r="1802" spans="91:126" ht="23.5">
      <c r="CM1802" s="45">
        <v>1798</v>
      </c>
      <c r="CN1802" s="48">
        <v>15.099101103961155</v>
      </c>
      <c r="CO1802" s="45" t="str">
        <v>Invest</v>
      </c>
      <c r="CP1802" s="61"/>
      <c r="CQ1802" s="45">
        <v>1798</v>
      </c>
      <c r="CR1802" s="45">
        <v>13.844063454202189</v>
      </c>
      <c r="CS1802" s="45" t="str">
        <v>Invest</v>
      </c>
      <c r="CT1802" s="61"/>
      <c r="CU1802" s="45">
        <v>1798</v>
      </c>
      <c r="CV1802" s="45">
        <v>28.403088493244645</v>
      </c>
      <c r="CW1802" s="45" t="str">
        <v>Invest</v>
      </c>
      <c r="CX1802" s="61"/>
      <c r="CY1802" s="45">
        <v>1798</v>
      </c>
      <c r="CZ1802" s="45">
        <v>0</v>
      </c>
      <c r="DA1802" s="45" t="str">
        <v>Nothing</v>
      </c>
      <c r="DU1802" s="52"/>
      <c r="DV1802" s="50"/>
    </row>
    <row r="1803" spans="91:126" ht="23.5">
      <c r="CM1803" s="45">
        <v>1799</v>
      </c>
      <c r="CN1803" s="48">
        <v>23.052190484373899</v>
      </c>
      <c r="CO1803" s="45" t="str">
        <v>Invest</v>
      </c>
      <c r="CP1803" s="61"/>
      <c r="CQ1803" s="45">
        <v>1799</v>
      </c>
      <c r="CR1803" s="45">
        <v>42.753391248190766</v>
      </c>
      <c r="CS1803" s="45" t="str">
        <v>Invest</v>
      </c>
      <c r="CT1803" s="61"/>
      <c r="CU1803" s="45">
        <v>1799</v>
      </c>
      <c r="CV1803" s="45">
        <v>7.653026117328853</v>
      </c>
      <c r="CW1803" s="45" t="str">
        <v>Invest</v>
      </c>
      <c r="CX1803" s="61"/>
      <c r="CY1803" s="45">
        <v>1799</v>
      </c>
      <c r="CZ1803" s="45">
        <v>30.263454248040414</v>
      </c>
      <c r="DA1803" s="45" t="str">
        <v>Invest</v>
      </c>
      <c r="DU1803" s="52"/>
      <c r="DV1803" s="50"/>
    </row>
    <row r="1804" spans="91:126" ht="23.5">
      <c r="CM1804" s="45">
        <v>1800</v>
      </c>
      <c r="CN1804" s="48">
        <v>0</v>
      </c>
      <c r="CO1804" s="45" t="str">
        <v>Nothing</v>
      </c>
      <c r="CP1804" s="61"/>
      <c r="CQ1804" s="45">
        <v>1800</v>
      </c>
      <c r="CR1804" s="45">
        <v>0</v>
      </c>
      <c r="CS1804" s="45" t="str">
        <v>Nothing</v>
      </c>
      <c r="CT1804" s="61"/>
      <c r="CU1804" s="45">
        <v>1800</v>
      </c>
      <c r="CV1804" s="45">
        <v>0</v>
      </c>
      <c r="CW1804" s="45" t="str">
        <v>Nothing</v>
      </c>
      <c r="CX1804" s="61"/>
      <c r="CY1804" s="45">
        <v>1800</v>
      </c>
      <c r="CZ1804" s="45">
        <v>27.16452091241273</v>
      </c>
      <c r="DA1804" s="45" t="str">
        <v>Invest</v>
      </c>
      <c r="DU1804" s="52"/>
      <c r="DV1804" s="50"/>
    </row>
    <row r="1805" spans="91:126" ht="23.5">
      <c r="CM1805" s="45">
        <v>1801</v>
      </c>
      <c r="CN1805" s="48">
        <v>56.946144243326039</v>
      </c>
      <c r="CO1805" s="45" t="str">
        <v>Invest</v>
      </c>
      <c r="CP1805" s="61"/>
      <c r="CQ1805" s="45">
        <v>1801</v>
      </c>
      <c r="CR1805" s="45">
        <v>0</v>
      </c>
      <c r="CS1805" s="45" t="str">
        <v>Nothing</v>
      </c>
      <c r="CT1805" s="61"/>
      <c r="CU1805" s="45">
        <v>1801</v>
      </c>
      <c r="CV1805" s="45">
        <v>38.176830673176077</v>
      </c>
      <c r="CW1805" s="45" t="str">
        <v>Invest</v>
      </c>
      <c r="CX1805" s="61"/>
      <c r="CY1805" s="45">
        <v>1801</v>
      </c>
      <c r="CZ1805" s="45">
        <v>14.959054948764837</v>
      </c>
      <c r="DA1805" s="45" t="str">
        <v>Invest</v>
      </c>
      <c r="DU1805" s="52"/>
      <c r="DV1805" s="50"/>
    </row>
    <row r="1806" spans="91:126" ht="23.5">
      <c r="CM1806" s="45">
        <v>1802</v>
      </c>
      <c r="CN1806" s="48">
        <v>36.863462493617995</v>
      </c>
      <c r="CO1806" s="45" t="str">
        <v>Invest</v>
      </c>
      <c r="CP1806" s="61"/>
      <c r="CQ1806" s="45">
        <v>1802</v>
      </c>
      <c r="CR1806" s="45">
        <v>0</v>
      </c>
      <c r="CS1806" s="45" t="str">
        <v>Nothing</v>
      </c>
      <c r="CT1806" s="61"/>
      <c r="CU1806" s="45">
        <v>1802</v>
      </c>
      <c r="CV1806" s="45">
        <v>26.864407467718078</v>
      </c>
      <c r="CW1806" s="45" t="str">
        <v>Invest</v>
      </c>
      <c r="CX1806" s="61"/>
      <c r="CY1806" s="45">
        <v>1802</v>
      </c>
      <c r="CZ1806" s="45">
        <v>23.696304078535753</v>
      </c>
      <c r="DA1806" s="45" t="str">
        <v>Invest</v>
      </c>
      <c r="DU1806" s="52"/>
      <c r="DV1806" s="50"/>
    </row>
    <row r="1807" spans="91:126" ht="23.5">
      <c r="CM1807" s="45">
        <v>1803</v>
      </c>
      <c r="CN1807" s="48">
        <v>0</v>
      </c>
      <c r="CO1807" s="45" t="str">
        <v>Nothing</v>
      </c>
      <c r="CP1807" s="61"/>
      <c r="CQ1807" s="45">
        <v>1803</v>
      </c>
      <c r="CR1807" s="45">
        <v>39.089692524428898</v>
      </c>
      <c r="CS1807" s="45" t="str">
        <v>Invest</v>
      </c>
      <c r="CT1807" s="61"/>
      <c r="CU1807" s="45">
        <v>1803</v>
      </c>
      <c r="CV1807" s="45">
        <v>26.200794725571299</v>
      </c>
      <c r="CW1807" s="45" t="str">
        <v>Invest</v>
      </c>
      <c r="CX1807" s="61"/>
      <c r="CY1807" s="45">
        <v>1803</v>
      </c>
      <c r="CZ1807" s="45">
        <v>16.714364847960127</v>
      </c>
      <c r="DA1807" s="45" t="str">
        <v>Invest</v>
      </c>
      <c r="DU1807" s="52"/>
      <c r="DV1807" s="50"/>
    </row>
    <row r="1808" spans="91:126" ht="23.5">
      <c r="CM1808" s="45">
        <v>1804</v>
      </c>
      <c r="CN1808" s="48">
        <v>50.970361052189169</v>
      </c>
      <c r="CO1808" s="45" t="str">
        <v>Invest</v>
      </c>
      <c r="CP1808" s="61"/>
      <c r="CQ1808" s="45">
        <v>1804</v>
      </c>
      <c r="CR1808" s="45">
        <v>6.8805526303846705</v>
      </c>
      <c r="CS1808" s="45" t="str">
        <v>Invest</v>
      </c>
      <c r="CT1808" s="61"/>
      <c r="CU1808" s="45">
        <v>1804</v>
      </c>
      <c r="CV1808" s="45">
        <v>0</v>
      </c>
      <c r="CW1808" s="45" t="str">
        <v>Nothing</v>
      </c>
      <c r="CX1808" s="61"/>
      <c r="CY1808" s="45">
        <v>1804</v>
      </c>
      <c r="CZ1808" s="45">
        <v>27.154685891556056</v>
      </c>
      <c r="DA1808" s="45" t="str">
        <v>Invest</v>
      </c>
      <c r="DU1808" s="52"/>
      <c r="DV1808" s="50"/>
    </row>
    <row r="1809" spans="91:126" ht="23.5">
      <c r="CM1809" s="45">
        <v>1805</v>
      </c>
      <c r="CN1809" s="48">
        <v>54.238600918119602</v>
      </c>
      <c r="CO1809" s="45" t="str">
        <v>Invest</v>
      </c>
      <c r="CP1809" s="61"/>
      <c r="CQ1809" s="45">
        <v>1805</v>
      </c>
      <c r="CR1809" s="45">
        <v>2.9785998744918096</v>
      </c>
      <c r="CS1809" s="45" t="str">
        <v>Invest</v>
      </c>
      <c r="CT1809" s="61"/>
      <c r="CU1809" s="45">
        <v>1805</v>
      </c>
      <c r="CV1809" s="45">
        <v>0</v>
      </c>
      <c r="CW1809" s="45" t="str">
        <v>Nothing</v>
      </c>
      <c r="CX1809" s="61"/>
      <c r="CY1809" s="45">
        <v>1805</v>
      </c>
      <c r="CZ1809" s="45">
        <v>0</v>
      </c>
      <c r="DA1809" s="45" t="str">
        <v>Nothing</v>
      </c>
      <c r="DU1809" s="52"/>
      <c r="DV1809" s="50"/>
    </row>
    <row r="1810" spans="91:126" ht="23.5">
      <c r="CM1810" s="45">
        <v>1806</v>
      </c>
      <c r="CN1810" s="48">
        <v>0</v>
      </c>
      <c r="CO1810" s="45" t="str">
        <v>Nothing</v>
      </c>
      <c r="CP1810" s="61"/>
      <c r="CQ1810" s="45">
        <v>1806</v>
      </c>
      <c r="CR1810" s="45">
        <v>33.755336465216956</v>
      </c>
      <c r="CS1810" s="45" t="str">
        <v>Invest</v>
      </c>
      <c r="CT1810" s="61"/>
      <c r="CU1810" s="45">
        <v>1806</v>
      </c>
      <c r="CV1810" s="45">
        <v>0</v>
      </c>
      <c r="CW1810" s="45" t="str">
        <v>Nothing</v>
      </c>
      <c r="CX1810" s="61"/>
      <c r="CY1810" s="45">
        <v>1806</v>
      </c>
      <c r="CZ1810" s="45">
        <v>11.095482776805314</v>
      </c>
      <c r="DA1810" s="45" t="str">
        <v>Invest</v>
      </c>
      <c r="DU1810" s="52"/>
      <c r="DV1810" s="50"/>
    </row>
    <row r="1811" spans="91:126" ht="23.5">
      <c r="CM1811" s="45">
        <v>1807</v>
      </c>
      <c r="CN1811" s="48">
        <v>19.230382405655526</v>
      </c>
      <c r="CO1811" s="45" t="str">
        <v>Invest</v>
      </c>
      <c r="CP1811" s="61"/>
      <c r="CQ1811" s="45">
        <v>1807</v>
      </c>
      <c r="CR1811" s="45">
        <v>6.8325400771026068</v>
      </c>
      <c r="CS1811" s="45" t="str">
        <v>Invest</v>
      </c>
      <c r="CT1811" s="61"/>
      <c r="CU1811" s="45">
        <v>1807</v>
      </c>
      <c r="CV1811" s="45">
        <v>9.8808403098041317</v>
      </c>
      <c r="CW1811" s="45" t="str">
        <v>Invest</v>
      </c>
      <c r="CX1811" s="61"/>
      <c r="CY1811" s="45">
        <v>1807</v>
      </c>
      <c r="CZ1811" s="45">
        <v>0</v>
      </c>
      <c r="DA1811" s="45" t="str">
        <v>Nothing</v>
      </c>
      <c r="DU1811" s="52"/>
      <c r="DV1811" s="50"/>
    </row>
    <row r="1812" spans="91:126" ht="23.5">
      <c r="CM1812" s="45">
        <v>1808</v>
      </c>
      <c r="CN1812" s="48">
        <v>30.070509171780529</v>
      </c>
      <c r="CO1812" s="45" t="str">
        <v>Invest</v>
      </c>
      <c r="CP1812" s="61"/>
      <c r="CQ1812" s="45">
        <v>1808</v>
      </c>
      <c r="CR1812" s="45">
        <v>1.0542587003810864</v>
      </c>
      <c r="CS1812" s="45" t="str">
        <v>Invest</v>
      </c>
      <c r="CT1812" s="61"/>
      <c r="CU1812" s="45">
        <v>1808</v>
      </c>
      <c r="CV1812" s="45">
        <v>20.541553170860919</v>
      </c>
      <c r="CW1812" s="45" t="str">
        <v>Invest</v>
      </c>
      <c r="CX1812" s="61"/>
      <c r="CY1812" s="45">
        <v>1808</v>
      </c>
      <c r="CZ1812" s="45">
        <v>17.052235571878978</v>
      </c>
      <c r="DA1812" s="45" t="str">
        <v>Invest</v>
      </c>
      <c r="DU1812" s="52"/>
      <c r="DV1812" s="50"/>
    </row>
    <row r="1813" spans="91:126" ht="23.5">
      <c r="CM1813" s="45">
        <v>1809</v>
      </c>
      <c r="CN1813" s="48">
        <v>44.080072747836027</v>
      </c>
      <c r="CO1813" s="45" t="str">
        <v>Invest</v>
      </c>
      <c r="CP1813" s="61"/>
      <c r="CQ1813" s="45">
        <v>1809</v>
      </c>
      <c r="CR1813" s="45">
        <v>14.026089889217577</v>
      </c>
      <c r="CS1813" s="45" t="str">
        <v>Invest</v>
      </c>
      <c r="CT1813" s="61"/>
      <c r="CU1813" s="45">
        <v>1809</v>
      </c>
      <c r="CV1813" s="45">
        <v>36.73637532605018</v>
      </c>
      <c r="CW1813" s="45" t="str">
        <v>Invest</v>
      </c>
      <c r="CX1813" s="61"/>
      <c r="CY1813" s="45">
        <v>1809</v>
      </c>
      <c r="CZ1813" s="45">
        <v>9.8510521603849046</v>
      </c>
      <c r="DA1813" s="45" t="str">
        <v>Invest</v>
      </c>
      <c r="DU1813" s="52"/>
      <c r="DV1813" s="50"/>
    </row>
    <row r="1814" spans="91:126" ht="23.5">
      <c r="CM1814" s="45">
        <v>1810</v>
      </c>
      <c r="CN1814" s="48">
        <v>60.235211467548481</v>
      </c>
      <c r="CO1814" s="45" t="str">
        <v>Invest</v>
      </c>
      <c r="CP1814" s="61"/>
      <c r="CQ1814" s="45">
        <v>1810</v>
      </c>
      <c r="CR1814" s="45">
        <v>55.345045087267245</v>
      </c>
      <c r="CS1814" s="45" t="str">
        <v>Invest</v>
      </c>
      <c r="CT1814" s="61"/>
      <c r="CU1814" s="45">
        <v>1810</v>
      </c>
      <c r="CV1814" s="45">
        <v>0</v>
      </c>
      <c r="CW1814" s="45" t="str">
        <v>Nothing</v>
      </c>
      <c r="CX1814" s="61"/>
      <c r="CY1814" s="45">
        <v>1810</v>
      </c>
      <c r="CZ1814" s="45">
        <v>0</v>
      </c>
      <c r="DA1814" s="45" t="str">
        <v>Nothing</v>
      </c>
      <c r="DU1814" s="52"/>
      <c r="DV1814" s="50"/>
    </row>
    <row r="1815" spans="91:126" ht="23.5">
      <c r="CM1815" s="45">
        <v>1811</v>
      </c>
      <c r="CN1815" s="48">
        <v>34.513216750631493</v>
      </c>
      <c r="CO1815" s="45" t="str">
        <v>Invest</v>
      </c>
      <c r="CP1815" s="61"/>
      <c r="CQ1815" s="45">
        <v>1811</v>
      </c>
      <c r="CR1815" s="45">
        <v>55.429298228070337</v>
      </c>
      <c r="CS1815" s="45" t="str">
        <v>Invest</v>
      </c>
      <c r="CT1815" s="61"/>
      <c r="CU1815" s="45">
        <v>1811</v>
      </c>
      <c r="CV1815" s="45">
        <v>0</v>
      </c>
      <c r="CW1815" s="45" t="str">
        <v>Nothing</v>
      </c>
      <c r="CX1815" s="61"/>
      <c r="CY1815" s="45">
        <v>1811</v>
      </c>
      <c r="CZ1815" s="45">
        <v>0.12476826596739521</v>
      </c>
      <c r="DA1815" s="45" t="str">
        <v>Invest</v>
      </c>
      <c r="DU1815" s="52"/>
      <c r="DV1815" s="50"/>
    </row>
    <row r="1816" spans="91:126" ht="23.5">
      <c r="CM1816" s="45">
        <v>1812</v>
      </c>
      <c r="CN1816" s="48">
        <v>0</v>
      </c>
      <c r="CO1816" s="45" t="str">
        <v>Nothing</v>
      </c>
      <c r="CP1816" s="61"/>
      <c r="CQ1816" s="45">
        <v>1812</v>
      </c>
      <c r="CR1816" s="45">
        <v>12.09539728361081</v>
      </c>
      <c r="CS1816" s="45" t="str">
        <v>Invest</v>
      </c>
      <c r="CT1816" s="61"/>
      <c r="CU1816" s="45">
        <v>1812</v>
      </c>
      <c r="CV1816" s="45">
        <v>0</v>
      </c>
      <c r="CW1816" s="45" t="str">
        <v>Nothing</v>
      </c>
      <c r="CX1816" s="61"/>
      <c r="CY1816" s="45">
        <v>1812</v>
      </c>
      <c r="CZ1816" s="45">
        <v>0</v>
      </c>
      <c r="DA1816" s="45" t="str">
        <v>Nothing</v>
      </c>
      <c r="DU1816" s="52"/>
      <c r="DV1816" s="50"/>
    </row>
    <row r="1817" spans="91:126" ht="23.5">
      <c r="CM1817" s="45">
        <v>1813</v>
      </c>
      <c r="CN1817" s="48">
        <v>12.307930751927596</v>
      </c>
      <c r="CO1817" s="45" t="str">
        <v>Invest</v>
      </c>
      <c r="CP1817" s="61"/>
      <c r="CQ1817" s="45">
        <v>1813</v>
      </c>
      <c r="CR1817" s="45">
        <v>0</v>
      </c>
      <c r="CS1817" s="45" t="str">
        <v>Nothing</v>
      </c>
      <c r="CT1817" s="61"/>
      <c r="CU1817" s="45">
        <v>1813</v>
      </c>
      <c r="CV1817" s="45">
        <v>23.400774783611112</v>
      </c>
      <c r="CW1817" s="45" t="str">
        <v>Invest</v>
      </c>
      <c r="CX1817" s="61"/>
      <c r="CY1817" s="45">
        <v>1813</v>
      </c>
      <c r="CZ1817" s="45">
        <v>17.05542521725469</v>
      </c>
      <c r="DA1817" s="45" t="str">
        <v>Invest</v>
      </c>
      <c r="DU1817" s="52"/>
      <c r="DV1817" s="50"/>
    </row>
    <row r="1818" spans="91:126" ht="23.5">
      <c r="CM1818" s="45">
        <v>1814</v>
      </c>
      <c r="CN1818" s="48">
        <v>18.016758644669732</v>
      </c>
      <c r="CO1818" s="45" t="str">
        <v>Invest</v>
      </c>
      <c r="CP1818" s="61"/>
      <c r="CQ1818" s="45">
        <v>1814</v>
      </c>
      <c r="CR1818" s="45">
        <v>0</v>
      </c>
      <c r="CS1818" s="45" t="str">
        <v>Nothing</v>
      </c>
      <c r="CT1818" s="61"/>
      <c r="CU1818" s="45">
        <v>1814</v>
      </c>
      <c r="CV1818" s="45">
        <v>0.38440753059966326</v>
      </c>
      <c r="CW1818" s="45" t="str">
        <v>Invest</v>
      </c>
      <c r="CX1818" s="61"/>
      <c r="CY1818" s="45">
        <v>1814</v>
      </c>
      <c r="CZ1818" s="45">
        <v>0</v>
      </c>
      <c r="DA1818" s="45" t="str">
        <v>Nothing</v>
      </c>
      <c r="DU1818" s="52"/>
      <c r="DV1818" s="50"/>
    </row>
    <row r="1819" spans="91:126" ht="23.5">
      <c r="CM1819" s="45">
        <v>1815</v>
      </c>
      <c r="CN1819" s="48">
        <v>0</v>
      </c>
      <c r="CO1819" s="45" t="str">
        <v>Nothing</v>
      </c>
      <c r="CP1819" s="61"/>
      <c r="CQ1819" s="45">
        <v>1815</v>
      </c>
      <c r="CR1819" s="45">
        <v>57.629022001092551</v>
      </c>
      <c r="CS1819" s="45" t="str">
        <v>Invest</v>
      </c>
      <c r="CT1819" s="61"/>
      <c r="CU1819" s="45">
        <v>1815</v>
      </c>
      <c r="CV1819" s="45">
        <v>9.6059414164571688</v>
      </c>
      <c r="CW1819" s="45" t="str">
        <v>Invest</v>
      </c>
      <c r="CX1819" s="61"/>
      <c r="CY1819" s="45">
        <v>1815</v>
      </c>
      <c r="CZ1819" s="45">
        <v>23.199212891309102</v>
      </c>
      <c r="DA1819" s="45" t="str">
        <v>Invest</v>
      </c>
      <c r="DU1819" s="52"/>
      <c r="DV1819" s="50"/>
    </row>
    <row r="1820" spans="91:126" ht="23.5">
      <c r="CM1820" s="45">
        <v>1816</v>
      </c>
      <c r="CN1820" s="48">
        <v>47.332175119031376</v>
      </c>
      <c r="CO1820" s="45" t="str">
        <v>Invest</v>
      </c>
      <c r="CP1820" s="61"/>
      <c r="CQ1820" s="45">
        <v>1816</v>
      </c>
      <c r="CR1820" s="45">
        <v>0</v>
      </c>
      <c r="CS1820" s="45" t="str">
        <v>Nothing</v>
      </c>
      <c r="CT1820" s="61"/>
      <c r="CU1820" s="45">
        <v>1816</v>
      </c>
      <c r="CV1820" s="45">
        <v>0</v>
      </c>
      <c r="CW1820" s="45" t="str">
        <v>Nothing</v>
      </c>
      <c r="CX1820" s="61"/>
      <c r="CY1820" s="45">
        <v>1816</v>
      </c>
      <c r="CZ1820" s="45">
        <v>1.3468964970481387</v>
      </c>
      <c r="DA1820" s="45" t="str">
        <v>Invest</v>
      </c>
      <c r="DU1820" s="52"/>
      <c r="DV1820" s="50"/>
    </row>
    <row r="1821" spans="91:126" ht="23.5">
      <c r="CM1821" s="45">
        <v>1817</v>
      </c>
      <c r="CN1821" s="48">
        <v>28.289304053530948</v>
      </c>
      <c r="CO1821" s="45" t="str">
        <v>Invest</v>
      </c>
      <c r="CP1821" s="61"/>
      <c r="CQ1821" s="45">
        <v>1817</v>
      </c>
      <c r="CR1821" s="45">
        <v>35.002743534715528</v>
      </c>
      <c r="CS1821" s="45" t="str">
        <v>Invest</v>
      </c>
      <c r="CT1821" s="61"/>
      <c r="CU1821" s="45">
        <v>1817</v>
      </c>
      <c r="CV1821" s="45">
        <v>38.252341125136979</v>
      </c>
      <c r="CW1821" s="45" t="str">
        <v>Invest</v>
      </c>
      <c r="CX1821" s="61"/>
      <c r="CY1821" s="45">
        <v>1817</v>
      </c>
      <c r="CZ1821" s="45">
        <v>2.5219428239342339</v>
      </c>
      <c r="DA1821" s="45" t="str">
        <v>Invest</v>
      </c>
      <c r="DU1821" s="52"/>
      <c r="DV1821" s="50"/>
    </row>
    <row r="1822" spans="91:126" ht="23.5">
      <c r="CM1822" s="45">
        <v>1818</v>
      </c>
      <c r="CN1822" s="48">
        <v>0</v>
      </c>
      <c r="CO1822" s="45" t="str">
        <v>Nothing</v>
      </c>
      <c r="CP1822" s="61"/>
      <c r="CQ1822" s="45">
        <v>1818</v>
      </c>
      <c r="CR1822" s="45">
        <v>39.643237390390709</v>
      </c>
      <c r="CS1822" s="45" t="str">
        <v>Invest</v>
      </c>
      <c r="CT1822" s="61"/>
      <c r="CU1822" s="45">
        <v>1818</v>
      </c>
      <c r="CV1822" s="45">
        <v>0</v>
      </c>
      <c r="CW1822" s="45" t="str">
        <v>Nothing</v>
      </c>
      <c r="CX1822" s="61"/>
      <c r="CY1822" s="45">
        <v>1818</v>
      </c>
      <c r="CZ1822" s="45">
        <v>40.213774025693077</v>
      </c>
      <c r="DA1822" s="45" t="str">
        <v>Invest</v>
      </c>
      <c r="DU1822" s="52"/>
      <c r="DV1822" s="50"/>
    </row>
    <row r="1823" spans="91:126" ht="23.5">
      <c r="CM1823" s="45">
        <v>1819</v>
      </c>
      <c r="CN1823" s="48">
        <v>6.7241301912559948</v>
      </c>
      <c r="CO1823" s="45" t="str">
        <v>Invest</v>
      </c>
      <c r="CP1823" s="61"/>
      <c r="CQ1823" s="45">
        <v>1819</v>
      </c>
      <c r="CR1823" s="45">
        <v>2.9790391144960937</v>
      </c>
      <c r="CS1823" s="45" t="str">
        <v>Invest</v>
      </c>
      <c r="CT1823" s="61"/>
      <c r="CU1823" s="45">
        <v>1819</v>
      </c>
      <c r="CV1823" s="45">
        <v>0</v>
      </c>
      <c r="CW1823" s="45" t="str">
        <v>Nothing</v>
      </c>
      <c r="CX1823" s="61"/>
      <c r="CY1823" s="45">
        <v>1819</v>
      </c>
      <c r="CZ1823" s="45">
        <v>0</v>
      </c>
      <c r="DA1823" s="45" t="str">
        <v>Nothing</v>
      </c>
      <c r="DU1823" s="52"/>
      <c r="DV1823" s="50"/>
    </row>
    <row r="1824" spans="91:126" ht="23.5">
      <c r="CM1824" s="45">
        <v>1820</v>
      </c>
      <c r="CN1824" s="48">
        <v>0</v>
      </c>
      <c r="CO1824" s="45" t="str">
        <v>Nothing</v>
      </c>
      <c r="CP1824" s="61"/>
      <c r="CQ1824" s="45">
        <v>1820</v>
      </c>
      <c r="CR1824" s="45">
        <v>43.910891098000363</v>
      </c>
      <c r="CS1824" s="45" t="str">
        <v>Invest</v>
      </c>
      <c r="CT1824" s="61"/>
      <c r="CU1824" s="45">
        <v>1820</v>
      </c>
      <c r="CV1824" s="45">
        <v>42.915916384364053</v>
      </c>
      <c r="CW1824" s="45" t="str">
        <v>Invest</v>
      </c>
      <c r="CX1824" s="61"/>
      <c r="CY1824" s="45">
        <v>1820</v>
      </c>
      <c r="CZ1824" s="45">
        <v>0</v>
      </c>
      <c r="DA1824" s="45" t="str">
        <v>Nothing</v>
      </c>
      <c r="DU1824" s="52"/>
      <c r="DV1824" s="50"/>
    </row>
    <row r="1825" spans="91:126" ht="23.5">
      <c r="CM1825" s="45">
        <v>1821</v>
      </c>
      <c r="CN1825" s="48">
        <v>9.7514732359124174</v>
      </c>
      <c r="CO1825" s="45" t="str">
        <v>Invest</v>
      </c>
      <c r="CP1825" s="61"/>
      <c r="CQ1825" s="45">
        <v>1821</v>
      </c>
      <c r="CR1825" s="45">
        <v>0</v>
      </c>
      <c r="CS1825" s="45" t="str">
        <v>Nothing</v>
      </c>
      <c r="CT1825" s="61"/>
      <c r="CU1825" s="45">
        <v>1821</v>
      </c>
      <c r="CV1825" s="45">
        <v>0</v>
      </c>
      <c r="CW1825" s="45" t="str">
        <v>Nothing</v>
      </c>
      <c r="CX1825" s="61"/>
      <c r="CY1825" s="45">
        <v>1821</v>
      </c>
      <c r="CZ1825" s="45">
        <v>25.101985667699413</v>
      </c>
      <c r="DA1825" s="45" t="str">
        <v>Invest</v>
      </c>
      <c r="DU1825" s="52"/>
      <c r="DV1825" s="50"/>
    </row>
    <row r="1826" spans="91:126" ht="23.5">
      <c r="CM1826" s="45">
        <v>1822</v>
      </c>
      <c r="CN1826" s="48">
        <v>0</v>
      </c>
      <c r="CO1826" s="45" t="str">
        <v>Nothing</v>
      </c>
      <c r="CP1826" s="61"/>
      <c r="CQ1826" s="45">
        <v>1822</v>
      </c>
      <c r="CR1826" s="45">
        <v>47.701693686122844</v>
      </c>
      <c r="CS1826" s="45" t="str">
        <v>Invest</v>
      </c>
      <c r="CT1826" s="61"/>
      <c r="CU1826" s="45">
        <v>1822</v>
      </c>
      <c r="CV1826" s="45">
        <v>14.361252784414937</v>
      </c>
      <c r="CW1826" s="45" t="str">
        <v>Invest</v>
      </c>
      <c r="CX1826" s="61"/>
      <c r="CY1826" s="45">
        <v>1822</v>
      </c>
      <c r="CZ1826" s="45">
        <v>0</v>
      </c>
      <c r="DA1826" s="45" t="str">
        <v>Nothing</v>
      </c>
      <c r="DU1826" s="52"/>
      <c r="DV1826" s="50"/>
    </row>
    <row r="1827" spans="91:126" ht="23.5">
      <c r="CM1827" s="45">
        <v>1823</v>
      </c>
      <c r="CN1827" s="48">
        <v>0</v>
      </c>
      <c r="CO1827" s="45" t="str">
        <v>Nothing</v>
      </c>
      <c r="CP1827" s="61"/>
      <c r="CQ1827" s="45">
        <v>1823</v>
      </c>
      <c r="CR1827" s="45">
        <v>10.317724836666809</v>
      </c>
      <c r="CS1827" s="45" t="str">
        <v>Invest</v>
      </c>
      <c r="CT1827" s="61"/>
      <c r="CU1827" s="45">
        <v>1823</v>
      </c>
      <c r="CV1827" s="45">
        <v>26.428441808857745</v>
      </c>
      <c r="CW1827" s="45" t="str">
        <v>Invest</v>
      </c>
      <c r="CX1827" s="61"/>
      <c r="CY1827" s="45">
        <v>1823</v>
      </c>
      <c r="CZ1827" s="45">
        <v>0</v>
      </c>
      <c r="DA1827" s="45" t="str">
        <v>Nothing</v>
      </c>
      <c r="DU1827" s="52"/>
      <c r="DV1827" s="50"/>
    </row>
    <row r="1828" spans="91:126" ht="23.5">
      <c r="CM1828" s="45">
        <v>1824</v>
      </c>
      <c r="CN1828" s="48">
        <v>2.4934290590986432</v>
      </c>
      <c r="CO1828" s="45" t="str">
        <v>Invest</v>
      </c>
      <c r="CP1828" s="61"/>
      <c r="CQ1828" s="45">
        <v>1824</v>
      </c>
      <c r="CR1828" s="45">
        <v>0</v>
      </c>
      <c r="CS1828" s="45" t="str">
        <v>Nothing</v>
      </c>
      <c r="CT1828" s="61"/>
      <c r="CU1828" s="45">
        <v>1824</v>
      </c>
      <c r="CV1828" s="45">
        <v>7.1980285469012166</v>
      </c>
      <c r="CW1828" s="45" t="str">
        <v>Invest</v>
      </c>
      <c r="CX1828" s="61"/>
      <c r="CY1828" s="45">
        <v>1824</v>
      </c>
      <c r="CZ1828" s="45">
        <v>0</v>
      </c>
      <c r="DA1828" s="45" t="str">
        <v>Nothing</v>
      </c>
      <c r="DU1828" s="52"/>
      <c r="DV1828" s="50"/>
    </row>
    <row r="1829" spans="91:126" ht="23.5">
      <c r="CM1829" s="45">
        <v>1825</v>
      </c>
      <c r="CN1829" s="48">
        <v>30.33200630403514</v>
      </c>
      <c r="CO1829" s="45" t="str">
        <v>Invest</v>
      </c>
      <c r="CP1829" s="61"/>
      <c r="CQ1829" s="45">
        <v>1825</v>
      </c>
      <c r="CR1829" s="45">
        <v>0</v>
      </c>
      <c r="CS1829" s="45" t="str">
        <v>Nothing</v>
      </c>
      <c r="CT1829" s="61"/>
      <c r="CU1829" s="45">
        <v>1825</v>
      </c>
      <c r="CV1829" s="45">
        <v>5.7236709112149207</v>
      </c>
      <c r="CW1829" s="45" t="str">
        <v>Invest</v>
      </c>
      <c r="CX1829" s="61"/>
      <c r="CY1829" s="45">
        <v>1825</v>
      </c>
      <c r="CZ1829" s="45">
        <v>22.687758223262193</v>
      </c>
      <c r="DA1829" s="45" t="str">
        <v>Invest</v>
      </c>
      <c r="DU1829" s="52"/>
      <c r="DV1829" s="50"/>
    </row>
    <row r="1830" spans="91:126" ht="23.5">
      <c r="CM1830" s="45">
        <v>1826</v>
      </c>
      <c r="CN1830" s="48">
        <v>58.656639508612585</v>
      </c>
      <c r="CO1830" s="45" t="str">
        <v>Invest</v>
      </c>
      <c r="CP1830" s="61"/>
      <c r="CQ1830" s="45">
        <v>1826</v>
      </c>
      <c r="CR1830" s="45">
        <v>39.243560370947122</v>
      </c>
      <c r="CS1830" s="45" t="str">
        <v>Invest</v>
      </c>
      <c r="CT1830" s="61"/>
      <c r="CU1830" s="45">
        <v>1826</v>
      </c>
      <c r="CV1830" s="45">
        <v>59.980451931576482</v>
      </c>
      <c r="CW1830" s="45" t="str">
        <v>Invest</v>
      </c>
      <c r="CX1830" s="61"/>
      <c r="CY1830" s="45">
        <v>1826</v>
      </c>
      <c r="CZ1830" s="45">
        <v>0.14532698945632561</v>
      </c>
      <c r="DA1830" s="45" t="str">
        <v>Invest</v>
      </c>
      <c r="DU1830" s="52"/>
      <c r="DV1830" s="50"/>
    </row>
    <row r="1831" spans="91:126" ht="23.5">
      <c r="CM1831" s="45">
        <v>1827</v>
      </c>
      <c r="CN1831" s="48">
        <v>0</v>
      </c>
      <c r="CO1831" s="45" t="str">
        <v>Nothing</v>
      </c>
      <c r="CP1831" s="61"/>
      <c r="CQ1831" s="45">
        <v>1827</v>
      </c>
      <c r="CR1831" s="45">
        <v>22.549736897824442</v>
      </c>
      <c r="CS1831" s="45" t="str">
        <v>Invest</v>
      </c>
      <c r="CT1831" s="61"/>
      <c r="CU1831" s="45">
        <v>1827</v>
      </c>
      <c r="CV1831" s="45">
        <v>0</v>
      </c>
      <c r="CW1831" s="45" t="str">
        <v>Nothing</v>
      </c>
      <c r="CX1831" s="61"/>
      <c r="CY1831" s="45">
        <v>1827</v>
      </c>
      <c r="CZ1831" s="45">
        <v>17.622206972752796</v>
      </c>
      <c r="DA1831" s="45" t="str">
        <v>Invest</v>
      </c>
      <c r="DU1831" s="52"/>
      <c r="DV1831" s="50"/>
    </row>
    <row r="1832" spans="91:126" ht="23.5">
      <c r="CM1832" s="45">
        <v>1828</v>
      </c>
      <c r="CN1832" s="48">
        <v>36.689790628558939</v>
      </c>
      <c r="CO1832" s="45" t="str">
        <v>Invest</v>
      </c>
      <c r="CP1832" s="61"/>
      <c r="CQ1832" s="45">
        <v>1828</v>
      </c>
      <c r="CR1832" s="45">
        <v>5.7549229458645019</v>
      </c>
      <c r="CS1832" s="45" t="str">
        <v>Invest</v>
      </c>
      <c r="CT1832" s="61"/>
      <c r="CU1832" s="45">
        <v>1828</v>
      </c>
      <c r="CV1832" s="45">
        <v>23.450540234212756</v>
      </c>
      <c r="CW1832" s="45" t="str">
        <v>Invest</v>
      </c>
      <c r="CX1832" s="61"/>
      <c r="CY1832" s="45">
        <v>1828</v>
      </c>
      <c r="CZ1832" s="45">
        <v>0</v>
      </c>
      <c r="DA1832" s="45" t="str">
        <v>Nothing</v>
      </c>
      <c r="DU1832" s="52"/>
      <c r="DV1832" s="50"/>
    </row>
    <row r="1833" spans="91:126" ht="23.5">
      <c r="CM1833" s="45">
        <v>1829</v>
      </c>
      <c r="CN1833" s="48">
        <v>0</v>
      </c>
      <c r="CO1833" s="45" t="str">
        <v>Nothing</v>
      </c>
      <c r="CP1833" s="61"/>
      <c r="CQ1833" s="45">
        <v>1829</v>
      </c>
      <c r="CR1833" s="45">
        <v>27.629293358762631</v>
      </c>
      <c r="CS1833" s="45" t="str">
        <v>Invest</v>
      </c>
      <c r="CT1833" s="61"/>
      <c r="CU1833" s="45">
        <v>1829</v>
      </c>
      <c r="CV1833" s="45">
        <v>28.937011227579184</v>
      </c>
      <c r="CW1833" s="45" t="str">
        <v>Invest</v>
      </c>
      <c r="CX1833" s="61"/>
      <c r="CY1833" s="45">
        <v>1829</v>
      </c>
      <c r="CZ1833" s="45">
        <v>7.7010661701268681</v>
      </c>
      <c r="DA1833" s="45" t="str">
        <v>Invest</v>
      </c>
      <c r="DU1833" s="52"/>
      <c r="DV1833" s="50"/>
    </row>
    <row r="1834" spans="91:126" ht="23.5">
      <c r="CM1834" s="45">
        <v>1830</v>
      </c>
      <c r="CN1834" s="48">
        <v>8.2683630390255036</v>
      </c>
      <c r="CO1834" s="45" t="str">
        <v>Invest</v>
      </c>
      <c r="CP1834" s="61"/>
      <c r="CQ1834" s="45">
        <v>1830</v>
      </c>
      <c r="CR1834" s="45">
        <v>13.417284448973881</v>
      </c>
      <c r="CS1834" s="45" t="str">
        <v>Invest</v>
      </c>
      <c r="CT1834" s="61"/>
      <c r="CU1834" s="45">
        <v>1830</v>
      </c>
      <c r="CV1834" s="45">
        <v>11.189882557799946</v>
      </c>
      <c r="CW1834" s="45" t="str">
        <v>Invest</v>
      </c>
      <c r="CX1834" s="61"/>
      <c r="CY1834" s="45">
        <v>1830</v>
      </c>
      <c r="CZ1834" s="45">
        <v>11.497651974857725</v>
      </c>
      <c r="DA1834" s="45" t="str">
        <v>Invest</v>
      </c>
      <c r="DU1834" s="52"/>
      <c r="DV1834" s="50"/>
    </row>
    <row r="1835" spans="91:126" ht="23.5">
      <c r="CM1835" s="45">
        <v>1831</v>
      </c>
      <c r="CN1835" s="48">
        <v>0</v>
      </c>
      <c r="CO1835" s="45" t="str">
        <v>Nothing</v>
      </c>
      <c r="CP1835" s="61"/>
      <c r="CQ1835" s="45">
        <v>1831</v>
      </c>
      <c r="CR1835" s="45">
        <v>12.033091886802286</v>
      </c>
      <c r="CS1835" s="45" t="str">
        <v>Invest</v>
      </c>
      <c r="CT1835" s="61"/>
      <c r="CU1835" s="45">
        <v>1831</v>
      </c>
      <c r="CV1835" s="45">
        <v>17.843483476198653</v>
      </c>
      <c r="CW1835" s="45" t="str">
        <v>Invest</v>
      </c>
      <c r="CX1835" s="61"/>
      <c r="CY1835" s="45">
        <v>1831</v>
      </c>
      <c r="CZ1835" s="45">
        <v>29.749272193400834</v>
      </c>
      <c r="DA1835" s="45" t="str">
        <v>Invest</v>
      </c>
      <c r="DU1835" s="52"/>
      <c r="DV1835" s="50"/>
    </row>
    <row r="1836" spans="91:126" ht="23.5">
      <c r="CM1836" s="45">
        <v>1832</v>
      </c>
      <c r="CN1836" s="48">
        <v>0</v>
      </c>
      <c r="CO1836" s="45" t="str">
        <v>Nothing</v>
      </c>
      <c r="CP1836" s="61"/>
      <c r="CQ1836" s="45">
        <v>1832</v>
      </c>
      <c r="CR1836" s="45">
        <v>4.3767839890176186</v>
      </c>
      <c r="CS1836" s="45" t="str">
        <v>Invest</v>
      </c>
      <c r="CT1836" s="61"/>
      <c r="CU1836" s="45">
        <v>1832</v>
      </c>
      <c r="CV1836" s="45">
        <v>0</v>
      </c>
      <c r="CW1836" s="45" t="str">
        <v>Nothing</v>
      </c>
      <c r="CX1836" s="61"/>
      <c r="CY1836" s="45">
        <v>1832</v>
      </c>
      <c r="CZ1836" s="45">
        <v>0</v>
      </c>
      <c r="DA1836" s="45" t="str">
        <v>Nothing</v>
      </c>
      <c r="DU1836" s="52"/>
      <c r="DV1836" s="50"/>
    </row>
    <row r="1837" spans="91:126" ht="23.5">
      <c r="CM1837" s="45">
        <v>1833</v>
      </c>
      <c r="CN1837" s="48">
        <v>21.864299368893946</v>
      </c>
      <c r="CO1837" s="45" t="str">
        <v>Invest</v>
      </c>
      <c r="CP1837" s="61"/>
      <c r="CQ1837" s="45">
        <v>1833</v>
      </c>
      <c r="CR1837" s="45">
        <v>0</v>
      </c>
      <c r="CS1837" s="45" t="str">
        <v>Nothing</v>
      </c>
      <c r="CT1837" s="61"/>
      <c r="CU1837" s="45">
        <v>1833</v>
      </c>
      <c r="CV1837" s="45">
        <v>10.235214094356161</v>
      </c>
      <c r="CW1837" s="45" t="str">
        <v>Invest</v>
      </c>
      <c r="CX1837" s="61"/>
      <c r="CY1837" s="45">
        <v>1833</v>
      </c>
      <c r="CZ1837" s="45">
        <v>40.315481134910534</v>
      </c>
      <c r="DA1837" s="45" t="str">
        <v>Invest</v>
      </c>
      <c r="DU1837" s="52"/>
      <c r="DV1837" s="50"/>
    </row>
    <row r="1838" spans="91:126" ht="23.5">
      <c r="CM1838" s="45">
        <v>1834</v>
      </c>
      <c r="CN1838" s="48">
        <v>0</v>
      </c>
      <c r="CO1838" s="45" t="str">
        <v>Nothing</v>
      </c>
      <c r="CP1838" s="61"/>
      <c r="CQ1838" s="45">
        <v>1834</v>
      </c>
      <c r="CR1838" s="45">
        <v>17.336510742282048</v>
      </c>
      <c r="CS1838" s="45" t="str">
        <v>Invest</v>
      </c>
      <c r="CT1838" s="61"/>
      <c r="CU1838" s="45">
        <v>1834</v>
      </c>
      <c r="CV1838" s="45">
        <v>34.706860287307094</v>
      </c>
      <c r="CW1838" s="45" t="str">
        <v>Invest</v>
      </c>
      <c r="CX1838" s="61"/>
      <c r="CY1838" s="45">
        <v>1834</v>
      </c>
      <c r="CZ1838" s="45">
        <v>13.444290408121784</v>
      </c>
      <c r="DA1838" s="45" t="str">
        <v>Invest</v>
      </c>
      <c r="DU1838" s="52"/>
      <c r="DV1838" s="50"/>
    </row>
    <row r="1839" spans="91:126" ht="23.5">
      <c r="CM1839" s="45">
        <v>1835</v>
      </c>
      <c r="CN1839" s="48">
        <v>39.247990493282884</v>
      </c>
      <c r="CO1839" s="45" t="str">
        <v>Invest</v>
      </c>
      <c r="CP1839" s="61"/>
      <c r="CQ1839" s="45">
        <v>1835</v>
      </c>
      <c r="CR1839" s="45">
        <v>7.0628999790513909</v>
      </c>
      <c r="CS1839" s="45" t="str">
        <v>Invest</v>
      </c>
      <c r="CT1839" s="61"/>
      <c r="CU1839" s="45">
        <v>1835</v>
      </c>
      <c r="CV1839" s="45">
        <v>0</v>
      </c>
      <c r="CW1839" s="45" t="str">
        <v>Nothing</v>
      </c>
      <c r="CX1839" s="61"/>
      <c r="CY1839" s="45">
        <v>1835</v>
      </c>
      <c r="CZ1839" s="45">
        <v>0</v>
      </c>
      <c r="DA1839" s="45" t="str">
        <v>Nothing</v>
      </c>
      <c r="DU1839" s="52"/>
      <c r="DV1839" s="50"/>
    </row>
    <row r="1840" spans="91:126" ht="23.5">
      <c r="CM1840" s="45">
        <v>1836</v>
      </c>
      <c r="CN1840" s="48">
        <v>0</v>
      </c>
      <c r="CO1840" s="45" t="str">
        <v>Nothing</v>
      </c>
      <c r="CP1840" s="61"/>
      <c r="CQ1840" s="45">
        <v>1836</v>
      </c>
      <c r="CR1840" s="45">
        <v>18.48938497329971</v>
      </c>
      <c r="CS1840" s="45" t="str">
        <v>Invest</v>
      </c>
      <c r="CT1840" s="61"/>
      <c r="CU1840" s="45">
        <v>1836</v>
      </c>
      <c r="CV1840" s="45">
        <v>56.082129493841407</v>
      </c>
      <c r="CW1840" s="45" t="str">
        <v>Invest</v>
      </c>
      <c r="CX1840" s="61"/>
      <c r="CY1840" s="45">
        <v>1836</v>
      </c>
      <c r="CZ1840" s="45">
        <v>12.70031738624845</v>
      </c>
      <c r="DA1840" s="45" t="str">
        <v>Invest</v>
      </c>
      <c r="DU1840" s="52"/>
      <c r="DV1840" s="50"/>
    </row>
    <row r="1841" spans="91:126" ht="23.5">
      <c r="CM1841" s="45">
        <v>1837</v>
      </c>
      <c r="CN1841" s="48">
        <v>0</v>
      </c>
      <c r="CO1841" s="45" t="str">
        <v>Nothing</v>
      </c>
      <c r="CP1841" s="61"/>
      <c r="CQ1841" s="45">
        <v>1837</v>
      </c>
      <c r="CR1841" s="45">
        <v>0</v>
      </c>
      <c r="CS1841" s="45" t="str">
        <v>Nothing</v>
      </c>
      <c r="CT1841" s="61"/>
      <c r="CU1841" s="45">
        <v>1837</v>
      </c>
      <c r="CV1841" s="45">
        <v>18.11620944641065</v>
      </c>
      <c r="CW1841" s="45" t="str">
        <v>Invest</v>
      </c>
      <c r="CX1841" s="61"/>
      <c r="CY1841" s="45">
        <v>1837</v>
      </c>
      <c r="CZ1841" s="45">
        <v>31.896245871094578</v>
      </c>
      <c r="DA1841" s="45" t="str">
        <v>Invest</v>
      </c>
      <c r="DU1841" s="52"/>
      <c r="DV1841" s="50"/>
    </row>
    <row r="1842" spans="91:126" ht="23.5">
      <c r="CM1842" s="45">
        <v>1838</v>
      </c>
      <c r="CN1842" s="48">
        <v>19.692874895375439</v>
      </c>
      <c r="CO1842" s="45" t="str">
        <v>Invest</v>
      </c>
      <c r="CP1842" s="61"/>
      <c r="CQ1842" s="45">
        <v>1838</v>
      </c>
      <c r="CR1842" s="45">
        <v>11.740021045534176</v>
      </c>
      <c r="CS1842" s="45" t="str">
        <v>Invest</v>
      </c>
      <c r="CT1842" s="61"/>
      <c r="CU1842" s="45">
        <v>1838</v>
      </c>
      <c r="CV1842" s="45">
        <v>30.746575426203076</v>
      </c>
      <c r="CW1842" s="45" t="str">
        <v>Invest</v>
      </c>
      <c r="CX1842" s="61"/>
      <c r="CY1842" s="45">
        <v>1838</v>
      </c>
      <c r="CZ1842" s="45">
        <v>0</v>
      </c>
      <c r="DA1842" s="45" t="str">
        <v>Nothing</v>
      </c>
      <c r="DU1842" s="52"/>
      <c r="DV1842" s="50"/>
    </row>
    <row r="1843" spans="91:126" ht="23.5">
      <c r="CM1843" s="45">
        <v>1839</v>
      </c>
      <c r="CN1843" s="48">
        <v>0</v>
      </c>
      <c r="CO1843" s="45" t="str">
        <v>Nothing</v>
      </c>
      <c r="CP1843" s="61"/>
      <c r="CQ1843" s="45">
        <v>1839</v>
      </c>
      <c r="CR1843" s="45">
        <v>26.189881385500669</v>
      </c>
      <c r="CS1843" s="45" t="str">
        <v>Invest</v>
      </c>
      <c r="CT1843" s="61"/>
      <c r="CU1843" s="45">
        <v>1839</v>
      </c>
      <c r="CV1843" s="45">
        <v>0</v>
      </c>
      <c r="CW1843" s="45" t="str">
        <v>Nothing</v>
      </c>
      <c r="CX1843" s="61"/>
      <c r="CY1843" s="45">
        <v>1839</v>
      </c>
      <c r="CZ1843" s="45">
        <v>55.686867537000907</v>
      </c>
      <c r="DA1843" s="45" t="str">
        <v>Invest</v>
      </c>
      <c r="DU1843" s="52"/>
      <c r="DV1843" s="50"/>
    </row>
    <row r="1844" spans="91:126" ht="23.5">
      <c r="CM1844" s="45">
        <v>1840</v>
      </c>
      <c r="CN1844" s="48">
        <v>19.005267408054465</v>
      </c>
      <c r="CO1844" s="45" t="str">
        <v>Invest</v>
      </c>
      <c r="CP1844" s="61"/>
      <c r="CQ1844" s="45">
        <v>1840</v>
      </c>
      <c r="CR1844" s="45">
        <v>23.56664692703006</v>
      </c>
      <c r="CS1844" s="45" t="str">
        <v>Invest</v>
      </c>
      <c r="CT1844" s="61"/>
      <c r="CU1844" s="45">
        <v>1840</v>
      </c>
      <c r="CV1844" s="45">
        <v>46.891814101579335</v>
      </c>
      <c r="CW1844" s="45" t="str">
        <v>Invest</v>
      </c>
      <c r="CX1844" s="61"/>
      <c r="CY1844" s="45">
        <v>1840</v>
      </c>
      <c r="CZ1844" s="45">
        <v>39.68544842111131</v>
      </c>
      <c r="DA1844" s="45" t="str">
        <v>Invest</v>
      </c>
      <c r="DU1844" s="52"/>
      <c r="DV1844" s="50"/>
    </row>
    <row r="1845" spans="91:126" ht="23.5">
      <c r="CM1845" s="45">
        <v>1841</v>
      </c>
      <c r="CN1845" s="48">
        <v>0</v>
      </c>
      <c r="CO1845" s="45" t="str">
        <v>Nothing</v>
      </c>
      <c r="CP1845" s="61"/>
      <c r="CQ1845" s="45">
        <v>1841</v>
      </c>
      <c r="CR1845" s="45">
        <v>0.60151518261768544</v>
      </c>
      <c r="CS1845" s="45" t="str">
        <v>Invest</v>
      </c>
      <c r="CT1845" s="61"/>
      <c r="CU1845" s="45">
        <v>1841</v>
      </c>
      <c r="CV1845" s="45">
        <v>53.854277377039587</v>
      </c>
      <c r="CW1845" s="45" t="str">
        <v>Invest</v>
      </c>
      <c r="CX1845" s="61"/>
      <c r="CY1845" s="45">
        <v>1841</v>
      </c>
      <c r="CZ1845" s="45">
        <v>17.033542377897597</v>
      </c>
      <c r="DA1845" s="45" t="str">
        <v>Invest</v>
      </c>
      <c r="DU1845" s="52"/>
      <c r="DV1845" s="50"/>
    </row>
    <row r="1846" spans="91:126" ht="23.5">
      <c r="CM1846" s="45">
        <v>1842</v>
      </c>
      <c r="CN1846" s="48">
        <v>0</v>
      </c>
      <c r="CO1846" s="45" t="str">
        <v>Nothing</v>
      </c>
      <c r="CP1846" s="61"/>
      <c r="CQ1846" s="45">
        <v>1842</v>
      </c>
      <c r="CR1846" s="45">
        <v>1.2724022489987377</v>
      </c>
      <c r="CS1846" s="45" t="str">
        <v>Invest</v>
      </c>
      <c r="CT1846" s="61"/>
      <c r="CU1846" s="45">
        <v>1842</v>
      </c>
      <c r="CV1846" s="45">
        <v>1.1293051863469667</v>
      </c>
      <c r="CW1846" s="45" t="str">
        <v>Invest</v>
      </c>
      <c r="CX1846" s="61"/>
      <c r="CY1846" s="45">
        <v>1842</v>
      </c>
      <c r="CZ1846" s="45">
        <v>19.946047330745976</v>
      </c>
      <c r="DA1846" s="45" t="str">
        <v>Invest</v>
      </c>
      <c r="DU1846" s="52"/>
      <c r="DV1846" s="50"/>
    </row>
    <row r="1847" spans="91:126" ht="23.5">
      <c r="CM1847" s="45">
        <v>1843</v>
      </c>
      <c r="CN1847" s="48">
        <v>0</v>
      </c>
      <c r="CO1847" s="45" t="str">
        <v>Nothing</v>
      </c>
      <c r="CP1847" s="61"/>
      <c r="CQ1847" s="45">
        <v>1843</v>
      </c>
      <c r="CR1847" s="45">
        <v>4.4304584422507673</v>
      </c>
      <c r="CS1847" s="45" t="str">
        <v>Invest</v>
      </c>
      <c r="CT1847" s="61"/>
      <c r="CU1847" s="45">
        <v>1843</v>
      </c>
      <c r="CV1847" s="45">
        <v>17.553703267601222</v>
      </c>
      <c r="CW1847" s="45" t="str">
        <v>Invest</v>
      </c>
      <c r="CX1847" s="61"/>
      <c r="CY1847" s="45">
        <v>1843</v>
      </c>
      <c r="CZ1847" s="45">
        <v>21.085743850887113</v>
      </c>
      <c r="DA1847" s="45" t="str">
        <v>Invest</v>
      </c>
      <c r="DU1847" s="52"/>
      <c r="DV1847" s="50"/>
    </row>
    <row r="1848" spans="91:126" ht="23.5">
      <c r="CM1848" s="45">
        <v>1844</v>
      </c>
      <c r="CN1848" s="48">
        <v>16.338119023625318</v>
      </c>
      <c r="CO1848" s="45" t="str">
        <v>Invest</v>
      </c>
      <c r="CP1848" s="61"/>
      <c r="CQ1848" s="45">
        <v>1844</v>
      </c>
      <c r="CR1848" s="45">
        <v>10.599460066350829</v>
      </c>
      <c r="CS1848" s="45" t="str">
        <v>Invest</v>
      </c>
      <c r="CT1848" s="61"/>
      <c r="CU1848" s="45">
        <v>1844</v>
      </c>
      <c r="CV1848" s="45">
        <v>8.0213190319221273</v>
      </c>
      <c r="CW1848" s="45" t="str">
        <v>Invest</v>
      </c>
      <c r="CX1848" s="61"/>
      <c r="CY1848" s="45">
        <v>1844</v>
      </c>
      <c r="CZ1848" s="45">
        <v>0</v>
      </c>
      <c r="DA1848" s="45" t="str">
        <v>Nothing</v>
      </c>
      <c r="DU1848" s="52"/>
      <c r="DV1848" s="50"/>
    </row>
    <row r="1849" spans="91:126" ht="23.5">
      <c r="CM1849" s="45">
        <v>1845</v>
      </c>
      <c r="CN1849" s="48">
        <v>57.391155327211365</v>
      </c>
      <c r="CO1849" s="45" t="str">
        <v>Invest</v>
      </c>
      <c r="CP1849" s="61"/>
      <c r="CQ1849" s="45">
        <v>1845</v>
      </c>
      <c r="CR1849" s="45">
        <v>0</v>
      </c>
      <c r="CS1849" s="45" t="str">
        <v>Nothing</v>
      </c>
      <c r="CT1849" s="61"/>
      <c r="CU1849" s="45">
        <v>1845</v>
      </c>
      <c r="CV1849" s="45">
        <v>0</v>
      </c>
      <c r="CW1849" s="45" t="str">
        <v>Nothing</v>
      </c>
      <c r="CX1849" s="61"/>
      <c r="CY1849" s="45">
        <v>1845</v>
      </c>
      <c r="CZ1849" s="45">
        <v>10.722970340213976</v>
      </c>
      <c r="DA1849" s="45" t="str">
        <v>Invest</v>
      </c>
      <c r="DU1849" s="52"/>
      <c r="DV1849" s="50"/>
    </row>
    <row r="1850" spans="91:126" ht="23.5">
      <c r="CM1850" s="45">
        <v>1846</v>
      </c>
      <c r="CN1850" s="48">
        <v>30.329889041512693</v>
      </c>
      <c r="CO1850" s="45" t="str">
        <v>Invest</v>
      </c>
      <c r="CP1850" s="61"/>
      <c r="CQ1850" s="45">
        <v>1846</v>
      </c>
      <c r="CR1850" s="45">
        <v>31.528655226235561</v>
      </c>
      <c r="CS1850" s="45" t="str">
        <v>Invest</v>
      </c>
      <c r="CT1850" s="61"/>
      <c r="CU1850" s="45">
        <v>1846</v>
      </c>
      <c r="CV1850" s="45">
        <v>22.723960931251252</v>
      </c>
      <c r="CW1850" s="45" t="str">
        <v>Invest</v>
      </c>
      <c r="CX1850" s="61"/>
      <c r="CY1850" s="45">
        <v>1846</v>
      </c>
      <c r="CZ1850" s="45">
        <v>14.501593050960679</v>
      </c>
      <c r="DA1850" s="45" t="str">
        <v>Invest</v>
      </c>
      <c r="DU1850" s="52"/>
      <c r="DV1850" s="50"/>
    </row>
    <row r="1851" spans="91:126" ht="23.5">
      <c r="CM1851" s="45">
        <v>1847</v>
      </c>
      <c r="CN1851" s="48">
        <v>24.61600679281343</v>
      </c>
      <c r="CO1851" s="45" t="str">
        <v>Invest</v>
      </c>
      <c r="CP1851" s="61"/>
      <c r="CQ1851" s="45">
        <v>1847</v>
      </c>
      <c r="CR1851" s="45">
        <v>0</v>
      </c>
      <c r="CS1851" s="45" t="str">
        <v>Nothing</v>
      </c>
      <c r="CT1851" s="61"/>
      <c r="CU1851" s="45">
        <v>1847</v>
      </c>
      <c r="CV1851" s="45">
        <v>14.276400308878621</v>
      </c>
      <c r="CW1851" s="45" t="str">
        <v>Invest</v>
      </c>
      <c r="CX1851" s="61"/>
      <c r="CY1851" s="45">
        <v>1847</v>
      </c>
      <c r="CZ1851" s="45">
        <v>0</v>
      </c>
      <c r="DA1851" s="45" t="str">
        <v>Nothing</v>
      </c>
      <c r="DU1851" s="52"/>
      <c r="DV1851" s="50"/>
    </row>
    <row r="1852" spans="91:126" ht="23.5">
      <c r="CM1852" s="45">
        <v>1848</v>
      </c>
      <c r="CN1852" s="48">
        <v>2.96691056649383</v>
      </c>
      <c r="CO1852" s="45" t="str">
        <v>Invest</v>
      </c>
      <c r="CP1852" s="61"/>
      <c r="CQ1852" s="45">
        <v>1848</v>
      </c>
      <c r="CR1852" s="45">
        <v>13.4786421644763</v>
      </c>
      <c r="CS1852" s="45" t="str">
        <v>Invest</v>
      </c>
      <c r="CT1852" s="61"/>
      <c r="CU1852" s="45">
        <v>1848</v>
      </c>
      <c r="CV1852" s="45">
        <v>0</v>
      </c>
      <c r="CW1852" s="45" t="str">
        <v>Nothing</v>
      </c>
      <c r="CX1852" s="61"/>
      <c r="CY1852" s="45">
        <v>1848</v>
      </c>
      <c r="CZ1852" s="45">
        <v>16.222814156933293</v>
      </c>
      <c r="DA1852" s="45" t="str">
        <v>Invest</v>
      </c>
      <c r="DU1852" s="52"/>
      <c r="DV1852" s="50"/>
    </row>
    <row r="1853" spans="91:126" ht="23.5">
      <c r="CM1853" s="45">
        <v>1849</v>
      </c>
      <c r="CN1853" s="48">
        <v>19.699484272386115</v>
      </c>
      <c r="CO1853" s="45" t="str">
        <v>Invest</v>
      </c>
      <c r="CP1853" s="61"/>
      <c r="CQ1853" s="45">
        <v>1849</v>
      </c>
      <c r="CR1853" s="45">
        <v>0</v>
      </c>
      <c r="CS1853" s="45" t="str">
        <v>Nothing</v>
      </c>
      <c r="CT1853" s="61"/>
      <c r="CU1853" s="45">
        <v>1849</v>
      </c>
      <c r="CV1853" s="45">
        <v>34.375767824620041</v>
      </c>
      <c r="CW1853" s="45" t="str">
        <v>Invest</v>
      </c>
      <c r="CX1853" s="61"/>
      <c r="CY1853" s="45">
        <v>1849</v>
      </c>
      <c r="CZ1853" s="45">
        <v>0</v>
      </c>
      <c r="DA1853" s="45" t="str">
        <v>Nothing</v>
      </c>
      <c r="DU1853" s="52"/>
      <c r="DV1853" s="50"/>
    </row>
    <row r="1854" spans="91:126" ht="23.5">
      <c r="CM1854" s="45">
        <v>1850</v>
      </c>
      <c r="CN1854" s="48">
        <v>31.782665872481552</v>
      </c>
      <c r="CO1854" s="45" t="str">
        <v>Invest</v>
      </c>
      <c r="CP1854" s="61"/>
      <c r="CQ1854" s="45">
        <v>1850</v>
      </c>
      <c r="CR1854" s="45">
        <v>27.759042168395641</v>
      </c>
      <c r="CS1854" s="45" t="str">
        <v>Invest</v>
      </c>
      <c r="CT1854" s="61"/>
      <c r="CU1854" s="45">
        <v>1850</v>
      </c>
      <c r="CV1854" s="45">
        <v>5.0781559133479419</v>
      </c>
      <c r="CW1854" s="45" t="str">
        <v>Invest</v>
      </c>
      <c r="CX1854" s="61"/>
      <c r="CY1854" s="45">
        <v>1850</v>
      </c>
      <c r="CZ1854" s="45">
        <v>0</v>
      </c>
      <c r="DA1854" s="45" t="str">
        <v>Nothing</v>
      </c>
      <c r="DU1854" s="52"/>
      <c r="DV1854" s="50"/>
    </row>
    <row r="1855" spans="91:126" ht="23.5">
      <c r="CM1855" s="45">
        <v>1851</v>
      </c>
      <c r="CN1855" s="48">
        <v>0</v>
      </c>
      <c r="CO1855" s="45" t="str">
        <v>Nothing</v>
      </c>
      <c r="CP1855" s="61"/>
      <c r="CQ1855" s="45">
        <v>1851</v>
      </c>
      <c r="CR1855" s="45">
        <v>9.6466843183878037</v>
      </c>
      <c r="CS1855" s="45" t="str">
        <v>Invest</v>
      </c>
      <c r="CT1855" s="61"/>
      <c r="CU1855" s="45">
        <v>1851</v>
      </c>
      <c r="CV1855" s="45">
        <v>0</v>
      </c>
      <c r="CW1855" s="45" t="str">
        <v>Nothing</v>
      </c>
      <c r="CX1855" s="61"/>
      <c r="CY1855" s="45">
        <v>1851</v>
      </c>
      <c r="CZ1855" s="45">
        <v>9.244953685930108</v>
      </c>
      <c r="DA1855" s="45" t="str">
        <v>Invest</v>
      </c>
      <c r="DU1855" s="52"/>
      <c r="DV1855" s="50"/>
    </row>
    <row r="1856" spans="91:126" ht="23.5">
      <c r="CM1856" s="45">
        <v>1852</v>
      </c>
      <c r="CN1856" s="48">
        <v>0</v>
      </c>
      <c r="CO1856" s="45" t="str">
        <v>Nothing</v>
      </c>
      <c r="CP1856" s="61"/>
      <c r="CQ1856" s="45">
        <v>1852</v>
      </c>
      <c r="CR1856" s="45">
        <v>0</v>
      </c>
      <c r="CS1856" s="45" t="str">
        <v>Nothing</v>
      </c>
      <c r="CT1856" s="61"/>
      <c r="CU1856" s="45">
        <v>1852</v>
      </c>
      <c r="CV1856" s="45">
        <v>0</v>
      </c>
      <c r="CW1856" s="45" t="str">
        <v>Nothing</v>
      </c>
      <c r="CX1856" s="61"/>
      <c r="CY1856" s="45">
        <v>1852</v>
      </c>
      <c r="CZ1856" s="45">
        <v>7.6288466697326029</v>
      </c>
      <c r="DA1856" s="45" t="str">
        <v>Invest</v>
      </c>
      <c r="DU1856" s="52"/>
      <c r="DV1856" s="50"/>
    </row>
    <row r="1857" spans="91:126" ht="23.5">
      <c r="CM1857" s="45">
        <v>1853</v>
      </c>
      <c r="CN1857" s="48">
        <v>0</v>
      </c>
      <c r="CO1857" s="45" t="str">
        <v>Nothing</v>
      </c>
      <c r="CP1857" s="61"/>
      <c r="CQ1857" s="45">
        <v>1853</v>
      </c>
      <c r="CR1857" s="45">
        <v>11.205285520228848</v>
      </c>
      <c r="CS1857" s="45" t="str">
        <v>Invest</v>
      </c>
      <c r="CT1857" s="61"/>
      <c r="CU1857" s="45">
        <v>1853</v>
      </c>
      <c r="CV1857" s="45">
        <v>11.15576916188952</v>
      </c>
      <c r="CW1857" s="45" t="str">
        <v>Invest</v>
      </c>
      <c r="CX1857" s="61"/>
      <c r="CY1857" s="45">
        <v>1853</v>
      </c>
      <c r="CZ1857" s="45">
        <v>14.542062488017791</v>
      </c>
      <c r="DA1857" s="45" t="str">
        <v>Invest</v>
      </c>
      <c r="DU1857" s="52"/>
      <c r="DV1857" s="50"/>
    </row>
    <row r="1858" spans="91:126" ht="23.5">
      <c r="CM1858" s="45">
        <v>1854</v>
      </c>
      <c r="CN1858" s="48">
        <v>16.675542638825899</v>
      </c>
      <c r="CO1858" s="45" t="str">
        <v>Invest</v>
      </c>
      <c r="CP1858" s="61"/>
      <c r="CQ1858" s="45">
        <v>1854</v>
      </c>
      <c r="CR1858" s="45">
        <v>18.751144001098325</v>
      </c>
      <c r="CS1858" s="45" t="str">
        <v>Invest</v>
      </c>
      <c r="CT1858" s="61"/>
      <c r="CU1858" s="45">
        <v>1854</v>
      </c>
      <c r="CV1858" s="45">
        <v>0</v>
      </c>
      <c r="CW1858" s="45" t="str">
        <v>Nothing</v>
      </c>
      <c r="CX1858" s="61"/>
      <c r="CY1858" s="45">
        <v>1854</v>
      </c>
      <c r="CZ1858" s="45">
        <v>9.2540860496721944</v>
      </c>
      <c r="DA1858" s="45" t="str">
        <v>Invest</v>
      </c>
      <c r="DU1858" s="52"/>
      <c r="DV1858" s="50"/>
    </row>
    <row r="1859" spans="91:126" ht="23.5">
      <c r="CM1859" s="45">
        <v>1855</v>
      </c>
      <c r="CN1859" s="48">
        <v>7.7328794113712682</v>
      </c>
      <c r="CO1859" s="45" t="str">
        <v>Invest</v>
      </c>
      <c r="CP1859" s="61"/>
      <c r="CQ1859" s="45">
        <v>1855</v>
      </c>
      <c r="CR1859" s="45">
        <v>0</v>
      </c>
      <c r="CS1859" s="45" t="str">
        <v>Nothing</v>
      </c>
      <c r="CT1859" s="61"/>
      <c r="CU1859" s="45">
        <v>1855</v>
      </c>
      <c r="CV1859" s="45">
        <v>0</v>
      </c>
      <c r="CW1859" s="45" t="str">
        <v>Nothing</v>
      </c>
      <c r="CX1859" s="61"/>
      <c r="CY1859" s="45">
        <v>1855</v>
      </c>
      <c r="CZ1859" s="45">
        <v>26.594559817963873</v>
      </c>
      <c r="DA1859" s="45" t="str">
        <v>Invest</v>
      </c>
      <c r="DU1859" s="52"/>
      <c r="DV1859" s="50"/>
    </row>
    <row r="1860" spans="91:126" ht="23.5">
      <c r="CM1860" s="45">
        <v>1856</v>
      </c>
      <c r="CN1860" s="48">
        <v>35.662396628132505</v>
      </c>
      <c r="CO1860" s="45" t="str">
        <v>Invest</v>
      </c>
      <c r="CP1860" s="61"/>
      <c r="CQ1860" s="45">
        <v>1856</v>
      </c>
      <c r="CR1860" s="45">
        <v>0</v>
      </c>
      <c r="CS1860" s="45" t="str">
        <v>Nothing</v>
      </c>
      <c r="CT1860" s="61"/>
      <c r="CU1860" s="45">
        <v>1856</v>
      </c>
      <c r="CV1860" s="45">
        <v>14.464310157303027</v>
      </c>
      <c r="CW1860" s="45" t="str">
        <v>Invest</v>
      </c>
      <c r="CX1860" s="61"/>
      <c r="CY1860" s="45">
        <v>1856</v>
      </c>
      <c r="CZ1860" s="45">
        <v>0</v>
      </c>
      <c r="DA1860" s="45" t="str">
        <v>Nothing</v>
      </c>
      <c r="DU1860" s="52"/>
      <c r="DV1860" s="50"/>
    </row>
    <row r="1861" spans="91:126" ht="23.5">
      <c r="CM1861" s="45">
        <v>1857</v>
      </c>
      <c r="CN1861" s="48">
        <v>19.754108937141105</v>
      </c>
      <c r="CO1861" s="45" t="str">
        <v>Invest</v>
      </c>
      <c r="CP1861" s="61"/>
      <c r="CQ1861" s="45">
        <v>1857</v>
      </c>
      <c r="CR1861" s="45">
        <v>27.422967889578551</v>
      </c>
      <c r="CS1861" s="45" t="str">
        <v>Invest</v>
      </c>
      <c r="CT1861" s="61"/>
      <c r="CU1861" s="45">
        <v>1857</v>
      </c>
      <c r="CV1861" s="45">
        <v>28.819268157391008</v>
      </c>
      <c r="CW1861" s="45" t="str">
        <v>Invest</v>
      </c>
      <c r="CX1861" s="61"/>
      <c r="CY1861" s="45">
        <v>1857</v>
      </c>
      <c r="CZ1861" s="45">
        <v>30.814190690311378</v>
      </c>
      <c r="DA1861" s="45" t="str">
        <v>Invest</v>
      </c>
      <c r="DU1861" s="52"/>
      <c r="DV1861" s="50"/>
    </row>
    <row r="1862" spans="91:126" ht="23.5">
      <c r="CM1862" s="45">
        <v>1858</v>
      </c>
      <c r="CN1862" s="48">
        <v>0.91053934609903564</v>
      </c>
      <c r="CO1862" s="45" t="str">
        <v>Invest</v>
      </c>
      <c r="CP1862" s="61"/>
      <c r="CQ1862" s="45">
        <v>1858</v>
      </c>
      <c r="CR1862" s="45">
        <v>0</v>
      </c>
      <c r="CS1862" s="45" t="str">
        <v>Nothing</v>
      </c>
      <c r="CT1862" s="61"/>
      <c r="CU1862" s="45">
        <v>1858</v>
      </c>
      <c r="CV1862" s="45">
        <v>6.7027086506424105</v>
      </c>
      <c r="CW1862" s="45" t="str">
        <v>Invest</v>
      </c>
      <c r="CX1862" s="61"/>
      <c r="CY1862" s="45">
        <v>1858</v>
      </c>
      <c r="CZ1862" s="45">
        <v>16.823636130952668</v>
      </c>
      <c r="DA1862" s="45" t="str">
        <v>Invest</v>
      </c>
      <c r="DU1862" s="52"/>
      <c r="DV1862" s="50"/>
    </row>
    <row r="1863" spans="91:126" ht="23.5">
      <c r="CM1863" s="45">
        <v>1859</v>
      </c>
      <c r="CN1863" s="48">
        <v>58.804308405687962</v>
      </c>
      <c r="CO1863" s="45" t="str">
        <v>Invest</v>
      </c>
      <c r="CP1863" s="61"/>
      <c r="CQ1863" s="45">
        <v>1859</v>
      </c>
      <c r="CR1863" s="45">
        <v>0</v>
      </c>
      <c r="CS1863" s="45" t="str">
        <v>Nothing</v>
      </c>
      <c r="CT1863" s="61"/>
      <c r="CU1863" s="45">
        <v>1859</v>
      </c>
      <c r="CV1863" s="45">
        <v>2.2556403561257277</v>
      </c>
      <c r="CW1863" s="45" t="str">
        <v>Invest</v>
      </c>
      <c r="CX1863" s="61"/>
      <c r="CY1863" s="45">
        <v>1859</v>
      </c>
      <c r="CZ1863" s="45">
        <v>16.399647309433618</v>
      </c>
      <c r="DA1863" s="45" t="str">
        <v>Invest</v>
      </c>
      <c r="DU1863" s="52"/>
      <c r="DV1863" s="50"/>
    </row>
    <row r="1864" spans="91:126" ht="23.5">
      <c r="CM1864" s="45">
        <v>1860</v>
      </c>
      <c r="CN1864" s="48">
        <v>13.635184304575766</v>
      </c>
      <c r="CO1864" s="45" t="str">
        <v>Invest</v>
      </c>
      <c r="CP1864" s="61"/>
      <c r="CQ1864" s="45">
        <v>1860</v>
      </c>
      <c r="CR1864" s="45">
        <v>0</v>
      </c>
      <c r="CS1864" s="45" t="str">
        <v>Nothing</v>
      </c>
      <c r="CT1864" s="61"/>
      <c r="CU1864" s="45">
        <v>1860</v>
      </c>
      <c r="CV1864" s="45">
        <v>18.926230856304333</v>
      </c>
      <c r="CW1864" s="45" t="str">
        <v>Invest</v>
      </c>
      <c r="CX1864" s="61"/>
      <c r="CY1864" s="45">
        <v>1860</v>
      </c>
      <c r="CZ1864" s="45">
        <v>26.129651074777279</v>
      </c>
      <c r="DA1864" s="45" t="str">
        <v>Invest</v>
      </c>
      <c r="DU1864" s="52"/>
      <c r="DV1864" s="50"/>
    </row>
    <row r="1865" spans="91:126" ht="23.5">
      <c r="CM1865" s="45">
        <v>1861</v>
      </c>
      <c r="CN1865" s="48">
        <v>57.512500706142973</v>
      </c>
      <c r="CO1865" s="45" t="str">
        <v>Invest</v>
      </c>
      <c r="CP1865" s="61"/>
      <c r="CQ1865" s="45">
        <v>1861</v>
      </c>
      <c r="CR1865" s="45">
        <v>0</v>
      </c>
      <c r="CS1865" s="45" t="str">
        <v>Nothing</v>
      </c>
      <c r="CT1865" s="61"/>
      <c r="CU1865" s="45">
        <v>1861</v>
      </c>
      <c r="CV1865" s="45">
        <v>19.897049695769098</v>
      </c>
      <c r="CW1865" s="45" t="str">
        <v>Invest</v>
      </c>
      <c r="CX1865" s="61"/>
      <c r="CY1865" s="45">
        <v>1861</v>
      </c>
      <c r="CZ1865" s="45">
        <v>2.2951270898652334</v>
      </c>
      <c r="DA1865" s="45" t="str">
        <v>Invest</v>
      </c>
      <c r="DU1865" s="52"/>
      <c r="DV1865" s="50"/>
    </row>
    <row r="1866" spans="91:126" ht="23.5">
      <c r="CM1866" s="45">
        <v>1862</v>
      </c>
      <c r="CN1866" s="48">
        <v>0.64871624917436321</v>
      </c>
      <c r="CO1866" s="45" t="str">
        <v>Invest</v>
      </c>
      <c r="CP1866" s="61"/>
      <c r="CQ1866" s="45">
        <v>1862</v>
      </c>
      <c r="CR1866" s="45">
        <v>13.538963413005073</v>
      </c>
      <c r="CS1866" s="45" t="str">
        <v>Invest</v>
      </c>
      <c r="CT1866" s="61"/>
      <c r="CU1866" s="45">
        <v>1862</v>
      </c>
      <c r="CV1866" s="45">
        <v>0</v>
      </c>
      <c r="CW1866" s="45" t="str">
        <v>Nothing</v>
      </c>
      <c r="CX1866" s="61"/>
      <c r="CY1866" s="45">
        <v>1862</v>
      </c>
      <c r="CZ1866" s="45">
        <v>0</v>
      </c>
      <c r="DA1866" s="45" t="str">
        <v>Nothing</v>
      </c>
      <c r="DU1866" s="52"/>
      <c r="DV1866" s="50"/>
    </row>
    <row r="1867" spans="91:126" ht="23.5">
      <c r="CM1867" s="45">
        <v>1863</v>
      </c>
      <c r="CN1867" s="48">
        <v>0</v>
      </c>
      <c r="CO1867" s="45" t="str">
        <v>Nothing</v>
      </c>
      <c r="CP1867" s="61"/>
      <c r="CQ1867" s="45">
        <v>1863</v>
      </c>
      <c r="CR1867" s="45">
        <v>6.4405989191948052</v>
      </c>
      <c r="CS1867" s="45" t="str">
        <v>Invest</v>
      </c>
      <c r="CT1867" s="61"/>
      <c r="CU1867" s="45">
        <v>1863</v>
      </c>
      <c r="CV1867" s="45">
        <v>3.4235101201680731</v>
      </c>
      <c r="CW1867" s="45" t="str">
        <v>Invest</v>
      </c>
      <c r="CX1867" s="61"/>
      <c r="CY1867" s="45">
        <v>1863</v>
      </c>
      <c r="CZ1867" s="45">
        <v>47.784199267292863</v>
      </c>
      <c r="DA1867" s="45" t="str">
        <v>Invest</v>
      </c>
      <c r="DU1867" s="52"/>
      <c r="DV1867" s="50"/>
    </row>
    <row r="1868" spans="91:126" ht="23.5">
      <c r="CM1868" s="45">
        <v>1864</v>
      </c>
      <c r="CN1868" s="48">
        <v>38.687861441579265</v>
      </c>
      <c r="CO1868" s="45" t="str">
        <v>Invest</v>
      </c>
      <c r="CP1868" s="61"/>
      <c r="CQ1868" s="45">
        <v>1864</v>
      </c>
      <c r="CR1868" s="45">
        <v>9.318513777554509</v>
      </c>
      <c r="CS1868" s="45" t="str">
        <v>Invest</v>
      </c>
      <c r="CT1868" s="61"/>
      <c r="CU1868" s="45">
        <v>1864</v>
      </c>
      <c r="CV1868" s="45">
        <v>37.933562565045953</v>
      </c>
      <c r="CW1868" s="45" t="str">
        <v>Invest</v>
      </c>
      <c r="CX1868" s="61"/>
      <c r="CY1868" s="45">
        <v>1864</v>
      </c>
      <c r="CZ1868" s="45">
        <v>0</v>
      </c>
      <c r="DA1868" s="45" t="str">
        <v>Nothing</v>
      </c>
      <c r="DU1868" s="52"/>
      <c r="DV1868" s="50"/>
    </row>
    <row r="1869" spans="91:126" ht="23.5">
      <c r="CM1869" s="45">
        <v>1865</v>
      </c>
      <c r="CN1869" s="48">
        <v>38.82967439757293</v>
      </c>
      <c r="CO1869" s="45" t="str">
        <v>Invest</v>
      </c>
      <c r="CP1869" s="61"/>
      <c r="CQ1869" s="45">
        <v>1865</v>
      </c>
      <c r="CR1869" s="45">
        <v>23.972556652910633</v>
      </c>
      <c r="CS1869" s="45" t="str">
        <v>Invest</v>
      </c>
      <c r="CT1869" s="61"/>
      <c r="CU1869" s="45">
        <v>1865</v>
      </c>
      <c r="CV1869" s="45">
        <v>18.743369862061041</v>
      </c>
      <c r="CW1869" s="45" t="str">
        <v>Invest</v>
      </c>
      <c r="CX1869" s="61"/>
      <c r="CY1869" s="45">
        <v>1865</v>
      </c>
      <c r="CZ1869" s="45">
        <v>15.051951519927842</v>
      </c>
      <c r="DA1869" s="45" t="str">
        <v>Invest</v>
      </c>
      <c r="DU1869" s="52"/>
      <c r="DV1869" s="50"/>
    </row>
    <row r="1870" spans="91:126" ht="23.5">
      <c r="CM1870" s="45">
        <v>1866</v>
      </c>
      <c r="CN1870" s="48">
        <v>0</v>
      </c>
      <c r="CO1870" s="45" t="str">
        <v>Nothing</v>
      </c>
      <c r="CP1870" s="61"/>
      <c r="CQ1870" s="45">
        <v>1866</v>
      </c>
      <c r="CR1870" s="45">
        <v>18.535179951003499</v>
      </c>
      <c r="CS1870" s="45" t="str">
        <v>Invest</v>
      </c>
      <c r="CT1870" s="61"/>
      <c r="CU1870" s="45">
        <v>1866</v>
      </c>
      <c r="CV1870" s="45">
        <v>6.7689371147433866</v>
      </c>
      <c r="CW1870" s="45" t="str">
        <v>Invest</v>
      </c>
      <c r="CX1870" s="61"/>
      <c r="CY1870" s="45">
        <v>1866</v>
      </c>
      <c r="CZ1870" s="45">
        <v>2.2161342718038846</v>
      </c>
      <c r="DA1870" s="45" t="str">
        <v>Invest</v>
      </c>
      <c r="DU1870" s="52"/>
      <c r="DV1870" s="50"/>
    </row>
    <row r="1871" spans="91:126" ht="23.5">
      <c r="CM1871" s="45">
        <v>1867</v>
      </c>
      <c r="CN1871" s="48">
        <v>25.485013476465859</v>
      </c>
      <c r="CO1871" s="45" t="str">
        <v>Invest</v>
      </c>
      <c r="CP1871" s="61"/>
      <c r="CQ1871" s="45">
        <v>1867</v>
      </c>
      <c r="CR1871" s="45">
        <v>0</v>
      </c>
      <c r="CS1871" s="45" t="str">
        <v>Nothing</v>
      </c>
      <c r="CT1871" s="61"/>
      <c r="CU1871" s="45">
        <v>1867</v>
      </c>
      <c r="CV1871" s="45">
        <v>36.167145317100918</v>
      </c>
      <c r="CW1871" s="45" t="str">
        <v>Invest</v>
      </c>
      <c r="CX1871" s="61"/>
      <c r="CY1871" s="45">
        <v>1867</v>
      </c>
      <c r="CZ1871" s="45">
        <v>34.321030938378499</v>
      </c>
      <c r="DA1871" s="45" t="str">
        <v>Invest</v>
      </c>
      <c r="DU1871" s="52"/>
      <c r="DV1871" s="50"/>
    </row>
    <row r="1872" spans="91:126" ht="23.5">
      <c r="CM1872" s="45">
        <v>1868</v>
      </c>
      <c r="CN1872" s="48">
        <v>31.133221472764809</v>
      </c>
      <c r="CO1872" s="45" t="str">
        <v>Invest</v>
      </c>
      <c r="CP1872" s="61"/>
      <c r="CQ1872" s="45">
        <v>1868</v>
      </c>
      <c r="CR1872" s="45">
        <v>27.332205171906701</v>
      </c>
      <c r="CS1872" s="45" t="str">
        <v>Invest</v>
      </c>
      <c r="CT1872" s="61"/>
      <c r="CU1872" s="45">
        <v>1868</v>
      </c>
      <c r="CV1872" s="45">
        <v>17.28926861694049</v>
      </c>
      <c r="CW1872" s="45" t="str">
        <v>Invest</v>
      </c>
      <c r="CX1872" s="61"/>
      <c r="CY1872" s="45">
        <v>1868</v>
      </c>
      <c r="CZ1872" s="45">
        <v>29.427123625261146</v>
      </c>
      <c r="DA1872" s="45" t="str">
        <v>Invest</v>
      </c>
      <c r="DU1872" s="52"/>
      <c r="DV1872" s="50"/>
    </row>
    <row r="1873" spans="91:126" ht="23.5">
      <c r="CM1873" s="45">
        <v>1869</v>
      </c>
      <c r="CN1873" s="48">
        <v>0</v>
      </c>
      <c r="CO1873" s="45" t="str">
        <v>Nothing</v>
      </c>
      <c r="CP1873" s="61"/>
      <c r="CQ1873" s="45">
        <v>1869</v>
      </c>
      <c r="CR1873" s="45">
        <v>0</v>
      </c>
      <c r="CS1873" s="45" t="str">
        <v>Nothing</v>
      </c>
      <c r="CT1873" s="61"/>
      <c r="CU1873" s="45">
        <v>1869</v>
      </c>
      <c r="CV1873" s="45">
        <v>16.597218796526548</v>
      </c>
      <c r="CW1873" s="45" t="str">
        <v>Invest</v>
      </c>
      <c r="CX1873" s="61"/>
      <c r="CY1873" s="45">
        <v>1869</v>
      </c>
      <c r="CZ1873" s="45">
        <v>19.685608802026621</v>
      </c>
      <c r="DA1873" s="45" t="str">
        <v>Invest</v>
      </c>
      <c r="DU1873" s="52"/>
      <c r="DV1873" s="50"/>
    </row>
    <row r="1874" spans="91:126" ht="23.5">
      <c r="CM1874" s="45">
        <v>1870</v>
      </c>
      <c r="CN1874" s="48">
        <v>15.589885359891948</v>
      </c>
      <c r="CO1874" s="45" t="str">
        <v>Invest</v>
      </c>
      <c r="CP1874" s="61"/>
      <c r="CQ1874" s="45">
        <v>1870</v>
      </c>
      <c r="CR1874" s="45">
        <v>1.0436603556304407</v>
      </c>
      <c r="CS1874" s="45" t="str">
        <v>Invest</v>
      </c>
      <c r="CT1874" s="61"/>
      <c r="CU1874" s="45">
        <v>1870</v>
      </c>
      <c r="CV1874" s="45">
        <v>57.904846245289633</v>
      </c>
      <c r="CW1874" s="45" t="str">
        <v>Invest</v>
      </c>
      <c r="CX1874" s="61"/>
      <c r="CY1874" s="45">
        <v>1870</v>
      </c>
      <c r="CZ1874" s="45">
        <v>0</v>
      </c>
      <c r="DA1874" s="45" t="str">
        <v>Nothing</v>
      </c>
      <c r="DU1874" s="52"/>
      <c r="DV1874" s="50"/>
    </row>
    <row r="1875" spans="91:126" ht="23.5">
      <c r="CM1875" s="45">
        <v>1871</v>
      </c>
      <c r="CN1875" s="48">
        <v>0</v>
      </c>
      <c r="CO1875" s="45" t="str">
        <v>Nothing</v>
      </c>
      <c r="CP1875" s="61"/>
      <c r="CQ1875" s="45">
        <v>1871</v>
      </c>
      <c r="CR1875" s="45">
        <v>49.837557871206947</v>
      </c>
      <c r="CS1875" s="45" t="str">
        <v>Invest</v>
      </c>
      <c r="CT1875" s="61"/>
      <c r="CU1875" s="45">
        <v>1871</v>
      </c>
      <c r="CV1875" s="45">
        <v>41.045135761799735</v>
      </c>
      <c r="CW1875" s="45" t="str">
        <v>Invest</v>
      </c>
      <c r="CX1875" s="61"/>
      <c r="CY1875" s="45">
        <v>1871</v>
      </c>
      <c r="CZ1875" s="45">
        <v>0</v>
      </c>
      <c r="DA1875" s="45" t="str">
        <v>Nothing</v>
      </c>
      <c r="DU1875" s="52"/>
      <c r="DV1875" s="50"/>
    </row>
    <row r="1876" spans="91:126" ht="23.5">
      <c r="CM1876" s="45">
        <v>1872</v>
      </c>
      <c r="CN1876" s="48">
        <v>0</v>
      </c>
      <c r="CO1876" s="45" t="str">
        <v>Nothing</v>
      </c>
      <c r="CP1876" s="61"/>
      <c r="CQ1876" s="45">
        <v>1872</v>
      </c>
      <c r="CR1876" s="45">
        <v>0</v>
      </c>
      <c r="CS1876" s="45" t="str">
        <v>Nothing</v>
      </c>
      <c r="CT1876" s="61"/>
      <c r="CU1876" s="45">
        <v>1872</v>
      </c>
      <c r="CV1876" s="45">
        <v>13.411226945356283</v>
      </c>
      <c r="CW1876" s="45" t="str">
        <v>Invest</v>
      </c>
      <c r="CX1876" s="61"/>
      <c r="CY1876" s="45">
        <v>1872</v>
      </c>
      <c r="CZ1876" s="45">
        <v>10.872207545709148</v>
      </c>
      <c r="DA1876" s="45" t="str">
        <v>Invest</v>
      </c>
      <c r="DU1876" s="52"/>
      <c r="DV1876" s="50"/>
    </row>
    <row r="1877" spans="91:126" ht="23.5">
      <c r="CM1877" s="45">
        <v>1873</v>
      </c>
      <c r="CN1877" s="48">
        <v>0</v>
      </c>
      <c r="CO1877" s="45" t="str">
        <v>Nothing</v>
      </c>
      <c r="CP1877" s="61"/>
      <c r="CQ1877" s="45">
        <v>1873</v>
      </c>
      <c r="CR1877" s="45">
        <v>0</v>
      </c>
      <c r="CS1877" s="45" t="str">
        <v>Nothing</v>
      </c>
      <c r="CT1877" s="61"/>
      <c r="CU1877" s="45">
        <v>1873</v>
      </c>
      <c r="CV1877" s="45">
        <v>10.765017628563928</v>
      </c>
      <c r="CW1877" s="45" t="str">
        <v>Invest</v>
      </c>
      <c r="CX1877" s="61"/>
      <c r="CY1877" s="45">
        <v>1873</v>
      </c>
      <c r="CZ1877" s="45">
        <v>0</v>
      </c>
      <c r="DA1877" s="45" t="str">
        <v>Nothing</v>
      </c>
      <c r="DU1877" s="52"/>
      <c r="DV1877" s="50"/>
    </row>
    <row r="1878" spans="91:126" ht="23.5">
      <c r="CM1878" s="45">
        <v>1874</v>
      </c>
      <c r="CN1878" s="48">
        <v>0</v>
      </c>
      <c r="CO1878" s="45" t="str">
        <v>Nothing</v>
      </c>
      <c r="CP1878" s="61"/>
      <c r="CQ1878" s="45">
        <v>1874</v>
      </c>
      <c r="CR1878" s="45">
        <v>24.555363245530334</v>
      </c>
      <c r="CS1878" s="45" t="str">
        <v>Invest</v>
      </c>
      <c r="CT1878" s="61"/>
      <c r="CU1878" s="45">
        <v>1874</v>
      </c>
      <c r="CV1878" s="45">
        <v>16.426200773482812</v>
      </c>
      <c r="CW1878" s="45" t="str">
        <v>Invest</v>
      </c>
      <c r="CX1878" s="61"/>
      <c r="CY1878" s="45">
        <v>1874</v>
      </c>
      <c r="CZ1878" s="45">
        <v>43.192031138616635</v>
      </c>
      <c r="DA1878" s="45" t="str">
        <v>Invest</v>
      </c>
      <c r="DU1878" s="52"/>
      <c r="DV1878" s="50"/>
    </row>
    <row r="1879" spans="91:126" ht="23.5">
      <c r="CM1879" s="45">
        <v>1875</v>
      </c>
      <c r="CN1879" s="48">
        <v>20.942474415946329</v>
      </c>
      <c r="CO1879" s="45" t="str">
        <v>Invest</v>
      </c>
      <c r="CP1879" s="61"/>
      <c r="CQ1879" s="45">
        <v>1875</v>
      </c>
      <c r="CR1879" s="45">
        <v>12.171616085363583</v>
      </c>
      <c r="CS1879" s="45" t="str">
        <v>Invest</v>
      </c>
      <c r="CT1879" s="61"/>
      <c r="CU1879" s="45">
        <v>1875</v>
      </c>
      <c r="CV1879" s="45">
        <v>27.887796459361837</v>
      </c>
      <c r="CW1879" s="45" t="str">
        <v>Invest</v>
      </c>
      <c r="CX1879" s="61"/>
      <c r="CY1879" s="45">
        <v>1875</v>
      </c>
      <c r="CZ1879" s="45">
        <v>35.947808046967033</v>
      </c>
      <c r="DA1879" s="45" t="str">
        <v>Invest</v>
      </c>
      <c r="DU1879" s="52"/>
      <c r="DV1879" s="50"/>
    </row>
    <row r="1880" spans="91:126" ht="23.5">
      <c r="CM1880" s="45">
        <v>1876</v>
      </c>
      <c r="CN1880" s="48">
        <v>4.6995099118696313</v>
      </c>
      <c r="CO1880" s="45" t="str">
        <v>Invest</v>
      </c>
      <c r="CP1880" s="61"/>
      <c r="CQ1880" s="45">
        <v>1876</v>
      </c>
      <c r="CR1880" s="45">
        <v>2.4588012381520841</v>
      </c>
      <c r="CS1880" s="45" t="str">
        <v>Invest</v>
      </c>
      <c r="CT1880" s="61"/>
      <c r="CU1880" s="45">
        <v>1876</v>
      </c>
      <c r="CV1880" s="45">
        <v>8.37684880476837</v>
      </c>
      <c r="CW1880" s="45" t="str">
        <v>Invest</v>
      </c>
      <c r="CX1880" s="61"/>
      <c r="CY1880" s="45">
        <v>1876</v>
      </c>
      <c r="CZ1880" s="45">
        <v>30.39850976363191</v>
      </c>
      <c r="DA1880" s="45" t="str">
        <v>Invest</v>
      </c>
      <c r="DU1880" s="52"/>
      <c r="DV1880" s="50"/>
    </row>
    <row r="1881" spans="91:126" ht="23.5">
      <c r="CM1881" s="45">
        <v>1877</v>
      </c>
      <c r="CN1881" s="48">
        <v>29.404735192119396</v>
      </c>
      <c r="CO1881" s="45" t="str">
        <v>Invest</v>
      </c>
      <c r="CP1881" s="61"/>
      <c r="CQ1881" s="45">
        <v>1877</v>
      </c>
      <c r="CR1881" s="45">
        <v>32.253543028517448</v>
      </c>
      <c r="CS1881" s="45" t="str">
        <v>Invest</v>
      </c>
      <c r="CT1881" s="61"/>
      <c r="CU1881" s="45">
        <v>1877</v>
      </c>
      <c r="CV1881" s="45">
        <v>25.334014702380536</v>
      </c>
      <c r="CW1881" s="45" t="str">
        <v>Invest</v>
      </c>
      <c r="CX1881" s="61"/>
      <c r="CY1881" s="45">
        <v>1877</v>
      </c>
      <c r="CZ1881" s="45">
        <v>34.608527584379097</v>
      </c>
      <c r="DA1881" s="45" t="str">
        <v>Invest</v>
      </c>
      <c r="DU1881" s="52"/>
      <c r="DV1881" s="50"/>
    </row>
    <row r="1882" spans="91:126" ht="23.5">
      <c r="CM1882" s="45">
        <v>1878</v>
      </c>
      <c r="CN1882" s="48">
        <v>0</v>
      </c>
      <c r="CO1882" s="45" t="str">
        <v>Nothing</v>
      </c>
      <c r="CP1882" s="61"/>
      <c r="CQ1882" s="45">
        <v>1878</v>
      </c>
      <c r="CR1882" s="45">
        <v>0.67383437651457001</v>
      </c>
      <c r="CS1882" s="45" t="str">
        <v>Invest</v>
      </c>
      <c r="CT1882" s="61"/>
      <c r="CU1882" s="45">
        <v>1878</v>
      </c>
      <c r="CV1882" s="45">
        <v>22.95569328198615</v>
      </c>
      <c r="CW1882" s="45" t="str">
        <v>Invest</v>
      </c>
      <c r="CX1882" s="61"/>
      <c r="CY1882" s="45">
        <v>1878</v>
      </c>
      <c r="CZ1882" s="45">
        <v>0</v>
      </c>
      <c r="DA1882" s="45" t="str">
        <v>Nothing</v>
      </c>
      <c r="DU1882" s="52"/>
      <c r="DV1882" s="50"/>
    </row>
    <row r="1883" spans="91:126" ht="23.5">
      <c r="CM1883" s="45">
        <v>1879</v>
      </c>
      <c r="CN1883" s="48">
        <v>12.204749143874562</v>
      </c>
      <c r="CO1883" s="45" t="str">
        <v>Invest</v>
      </c>
      <c r="CP1883" s="61"/>
      <c r="CQ1883" s="45">
        <v>1879</v>
      </c>
      <c r="CR1883" s="45">
        <v>4.3745561271094431</v>
      </c>
      <c r="CS1883" s="45" t="str">
        <v>Invest</v>
      </c>
      <c r="CT1883" s="61"/>
      <c r="CU1883" s="45">
        <v>1879</v>
      </c>
      <c r="CV1883" s="45">
        <v>53.162485334487798</v>
      </c>
      <c r="CW1883" s="45" t="str">
        <v>Invest</v>
      </c>
      <c r="CX1883" s="61"/>
      <c r="CY1883" s="45">
        <v>1879</v>
      </c>
      <c r="CZ1883" s="45">
        <v>41.822755687834778</v>
      </c>
      <c r="DA1883" s="45" t="str">
        <v>Invest</v>
      </c>
      <c r="DU1883" s="52"/>
      <c r="DV1883" s="50"/>
    </row>
    <row r="1884" spans="91:126" ht="23.5">
      <c r="CM1884" s="45">
        <v>1880</v>
      </c>
      <c r="CN1884" s="48">
        <v>36.25592509563603</v>
      </c>
      <c r="CO1884" s="45" t="str">
        <v>Invest</v>
      </c>
      <c r="CP1884" s="61"/>
      <c r="CQ1884" s="45">
        <v>1880</v>
      </c>
      <c r="CR1884" s="45">
        <v>34.361185968343364</v>
      </c>
      <c r="CS1884" s="45" t="str">
        <v>Invest</v>
      </c>
      <c r="CT1884" s="61"/>
      <c r="CU1884" s="45">
        <v>1880</v>
      </c>
      <c r="CV1884" s="45">
        <v>1.2999563306651769</v>
      </c>
      <c r="CW1884" s="45" t="str">
        <v>Invest</v>
      </c>
      <c r="CX1884" s="61"/>
      <c r="CY1884" s="45">
        <v>1880</v>
      </c>
      <c r="CZ1884" s="45">
        <v>11.907826511972383</v>
      </c>
      <c r="DA1884" s="45" t="str">
        <v>Invest</v>
      </c>
      <c r="DU1884" s="52"/>
      <c r="DV1884" s="50"/>
    </row>
    <row r="1885" spans="91:126" ht="23.5">
      <c r="CM1885" s="45">
        <v>1881</v>
      </c>
      <c r="CN1885" s="48">
        <v>12.293243429287566</v>
      </c>
      <c r="CO1885" s="45" t="str">
        <v>Invest</v>
      </c>
      <c r="CP1885" s="61"/>
      <c r="CQ1885" s="45">
        <v>1881</v>
      </c>
      <c r="CR1885" s="45">
        <v>0</v>
      </c>
      <c r="CS1885" s="45" t="str">
        <v>Nothing</v>
      </c>
      <c r="CT1885" s="61"/>
      <c r="CU1885" s="45">
        <v>1881</v>
      </c>
      <c r="CV1885" s="45">
        <v>0</v>
      </c>
      <c r="CW1885" s="45" t="str">
        <v>Nothing</v>
      </c>
      <c r="CX1885" s="61"/>
      <c r="CY1885" s="45">
        <v>1881</v>
      </c>
      <c r="CZ1885" s="45">
        <v>8.0739973054763432</v>
      </c>
      <c r="DA1885" s="45" t="str">
        <v>Invest</v>
      </c>
      <c r="DU1885" s="52"/>
      <c r="DV1885" s="50"/>
    </row>
    <row r="1886" spans="91:126" ht="23.5">
      <c r="CM1886" s="45">
        <v>1882</v>
      </c>
      <c r="CN1886" s="48">
        <v>0</v>
      </c>
      <c r="CO1886" s="45" t="str">
        <v>Nothing</v>
      </c>
      <c r="CP1886" s="61"/>
      <c r="CQ1886" s="45">
        <v>1882</v>
      </c>
      <c r="CR1886" s="45">
        <v>34.116028291821678</v>
      </c>
      <c r="CS1886" s="45" t="str">
        <v>Invest</v>
      </c>
      <c r="CT1886" s="61"/>
      <c r="CU1886" s="45">
        <v>1882</v>
      </c>
      <c r="CV1886" s="45">
        <v>5.4893793300926994</v>
      </c>
      <c r="CW1886" s="45" t="str">
        <v>Invest</v>
      </c>
      <c r="CX1886" s="61"/>
      <c r="CY1886" s="45">
        <v>1882</v>
      </c>
      <c r="CZ1886" s="45">
        <v>2.2835158334443975</v>
      </c>
      <c r="DA1886" s="45" t="str">
        <v>Invest</v>
      </c>
      <c r="DU1886" s="52"/>
      <c r="DV1886" s="50"/>
    </row>
    <row r="1887" spans="91:126" ht="23.5">
      <c r="CM1887" s="45">
        <v>1883</v>
      </c>
      <c r="CN1887" s="48">
        <v>0</v>
      </c>
      <c r="CO1887" s="45" t="str">
        <v>Nothing</v>
      </c>
      <c r="CP1887" s="61"/>
      <c r="CQ1887" s="45">
        <v>1883</v>
      </c>
      <c r="CR1887" s="45">
        <v>0</v>
      </c>
      <c r="CS1887" s="45" t="str">
        <v>Nothing</v>
      </c>
      <c r="CT1887" s="61"/>
      <c r="CU1887" s="45">
        <v>1883</v>
      </c>
      <c r="CV1887" s="45">
        <v>0</v>
      </c>
      <c r="CW1887" s="45" t="str">
        <v>Nothing</v>
      </c>
      <c r="CX1887" s="61"/>
      <c r="CY1887" s="45">
        <v>1883</v>
      </c>
      <c r="CZ1887" s="45">
        <v>38.300825804433046</v>
      </c>
      <c r="DA1887" s="45" t="str">
        <v>Invest</v>
      </c>
      <c r="DU1887" s="52"/>
      <c r="DV1887" s="50"/>
    </row>
    <row r="1888" spans="91:126" ht="23.5">
      <c r="CM1888" s="45">
        <v>1884</v>
      </c>
      <c r="CN1888" s="48">
        <v>12.950307772667802</v>
      </c>
      <c r="CO1888" s="45" t="str">
        <v>Invest</v>
      </c>
      <c r="CP1888" s="61"/>
      <c r="CQ1888" s="45">
        <v>1884</v>
      </c>
      <c r="CR1888" s="45">
        <v>20.407402189661134</v>
      </c>
      <c r="CS1888" s="45" t="str">
        <v>Invest</v>
      </c>
      <c r="CT1888" s="61"/>
      <c r="CU1888" s="45">
        <v>1884</v>
      </c>
      <c r="CV1888" s="45">
        <v>37.9330017170006</v>
      </c>
      <c r="CW1888" s="45" t="str">
        <v>Invest</v>
      </c>
      <c r="CX1888" s="61"/>
      <c r="CY1888" s="45">
        <v>1884</v>
      </c>
      <c r="CZ1888" s="45">
        <v>21.346129473827954</v>
      </c>
      <c r="DA1888" s="45" t="str">
        <v>Invest</v>
      </c>
      <c r="DU1888" s="52"/>
      <c r="DV1888" s="50"/>
    </row>
    <row r="1889" spans="91:126" ht="23.5">
      <c r="CM1889" s="45">
        <v>1885</v>
      </c>
      <c r="CN1889" s="48">
        <v>35.777679346624332</v>
      </c>
      <c r="CO1889" s="45" t="str">
        <v>Invest</v>
      </c>
      <c r="CP1889" s="61"/>
      <c r="CQ1889" s="45">
        <v>1885</v>
      </c>
      <c r="CR1889" s="45">
        <v>15.073388042417786</v>
      </c>
      <c r="CS1889" s="45" t="str">
        <v>Invest</v>
      </c>
      <c r="CT1889" s="61"/>
      <c r="CU1889" s="45">
        <v>1885</v>
      </c>
      <c r="CV1889" s="45">
        <v>41.613810341407628</v>
      </c>
      <c r="CW1889" s="45" t="str">
        <v>Invest</v>
      </c>
      <c r="CX1889" s="61"/>
      <c r="CY1889" s="45">
        <v>1885</v>
      </c>
      <c r="CZ1889" s="45">
        <v>0</v>
      </c>
      <c r="DA1889" s="45" t="str">
        <v>Nothing</v>
      </c>
      <c r="DU1889" s="52"/>
      <c r="DV1889" s="50"/>
    </row>
    <row r="1890" spans="91:126" ht="23.5">
      <c r="CM1890" s="45">
        <v>1886</v>
      </c>
      <c r="CN1890" s="48">
        <v>12.155298652298772</v>
      </c>
      <c r="CO1890" s="45" t="str">
        <v>Invest</v>
      </c>
      <c r="CP1890" s="61"/>
      <c r="CQ1890" s="45">
        <v>1886</v>
      </c>
      <c r="CR1890" s="45">
        <v>3.1944703466303386</v>
      </c>
      <c r="CS1890" s="45" t="str">
        <v>Invest</v>
      </c>
      <c r="CT1890" s="61"/>
      <c r="CU1890" s="45">
        <v>1886</v>
      </c>
      <c r="CV1890" s="45">
        <v>23.959481409780299</v>
      </c>
      <c r="CW1890" s="45" t="str">
        <v>Invest</v>
      </c>
      <c r="CX1890" s="61"/>
      <c r="CY1890" s="45">
        <v>1886</v>
      </c>
      <c r="CZ1890" s="45">
        <v>0</v>
      </c>
      <c r="DA1890" s="45" t="str">
        <v>Nothing</v>
      </c>
      <c r="DU1890" s="52"/>
      <c r="DV1890" s="50"/>
    </row>
    <row r="1891" spans="91:126" ht="23.5">
      <c r="CM1891" s="45">
        <v>1887</v>
      </c>
      <c r="CN1891" s="48">
        <v>22.080177082384449</v>
      </c>
      <c r="CO1891" s="45" t="str">
        <v>Invest</v>
      </c>
      <c r="CP1891" s="61"/>
      <c r="CQ1891" s="45">
        <v>1887</v>
      </c>
      <c r="CR1891" s="45">
        <v>2.3530928980324219</v>
      </c>
      <c r="CS1891" s="45" t="str">
        <v>Invest</v>
      </c>
      <c r="CT1891" s="61"/>
      <c r="CU1891" s="45">
        <v>1887</v>
      </c>
      <c r="CV1891" s="45">
        <v>17.556203239372149</v>
      </c>
      <c r="CW1891" s="45" t="str">
        <v>Invest</v>
      </c>
      <c r="CX1891" s="61"/>
      <c r="CY1891" s="45">
        <v>1887</v>
      </c>
      <c r="CZ1891" s="45">
        <v>30.133228732980854</v>
      </c>
      <c r="DA1891" s="45" t="str">
        <v>Invest</v>
      </c>
      <c r="DU1891" s="52"/>
      <c r="DV1891" s="50"/>
    </row>
    <row r="1892" spans="91:126" ht="23.5">
      <c r="CM1892" s="45">
        <v>1888</v>
      </c>
      <c r="CN1892" s="48">
        <v>1.5063055973978372</v>
      </c>
      <c r="CO1892" s="45" t="str">
        <v>Invest</v>
      </c>
      <c r="CP1892" s="61"/>
      <c r="CQ1892" s="45">
        <v>1888</v>
      </c>
      <c r="CR1892" s="45">
        <v>0</v>
      </c>
      <c r="CS1892" s="45" t="str">
        <v>Nothing</v>
      </c>
      <c r="CT1892" s="61"/>
      <c r="CU1892" s="45">
        <v>1888</v>
      </c>
      <c r="CV1892" s="45">
        <v>0</v>
      </c>
      <c r="CW1892" s="45" t="str">
        <v>Nothing</v>
      </c>
      <c r="CX1892" s="61"/>
      <c r="CY1892" s="45">
        <v>1888</v>
      </c>
      <c r="CZ1892" s="45">
        <v>28.372590600595618</v>
      </c>
      <c r="DA1892" s="45" t="str">
        <v>Invest</v>
      </c>
      <c r="DU1892" s="52"/>
      <c r="DV1892" s="50"/>
    </row>
    <row r="1893" spans="91:126" ht="23.5">
      <c r="CM1893" s="45">
        <v>1889</v>
      </c>
      <c r="CN1893" s="48">
        <v>45.170594007374582</v>
      </c>
      <c r="CO1893" s="45" t="str">
        <v>Invest</v>
      </c>
      <c r="CP1893" s="61"/>
      <c r="CQ1893" s="45">
        <v>1889</v>
      </c>
      <c r="CR1893" s="45">
        <v>14.395997342726334</v>
      </c>
      <c r="CS1893" s="45" t="str">
        <v>Invest</v>
      </c>
      <c r="CT1893" s="61"/>
      <c r="CU1893" s="45">
        <v>1889</v>
      </c>
      <c r="CV1893" s="45">
        <v>28.957331853677236</v>
      </c>
      <c r="CW1893" s="45" t="str">
        <v>Invest</v>
      </c>
      <c r="CX1893" s="61"/>
      <c r="CY1893" s="45">
        <v>1889</v>
      </c>
      <c r="CZ1893" s="45">
        <v>12.971489606741144</v>
      </c>
      <c r="DA1893" s="45" t="str">
        <v>Invest</v>
      </c>
      <c r="DU1893" s="52"/>
      <c r="DV1893" s="50"/>
    </row>
    <row r="1894" spans="91:126" ht="23.5">
      <c r="CM1894" s="45">
        <v>1890</v>
      </c>
      <c r="CN1894" s="48">
        <v>14.826781273882936</v>
      </c>
      <c r="CO1894" s="45" t="str">
        <v>Invest</v>
      </c>
      <c r="CP1894" s="61"/>
      <c r="CQ1894" s="45">
        <v>1890</v>
      </c>
      <c r="CR1894" s="45">
        <v>38.215232675904169</v>
      </c>
      <c r="CS1894" s="45" t="str">
        <v>Invest</v>
      </c>
      <c r="CT1894" s="61"/>
      <c r="CU1894" s="45">
        <v>1890</v>
      </c>
      <c r="CV1894" s="45">
        <v>37.891204823940846</v>
      </c>
      <c r="CW1894" s="45" t="str">
        <v>Invest</v>
      </c>
      <c r="CX1894" s="61"/>
      <c r="CY1894" s="45">
        <v>1890</v>
      </c>
      <c r="CZ1894" s="45">
        <v>0</v>
      </c>
      <c r="DA1894" s="45" t="str">
        <v>Nothing</v>
      </c>
      <c r="DU1894" s="52"/>
      <c r="DV1894" s="50"/>
    </row>
    <row r="1895" spans="91:126" ht="23.5">
      <c r="CM1895" s="45">
        <v>1891</v>
      </c>
      <c r="CN1895" s="48">
        <v>0</v>
      </c>
      <c r="CO1895" s="45" t="str">
        <v>Nothing</v>
      </c>
      <c r="CP1895" s="61"/>
      <c r="CQ1895" s="45">
        <v>1891</v>
      </c>
      <c r="CR1895" s="45">
        <v>25.528102105570024</v>
      </c>
      <c r="CS1895" s="45" t="str">
        <v>Invest</v>
      </c>
      <c r="CT1895" s="61"/>
      <c r="CU1895" s="45">
        <v>1891</v>
      </c>
      <c r="CV1895" s="45">
        <v>0</v>
      </c>
      <c r="CW1895" s="45" t="str">
        <v>Nothing</v>
      </c>
      <c r="CX1895" s="61"/>
      <c r="CY1895" s="45">
        <v>1891</v>
      </c>
      <c r="CZ1895" s="45">
        <v>15.199044453245278</v>
      </c>
      <c r="DA1895" s="45" t="str">
        <v>Invest</v>
      </c>
      <c r="DU1895" s="52"/>
      <c r="DV1895" s="50"/>
    </row>
    <row r="1896" spans="91:126" ht="23.5">
      <c r="CM1896" s="45">
        <v>1892</v>
      </c>
      <c r="CN1896" s="48">
        <v>0</v>
      </c>
      <c r="CO1896" s="45" t="str">
        <v>Nothing</v>
      </c>
      <c r="CP1896" s="61"/>
      <c r="CQ1896" s="45">
        <v>1892</v>
      </c>
      <c r="CR1896" s="45">
        <v>14.306735358663685</v>
      </c>
      <c r="CS1896" s="45" t="str">
        <v>Invest</v>
      </c>
      <c r="CT1896" s="61"/>
      <c r="CU1896" s="45">
        <v>1892</v>
      </c>
      <c r="CV1896" s="45">
        <v>0</v>
      </c>
      <c r="CW1896" s="45" t="str">
        <v>Nothing</v>
      </c>
      <c r="CX1896" s="61"/>
      <c r="CY1896" s="45">
        <v>1892</v>
      </c>
      <c r="CZ1896" s="45">
        <v>20.139364449752772</v>
      </c>
      <c r="DA1896" s="45" t="str">
        <v>Invest</v>
      </c>
      <c r="DU1896" s="52"/>
      <c r="DV1896" s="50"/>
    </row>
    <row r="1897" spans="91:126" ht="23.5">
      <c r="CM1897" s="45">
        <v>1893</v>
      </c>
      <c r="CN1897" s="48">
        <v>12.606224517372054</v>
      </c>
      <c r="CO1897" s="45" t="str">
        <v>Invest</v>
      </c>
      <c r="CP1897" s="61"/>
      <c r="CQ1897" s="45">
        <v>1893</v>
      </c>
      <c r="CR1897" s="45">
        <v>0</v>
      </c>
      <c r="CS1897" s="45" t="str">
        <v>Nothing</v>
      </c>
      <c r="CT1897" s="61"/>
      <c r="CU1897" s="45">
        <v>1893</v>
      </c>
      <c r="CV1897" s="45">
        <v>0</v>
      </c>
      <c r="CW1897" s="45" t="str">
        <v>Nothing</v>
      </c>
      <c r="CX1897" s="61"/>
      <c r="CY1897" s="45">
        <v>1893</v>
      </c>
      <c r="CZ1897" s="45">
        <v>45.902313662197798</v>
      </c>
      <c r="DA1897" s="45" t="str">
        <v>Invest</v>
      </c>
      <c r="DU1897" s="52"/>
      <c r="DV1897" s="50"/>
    </row>
    <row r="1898" spans="91:126" ht="23.5">
      <c r="CM1898" s="45">
        <v>1894</v>
      </c>
      <c r="CN1898" s="48">
        <v>0</v>
      </c>
      <c r="CO1898" s="45" t="str">
        <v>Nothing</v>
      </c>
      <c r="CP1898" s="61"/>
      <c r="CQ1898" s="45">
        <v>1894</v>
      </c>
      <c r="CR1898" s="45">
        <v>1.2490068010601423</v>
      </c>
      <c r="CS1898" s="45" t="str">
        <v>Invest</v>
      </c>
      <c r="CT1898" s="61"/>
      <c r="CU1898" s="45">
        <v>1894</v>
      </c>
      <c r="CV1898" s="45">
        <v>11.927541030927269</v>
      </c>
      <c r="CW1898" s="45" t="str">
        <v>Invest</v>
      </c>
      <c r="CX1898" s="61"/>
      <c r="CY1898" s="45">
        <v>1894</v>
      </c>
      <c r="CZ1898" s="45">
        <v>15.884962479360887</v>
      </c>
      <c r="DA1898" s="45" t="str">
        <v>Invest</v>
      </c>
      <c r="DU1898" s="52"/>
      <c r="DV1898" s="50"/>
    </row>
    <row r="1899" spans="91:126" ht="23.5">
      <c r="CM1899" s="45">
        <v>1895</v>
      </c>
      <c r="CN1899" s="48">
        <v>45.924763815393568</v>
      </c>
      <c r="CO1899" s="45" t="str">
        <v>Invest</v>
      </c>
      <c r="CP1899" s="61"/>
      <c r="CQ1899" s="45">
        <v>1895</v>
      </c>
      <c r="CR1899" s="45">
        <v>39.344569012096358</v>
      </c>
      <c r="CS1899" s="45" t="str">
        <v>Invest</v>
      </c>
      <c r="CT1899" s="61"/>
      <c r="CU1899" s="45">
        <v>1895</v>
      </c>
      <c r="CV1899" s="45">
        <v>0</v>
      </c>
      <c r="CW1899" s="45" t="str">
        <v>Nothing</v>
      </c>
      <c r="CX1899" s="61"/>
      <c r="CY1899" s="45">
        <v>1895</v>
      </c>
      <c r="CZ1899" s="45">
        <v>0</v>
      </c>
      <c r="DA1899" s="45" t="str">
        <v>Nothing</v>
      </c>
      <c r="DU1899" s="52"/>
      <c r="DV1899" s="50"/>
    </row>
    <row r="1900" spans="91:126" ht="23.5">
      <c r="CM1900" s="45">
        <v>1896</v>
      </c>
      <c r="CN1900" s="48">
        <v>4.2540575056136056</v>
      </c>
      <c r="CO1900" s="45" t="str">
        <v>Invest</v>
      </c>
      <c r="CP1900" s="61"/>
      <c r="CQ1900" s="45">
        <v>1896</v>
      </c>
      <c r="CR1900" s="45">
        <v>0</v>
      </c>
      <c r="CS1900" s="45" t="str">
        <v>Nothing</v>
      </c>
      <c r="CT1900" s="61"/>
      <c r="CU1900" s="45">
        <v>1896</v>
      </c>
      <c r="CV1900" s="45">
        <v>38.155603438283819</v>
      </c>
      <c r="CW1900" s="45" t="str">
        <v>Invest</v>
      </c>
      <c r="CX1900" s="61"/>
      <c r="CY1900" s="45">
        <v>1896</v>
      </c>
      <c r="CZ1900" s="45">
        <v>40.281422702862997</v>
      </c>
      <c r="DA1900" s="45" t="str">
        <v>Invest</v>
      </c>
      <c r="DU1900" s="52"/>
      <c r="DV1900" s="50"/>
    </row>
    <row r="1901" spans="91:126" ht="23.5">
      <c r="CM1901" s="45">
        <v>1897</v>
      </c>
      <c r="CN1901" s="48">
        <v>7.9923994019465354</v>
      </c>
      <c r="CO1901" s="45" t="str">
        <v>Invest</v>
      </c>
      <c r="CP1901" s="61"/>
      <c r="CQ1901" s="45">
        <v>1897</v>
      </c>
      <c r="CR1901" s="45">
        <v>17.420187134809836</v>
      </c>
      <c r="CS1901" s="45" t="str">
        <v>Invest</v>
      </c>
      <c r="CT1901" s="61"/>
      <c r="CU1901" s="45">
        <v>1897</v>
      </c>
      <c r="CV1901" s="45">
        <v>15.377639992045131</v>
      </c>
      <c r="CW1901" s="45" t="str">
        <v>Invest</v>
      </c>
      <c r="CX1901" s="61"/>
      <c r="CY1901" s="45">
        <v>1897</v>
      </c>
      <c r="CZ1901" s="45">
        <v>1.1908617777829447</v>
      </c>
      <c r="DA1901" s="45" t="str">
        <v>Invest</v>
      </c>
      <c r="DU1901" s="52"/>
      <c r="DV1901" s="50"/>
    </row>
    <row r="1902" spans="91:126" ht="23.5">
      <c r="CM1902" s="45">
        <v>1898</v>
      </c>
      <c r="CN1902" s="48">
        <v>0</v>
      </c>
      <c r="CO1902" s="45" t="str">
        <v>Nothing</v>
      </c>
      <c r="CP1902" s="61"/>
      <c r="CQ1902" s="45">
        <v>1898</v>
      </c>
      <c r="CR1902" s="45">
        <v>3.6145971545854576</v>
      </c>
      <c r="CS1902" s="45" t="str">
        <v>Invest</v>
      </c>
      <c r="CT1902" s="61"/>
      <c r="CU1902" s="45">
        <v>1898</v>
      </c>
      <c r="CV1902" s="45">
        <v>44.759798046985367</v>
      </c>
      <c r="CW1902" s="45" t="str">
        <v>Invest</v>
      </c>
      <c r="CX1902" s="61"/>
      <c r="CY1902" s="45">
        <v>1898</v>
      </c>
      <c r="CZ1902" s="45">
        <v>0</v>
      </c>
      <c r="DA1902" s="45" t="str">
        <v>Nothing</v>
      </c>
      <c r="DU1902" s="52"/>
      <c r="DV1902" s="50"/>
    </row>
    <row r="1903" spans="91:126" ht="23.5">
      <c r="CM1903" s="45">
        <v>1899</v>
      </c>
      <c r="CN1903" s="48">
        <v>28.646354453504927</v>
      </c>
      <c r="CO1903" s="45" t="str">
        <v>Invest</v>
      </c>
      <c r="CP1903" s="61"/>
      <c r="CQ1903" s="45">
        <v>1899</v>
      </c>
      <c r="CR1903" s="45">
        <v>0</v>
      </c>
      <c r="CS1903" s="45" t="str">
        <v>Nothing</v>
      </c>
      <c r="CT1903" s="61"/>
      <c r="CU1903" s="45">
        <v>1899</v>
      </c>
      <c r="CV1903" s="45">
        <v>10.587277120522701</v>
      </c>
      <c r="CW1903" s="45" t="str">
        <v>Invest</v>
      </c>
      <c r="CX1903" s="61"/>
      <c r="CY1903" s="45">
        <v>1899</v>
      </c>
      <c r="CZ1903" s="45">
        <v>18.681627658455923</v>
      </c>
      <c r="DA1903" s="45" t="str">
        <v>Invest</v>
      </c>
      <c r="DU1903" s="52"/>
      <c r="DV1903" s="50"/>
    </row>
    <row r="1904" spans="91:126" ht="23.5">
      <c r="CM1904" s="45">
        <v>1900</v>
      </c>
      <c r="CN1904" s="48">
        <v>0</v>
      </c>
      <c r="CO1904" s="45" t="str">
        <v>Nothing</v>
      </c>
      <c r="CP1904" s="61"/>
      <c r="CQ1904" s="45">
        <v>1900</v>
      </c>
      <c r="CR1904" s="45">
        <v>49.003537063017198</v>
      </c>
      <c r="CS1904" s="45" t="str">
        <v>Invest</v>
      </c>
      <c r="CT1904" s="61"/>
      <c r="CU1904" s="45">
        <v>1900</v>
      </c>
      <c r="CV1904" s="45">
        <v>41.923288881740689</v>
      </c>
      <c r="CW1904" s="45" t="str">
        <v>Invest</v>
      </c>
      <c r="CX1904" s="61"/>
      <c r="CY1904" s="45">
        <v>1900</v>
      </c>
      <c r="CZ1904" s="45">
        <v>20.510995442160006</v>
      </c>
      <c r="DA1904" s="45" t="str">
        <v>Invest</v>
      </c>
      <c r="DU1904" s="52"/>
      <c r="DV1904" s="50"/>
    </row>
    <row r="1905" spans="91:126" ht="23.5">
      <c r="CM1905" s="45">
        <v>1901</v>
      </c>
      <c r="CN1905" s="48">
        <v>18.693782176438688</v>
      </c>
      <c r="CO1905" s="45" t="str">
        <v>Invest</v>
      </c>
      <c r="CP1905" s="61"/>
      <c r="CQ1905" s="45">
        <v>1901</v>
      </c>
      <c r="CR1905" s="45">
        <v>27.356754941648102</v>
      </c>
      <c r="CS1905" s="45" t="str">
        <v>Invest</v>
      </c>
      <c r="CT1905" s="61"/>
      <c r="CU1905" s="45">
        <v>1901</v>
      </c>
      <c r="CV1905" s="45">
        <v>6.8466079876676735</v>
      </c>
      <c r="CW1905" s="45" t="str">
        <v>Invest</v>
      </c>
      <c r="CX1905" s="61"/>
      <c r="CY1905" s="45">
        <v>1901</v>
      </c>
      <c r="CZ1905" s="45">
        <v>9.9790370323311208</v>
      </c>
      <c r="DA1905" s="45" t="str">
        <v>Invest</v>
      </c>
      <c r="DU1905" s="52"/>
      <c r="DV1905" s="50"/>
    </row>
    <row r="1906" spans="91:126" ht="23.5">
      <c r="CM1906" s="45">
        <v>1902</v>
      </c>
      <c r="CN1906" s="48">
        <v>10.228688904790936</v>
      </c>
      <c r="CO1906" s="45" t="str">
        <v>Invest</v>
      </c>
      <c r="CP1906" s="61"/>
      <c r="CQ1906" s="45">
        <v>1902</v>
      </c>
      <c r="CR1906" s="45">
        <v>11.961526309340258</v>
      </c>
      <c r="CS1906" s="45" t="str">
        <v>Invest</v>
      </c>
      <c r="CT1906" s="61"/>
      <c r="CU1906" s="45">
        <v>1902</v>
      </c>
      <c r="CV1906" s="45">
        <v>0.19592844025761158</v>
      </c>
      <c r="CW1906" s="45" t="str">
        <v>Invest</v>
      </c>
      <c r="CX1906" s="61"/>
      <c r="CY1906" s="45">
        <v>1902</v>
      </c>
      <c r="CZ1906" s="45">
        <v>0</v>
      </c>
      <c r="DA1906" s="45" t="str">
        <v>Nothing</v>
      </c>
      <c r="DU1906" s="52"/>
      <c r="DV1906" s="50"/>
    </row>
    <row r="1907" spans="91:126" ht="23.5">
      <c r="CM1907" s="45">
        <v>1903</v>
      </c>
      <c r="CN1907" s="48">
        <v>14.60412971071772</v>
      </c>
      <c r="CO1907" s="45" t="str">
        <v>Invest</v>
      </c>
      <c r="CP1907" s="61"/>
      <c r="CQ1907" s="45">
        <v>1903</v>
      </c>
      <c r="CR1907" s="45">
        <v>0</v>
      </c>
      <c r="CS1907" s="45" t="str">
        <v>Nothing</v>
      </c>
      <c r="CT1907" s="61"/>
      <c r="CU1907" s="45">
        <v>1903</v>
      </c>
      <c r="CV1907" s="45">
        <v>19.146073841244824</v>
      </c>
      <c r="CW1907" s="45" t="str">
        <v>Invest</v>
      </c>
      <c r="CX1907" s="61"/>
      <c r="CY1907" s="45">
        <v>1903</v>
      </c>
      <c r="CZ1907" s="45">
        <v>41.337767226474</v>
      </c>
      <c r="DA1907" s="45" t="str">
        <v>Invest</v>
      </c>
      <c r="DU1907" s="52"/>
      <c r="DV1907" s="50"/>
    </row>
    <row r="1908" spans="91:126" ht="23.5">
      <c r="CM1908" s="45">
        <v>1904</v>
      </c>
      <c r="CN1908" s="48">
        <v>29.323293186884051</v>
      </c>
      <c r="CO1908" s="45" t="str">
        <v>Invest</v>
      </c>
      <c r="CP1908" s="61"/>
      <c r="CQ1908" s="45">
        <v>1904</v>
      </c>
      <c r="CR1908" s="45">
        <v>0</v>
      </c>
      <c r="CS1908" s="45" t="str">
        <v>Nothing</v>
      </c>
      <c r="CT1908" s="61"/>
      <c r="CU1908" s="45">
        <v>1904</v>
      </c>
      <c r="CV1908" s="45">
        <v>2.541988439737533</v>
      </c>
      <c r="CW1908" s="45" t="str">
        <v>Invest</v>
      </c>
      <c r="CX1908" s="61"/>
      <c r="CY1908" s="45">
        <v>1904</v>
      </c>
      <c r="CZ1908" s="45">
        <v>59.859249013651805</v>
      </c>
      <c r="DA1908" s="45" t="str">
        <v>Invest</v>
      </c>
      <c r="DU1908" s="52"/>
      <c r="DV1908" s="50"/>
    </row>
    <row r="1909" spans="91:126" ht="23.5">
      <c r="CM1909" s="45">
        <v>1905</v>
      </c>
      <c r="CN1909" s="48">
        <v>42.943155941584791</v>
      </c>
      <c r="CO1909" s="45" t="str">
        <v>Invest</v>
      </c>
      <c r="CP1909" s="61"/>
      <c r="CQ1909" s="45">
        <v>1905</v>
      </c>
      <c r="CR1909" s="45">
        <v>47.936416623748556</v>
      </c>
      <c r="CS1909" s="45" t="str">
        <v>Invest</v>
      </c>
      <c r="CT1909" s="61"/>
      <c r="CU1909" s="45">
        <v>1905</v>
      </c>
      <c r="CV1909" s="45">
        <v>0</v>
      </c>
      <c r="CW1909" s="45" t="str">
        <v>Nothing</v>
      </c>
      <c r="CX1909" s="61"/>
      <c r="CY1909" s="45">
        <v>1905</v>
      </c>
      <c r="CZ1909" s="45">
        <v>12.434096442490391</v>
      </c>
      <c r="DA1909" s="45" t="str">
        <v>Invest</v>
      </c>
      <c r="DU1909" s="52"/>
      <c r="DV1909" s="50"/>
    </row>
    <row r="1910" spans="91:126" ht="23.5">
      <c r="CM1910" s="45">
        <v>1906</v>
      </c>
      <c r="CN1910" s="48">
        <v>0</v>
      </c>
      <c r="CO1910" s="45" t="str">
        <v>Nothing</v>
      </c>
      <c r="CP1910" s="61"/>
      <c r="CQ1910" s="45">
        <v>1906</v>
      </c>
      <c r="CR1910" s="45">
        <v>45.006414309721038</v>
      </c>
      <c r="CS1910" s="45" t="str">
        <v>Invest</v>
      </c>
      <c r="CT1910" s="61"/>
      <c r="CU1910" s="45">
        <v>1906</v>
      </c>
      <c r="CV1910" s="45">
        <v>0</v>
      </c>
      <c r="CW1910" s="45" t="str">
        <v>Nothing</v>
      </c>
      <c r="CX1910" s="61"/>
      <c r="CY1910" s="45">
        <v>1906</v>
      </c>
      <c r="CZ1910" s="45">
        <v>19.933052344175856</v>
      </c>
      <c r="DA1910" s="45" t="str">
        <v>Invest</v>
      </c>
      <c r="DU1910" s="52"/>
      <c r="DV1910" s="50"/>
    </row>
    <row r="1911" spans="91:126" ht="23.5">
      <c r="CM1911" s="45">
        <v>1907</v>
      </c>
      <c r="CN1911" s="48">
        <v>8.6901451347100345</v>
      </c>
      <c r="CO1911" s="45" t="str">
        <v>Invest</v>
      </c>
      <c r="CP1911" s="61"/>
      <c r="CQ1911" s="45">
        <v>1907</v>
      </c>
      <c r="CR1911" s="45">
        <v>0</v>
      </c>
      <c r="CS1911" s="45" t="str">
        <v>Nothing</v>
      </c>
      <c r="CT1911" s="61"/>
      <c r="CU1911" s="45">
        <v>1907</v>
      </c>
      <c r="CV1911" s="45">
        <v>42.166357120892741</v>
      </c>
      <c r="CW1911" s="45" t="str">
        <v>Invest</v>
      </c>
      <c r="CX1911" s="61"/>
      <c r="CY1911" s="45">
        <v>1907</v>
      </c>
      <c r="CZ1911" s="45">
        <v>24.231804924459041</v>
      </c>
      <c r="DA1911" s="45" t="str">
        <v>Invest</v>
      </c>
      <c r="DU1911" s="52"/>
      <c r="DV1911" s="50"/>
    </row>
    <row r="1912" spans="91:126" ht="23.5">
      <c r="CM1912" s="45">
        <v>1908</v>
      </c>
      <c r="CN1912" s="48">
        <v>50.253152851829029</v>
      </c>
      <c r="CO1912" s="45" t="str">
        <v>Invest</v>
      </c>
      <c r="CP1912" s="61"/>
      <c r="CQ1912" s="45">
        <v>1908</v>
      </c>
      <c r="CR1912" s="45">
        <v>39.479324666717588</v>
      </c>
      <c r="CS1912" s="45" t="str">
        <v>Invest</v>
      </c>
      <c r="CT1912" s="61"/>
      <c r="CU1912" s="45">
        <v>1908</v>
      </c>
      <c r="CV1912" s="45">
        <v>0</v>
      </c>
      <c r="CW1912" s="45" t="str">
        <v>Nothing</v>
      </c>
      <c r="CX1912" s="61"/>
      <c r="CY1912" s="45">
        <v>1908</v>
      </c>
      <c r="CZ1912" s="45">
        <v>0</v>
      </c>
      <c r="DA1912" s="45" t="str">
        <v>Nothing</v>
      </c>
      <c r="DU1912" s="52"/>
      <c r="DV1912" s="50"/>
    </row>
    <row r="1913" spans="91:126" ht="23.5">
      <c r="CM1913" s="45">
        <v>1909</v>
      </c>
      <c r="CN1913" s="48">
        <v>10.289423421093478</v>
      </c>
      <c r="CO1913" s="45" t="str">
        <v>Invest</v>
      </c>
      <c r="CP1913" s="61"/>
      <c r="CQ1913" s="45">
        <v>1909</v>
      </c>
      <c r="CR1913" s="45">
        <v>0</v>
      </c>
      <c r="CS1913" s="45" t="str">
        <v>Nothing</v>
      </c>
      <c r="CT1913" s="61"/>
      <c r="CU1913" s="45">
        <v>1909</v>
      </c>
      <c r="CV1913" s="45">
        <v>62.685412114450173</v>
      </c>
      <c r="CW1913" s="45" t="str">
        <v>Invest</v>
      </c>
      <c r="CX1913" s="61"/>
      <c r="CY1913" s="45">
        <v>1909</v>
      </c>
      <c r="CZ1913" s="45">
        <v>8.2217793494258231</v>
      </c>
      <c r="DA1913" s="45" t="str">
        <v>Invest</v>
      </c>
      <c r="DU1913" s="52"/>
      <c r="DV1913" s="50"/>
    </row>
    <row r="1914" spans="91:126" ht="23.5">
      <c r="CM1914" s="45">
        <v>1910</v>
      </c>
      <c r="CN1914" s="48">
        <v>0.22708180477305362</v>
      </c>
      <c r="CO1914" s="45" t="str">
        <v>Invest</v>
      </c>
      <c r="CP1914" s="61"/>
      <c r="CQ1914" s="45">
        <v>1910</v>
      </c>
      <c r="CR1914" s="45">
        <v>0</v>
      </c>
      <c r="CS1914" s="45" t="str">
        <v>Nothing</v>
      </c>
      <c r="CT1914" s="61"/>
      <c r="CU1914" s="45">
        <v>1910</v>
      </c>
      <c r="CV1914" s="45">
        <v>30.838049062537337</v>
      </c>
      <c r="CW1914" s="45" t="str">
        <v>Invest</v>
      </c>
      <c r="CX1914" s="61"/>
      <c r="CY1914" s="45">
        <v>1910</v>
      </c>
      <c r="CZ1914" s="45">
        <v>17.849680657129753</v>
      </c>
      <c r="DA1914" s="45" t="str">
        <v>Invest</v>
      </c>
      <c r="DU1914" s="52"/>
      <c r="DV1914" s="50"/>
    </row>
    <row r="1915" spans="91:126" ht="23.5">
      <c r="CM1915" s="45">
        <v>1911</v>
      </c>
      <c r="CN1915" s="48">
        <v>29.189832453488314</v>
      </c>
      <c r="CO1915" s="45" t="str">
        <v>Invest</v>
      </c>
      <c r="CP1915" s="61"/>
      <c r="CQ1915" s="45">
        <v>1911</v>
      </c>
      <c r="CR1915" s="45">
        <v>22.593693742791832</v>
      </c>
      <c r="CS1915" s="45" t="str">
        <v>Invest</v>
      </c>
      <c r="CT1915" s="61"/>
      <c r="CU1915" s="45">
        <v>1911</v>
      </c>
      <c r="CV1915" s="45">
        <v>0</v>
      </c>
      <c r="CW1915" s="45" t="str">
        <v>Nothing</v>
      </c>
      <c r="CX1915" s="61"/>
      <c r="CY1915" s="45">
        <v>1911</v>
      </c>
      <c r="CZ1915" s="45">
        <v>5.7850858761121664</v>
      </c>
      <c r="DA1915" s="45" t="str">
        <v>Invest</v>
      </c>
      <c r="DU1915" s="52"/>
      <c r="DV1915" s="50"/>
    </row>
    <row r="1916" spans="91:126" ht="23.5">
      <c r="CM1916" s="45">
        <v>1912</v>
      </c>
      <c r="CN1916" s="48">
        <v>9.1179796147966403</v>
      </c>
      <c r="CO1916" s="45" t="str">
        <v>Invest</v>
      </c>
      <c r="CP1916" s="61"/>
      <c r="CQ1916" s="45">
        <v>1912</v>
      </c>
      <c r="CR1916" s="45">
        <v>0</v>
      </c>
      <c r="CS1916" s="45" t="str">
        <v>Nothing</v>
      </c>
      <c r="CT1916" s="61"/>
      <c r="CU1916" s="45">
        <v>1912</v>
      </c>
      <c r="CV1916" s="45">
        <v>0</v>
      </c>
      <c r="CW1916" s="45" t="str">
        <v>Nothing</v>
      </c>
      <c r="CX1916" s="61"/>
      <c r="CY1916" s="45">
        <v>1912</v>
      </c>
      <c r="CZ1916" s="45">
        <v>49.789584139911959</v>
      </c>
      <c r="DA1916" s="45" t="str">
        <v>Invest</v>
      </c>
      <c r="DU1916" s="52"/>
      <c r="DV1916" s="50"/>
    </row>
    <row r="1917" spans="91:126" ht="23.5">
      <c r="CM1917" s="45">
        <v>1913</v>
      </c>
      <c r="CN1917" s="48">
        <v>13.669739283587905</v>
      </c>
      <c r="CO1917" s="45" t="str">
        <v>Invest</v>
      </c>
      <c r="CP1917" s="61"/>
      <c r="CQ1917" s="45">
        <v>1913</v>
      </c>
      <c r="CR1917" s="45">
        <v>0</v>
      </c>
      <c r="CS1917" s="45" t="str">
        <v>Nothing</v>
      </c>
      <c r="CT1917" s="61"/>
      <c r="CU1917" s="45">
        <v>1913</v>
      </c>
      <c r="CV1917" s="45">
        <v>28.71195364670875</v>
      </c>
      <c r="CW1917" s="45" t="str">
        <v>Invest</v>
      </c>
      <c r="CX1917" s="61"/>
      <c r="CY1917" s="45">
        <v>1913</v>
      </c>
      <c r="CZ1917" s="45">
        <v>0</v>
      </c>
      <c r="DA1917" s="45" t="str">
        <v>Nothing</v>
      </c>
      <c r="DU1917" s="52"/>
      <c r="DV1917" s="50"/>
    </row>
    <row r="1918" spans="91:126" ht="23.5">
      <c r="CM1918" s="45">
        <v>1914</v>
      </c>
      <c r="CN1918" s="48">
        <v>4.5354508973862977</v>
      </c>
      <c r="CO1918" s="45" t="str">
        <v>Invest</v>
      </c>
      <c r="CP1918" s="61"/>
      <c r="CQ1918" s="45">
        <v>1914</v>
      </c>
      <c r="CR1918" s="45">
        <v>6.646195955694667</v>
      </c>
      <c r="CS1918" s="45" t="str">
        <v>Invest</v>
      </c>
      <c r="CT1918" s="61"/>
      <c r="CU1918" s="45">
        <v>1914</v>
      </c>
      <c r="CV1918" s="45">
        <v>28.717639423726361</v>
      </c>
      <c r="CW1918" s="45" t="str">
        <v>Invest</v>
      </c>
      <c r="CX1918" s="61"/>
      <c r="CY1918" s="45">
        <v>1914</v>
      </c>
      <c r="CZ1918" s="45">
        <v>50.267387100814048</v>
      </c>
      <c r="DA1918" s="45" t="str">
        <v>Invest</v>
      </c>
      <c r="DU1918" s="52"/>
      <c r="DV1918" s="50"/>
    </row>
    <row r="1919" spans="91:126" ht="23.5">
      <c r="CM1919" s="45">
        <v>1915</v>
      </c>
      <c r="CN1919" s="48">
        <v>9.5281683355075124</v>
      </c>
      <c r="CO1919" s="45" t="str">
        <v>Invest</v>
      </c>
      <c r="CP1919" s="61"/>
      <c r="CQ1919" s="45">
        <v>1915</v>
      </c>
      <c r="CR1919" s="45">
        <v>29.508319484306821</v>
      </c>
      <c r="CS1919" s="45" t="str">
        <v>Invest</v>
      </c>
      <c r="CT1919" s="61"/>
      <c r="CU1919" s="45">
        <v>1915</v>
      </c>
      <c r="CV1919" s="45">
        <v>9.4067633836978413</v>
      </c>
      <c r="CW1919" s="45" t="str">
        <v>Invest</v>
      </c>
      <c r="CX1919" s="61"/>
      <c r="CY1919" s="45">
        <v>1915</v>
      </c>
      <c r="CZ1919" s="45">
        <v>0</v>
      </c>
      <c r="DA1919" s="45" t="str">
        <v>Nothing</v>
      </c>
      <c r="DU1919" s="52"/>
      <c r="DV1919" s="50"/>
    </row>
    <row r="1920" spans="91:126" ht="23.5">
      <c r="CM1920" s="45">
        <v>1916</v>
      </c>
      <c r="CN1920" s="48">
        <v>30.393729087238114</v>
      </c>
      <c r="CO1920" s="45" t="str">
        <v>Invest</v>
      </c>
      <c r="CP1920" s="61"/>
      <c r="CQ1920" s="45">
        <v>1916</v>
      </c>
      <c r="CR1920" s="45">
        <v>34.380742943165565</v>
      </c>
      <c r="CS1920" s="45" t="str">
        <v>Invest</v>
      </c>
      <c r="CT1920" s="61"/>
      <c r="CU1920" s="45">
        <v>1916</v>
      </c>
      <c r="CV1920" s="45">
        <v>22.951357169475656</v>
      </c>
      <c r="CW1920" s="45" t="str">
        <v>Invest</v>
      </c>
      <c r="CX1920" s="61"/>
      <c r="CY1920" s="45">
        <v>1916</v>
      </c>
      <c r="CZ1920" s="45">
        <v>50.153172005677504</v>
      </c>
      <c r="DA1920" s="45" t="str">
        <v>Invest</v>
      </c>
      <c r="DU1920" s="52"/>
      <c r="DV1920" s="50"/>
    </row>
    <row r="1921" spans="91:126" ht="23.5">
      <c r="CM1921" s="45">
        <v>1917</v>
      </c>
      <c r="CN1921" s="48">
        <v>0</v>
      </c>
      <c r="CO1921" s="45" t="str">
        <v>Nothing</v>
      </c>
      <c r="CP1921" s="61"/>
      <c r="CQ1921" s="45">
        <v>1917</v>
      </c>
      <c r="CR1921" s="45">
        <v>19.004504435314157</v>
      </c>
      <c r="CS1921" s="45" t="str">
        <v>Invest</v>
      </c>
      <c r="CT1921" s="61"/>
      <c r="CU1921" s="45">
        <v>1917</v>
      </c>
      <c r="CV1921" s="45">
        <v>7.9255233690199969</v>
      </c>
      <c r="CW1921" s="45" t="str">
        <v>Invest</v>
      </c>
      <c r="CX1921" s="61"/>
      <c r="CY1921" s="45">
        <v>1917</v>
      </c>
      <c r="CZ1921" s="45">
        <v>0</v>
      </c>
      <c r="DA1921" s="45" t="str">
        <v>Nothing</v>
      </c>
      <c r="DU1921" s="52"/>
      <c r="DV1921" s="50"/>
    </row>
    <row r="1922" spans="91:126" ht="23.5">
      <c r="CM1922" s="45">
        <v>1918</v>
      </c>
      <c r="CN1922" s="48">
        <v>8.5216488697944897</v>
      </c>
      <c r="CO1922" s="45" t="str">
        <v>Invest</v>
      </c>
      <c r="CP1922" s="61"/>
      <c r="CQ1922" s="45">
        <v>1918</v>
      </c>
      <c r="CR1922" s="45">
        <v>35.426887577823933</v>
      </c>
      <c r="CS1922" s="45" t="str">
        <v>Invest</v>
      </c>
      <c r="CT1922" s="61"/>
      <c r="CU1922" s="45">
        <v>1918</v>
      </c>
      <c r="CV1922" s="45">
        <v>0</v>
      </c>
      <c r="CW1922" s="45" t="str">
        <v>Nothing</v>
      </c>
      <c r="CX1922" s="61"/>
      <c r="CY1922" s="45">
        <v>1918</v>
      </c>
      <c r="CZ1922" s="45">
        <v>15.882165831454</v>
      </c>
      <c r="DA1922" s="45" t="str">
        <v>Invest</v>
      </c>
      <c r="DU1922" s="52"/>
      <c r="DV1922" s="50"/>
    </row>
    <row r="1923" spans="91:126" ht="23.5">
      <c r="CM1923" s="45">
        <v>1919</v>
      </c>
      <c r="CN1923" s="48">
        <v>0</v>
      </c>
      <c r="CO1923" s="45" t="str">
        <v>Nothing</v>
      </c>
      <c r="CP1923" s="61"/>
      <c r="CQ1923" s="45">
        <v>1919</v>
      </c>
      <c r="CR1923" s="45">
        <v>0</v>
      </c>
      <c r="CS1923" s="45" t="str">
        <v>Nothing</v>
      </c>
      <c r="CT1923" s="61"/>
      <c r="CU1923" s="45">
        <v>1919</v>
      </c>
      <c r="CV1923" s="45">
        <v>0</v>
      </c>
      <c r="CW1923" s="45" t="str">
        <v>Nothing</v>
      </c>
      <c r="CX1923" s="61"/>
      <c r="CY1923" s="45">
        <v>1919</v>
      </c>
      <c r="CZ1923" s="45">
        <v>16.010521205172633</v>
      </c>
      <c r="DA1923" s="45" t="str">
        <v>Invest</v>
      </c>
      <c r="DU1923" s="52"/>
      <c r="DV1923" s="50"/>
    </row>
    <row r="1924" spans="91:126" ht="23.5">
      <c r="CM1924" s="45">
        <v>1920</v>
      </c>
      <c r="CN1924" s="48">
        <v>1.1322189576252626</v>
      </c>
      <c r="CO1924" s="45" t="str">
        <v>Invest</v>
      </c>
      <c r="CP1924" s="61"/>
      <c r="CQ1924" s="45">
        <v>1920</v>
      </c>
      <c r="CR1924" s="45">
        <v>36.368251328352017</v>
      </c>
      <c r="CS1924" s="45" t="str">
        <v>Invest</v>
      </c>
      <c r="CT1924" s="61"/>
      <c r="CU1924" s="45">
        <v>1920</v>
      </c>
      <c r="CV1924" s="45">
        <v>0</v>
      </c>
      <c r="CW1924" s="45" t="str">
        <v>Nothing</v>
      </c>
      <c r="CX1924" s="61"/>
      <c r="CY1924" s="45">
        <v>1920</v>
      </c>
      <c r="CZ1924" s="45">
        <v>59.675341494467595</v>
      </c>
      <c r="DA1924" s="45" t="str">
        <v>Invest</v>
      </c>
      <c r="DU1924" s="52"/>
      <c r="DV1924" s="50"/>
    </row>
    <row r="1925" spans="91:126" ht="23.5">
      <c r="CM1925" s="45">
        <v>1921</v>
      </c>
      <c r="CN1925" s="48">
        <v>0</v>
      </c>
      <c r="CO1925" s="45" t="str">
        <v>Nothing</v>
      </c>
      <c r="CP1925" s="61"/>
      <c r="CQ1925" s="45">
        <v>1921</v>
      </c>
      <c r="CR1925" s="45">
        <v>59.767105844479993</v>
      </c>
      <c r="CS1925" s="45" t="str">
        <v>Invest</v>
      </c>
      <c r="CT1925" s="61"/>
      <c r="CU1925" s="45">
        <v>1921</v>
      </c>
      <c r="CV1925" s="45">
        <v>0</v>
      </c>
      <c r="CW1925" s="45" t="str">
        <v>Nothing</v>
      </c>
      <c r="CX1925" s="61"/>
      <c r="CY1925" s="45">
        <v>1921</v>
      </c>
      <c r="CZ1925" s="45">
        <v>21.323335697362776</v>
      </c>
      <c r="DA1925" s="45" t="str">
        <v>Invest</v>
      </c>
      <c r="DU1925" s="52"/>
      <c r="DV1925" s="50"/>
    </row>
    <row r="1926" spans="91:126" ht="23.5">
      <c r="CM1926" s="45">
        <v>1922</v>
      </c>
      <c r="CN1926" s="48">
        <v>7.650370893213732</v>
      </c>
      <c r="CO1926" s="45" t="str">
        <v>Invest</v>
      </c>
      <c r="CP1926" s="61"/>
      <c r="CQ1926" s="45">
        <v>1922</v>
      </c>
      <c r="CR1926" s="45">
        <v>11.537003944382537</v>
      </c>
      <c r="CS1926" s="45" t="str">
        <v>Invest</v>
      </c>
      <c r="CT1926" s="61"/>
      <c r="CU1926" s="45">
        <v>1922</v>
      </c>
      <c r="CV1926" s="45">
        <v>13.576434740980321</v>
      </c>
      <c r="CW1926" s="45" t="str">
        <v>Invest</v>
      </c>
      <c r="CX1926" s="61"/>
      <c r="CY1926" s="45">
        <v>1922</v>
      </c>
      <c r="CZ1926" s="45">
        <v>4.132492551221759</v>
      </c>
      <c r="DA1926" s="45" t="str">
        <v>Invest</v>
      </c>
      <c r="DU1926" s="52"/>
      <c r="DV1926" s="50"/>
    </row>
    <row r="1927" spans="91:126" ht="23.5">
      <c r="CM1927" s="45">
        <v>1923</v>
      </c>
      <c r="CN1927" s="48">
        <v>0</v>
      </c>
      <c r="CO1927" s="45" t="str">
        <v>Nothing</v>
      </c>
      <c r="CP1927" s="61"/>
      <c r="CQ1927" s="45">
        <v>1923</v>
      </c>
      <c r="CR1927" s="45">
        <v>20.201039678093338</v>
      </c>
      <c r="CS1927" s="45" t="str">
        <v>Invest</v>
      </c>
      <c r="CT1927" s="61"/>
      <c r="CU1927" s="45">
        <v>1923</v>
      </c>
      <c r="CV1927" s="45">
        <v>36.629882743720252</v>
      </c>
      <c r="CW1927" s="45" t="str">
        <v>Invest</v>
      </c>
      <c r="CX1927" s="61"/>
      <c r="CY1927" s="45">
        <v>1923</v>
      </c>
      <c r="CZ1927" s="45">
        <v>10.654615628725338</v>
      </c>
      <c r="DA1927" s="45" t="str">
        <v>Invest</v>
      </c>
      <c r="DU1927" s="52"/>
      <c r="DV1927" s="50"/>
    </row>
    <row r="1928" spans="91:126" ht="23.5">
      <c r="CM1928" s="45">
        <v>1924</v>
      </c>
      <c r="CN1928" s="48">
        <v>9.4998138746016672</v>
      </c>
      <c r="CO1928" s="45" t="str">
        <v>Invest</v>
      </c>
      <c r="CP1928" s="61"/>
      <c r="CQ1928" s="45">
        <v>1924</v>
      </c>
      <c r="CR1928" s="45">
        <v>3.8120451584524968</v>
      </c>
      <c r="CS1928" s="45" t="str">
        <v>Invest</v>
      </c>
      <c r="CT1928" s="61"/>
      <c r="CU1928" s="45">
        <v>1924</v>
      </c>
      <c r="CV1928" s="45">
        <v>0</v>
      </c>
      <c r="CW1928" s="45" t="str">
        <v>Nothing</v>
      </c>
      <c r="CX1928" s="61"/>
      <c r="CY1928" s="45">
        <v>1924</v>
      </c>
      <c r="CZ1928" s="45">
        <v>0</v>
      </c>
      <c r="DA1928" s="45" t="str">
        <v>Nothing</v>
      </c>
      <c r="DU1928" s="52"/>
      <c r="DV1928" s="50"/>
    </row>
    <row r="1929" spans="91:126" ht="23.5">
      <c r="CM1929" s="45">
        <v>1925</v>
      </c>
      <c r="CN1929" s="48">
        <v>15.588058291798205</v>
      </c>
      <c r="CO1929" s="45" t="str">
        <v>Invest</v>
      </c>
      <c r="CP1929" s="61"/>
      <c r="CQ1929" s="45">
        <v>1925</v>
      </c>
      <c r="CR1929" s="45">
        <v>38.502952610233123</v>
      </c>
      <c r="CS1929" s="45" t="str">
        <v>Invest</v>
      </c>
      <c r="CT1929" s="61"/>
      <c r="CU1929" s="45">
        <v>1925</v>
      </c>
      <c r="CV1929" s="45">
        <v>7.9396489695758312</v>
      </c>
      <c r="CW1929" s="45" t="str">
        <v>Invest</v>
      </c>
      <c r="CX1929" s="61"/>
      <c r="CY1929" s="45">
        <v>1925</v>
      </c>
      <c r="CZ1929" s="45">
        <v>33.990762415541511</v>
      </c>
      <c r="DA1929" s="45" t="str">
        <v>Invest</v>
      </c>
      <c r="DU1929" s="52"/>
      <c r="DV1929" s="50"/>
    </row>
    <row r="1930" spans="91:126" ht="23.5">
      <c r="CM1930" s="45">
        <v>1926</v>
      </c>
      <c r="CN1930" s="48">
        <v>0</v>
      </c>
      <c r="CO1930" s="45" t="str">
        <v>Nothing</v>
      </c>
      <c r="CP1930" s="61"/>
      <c r="CQ1930" s="45">
        <v>1926</v>
      </c>
      <c r="CR1930" s="45">
        <v>27.661033715676766</v>
      </c>
      <c r="CS1930" s="45" t="str">
        <v>Invest</v>
      </c>
      <c r="CT1930" s="61"/>
      <c r="CU1930" s="45">
        <v>1926</v>
      </c>
      <c r="CV1930" s="45">
        <v>25.337909298227395</v>
      </c>
      <c r="CW1930" s="45" t="str">
        <v>Invest</v>
      </c>
      <c r="CX1930" s="61"/>
      <c r="CY1930" s="45">
        <v>1926</v>
      </c>
      <c r="CZ1930" s="45">
        <v>0</v>
      </c>
      <c r="DA1930" s="45" t="str">
        <v>Nothing</v>
      </c>
      <c r="DU1930" s="52"/>
      <c r="DV1930" s="50"/>
    </row>
    <row r="1931" spans="91:126" ht="23.5">
      <c r="CM1931" s="45">
        <v>1927</v>
      </c>
      <c r="CN1931" s="48">
        <v>0</v>
      </c>
      <c r="CO1931" s="45" t="str">
        <v>Nothing</v>
      </c>
      <c r="CP1931" s="61"/>
      <c r="CQ1931" s="45">
        <v>1927</v>
      </c>
      <c r="CR1931" s="45">
        <v>16.885947280671736</v>
      </c>
      <c r="CS1931" s="45" t="str">
        <v>Invest</v>
      </c>
      <c r="CT1931" s="61"/>
      <c r="CU1931" s="45">
        <v>1927</v>
      </c>
      <c r="CV1931" s="45">
        <v>34.369488628988989</v>
      </c>
      <c r="CW1931" s="45" t="str">
        <v>Invest</v>
      </c>
      <c r="CX1931" s="61"/>
      <c r="CY1931" s="45">
        <v>1927</v>
      </c>
      <c r="CZ1931" s="45">
        <v>4.4130835369252885</v>
      </c>
      <c r="DA1931" s="45" t="str">
        <v>Invest</v>
      </c>
      <c r="DU1931" s="52"/>
      <c r="DV1931" s="50"/>
    </row>
    <row r="1932" spans="91:126" ht="23.5">
      <c r="CM1932" s="45">
        <v>1928</v>
      </c>
      <c r="CN1932" s="48">
        <v>0</v>
      </c>
      <c r="CO1932" s="45" t="str">
        <v>Nothing</v>
      </c>
      <c r="CP1932" s="61"/>
      <c r="CQ1932" s="45">
        <v>1928</v>
      </c>
      <c r="CR1932" s="45">
        <v>0</v>
      </c>
      <c r="CS1932" s="45" t="str">
        <v>Nothing</v>
      </c>
      <c r="CT1932" s="61"/>
      <c r="CU1932" s="45">
        <v>1928</v>
      </c>
      <c r="CV1932" s="45">
        <v>0</v>
      </c>
      <c r="CW1932" s="45" t="str">
        <v>Nothing</v>
      </c>
      <c r="CX1932" s="61"/>
      <c r="CY1932" s="45">
        <v>1928</v>
      </c>
      <c r="CZ1932" s="45">
        <v>3.8971690873022702</v>
      </c>
      <c r="DA1932" s="45" t="str">
        <v>Invest</v>
      </c>
      <c r="DU1932" s="52"/>
      <c r="DV1932" s="50"/>
    </row>
    <row r="1933" spans="91:126" ht="23.5">
      <c r="CM1933" s="45">
        <v>1929</v>
      </c>
      <c r="CN1933" s="48">
        <v>24.442331718439711</v>
      </c>
      <c r="CO1933" s="45" t="str">
        <v>Invest</v>
      </c>
      <c r="CP1933" s="61"/>
      <c r="CQ1933" s="45">
        <v>1929</v>
      </c>
      <c r="CR1933" s="45">
        <v>0</v>
      </c>
      <c r="CS1933" s="45" t="str">
        <v>Nothing</v>
      </c>
      <c r="CT1933" s="61"/>
      <c r="CU1933" s="45">
        <v>1929</v>
      </c>
      <c r="CV1933" s="45">
        <v>0</v>
      </c>
      <c r="CW1933" s="45" t="str">
        <v>Nothing</v>
      </c>
      <c r="CX1933" s="61"/>
      <c r="CY1933" s="45">
        <v>1929</v>
      </c>
      <c r="CZ1933" s="45">
        <v>10.573231423736612</v>
      </c>
      <c r="DA1933" s="45" t="str">
        <v>Invest</v>
      </c>
      <c r="DU1933" s="52"/>
      <c r="DV1933" s="50"/>
    </row>
    <row r="1934" spans="91:126" ht="23.5">
      <c r="CM1934" s="45">
        <v>1930</v>
      </c>
      <c r="CN1934" s="48">
        <v>0</v>
      </c>
      <c r="CO1934" s="45" t="str">
        <v>Nothing</v>
      </c>
      <c r="CP1934" s="61"/>
      <c r="CQ1934" s="45">
        <v>1930</v>
      </c>
      <c r="CR1934" s="45">
        <v>20.664537007619945</v>
      </c>
      <c r="CS1934" s="45" t="str">
        <v>Invest</v>
      </c>
      <c r="CT1934" s="61"/>
      <c r="CU1934" s="45">
        <v>1930</v>
      </c>
      <c r="CV1934" s="45">
        <v>1.9893157342446592</v>
      </c>
      <c r="CW1934" s="45" t="str">
        <v>Invest</v>
      </c>
      <c r="CX1934" s="61"/>
      <c r="CY1934" s="45">
        <v>1930</v>
      </c>
      <c r="CZ1934" s="45">
        <v>23.957543606260813</v>
      </c>
      <c r="DA1934" s="45" t="str">
        <v>Invest</v>
      </c>
      <c r="DU1934" s="52"/>
      <c r="DV1934" s="50"/>
    </row>
    <row r="1935" spans="91:126" ht="23.5">
      <c r="CM1935" s="45">
        <v>1931</v>
      </c>
      <c r="CN1935" s="48">
        <v>0</v>
      </c>
      <c r="CO1935" s="45" t="str">
        <v>Nothing</v>
      </c>
      <c r="CP1935" s="61"/>
      <c r="CQ1935" s="45">
        <v>1931</v>
      </c>
      <c r="CR1935" s="45">
        <v>0</v>
      </c>
      <c r="CS1935" s="45" t="str">
        <v>Nothing</v>
      </c>
      <c r="CT1935" s="61"/>
      <c r="CU1935" s="45">
        <v>1931</v>
      </c>
      <c r="CV1935" s="45">
        <v>31.522064323547895</v>
      </c>
      <c r="CW1935" s="45" t="str">
        <v>Invest</v>
      </c>
      <c r="CX1935" s="61"/>
      <c r="CY1935" s="45">
        <v>1931</v>
      </c>
      <c r="CZ1935" s="45">
        <v>22.731968518214494</v>
      </c>
      <c r="DA1935" s="45" t="str">
        <v>Invest</v>
      </c>
      <c r="DU1935" s="52"/>
      <c r="DV1935" s="50"/>
    </row>
    <row r="1936" spans="91:126" ht="23.5">
      <c r="CM1936" s="45">
        <v>1932</v>
      </c>
      <c r="CN1936" s="48">
        <v>36.160320245701428</v>
      </c>
      <c r="CO1936" s="45" t="str">
        <v>Invest</v>
      </c>
      <c r="CP1936" s="61"/>
      <c r="CQ1936" s="45">
        <v>1932</v>
      </c>
      <c r="CR1936" s="45">
        <v>34.576475502676729</v>
      </c>
      <c r="CS1936" s="45" t="str">
        <v>Invest</v>
      </c>
      <c r="CT1936" s="61"/>
      <c r="CU1936" s="45">
        <v>1932</v>
      </c>
      <c r="CV1936" s="45">
        <v>0</v>
      </c>
      <c r="CW1936" s="45" t="str">
        <v>Nothing</v>
      </c>
      <c r="CX1936" s="61"/>
      <c r="CY1936" s="45">
        <v>1932</v>
      </c>
      <c r="CZ1936" s="45">
        <v>3.2868710691699343</v>
      </c>
      <c r="DA1936" s="45" t="str">
        <v>Invest</v>
      </c>
      <c r="DU1936" s="52"/>
      <c r="DV1936" s="50"/>
    </row>
    <row r="1937" spans="91:126" ht="23.5">
      <c r="CM1937" s="45">
        <v>1933</v>
      </c>
      <c r="CN1937" s="48">
        <v>0</v>
      </c>
      <c r="CO1937" s="45" t="str">
        <v>Nothing</v>
      </c>
      <c r="CP1937" s="61"/>
      <c r="CQ1937" s="45">
        <v>1933</v>
      </c>
      <c r="CR1937" s="45">
        <v>26.082496600732728</v>
      </c>
      <c r="CS1937" s="45" t="str">
        <v>Invest</v>
      </c>
      <c r="CT1937" s="61"/>
      <c r="CU1937" s="45">
        <v>1933</v>
      </c>
      <c r="CV1937" s="45">
        <v>0</v>
      </c>
      <c r="CW1937" s="45" t="str">
        <v>Nothing</v>
      </c>
      <c r="CX1937" s="61"/>
      <c r="CY1937" s="45">
        <v>1933</v>
      </c>
      <c r="CZ1937" s="45">
        <v>9.5951466820297338</v>
      </c>
      <c r="DA1937" s="45" t="str">
        <v>Invest</v>
      </c>
      <c r="DU1937" s="52"/>
      <c r="DV1937" s="50"/>
    </row>
    <row r="1938" spans="91:126" ht="23.5">
      <c r="CM1938" s="45">
        <v>1934</v>
      </c>
      <c r="CN1938" s="48">
        <v>33.563780174602947</v>
      </c>
      <c r="CO1938" s="45" t="str">
        <v>Invest</v>
      </c>
      <c r="CP1938" s="61"/>
      <c r="CQ1938" s="45">
        <v>1934</v>
      </c>
      <c r="CR1938" s="45">
        <v>33.238509071433043</v>
      </c>
      <c r="CS1938" s="45" t="str">
        <v>Invest</v>
      </c>
      <c r="CT1938" s="61"/>
      <c r="CU1938" s="45">
        <v>1934</v>
      </c>
      <c r="CV1938" s="45">
        <v>0</v>
      </c>
      <c r="CW1938" s="45" t="str">
        <v>Nothing</v>
      </c>
      <c r="CX1938" s="61"/>
      <c r="CY1938" s="45">
        <v>1934</v>
      </c>
      <c r="CZ1938" s="45">
        <v>26.814310603948528</v>
      </c>
      <c r="DA1938" s="45" t="str">
        <v>Invest</v>
      </c>
      <c r="DU1938" s="52"/>
      <c r="DV1938" s="50"/>
    </row>
    <row r="1939" spans="91:126" ht="23.5">
      <c r="CM1939" s="45">
        <v>1935</v>
      </c>
      <c r="CN1939" s="48">
        <v>0</v>
      </c>
      <c r="CO1939" s="45" t="str">
        <v>Nothing</v>
      </c>
      <c r="CP1939" s="61"/>
      <c r="CQ1939" s="45">
        <v>1935</v>
      </c>
      <c r="CR1939" s="45">
        <v>43.915705992893422</v>
      </c>
      <c r="CS1939" s="45" t="str">
        <v>Invest</v>
      </c>
      <c r="CT1939" s="61"/>
      <c r="CU1939" s="45">
        <v>1935</v>
      </c>
      <c r="CV1939" s="45">
        <v>53.330713102243422</v>
      </c>
      <c r="CW1939" s="45" t="str">
        <v>Invest</v>
      </c>
      <c r="CX1939" s="61"/>
      <c r="CY1939" s="45">
        <v>1935</v>
      </c>
      <c r="CZ1939" s="45">
        <v>61.999982984289858</v>
      </c>
      <c r="DA1939" s="45" t="str">
        <v>Invest</v>
      </c>
      <c r="DU1939" s="52"/>
      <c r="DV1939" s="50"/>
    </row>
    <row r="1940" spans="91:126" ht="23.5">
      <c r="CM1940" s="45">
        <v>1936</v>
      </c>
      <c r="CN1940" s="48">
        <v>18.309722647727732</v>
      </c>
      <c r="CO1940" s="45" t="str">
        <v>Invest</v>
      </c>
      <c r="CP1940" s="61"/>
      <c r="CQ1940" s="45">
        <v>1936</v>
      </c>
      <c r="CR1940" s="45">
        <v>19.143623660062268</v>
      </c>
      <c r="CS1940" s="45" t="str">
        <v>Invest</v>
      </c>
      <c r="CT1940" s="61"/>
      <c r="CU1940" s="45">
        <v>1936</v>
      </c>
      <c r="CV1940" s="45">
        <v>0</v>
      </c>
      <c r="CW1940" s="45" t="str">
        <v>Nothing</v>
      </c>
      <c r="CX1940" s="61"/>
      <c r="CY1940" s="45">
        <v>1936</v>
      </c>
      <c r="CZ1940" s="45">
        <v>0</v>
      </c>
      <c r="DA1940" s="45" t="str">
        <v>Nothing</v>
      </c>
      <c r="DU1940" s="52"/>
      <c r="DV1940" s="50"/>
    </row>
    <row r="1941" spans="91:126" ht="23.5">
      <c r="CM1941" s="45">
        <v>1937</v>
      </c>
      <c r="CN1941" s="48">
        <v>18.046445880030852</v>
      </c>
      <c r="CO1941" s="45" t="str">
        <v>Invest</v>
      </c>
      <c r="CP1941" s="61"/>
      <c r="CQ1941" s="45">
        <v>1937</v>
      </c>
      <c r="CR1941" s="45">
        <v>15.700840489707687</v>
      </c>
      <c r="CS1941" s="45" t="str">
        <v>Invest</v>
      </c>
      <c r="CT1941" s="61"/>
      <c r="CU1941" s="45">
        <v>1937</v>
      </c>
      <c r="CV1941" s="45">
        <v>18.646797724625358</v>
      </c>
      <c r="CW1941" s="45" t="str">
        <v>Invest</v>
      </c>
      <c r="CX1941" s="61"/>
      <c r="CY1941" s="45">
        <v>1937</v>
      </c>
      <c r="CZ1941" s="45">
        <v>32.062273958569776</v>
      </c>
      <c r="DA1941" s="45" t="str">
        <v>Invest</v>
      </c>
      <c r="DU1941" s="52"/>
      <c r="DV1941" s="50"/>
    </row>
    <row r="1942" spans="91:126" ht="23.5">
      <c r="CM1942" s="45">
        <v>1938</v>
      </c>
      <c r="CN1942" s="48">
        <v>0</v>
      </c>
      <c r="CO1942" s="45" t="str">
        <v>Nothing</v>
      </c>
      <c r="CP1942" s="61"/>
      <c r="CQ1942" s="45">
        <v>1938</v>
      </c>
      <c r="CR1942" s="45">
        <v>9.0482501020077102</v>
      </c>
      <c r="CS1942" s="45" t="str">
        <v>Invest</v>
      </c>
      <c r="CT1942" s="61"/>
      <c r="CU1942" s="45">
        <v>1938</v>
      </c>
      <c r="CV1942" s="45">
        <v>2.8731048423676899</v>
      </c>
      <c r="CW1942" s="45" t="str">
        <v>Invest</v>
      </c>
      <c r="CX1942" s="61"/>
      <c r="CY1942" s="45">
        <v>1938</v>
      </c>
      <c r="CZ1942" s="45">
        <v>0</v>
      </c>
      <c r="DA1942" s="45" t="str">
        <v>Nothing</v>
      </c>
      <c r="DU1942" s="52"/>
      <c r="DV1942" s="50"/>
    </row>
    <row r="1943" spans="91:126" ht="23.5">
      <c r="CM1943" s="45">
        <v>1939</v>
      </c>
      <c r="CN1943" s="48">
        <v>31.543472069351839</v>
      </c>
      <c r="CO1943" s="45" t="str">
        <v>Invest</v>
      </c>
      <c r="CP1943" s="61"/>
      <c r="CQ1943" s="45">
        <v>1939</v>
      </c>
      <c r="CR1943" s="45">
        <v>20.0650054257577</v>
      </c>
      <c r="CS1943" s="45" t="str">
        <v>Invest</v>
      </c>
      <c r="CT1943" s="61"/>
      <c r="CU1943" s="45">
        <v>1939</v>
      </c>
      <c r="CV1943" s="45">
        <v>38.578867655990742</v>
      </c>
      <c r="CW1943" s="45" t="str">
        <v>Invest</v>
      </c>
      <c r="CX1943" s="61"/>
      <c r="CY1943" s="45">
        <v>1939</v>
      </c>
      <c r="CZ1943" s="45">
        <v>14.939591043413019</v>
      </c>
      <c r="DA1943" s="45" t="str">
        <v>Invest</v>
      </c>
      <c r="DU1943" s="52"/>
      <c r="DV1943" s="50"/>
    </row>
    <row r="1944" spans="91:126" ht="23.5">
      <c r="CM1944" s="45">
        <v>1940</v>
      </c>
      <c r="CN1944" s="48">
        <v>2.5635212403807133</v>
      </c>
      <c r="CO1944" s="45" t="str">
        <v>Invest</v>
      </c>
      <c r="CP1944" s="61"/>
      <c r="CQ1944" s="45">
        <v>1940</v>
      </c>
      <c r="CR1944" s="45">
        <v>12.267151444053631</v>
      </c>
      <c r="CS1944" s="45" t="str">
        <v>Invest</v>
      </c>
      <c r="CT1944" s="61"/>
      <c r="CU1944" s="45">
        <v>1940</v>
      </c>
      <c r="CV1944" s="45">
        <v>61.334581313992175</v>
      </c>
      <c r="CW1944" s="45" t="str">
        <v>Invest</v>
      </c>
      <c r="CX1944" s="61"/>
      <c r="CY1944" s="45">
        <v>1940</v>
      </c>
      <c r="CZ1944" s="45">
        <v>0.19835073854122776</v>
      </c>
      <c r="DA1944" s="45" t="str">
        <v>Invest</v>
      </c>
      <c r="DU1944" s="52"/>
      <c r="DV1944" s="50"/>
    </row>
    <row r="1945" spans="91:126" ht="23.5">
      <c r="CM1945" s="45">
        <v>1941</v>
      </c>
      <c r="CN1945" s="48">
        <v>31.336125819597697</v>
      </c>
      <c r="CO1945" s="45" t="str">
        <v>Invest</v>
      </c>
      <c r="CP1945" s="61"/>
      <c r="CQ1945" s="45">
        <v>1941</v>
      </c>
      <c r="CR1945" s="45">
        <v>37.510245599525078</v>
      </c>
      <c r="CS1945" s="45" t="str">
        <v>Invest</v>
      </c>
      <c r="CT1945" s="61"/>
      <c r="CU1945" s="45">
        <v>1941</v>
      </c>
      <c r="CV1945" s="45">
        <v>0</v>
      </c>
      <c r="CW1945" s="45" t="str">
        <v>Nothing</v>
      </c>
      <c r="CX1945" s="61"/>
      <c r="CY1945" s="45">
        <v>1941</v>
      </c>
      <c r="CZ1945" s="45">
        <v>5.733495808957823</v>
      </c>
      <c r="DA1945" s="45" t="str">
        <v>Invest</v>
      </c>
      <c r="DU1945" s="52"/>
      <c r="DV1945" s="50"/>
    </row>
    <row r="1946" spans="91:126" ht="23.5">
      <c r="CM1946" s="45">
        <v>1942</v>
      </c>
      <c r="CN1946" s="48">
        <v>7.2200171459336531</v>
      </c>
      <c r="CO1946" s="45" t="str">
        <v>Invest</v>
      </c>
      <c r="CP1946" s="61"/>
      <c r="CQ1946" s="45">
        <v>1942</v>
      </c>
      <c r="CR1946" s="45">
        <v>23.760726005447371</v>
      </c>
      <c r="CS1946" s="45" t="str">
        <v>Invest</v>
      </c>
      <c r="CT1946" s="61"/>
      <c r="CU1946" s="45">
        <v>1942</v>
      </c>
      <c r="CV1946" s="45">
        <v>0</v>
      </c>
      <c r="CW1946" s="45" t="str">
        <v>Nothing</v>
      </c>
      <c r="CX1946" s="61"/>
      <c r="CY1946" s="45">
        <v>1942</v>
      </c>
      <c r="CZ1946" s="45">
        <v>0</v>
      </c>
      <c r="DA1946" s="45" t="str">
        <v>Nothing</v>
      </c>
      <c r="DU1946" s="52"/>
      <c r="DV1946" s="50"/>
    </row>
    <row r="1947" spans="91:126" ht="23.5">
      <c r="CM1947" s="45">
        <v>1943</v>
      </c>
      <c r="CN1947" s="48">
        <v>30.739471461578265</v>
      </c>
      <c r="CO1947" s="45" t="str">
        <v>Invest</v>
      </c>
      <c r="CP1947" s="61"/>
      <c r="CQ1947" s="45">
        <v>1943</v>
      </c>
      <c r="CR1947" s="45">
        <v>17.342854234825555</v>
      </c>
      <c r="CS1947" s="45" t="str">
        <v>Invest</v>
      </c>
      <c r="CT1947" s="61"/>
      <c r="CU1947" s="45">
        <v>1943</v>
      </c>
      <c r="CV1947" s="45">
        <v>0</v>
      </c>
      <c r="CW1947" s="45" t="str">
        <v>Nothing</v>
      </c>
      <c r="CX1947" s="61"/>
      <c r="CY1947" s="45">
        <v>1943</v>
      </c>
      <c r="CZ1947" s="45">
        <v>5.966829738791434</v>
      </c>
      <c r="DA1947" s="45" t="str">
        <v>Invest</v>
      </c>
      <c r="DU1947" s="52"/>
      <c r="DV1947" s="50"/>
    </row>
    <row r="1948" spans="91:126" ht="23.5">
      <c r="CM1948" s="45">
        <v>1944</v>
      </c>
      <c r="CN1948" s="48">
        <v>27.967118130014185</v>
      </c>
      <c r="CO1948" s="45" t="str">
        <v>Invest</v>
      </c>
      <c r="CP1948" s="61"/>
      <c r="CQ1948" s="45">
        <v>1944</v>
      </c>
      <c r="CR1948" s="45">
        <v>36.942433040887529</v>
      </c>
      <c r="CS1948" s="45" t="str">
        <v>Invest</v>
      </c>
      <c r="CT1948" s="61"/>
      <c r="CU1948" s="45">
        <v>1944</v>
      </c>
      <c r="CV1948" s="45">
        <v>31.102090504307135</v>
      </c>
      <c r="CW1948" s="45" t="str">
        <v>Invest</v>
      </c>
      <c r="CX1948" s="61"/>
      <c r="CY1948" s="45">
        <v>1944</v>
      </c>
      <c r="CZ1948" s="45">
        <v>8.4682599836190651</v>
      </c>
      <c r="DA1948" s="45" t="str">
        <v>Invest</v>
      </c>
      <c r="DU1948" s="52"/>
      <c r="DV1948" s="50"/>
    </row>
    <row r="1949" spans="91:126" ht="23.5">
      <c r="CM1949" s="45">
        <v>1945</v>
      </c>
      <c r="CN1949" s="48">
        <v>5.6144747283869521</v>
      </c>
      <c r="CO1949" s="45" t="str">
        <v>Invest</v>
      </c>
      <c r="CP1949" s="61"/>
      <c r="CQ1949" s="45">
        <v>1945</v>
      </c>
      <c r="CR1949" s="45">
        <v>0</v>
      </c>
      <c r="CS1949" s="45" t="str">
        <v>Nothing</v>
      </c>
      <c r="CT1949" s="61"/>
      <c r="CU1949" s="45">
        <v>1945</v>
      </c>
      <c r="CV1949" s="45">
        <v>0</v>
      </c>
      <c r="CW1949" s="45" t="str">
        <v>Nothing</v>
      </c>
      <c r="CX1949" s="61"/>
      <c r="CY1949" s="45">
        <v>1945</v>
      </c>
      <c r="CZ1949" s="45">
        <v>0</v>
      </c>
      <c r="DA1949" s="45" t="str">
        <v>Nothing</v>
      </c>
      <c r="DU1949" s="52"/>
      <c r="DV1949" s="50"/>
    </row>
    <row r="1950" spans="91:126" ht="23.5">
      <c r="CM1950" s="45">
        <v>1946</v>
      </c>
      <c r="CN1950" s="48">
        <v>43.087033450535266</v>
      </c>
      <c r="CO1950" s="45" t="str">
        <v>Invest</v>
      </c>
      <c r="CP1950" s="61"/>
      <c r="CQ1950" s="45">
        <v>1946</v>
      </c>
      <c r="CR1950" s="45">
        <v>36.240768381868747</v>
      </c>
      <c r="CS1950" s="45" t="str">
        <v>Invest</v>
      </c>
      <c r="CT1950" s="61"/>
      <c r="CU1950" s="45">
        <v>1946</v>
      </c>
      <c r="CV1950" s="45">
        <v>9.9676386402710566</v>
      </c>
      <c r="CW1950" s="45" t="str">
        <v>Invest</v>
      </c>
      <c r="CX1950" s="61"/>
      <c r="CY1950" s="45">
        <v>1946</v>
      </c>
      <c r="CZ1950" s="45">
        <v>27.711250705637216</v>
      </c>
      <c r="DA1950" s="45" t="str">
        <v>Invest</v>
      </c>
      <c r="DU1950" s="52"/>
      <c r="DV1950" s="50"/>
    </row>
    <row r="1951" spans="91:126" ht="23.5">
      <c r="CM1951" s="45">
        <v>1947</v>
      </c>
      <c r="CN1951" s="48">
        <v>17.528949780124204</v>
      </c>
      <c r="CO1951" s="45" t="str">
        <v>Invest</v>
      </c>
      <c r="CP1951" s="61"/>
      <c r="CQ1951" s="45">
        <v>1947</v>
      </c>
      <c r="CR1951" s="45">
        <v>23.998477279980417</v>
      </c>
      <c r="CS1951" s="45" t="str">
        <v>Invest</v>
      </c>
      <c r="CT1951" s="61"/>
      <c r="CU1951" s="45">
        <v>1947</v>
      </c>
      <c r="CV1951" s="45">
        <v>9.2486696440118177</v>
      </c>
      <c r="CW1951" s="45" t="str">
        <v>Invest</v>
      </c>
      <c r="CX1951" s="61"/>
      <c r="CY1951" s="45">
        <v>1947</v>
      </c>
      <c r="CZ1951" s="45">
        <v>47.379215978637035</v>
      </c>
      <c r="DA1951" s="45" t="str">
        <v>Invest</v>
      </c>
      <c r="DU1951" s="52"/>
      <c r="DV1951" s="50"/>
    </row>
    <row r="1952" spans="91:126" ht="23.5">
      <c r="CM1952" s="45">
        <v>1948</v>
      </c>
      <c r="CN1952" s="48">
        <v>13.572048983114085</v>
      </c>
      <c r="CO1952" s="45" t="str">
        <v>Invest</v>
      </c>
      <c r="CP1952" s="61"/>
      <c r="CQ1952" s="45">
        <v>1948</v>
      </c>
      <c r="CR1952" s="45">
        <v>0</v>
      </c>
      <c r="CS1952" s="45" t="str">
        <v>Nothing</v>
      </c>
      <c r="CT1952" s="61"/>
      <c r="CU1952" s="45">
        <v>1948</v>
      </c>
      <c r="CV1952" s="45">
        <v>2.4043374333585827</v>
      </c>
      <c r="CW1952" s="45" t="str">
        <v>Invest</v>
      </c>
      <c r="CX1952" s="61"/>
      <c r="CY1952" s="45">
        <v>1948</v>
      </c>
      <c r="CZ1952" s="45">
        <v>0.8440146426047761</v>
      </c>
      <c r="DA1952" s="45" t="str">
        <v>Invest</v>
      </c>
      <c r="DU1952" s="52"/>
      <c r="DV1952" s="50"/>
    </row>
    <row r="1953" spans="91:126" ht="23.5">
      <c r="CM1953" s="45">
        <v>1949</v>
      </c>
      <c r="CN1953" s="48">
        <v>49.970309892424403</v>
      </c>
      <c r="CO1953" s="45" t="str">
        <v>Invest</v>
      </c>
      <c r="CP1953" s="61"/>
      <c r="CQ1953" s="45">
        <v>1949</v>
      </c>
      <c r="CR1953" s="45">
        <v>10.321664312193537</v>
      </c>
      <c r="CS1953" s="45" t="str">
        <v>Invest</v>
      </c>
      <c r="CT1953" s="61"/>
      <c r="CU1953" s="45">
        <v>1949</v>
      </c>
      <c r="CV1953" s="45">
        <v>0</v>
      </c>
      <c r="CW1953" s="45" t="str">
        <v>Nothing</v>
      </c>
      <c r="CX1953" s="61"/>
      <c r="CY1953" s="45">
        <v>1949</v>
      </c>
      <c r="CZ1953" s="45">
        <v>0</v>
      </c>
      <c r="DA1953" s="45" t="str">
        <v>Nothing</v>
      </c>
      <c r="DU1953" s="52"/>
      <c r="DV1953" s="50"/>
    </row>
    <row r="1954" spans="91:126" ht="23.5">
      <c r="CM1954" s="45">
        <v>1950</v>
      </c>
      <c r="CN1954" s="48">
        <v>24.277012121350587</v>
      </c>
      <c r="CO1954" s="45" t="str">
        <v>Invest</v>
      </c>
      <c r="CP1954" s="61"/>
      <c r="CQ1954" s="45">
        <v>1950</v>
      </c>
      <c r="CR1954" s="45">
        <v>0</v>
      </c>
      <c r="CS1954" s="45" t="str">
        <v>Nothing</v>
      </c>
      <c r="CT1954" s="61"/>
      <c r="CU1954" s="45">
        <v>1950</v>
      </c>
      <c r="CV1954" s="45">
        <v>14.675103134901835</v>
      </c>
      <c r="CW1954" s="45" t="str">
        <v>Invest</v>
      </c>
      <c r="CX1954" s="61"/>
      <c r="CY1954" s="45">
        <v>1950</v>
      </c>
      <c r="CZ1954" s="45">
        <v>10.402189136602919</v>
      </c>
      <c r="DA1954" s="45" t="str">
        <v>Invest</v>
      </c>
      <c r="DU1954" s="52"/>
      <c r="DV1954" s="50"/>
    </row>
    <row r="1955" spans="91:126" ht="23.5">
      <c r="CM1955" s="45">
        <v>1951</v>
      </c>
      <c r="CN1955" s="48">
        <v>52.377597005453588</v>
      </c>
      <c r="CO1955" s="45" t="str">
        <v>Invest</v>
      </c>
      <c r="CP1955" s="61"/>
      <c r="CQ1955" s="45">
        <v>1951</v>
      </c>
      <c r="CR1955" s="45">
        <v>19.355169794458394</v>
      </c>
      <c r="CS1955" s="45" t="str">
        <v>Invest</v>
      </c>
      <c r="CT1955" s="61"/>
      <c r="CU1955" s="45">
        <v>1951</v>
      </c>
      <c r="CV1955" s="45">
        <v>15.314088308241907</v>
      </c>
      <c r="CW1955" s="45" t="str">
        <v>Invest</v>
      </c>
      <c r="CX1955" s="61"/>
      <c r="CY1955" s="45">
        <v>1951</v>
      </c>
      <c r="CZ1955" s="45">
        <v>0</v>
      </c>
      <c r="DA1955" s="45" t="str">
        <v>Nothing</v>
      </c>
      <c r="DU1955" s="52"/>
      <c r="DV1955" s="50"/>
    </row>
    <row r="1956" spans="91:126" ht="23.5">
      <c r="CM1956" s="45">
        <v>1952</v>
      </c>
      <c r="CN1956" s="48">
        <v>22.067574474557201</v>
      </c>
      <c r="CO1956" s="45" t="str">
        <v>Invest</v>
      </c>
      <c r="CP1956" s="61"/>
      <c r="CQ1956" s="45">
        <v>1952</v>
      </c>
      <c r="CR1956" s="45">
        <v>39.064781519001244</v>
      </c>
      <c r="CS1956" s="45" t="str">
        <v>Invest</v>
      </c>
      <c r="CT1956" s="61"/>
      <c r="CU1956" s="45">
        <v>1952</v>
      </c>
      <c r="CV1956" s="45">
        <v>9.7260667568650359</v>
      </c>
      <c r="CW1956" s="45" t="str">
        <v>Invest</v>
      </c>
      <c r="CX1956" s="61"/>
      <c r="CY1956" s="45">
        <v>1952</v>
      </c>
      <c r="CZ1956" s="45">
        <v>2.542015960901221</v>
      </c>
      <c r="DA1956" s="45" t="str">
        <v>Invest</v>
      </c>
      <c r="DU1956" s="52"/>
      <c r="DV1956" s="50"/>
    </row>
    <row r="1957" spans="91:126" ht="23.5">
      <c r="CM1957" s="45">
        <v>1953</v>
      </c>
      <c r="CN1957" s="48">
        <v>25.32193671258041</v>
      </c>
      <c r="CO1957" s="45" t="str">
        <v>Invest</v>
      </c>
      <c r="CP1957" s="61"/>
      <c r="CQ1957" s="45">
        <v>1953</v>
      </c>
      <c r="CR1957" s="45">
        <v>0</v>
      </c>
      <c r="CS1957" s="45" t="str">
        <v>Nothing</v>
      </c>
      <c r="CT1957" s="61"/>
      <c r="CU1957" s="45">
        <v>1953</v>
      </c>
      <c r="CV1957" s="45">
        <v>32.407084707628471</v>
      </c>
      <c r="CW1957" s="45" t="str">
        <v>Invest</v>
      </c>
      <c r="CX1957" s="61"/>
      <c r="CY1957" s="45">
        <v>1953</v>
      </c>
      <c r="CZ1957" s="45">
        <v>0</v>
      </c>
      <c r="DA1957" s="45" t="str">
        <v>Nothing</v>
      </c>
      <c r="DU1957" s="52"/>
      <c r="DV1957" s="50"/>
    </row>
    <row r="1958" spans="91:126" ht="23.5">
      <c r="CM1958" s="45">
        <v>1954</v>
      </c>
      <c r="CN1958" s="48">
        <v>9.8243749347740383</v>
      </c>
      <c r="CO1958" s="45" t="str">
        <v>Invest</v>
      </c>
      <c r="CP1958" s="61"/>
      <c r="CQ1958" s="45">
        <v>1954</v>
      </c>
      <c r="CR1958" s="45">
        <v>17.772985215210419</v>
      </c>
      <c r="CS1958" s="45" t="str">
        <v>Invest</v>
      </c>
      <c r="CT1958" s="61"/>
      <c r="CU1958" s="45">
        <v>1954</v>
      </c>
      <c r="CV1958" s="45">
        <v>6.9200655031848157</v>
      </c>
      <c r="CW1958" s="45" t="str">
        <v>Invest</v>
      </c>
      <c r="CX1958" s="61"/>
      <c r="CY1958" s="45">
        <v>1954</v>
      </c>
      <c r="CZ1958" s="45">
        <v>0</v>
      </c>
      <c r="DA1958" s="45" t="str">
        <v>Nothing</v>
      </c>
      <c r="DU1958" s="52"/>
      <c r="DV1958" s="50"/>
    </row>
    <row r="1959" spans="91:126" ht="23.5">
      <c r="CM1959" s="45">
        <v>1955</v>
      </c>
      <c r="CN1959" s="48">
        <v>10.143619530907181</v>
      </c>
      <c r="CO1959" s="45" t="str">
        <v>Invest</v>
      </c>
      <c r="CP1959" s="61"/>
      <c r="CQ1959" s="45">
        <v>1955</v>
      </c>
      <c r="CR1959" s="45">
        <v>22.003690730966852</v>
      </c>
      <c r="CS1959" s="45" t="str">
        <v>Invest</v>
      </c>
      <c r="CT1959" s="61"/>
      <c r="CU1959" s="45">
        <v>1955</v>
      </c>
      <c r="CV1959" s="45">
        <v>24.252414481362123</v>
      </c>
      <c r="CW1959" s="45" t="str">
        <v>Invest</v>
      </c>
      <c r="CX1959" s="61"/>
      <c r="CY1959" s="45">
        <v>1955</v>
      </c>
      <c r="CZ1959" s="45">
        <v>27.30965938665409</v>
      </c>
      <c r="DA1959" s="45" t="str">
        <v>Invest</v>
      </c>
      <c r="DU1959" s="52"/>
      <c r="DV1959" s="50"/>
    </row>
    <row r="1960" spans="91:126" ht="23.5">
      <c r="CM1960" s="45">
        <v>1956</v>
      </c>
      <c r="CN1960" s="48">
        <v>6.8289570283066752</v>
      </c>
      <c r="CO1960" s="45" t="str">
        <v>Invest</v>
      </c>
      <c r="CP1960" s="61"/>
      <c r="CQ1960" s="45">
        <v>1956</v>
      </c>
      <c r="CR1960" s="45">
        <v>3.0973388179849017</v>
      </c>
      <c r="CS1960" s="45" t="str">
        <v>Invest</v>
      </c>
      <c r="CT1960" s="61"/>
      <c r="CU1960" s="45">
        <v>1956</v>
      </c>
      <c r="CV1960" s="45">
        <v>0</v>
      </c>
      <c r="CW1960" s="45" t="str">
        <v>Nothing</v>
      </c>
      <c r="CX1960" s="61"/>
      <c r="CY1960" s="45">
        <v>1956</v>
      </c>
      <c r="CZ1960" s="45">
        <v>3.2732282519627862</v>
      </c>
      <c r="DA1960" s="45" t="str">
        <v>Invest</v>
      </c>
      <c r="DU1960" s="52"/>
      <c r="DV1960" s="50"/>
    </row>
    <row r="1961" spans="91:126" ht="23.5">
      <c r="CM1961" s="45">
        <v>1957</v>
      </c>
      <c r="CN1961" s="48">
        <v>0</v>
      </c>
      <c r="CO1961" s="45" t="str">
        <v>Nothing</v>
      </c>
      <c r="CP1961" s="61"/>
      <c r="CQ1961" s="45">
        <v>1957</v>
      </c>
      <c r="CR1961" s="45">
        <v>40.866409955403824</v>
      </c>
      <c r="CS1961" s="45" t="str">
        <v>Invest</v>
      </c>
      <c r="CT1961" s="61"/>
      <c r="CU1961" s="45">
        <v>1957</v>
      </c>
      <c r="CV1961" s="45">
        <v>13.931120231204376</v>
      </c>
      <c r="CW1961" s="45" t="str">
        <v>Invest</v>
      </c>
      <c r="CX1961" s="61"/>
      <c r="CY1961" s="45">
        <v>1957</v>
      </c>
      <c r="CZ1961" s="45">
        <v>34.603763959041025</v>
      </c>
      <c r="DA1961" s="45" t="str">
        <v>Invest</v>
      </c>
      <c r="DU1961" s="52"/>
      <c r="DV1961" s="50"/>
    </row>
    <row r="1962" spans="91:126" ht="23.5">
      <c r="CM1962" s="45">
        <v>1958</v>
      </c>
      <c r="CN1962" s="48">
        <v>0</v>
      </c>
      <c r="CO1962" s="45" t="str">
        <v>Nothing</v>
      </c>
      <c r="CP1962" s="61"/>
      <c r="CQ1962" s="45">
        <v>1958</v>
      </c>
      <c r="CR1962" s="45">
        <v>0.50411306867607664</v>
      </c>
      <c r="CS1962" s="45" t="str">
        <v>Invest</v>
      </c>
      <c r="CT1962" s="61"/>
      <c r="CU1962" s="45">
        <v>1958</v>
      </c>
      <c r="CV1962" s="45">
        <v>15.320323630487746</v>
      </c>
      <c r="CW1962" s="45" t="str">
        <v>Invest</v>
      </c>
      <c r="CX1962" s="61"/>
      <c r="CY1962" s="45">
        <v>1958</v>
      </c>
      <c r="CZ1962" s="45">
        <v>3.3147895716585998</v>
      </c>
      <c r="DA1962" s="45" t="str">
        <v>Invest</v>
      </c>
      <c r="DU1962" s="52"/>
      <c r="DV1962" s="50"/>
    </row>
    <row r="1963" spans="91:126" ht="23.5">
      <c r="CM1963" s="45">
        <v>1959</v>
      </c>
      <c r="CN1963" s="48">
        <v>6.9663854375644672</v>
      </c>
      <c r="CO1963" s="45" t="str">
        <v>Invest</v>
      </c>
      <c r="CP1963" s="61"/>
      <c r="CQ1963" s="45">
        <v>1959</v>
      </c>
      <c r="CR1963" s="45">
        <v>18.966703701591605</v>
      </c>
      <c r="CS1963" s="45" t="str">
        <v>Invest</v>
      </c>
      <c r="CT1963" s="61"/>
      <c r="CU1963" s="45">
        <v>1959</v>
      </c>
      <c r="CV1963" s="45">
        <v>29.927404623827158</v>
      </c>
      <c r="CW1963" s="45" t="str">
        <v>Invest</v>
      </c>
      <c r="CX1963" s="61"/>
      <c r="CY1963" s="45">
        <v>1959</v>
      </c>
      <c r="CZ1963" s="45">
        <v>0</v>
      </c>
      <c r="DA1963" s="45" t="str">
        <v>Nothing</v>
      </c>
      <c r="DU1963" s="52"/>
      <c r="DV1963" s="50"/>
    </row>
    <row r="1964" spans="91:126" ht="23.5">
      <c r="CM1964" s="45">
        <v>1960</v>
      </c>
      <c r="CN1964" s="48">
        <v>19.767710585667359</v>
      </c>
      <c r="CO1964" s="45" t="str">
        <v>Invest</v>
      </c>
      <c r="CP1964" s="61"/>
      <c r="CQ1964" s="45">
        <v>1960</v>
      </c>
      <c r="CR1964" s="45">
        <v>17.742793543608165</v>
      </c>
      <c r="CS1964" s="45" t="str">
        <v>Invest</v>
      </c>
      <c r="CT1964" s="61"/>
      <c r="CU1964" s="45">
        <v>1960</v>
      </c>
      <c r="CV1964" s="45">
        <v>6.581028448289155</v>
      </c>
      <c r="CW1964" s="45" t="str">
        <v>Invest</v>
      </c>
      <c r="CX1964" s="61"/>
      <c r="CY1964" s="45">
        <v>1960</v>
      </c>
      <c r="CZ1964" s="45">
        <v>47.743545213572943</v>
      </c>
      <c r="DA1964" s="45" t="str">
        <v>Invest</v>
      </c>
      <c r="DU1964" s="52"/>
      <c r="DV1964" s="50"/>
    </row>
    <row r="1965" spans="91:126" ht="23.5">
      <c r="CM1965" s="45">
        <v>1961</v>
      </c>
      <c r="CN1965" s="48">
        <v>0</v>
      </c>
      <c r="CO1965" s="45" t="str">
        <v>Nothing</v>
      </c>
      <c r="CP1965" s="61"/>
      <c r="CQ1965" s="45">
        <v>1961</v>
      </c>
      <c r="CR1965" s="45">
        <v>0</v>
      </c>
      <c r="CS1965" s="45" t="str">
        <v>Nothing</v>
      </c>
      <c r="CT1965" s="61"/>
      <c r="CU1965" s="45">
        <v>1961</v>
      </c>
      <c r="CV1965" s="45">
        <v>3.8876395106477766</v>
      </c>
      <c r="CW1965" s="45" t="str">
        <v>Invest</v>
      </c>
      <c r="CX1965" s="61"/>
      <c r="CY1965" s="45">
        <v>1961</v>
      </c>
      <c r="CZ1965" s="45">
        <v>0</v>
      </c>
      <c r="DA1965" s="45" t="str">
        <v>Nothing</v>
      </c>
      <c r="DU1965" s="52"/>
      <c r="DV1965" s="50"/>
    </row>
    <row r="1966" spans="91:126" ht="23.5">
      <c r="CM1966" s="45">
        <v>1962</v>
      </c>
      <c r="CN1966" s="48">
        <v>0</v>
      </c>
      <c r="CO1966" s="45" t="str">
        <v>Nothing</v>
      </c>
      <c r="CP1966" s="61"/>
      <c r="CQ1966" s="45">
        <v>1962</v>
      </c>
      <c r="CR1966" s="45">
        <v>0</v>
      </c>
      <c r="CS1966" s="45" t="str">
        <v>Nothing</v>
      </c>
      <c r="CT1966" s="61"/>
      <c r="CU1966" s="45">
        <v>1962</v>
      </c>
      <c r="CV1966" s="45">
        <v>16.834351087296341</v>
      </c>
      <c r="CW1966" s="45" t="str">
        <v>Invest</v>
      </c>
      <c r="CX1966" s="61"/>
      <c r="CY1966" s="45">
        <v>1962</v>
      </c>
      <c r="CZ1966" s="45">
        <v>38.229172221090138</v>
      </c>
      <c r="DA1966" s="45" t="str">
        <v>Invest</v>
      </c>
      <c r="DU1966" s="52"/>
      <c r="DV1966" s="50"/>
    </row>
    <row r="1967" spans="91:126" ht="23.5">
      <c r="CM1967" s="45">
        <v>1963</v>
      </c>
      <c r="CN1967" s="48">
        <v>18.321847589169977</v>
      </c>
      <c r="CO1967" s="45" t="str">
        <v>Invest</v>
      </c>
      <c r="CP1967" s="61"/>
      <c r="CQ1967" s="45">
        <v>1963</v>
      </c>
      <c r="CR1967" s="45">
        <v>0</v>
      </c>
      <c r="CS1967" s="45" t="str">
        <v>Nothing</v>
      </c>
      <c r="CT1967" s="61"/>
      <c r="CU1967" s="45">
        <v>1963</v>
      </c>
      <c r="CV1967" s="45">
        <v>12.757133890707289</v>
      </c>
      <c r="CW1967" s="45" t="str">
        <v>Invest</v>
      </c>
      <c r="CX1967" s="61"/>
      <c r="CY1967" s="45">
        <v>1963</v>
      </c>
      <c r="CZ1967" s="45">
        <v>0</v>
      </c>
      <c r="DA1967" s="45" t="str">
        <v>Nothing</v>
      </c>
      <c r="DU1967" s="52"/>
      <c r="DV1967" s="50"/>
    </row>
    <row r="1968" spans="91:126" ht="23.5">
      <c r="CM1968" s="45">
        <v>1964</v>
      </c>
      <c r="CN1968" s="48">
        <v>28.409821566773978</v>
      </c>
      <c r="CO1968" s="45" t="str">
        <v>Invest</v>
      </c>
      <c r="CP1968" s="61"/>
      <c r="CQ1968" s="45">
        <v>1964</v>
      </c>
      <c r="CR1968" s="45">
        <v>35.579964870572326</v>
      </c>
      <c r="CS1968" s="45" t="str">
        <v>Invest</v>
      </c>
      <c r="CT1968" s="61"/>
      <c r="CU1968" s="45">
        <v>1964</v>
      </c>
      <c r="CV1968" s="45">
        <v>4.6275475938802266</v>
      </c>
      <c r="CW1968" s="45" t="str">
        <v>Invest</v>
      </c>
      <c r="CX1968" s="61"/>
      <c r="CY1968" s="45">
        <v>1964</v>
      </c>
      <c r="CZ1968" s="45">
        <v>0</v>
      </c>
      <c r="DA1968" s="45" t="str">
        <v>Nothing</v>
      </c>
      <c r="DU1968" s="52"/>
      <c r="DV1968" s="50"/>
    </row>
    <row r="1969" spans="91:126" ht="23.5">
      <c r="CM1969" s="45">
        <v>1965</v>
      </c>
      <c r="CN1969" s="48">
        <v>0</v>
      </c>
      <c r="CO1969" s="45" t="str">
        <v>Nothing</v>
      </c>
      <c r="CP1969" s="61"/>
      <c r="CQ1969" s="45">
        <v>1965</v>
      </c>
      <c r="CR1969" s="45">
        <v>4.0770522131778471</v>
      </c>
      <c r="CS1969" s="45" t="str">
        <v>Invest</v>
      </c>
      <c r="CT1969" s="61"/>
      <c r="CU1969" s="45">
        <v>1965</v>
      </c>
      <c r="CV1969" s="45">
        <v>44.310037733057129</v>
      </c>
      <c r="CW1969" s="45" t="str">
        <v>Invest</v>
      </c>
      <c r="CX1969" s="61"/>
      <c r="CY1969" s="45">
        <v>1965</v>
      </c>
      <c r="CZ1969" s="45">
        <v>32.052985240934547</v>
      </c>
      <c r="DA1969" s="45" t="str">
        <v>Invest</v>
      </c>
      <c r="DU1969" s="52"/>
      <c r="DV1969" s="50"/>
    </row>
    <row r="1970" spans="91:126" ht="23.5">
      <c r="CM1970" s="45">
        <v>1966</v>
      </c>
      <c r="CN1970" s="48">
        <v>7.0449074807613705</v>
      </c>
      <c r="CO1970" s="45" t="str">
        <v>Invest</v>
      </c>
      <c r="CP1970" s="61"/>
      <c r="CQ1970" s="45">
        <v>1966</v>
      </c>
      <c r="CR1970" s="45">
        <v>43.456199233567609</v>
      </c>
      <c r="CS1970" s="45" t="str">
        <v>Invest</v>
      </c>
      <c r="CT1970" s="61"/>
      <c r="CU1970" s="45">
        <v>1966</v>
      </c>
      <c r="CV1970" s="45">
        <v>0</v>
      </c>
      <c r="CW1970" s="45" t="str">
        <v>Nothing</v>
      </c>
      <c r="CX1970" s="61"/>
      <c r="CY1970" s="45">
        <v>1966</v>
      </c>
      <c r="CZ1970" s="45">
        <v>3.9951248446936756</v>
      </c>
      <c r="DA1970" s="45" t="str">
        <v>Invest</v>
      </c>
      <c r="DU1970" s="52"/>
      <c r="DV1970" s="50"/>
    </row>
    <row r="1971" spans="91:126" ht="23.5">
      <c r="CM1971" s="45">
        <v>1967</v>
      </c>
      <c r="CN1971" s="48">
        <v>0</v>
      </c>
      <c r="CO1971" s="45" t="str">
        <v>Nothing</v>
      </c>
      <c r="CP1971" s="61"/>
      <c r="CQ1971" s="45">
        <v>1967</v>
      </c>
      <c r="CR1971" s="45">
        <v>0</v>
      </c>
      <c r="CS1971" s="45" t="str">
        <v>Nothing</v>
      </c>
      <c r="CT1971" s="61"/>
      <c r="CU1971" s="45">
        <v>1967</v>
      </c>
      <c r="CV1971" s="45">
        <v>3.5436686995805875</v>
      </c>
      <c r="CW1971" s="45" t="str">
        <v>Invest</v>
      </c>
      <c r="CX1971" s="61"/>
      <c r="CY1971" s="45">
        <v>1967</v>
      </c>
      <c r="CZ1971" s="45">
        <v>8.5916986511648368</v>
      </c>
      <c r="DA1971" s="45" t="str">
        <v>Invest</v>
      </c>
      <c r="DU1971" s="52"/>
      <c r="DV1971" s="50"/>
    </row>
    <row r="1972" spans="91:126" ht="23.5">
      <c r="CM1972" s="45">
        <v>1968</v>
      </c>
      <c r="CN1972" s="48">
        <v>36.081815735355221</v>
      </c>
      <c r="CO1972" s="45" t="str">
        <v>Invest</v>
      </c>
      <c r="CP1972" s="61"/>
      <c r="CQ1972" s="45">
        <v>1968</v>
      </c>
      <c r="CR1972" s="45">
        <v>13.456513950768905</v>
      </c>
      <c r="CS1972" s="45" t="str">
        <v>Invest</v>
      </c>
      <c r="CT1972" s="61"/>
      <c r="CU1972" s="45">
        <v>1968</v>
      </c>
      <c r="CV1972" s="45">
        <v>2.2228579819361567</v>
      </c>
      <c r="CW1972" s="45" t="str">
        <v>Invest</v>
      </c>
      <c r="CX1972" s="61"/>
      <c r="CY1972" s="45">
        <v>1968</v>
      </c>
      <c r="CZ1972" s="45">
        <v>31.567070312847456</v>
      </c>
      <c r="DA1972" s="45" t="str">
        <v>Invest</v>
      </c>
      <c r="DU1972" s="52"/>
      <c r="DV1972" s="50"/>
    </row>
    <row r="1973" spans="91:126" ht="23.5">
      <c r="CM1973" s="45">
        <v>1969</v>
      </c>
      <c r="CN1973" s="48">
        <v>47.485316861645245</v>
      </c>
      <c r="CO1973" s="45" t="str">
        <v>Invest</v>
      </c>
      <c r="CP1973" s="61"/>
      <c r="CQ1973" s="45">
        <v>1969</v>
      </c>
      <c r="CR1973" s="45">
        <v>0</v>
      </c>
      <c r="CS1973" s="45" t="str">
        <v>Nothing</v>
      </c>
      <c r="CT1973" s="61"/>
      <c r="CU1973" s="45">
        <v>1969</v>
      </c>
      <c r="CV1973" s="45">
        <v>0</v>
      </c>
      <c r="CW1973" s="45" t="str">
        <v>Nothing</v>
      </c>
      <c r="CX1973" s="61"/>
      <c r="CY1973" s="45">
        <v>1969</v>
      </c>
      <c r="CZ1973" s="45">
        <v>9.8353581043547642</v>
      </c>
      <c r="DA1973" s="45" t="str">
        <v>Invest</v>
      </c>
      <c r="DU1973" s="52"/>
      <c r="DV1973" s="50"/>
    </row>
    <row r="1974" spans="91:126" ht="23.5">
      <c r="CM1974" s="45">
        <v>1970</v>
      </c>
      <c r="CN1974" s="48">
        <v>31.734064191769015</v>
      </c>
      <c r="CO1974" s="45" t="str">
        <v>Invest</v>
      </c>
      <c r="CP1974" s="61"/>
      <c r="CQ1974" s="45">
        <v>1970</v>
      </c>
      <c r="CR1974" s="45">
        <v>27.780803852169981</v>
      </c>
      <c r="CS1974" s="45" t="str">
        <v>Invest</v>
      </c>
      <c r="CT1974" s="61"/>
      <c r="CU1974" s="45">
        <v>1970</v>
      </c>
      <c r="CV1974" s="45">
        <v>26.615495486987193</v>
      </c>
      <c r="CW1974" s="45" t="str">
        <v>Invest</v>
      </c>
      <c r="CX1974" s="61"/>
      <c r="CY1974" s="45">
        <v>1970</v>
      </c>
      <c r="CZ1974" s="45">
        <v>37.438574845039071</v>
      </c>
      <c r="DA1974" s="45" t="str">
        <v>Invest</v>
      </c>
      <c r="DU1974" s="52"/>
      <c r="DV1974" s="50"/>
    </row>
    <row r="1975" spans="91:126" ht="23.5">
      <c r="CM1975" s="45">
        <v>1971</v>
      </c>
      <c r="CN1975" s="48">
        <v>0</v>
      </c>
      <c r="CO1975" s="45" t="str">
        <v>Nothing</v>
      </c>
      <c r="CP1975" s="61"/>
      <c r="CQ1975" s="45">
        <v>1971</v>
      </c>
      <c r="CR1975" s="45">
        <v>10.851748289113392</v>
      </c>
      <c r="CS1975" s="45" t="str">
        <v>Invest</v>
      </c>
      <c r="CT1975" s="61"/>
      <c r="CU1975" s="45">
        <v>1971</v>
      </c>
      <c r="CV1975" s="45">
        <v>22.789409435103536</v>
      </c>
      <c r="CW1975" s="45" t="str">
        <v>Invest</v>
      </c>
      <c r="CX1975" s="61"/>
      <c r="CY1975" s="45">
        <v>1971</v>
      </c>
      <c r="CZ1975" s="45">
        <v>18.383835551152067</v>
      </c>
      <c r="DA1975" s="45" t="str">
        <v>Invest</v>
      </c>
      <c r="DU1975" s="52"/>
      <c r="DV1975" s="50"/>
    </row>
    <row r="1976" spans="91:126" ht="23.5">
      <c r="CM1976" s="45">
        <v>1972</v>
      </c>
      <c r="CN1976" s="48">
        <v>19.44157010996063</v>
      </c>
      <c r="CO1976" s="45" t="str">
        <v>Invest</v>
      </c>
      <c r="CP1976" s="61"/>
      <c r="CQ1976" s="45">
        <v>1972</v>
      </c>
      <c r="CR1976" s="45">
        <v>0</v>
      </c>
      <c r="CS1976" s="45" t="str">
        <v>Nothing</v>
      </c>
      <c r="CT1976" s="61"/>
      <c r="CU1976" s="45">
        <v>1972</v>
      </c>
      <c r="CV1976" s="45">
        <v>7.7053805897725987</v>
      </c>
      <c r="CW1976" s="45" t="str">
        <v>Invest</v>
      </c>
      <c r="CX1976" s="61"/>
      <c r="CY1976" s="45">
        <v>1972</v>
      </c>
      <c r="CZ1976" s="45">
        <v>14.414669319212821</v>
      </c>
      <c r="DA1976" s="45" t="str">
        <v>Invest</v>
      </c>
      <c r="DU1976" s="52"/>
      <c r="DV1976" s="50"/>
    </row>
    <row r="1977" spans="91:126" ht="23.5">
      <c r="CM1977" s="45">
        <v>1973</v>
      </c>
      <c r="CN1977" s="48">
        <v>36.316641622259702</v>
      </c>
      <c r="CO1977" s="45" t="str">
        <v>Invest</v>
      </c>
      <c r="CP1977" s="61"/>
      <c r="CQ1977" s="45">
        <v>1973</v>
      </c>
      <c r="CR1977" s="45">
        <v>34.185240503761634</v>
      </c>
      <c r="CS1977" s="45" t="str">
        <v>Invest</v>
      </c>
      <c r="CT1977" s="61"/>
      <c r="CU1977" s="45">
        <v>1973</v>
      </c>
      <c r="CV1977" s="45">
        <v>0</v>
      </c>
      <c r="CW1977" s="45" t="str">
        <v>Nothing</v>
      </c>
      <c r="CX1977" s="61"/>
      <c r="CY1977" s="45">
        <v>1973</v>
      </c>
      <c r="CZ1977" s="45">
        <v>3.0630492277888894</v>
      </c>
      <c r="DA1977" s="45" t="str">
        <v>Invest</v>
      </c>
      <c r="DU1977" s="52"/>
      <c r="DV1977" s="50"/>
    </row>
    <row r="1978" spans="91:126" ht="23.5">
      <c r="CM1978" s="45">
        <v>1974</v>
      </c>
      <c r="CN1978" s="48">
        <v>20.963189635396496</v>
      </c>
      <c r="CO1978" s="45" t="str">
        <v>Invest</v>
      </c>
      <c r="CP1978" s="61"/>
      <c r="CQ1978" s="45">
        <v>1974</v>
      </c>
      <c r="CR1978" s="45">
        <v>46.479391745207742</v>
      </c>
      <c r="CS1978" s="45" t="str">
        <v>Invest</v>
      </c>
      <c r="CT1978" s="61"/>
      <c r="CU1978" s="45">
        <v>1974</v>
      </c>
      <c r="CV1978" s="45">
        <v>0</v>
      </c>
      <c r="CW1978" s="45" t="str">
        <v>Nothing</v>
      </c>
      <c r="CX1978" s="61"/>
      <c r="CY1978" s="45">
        <v>1974</v>
      </c>
      <c r="CZ1978" s="45">
        <v>2.8381687019363522</v>
      </c>
      <c r="DA1978" s="45" t="str">
        <v>Invest</v>
      </c>
      <c r="DU1978" s="52"/>
      <c r="DV1978" s="50"/>
    </row>
    <row r="1979" spans="91:126" ht="23.5">
      <c r="CM1979" s="45">
        <v>1975</v>
      </c>
      <c r="CN1979" s="48">
        <v>7.1193138603354491</v>
      </c>
      <c r="CO1979" s="45" t="str">
        <v>Invest</v>
      </c>
      <c r="CP1979" s="61"/>
      <c r="CQ1979" s="45">
        <v>1975</v>
      </c>
      <c r="CR1979" s="45">
        <v>2.0661735123264187</v>
      </c>
      <c r="CS1979" s="45" t="str">
        <v>Invest</v>
      </c>
      <c r="CT1979" s="61"/>
      <c r="CU1979" s="45">
        <v>1975</v>
      </c>
      <c r="CV1979" s="45">
        <v>0</v>
      </c>
      <c r="CW1979" s="45" t="str">
        <v>Nothing</v>
      </c>
      <c r="CX1979" s="61"/>
      <c r="CY1979" s="45">
        <v>1975</v>
      </c>
      <c r="CZ1979" s="45">
        <v>0</v>
      </c>
      <c r="DA1979" s="45" t="str">
        <v>Nothing</v>
      </c>
      <c r="DU1979" s="52"/>
      <c r="DV1979" s="50"/>
    </row>
    <row r="1980" spans="91:126" ht="23.5">
      <c r="CM1980" s="45">
        <v>1976</v>
      </c>
      <c r="CN1980" s="48">
        <v>1.2905286192141228</v>
      </c>
      <c r="CO1980" s="45" t="str">
        <v>Invest</v>
      </c>
      <c r="CP1980" s="61"/>
      <c r="CQ1980" s="45">
        <v>1976</v>
      </c>
      <c r="CR1980" s="45">
        <v>8.8224041802658526</v>
      </c>
      <c r="CS1980" s="45" t="str">
        <v>Invest</v>
      </c>
      <c r="CT1980" s="61"/>
      <c r="CU1980" s="45">
        <v>1976</v>
      </c>
      <c r="CV1980" s="45">
        <v>53.823160927707463</v>
      </c>
      <c r="CW1980" s="45" t="str">
        <v>Invest</v>
      </c>
      <c r="CX1980" s="61"/>
      <c r="CY1980" s="45">
        <v>1976</v>
      </c>
      <c r="CZ1980" s="45">
        <v>0</v>
      </c>
      <c r="DA1980" s="45" t="str">
        <v>Nothing</v>
      </c>
      <c r="DU1980" s="52"/>
      <c r="DV1980" s="50"/>
    </row>
    <row r="1981" spans="91:126" ht="23.5">
      <c r="CM1981" s="45">
        <v>1977</v>
      </c>
      <c r="CN1981" s="48">
        <v>4.7008933858171602</v>
      </c>
      <c r="CO1981" s="45" t="str">
        <v>Invest</v>
      </c>
      <c r="CP1981" s="61"/>
      <c r="CQ1981" s="45">
        <v>1977</v>
      </c>
      <c r="CR1981" s="45">
        <v>9.2874046541185269</v>
      </c>
      <c r="CS1981" s="45" t="str">
        <v>Invest</v>
      </c>
      <c r="CT1981" s="61"/>
      <c r="CU1981" s="45">
        <v>1977</v>
      </c>
      <c r="CV1981" s="45">
        <v>25.987141616980843</v>
      </c>
      <c r="CW1981" s="45" t="str">
        <v>Invest</v>
      </c>
      <c r="CX1981" s="61"/>
      <c r="CY1981" s="45">
        <v>1977</v>
      </c>
      <c r="CZ1981" s="45">
        <v>3.8332228600543381</v>
      </c>
      <c r="DA1981" s="45" t="str">
        <v>Invest</v>
      </c>
      <c r="DU1981" s="52"/>
      <c r="DV1981" s="50"/>
    </row>
    <row r="1982" spans="91:126" ht="23.5">
      <c r="CM1982" s="45">
        <v>1978</v>
      </c>
      <c r="CN1982" s="48">
        <v>55.852157548361916</v>
      </c>
      <c r="CO1982" s="45" t="str">
        <v>Invest</v>
      </c>
      <c r="CP1982" s="61"/>
      <c r="CQ1982" s="45">
        <v>1978</v>
      </c>
      <c r="CR1982" s="45">
        <v>19.021060605122926</v>
      </c>
      <c r="CS1982" s="45" t="str">
        <v>Invest</v>
      </c>
      <c r="CT1982" s="61"/>
      <c r="CU1982" s="45">
        <v>1978</v>
      </c>
      <c r="CV1982" s="45">
        <v>7.9472071558555175</v>
      </c>
      <c r="CW1982" s="45" t="str">
        <v>Invest</v>
      </c>
      <c r="CX1982" s="61"/>
      <c r="CY1982" s="45">
        <v>1978</v>
      </c>
      <c r="CZ1982" s="45">
        <v>45.351149788569714</v>
      </c>
      <c r="DA1982" s="45" t="str">
        <v>Invest</v>
      </c>
      <c r="DU1982" s="52"/>
      <c r="DV1982" s="50"/>
    </row>
    <row r="1983" spans="91:126" ht="23.5">
      <c r="CM1983" s="45">
        <v>1979</v>
      </c>
      <c r="CN1983" s="48">
        <v>38.026164301862089</v>
      </c>
      <c r="CO1983" s="45" t="str">
        <v>Invest</v>
      </c>
      <c r="CP1983" s="61"/>
      <c r="CQ1983" s="45">
        <v>1979</v>
      </c>
      <c r="CR1983" s="45">
        <v>9.550778545702407</v>
      </c>
      <c r="CS1983" s="45" t="str">
        <v>Invest</v>
      </c>
      <c r="CT1983" s="61"/>
      <c r="CU1983" s="45">
        <v>1979</v>
      </c>
      <c r="CV1983" s="45">
        <v>36.113424598906946</v>
      </c>
      <c r="CW1983" s="45" t="str">
        <v>Invest</v>
      </c>
      <c r="CX1983" s="61"/>
      <c r="CY1983" s="45">
        <v>1979</v>
      </c>
      <c r="CZ1983" s="45">
        <v>6.1901136642046239</v>
      </c>
      <c r="DA1983" s="45" t="str">
        <v>Invest</v>
      </c>
      <c r="DU1983" s="52"/>
      <c r="DV1983" s="50"/>
    </row>
    <row r="1984" spans="91:126" ht="23.5">
      <c r="CM1984" s="45">
        <v>1980</v>
      </c>
      <c r="CN1984" s="48">
        <v>0</v>
      </c>
      <c r="CO1984" s="45" t="str">
        <v>Nothing</v>
      </c>
      <c r="CP1984" s="61"/>
      <c r="CQ1984" s="45">
        <v>1980</v>
      </c>
      <c r="CR1984" s="45">
        <v>5.0163424435246604</v>
      </c>
      <c r="CS1984" s="45" t="str">
        <v>Invest</v>
      </c>
      <c r="CT1984" s="61"/>
      <c r="CU1984" s="45">
        <v>1980</v>
      </c>
      <c r="CV1984" s="45">
        <v>10.533439378001241</v>
      </c>
      <c r="CW1984" s="45" t="str">
        <v>Invest</v>
      </c>
      <c r="CX1984" s="61"/>
      <c r="CY1984" s="45">
        <v>1980</v>
      </c>
      <c r="CZ1984" s="45">
        <v>9.8516532498773408</v>
      </c>
      <c r="DA1984" s="45" t="str">
        <v>Invest</v>
      </c>
      <c r="DU1984" s="52"/>
      <c r="DV1984" s="50"/>
    </row>
    <row r="1985" spans="91:126" ht="23.5">
      <c r="CM1985" s="45">
        <v>1981</v>
      </c>
      <c r="CN1985" s="48">
        <v>0</v>
      </c>
      <c r="CO1985" s="45" t="str">
        <v>Nothing</v>
      </c>
      <c r="CP1985" s="61"/>
      <c r="CQ1985" s="45">
        <v>1981</v>
      </c>
      <c r="CR1985" s="45">
        <v>37.715880454128616</v>
      </c>
      <c r="CS1985" s="45" t="str">
        <v>Invest</v>
      </c>
      <c r="CT1985" s="61"/>
      <c r="CU1985" s="45">
        <v>1981</v>
      </c>
      <c r="CV1985" s="45">
        <v>5.8475895051142146</v>
      </c>
      <c r="CW1985" s="45" t="str">
        <v>Invest</v>
      </c>
      <c r="CX1985" s="61"/>
      <c r="CY1985" s="45">
        <v>1981</v>
      </c>
      <c r="CZ1985" s="45">
        <v>52.589358807179252</v>
      </c>
      <c r="DA1985" s="45" t="str">
        <v>Invest</v>
      </c>
      <c r="DU1985" s="52"/>
      <c r="DV1985" s="50"/>
    </row>
    <row r="1986" spans="91:126" ht="23.5">
      <c r="CM1986" s="45">
        <v>1982</v>
      </c>
      <c r="CN1986" s="48">
        <v>26.942604412418508</v>
      </c>
      <c r="CO1986" s="45" t="str">
        <v>Invest</v>
      </c>
      <c r="CP1986" s="61"/>
      <c r="CQ1986" s="45">
        <v>1982</v>
      </c>
      <c r="CR1986" s="45">
        <v>55.658637831441027</v>
      </c>
      <c r="CS1986" s="45" t="str">
        <v>Invest</v>
      </c>
      <c r="CT1986" s="61"/>
      <c r="CU1986" s="45">
        <v>1982</v>
      </c>
      <c r="CV1986" s="45">
        <v>40.398768291774402</v>
      </c>
      <c r="CW1986" s="45" t="str">
        <v>Invest</v>
      </c>
      <c r="CX1986" s="61"/>
      <c r="CY1986" s="45">
        <v>1982</v>
      </c>
      <c r="CZ1986" s="45">
        <v>18.130170022343833</v>
      </c>
      <c r="DA1986" s="45" t="str">
        <v>Invest</v>
      </c>
      <c r="DU1986" s="52"/>
      <c r="DV1986" s="50"/>
    </row>
    <row r="1987" spans="91:126" ht="23.5">
      <c r="CM1987" s="45">
        <v>1983</v>
      </c>
      <c r="CN1987" s="48">
        <v>4.4988991259437583</v>
      </c>
      <c r="CO1987" s="45" t="str">
        <v>Invest</v>
      </c>
      <c r="CP1987" s="61"/>
      <c r="CQ1987" s="45">
        <v>1983</v>
      </c>
      <c r="CR1987" s="45">
        <v>44.481772462452476</v>
      </c>
      <c r="CS1987" s="45" t="str">
        <v>Invest</v>
      </c>
      <c r="CT1987" s="61"/>
      <c r="CU1987" s="45">
        <v>1983</v>
      </c>
      <c r="CV1987" s="45">
        <v>23.106294132537663</v>
      </c>
      <c r="CW1987" s="45" t="str">
        <v>Invest</v>
      </c>
      <c r="CX1987" s="61"/>
      <c r="CY1987" s="45">
        <v>1983</v>
      </c>
      <c r="CZ1987" s="45">
        <v>43.096488336807887</v>
      </c>
      <c r="DA1987" s="45" t="str">
        <v>Invest</v>
      </c>
      <c r="DU1987" s="52"/>
      <c r="DV1987" s="50"/>
    </row>
    <row r="1988" spans="91:126" ht="23.5">
      <c r="CM1988" s="45">
        <v>1984</v>
      </c>
      <c r="CN1988" s="48">
        <v>25.632486283573151</v>
      </c>
      <c r="CO1988" s="45" t="str">
        <v>Invest</v>
      </c>
      <c r="CP1988" s="61"/>
      <c r="CQ1988" s="45">
        <v>1984</v>
      </c>
      <c r="CR1988" s="45">
        <v>19.602935632427428</v>
      </c>
      <c r="CS1988" s="45" t="str">
        <v>Invest</v>
      </c>
      <c r="CT1988" s="61"/>
      <c r="CU1988" s="45">
        <v>1984</v>
      </c>
      <c r="CV1988" s="45">
        <v>1.3904587707495537</v>
      </c>
      <c r="CW1988" s="45" t="str">
        <v>Invest</v>
      </c>
      <c r="CX1988" s="61"/>
      <c r="CY1988" s="45">
        <v>1984</v>
      </c>
      <c r="CZ1988" s="45">
        <v>0</v>
      </c>
      <c r="DA1988" s="45" t="str">
        <v>Nothing</v>
      </c>
      <c r="DU1988" s="52"/>
      <c r="DV1988" s="50"/>
    </row>
    <row r="1989" spans="91:126" ht="23.5">
      <c r="CM1989" s="45">
        <v>1985</v>
      </c>
      <c r="CN1989" s="48">
        <v>0</v>
      </c>
      <c r="CO1989" s="45" t="str">
        <v>Nothing</v>
      </c>
      <c r="CP1989" s="61"/>
      <c r="CQ1989" s="45">
        <v>1985</v>
      </c>
      <c r="CR1989" s="45">
        <v>0.2898917316633618</v>
      </c>
      <c r="CS1989" s="45" t="str">
        <v>Invest</v>
      </c>
      <c r="CT1989" s="61"/>
      <c r="CU1989" s="45">
        <v>1985</v>
      </c>
      <c r="CV1989" s="45">
        <v>33.111158442860493</v>
      </c>
      <c r="CW1989" s="45" t="str">
        <v>Invest</v>
      </c>
      <c r="CX1989" s="61"/>
      <c r="CY1989" s="45">
        <v>1985</v>
      </c>
      <c r="CZ1989" s="45">
        <v>0</v>
      </c>
      <c r="DA1989" s="45" t="str">
        <v>Nothing</v>
      </c>
      <c r="DU1989" s="52"/>
      <c r="DV1989" s="50"/>
    </row>
    <row r="1990" spans="91:126" ht="23.5">
      <c r="CM1990" s="45">
        <v>1986</v>
      </c>
      <c r="CN1990" s="48">
        <v>0</v>
      </c>
      <c r="CO1990" s="45" t="str">
        <v>Nothing</v>
      </c>
      <c r="CP1990" s="61"/>
      <c r="CQ1990" s="45">
        <v>1986</v>
      </c>
      <c r="CR1990" s="45">
        <v>27.116158376435195</v>
      </c>
      <c r="CS1990" s="45" t="str">
        <v>Invest</v>
      </c>
      <c r="CT1990" s="61"/>
      <c r="CU1990" s="45">
        <v>1986</v>
      </c>
      <c r="CV1990" s="45">
        <v>28.178822000007688</v>
      </c>
      <c r="CW1990" s="45" t="str">
        <v>Invest</v>
      </c>
      <c r="CX1990" s="61"/>
      <c r="CY1990" s="45">
        <v>1986</v>
      </c>
      <c r="CZ1990" s="45">
        <v>0</v>
      </c>
      <c r="DA1990" s="45" t="str">
        <v>Nothing</v>
      </c>
      <c r="DU1990" s="52"/>
      <c r="DV1990" s="50"/>
    </row>
    <row r="1991" spans="91:126" ht="23.5">
      <c r="CM1991" s="45">
        <v>1987</v>
      </c>
      <c r="CN1991" s="48">
        <v>0</v>
      </c>
      <c r="CO1991" s="45" t="str">
        <v>Nothing</v>
      </c>
      <c r="CP1991" s="61"/>
      <c r="CQ1991" s="45">
        <v>1987</v>
      </c>
      <c r="CR1991" s="45">
        <v>22.960109740713627</v>
      </c>
      <c r="CS1991" s="45" t="str">
        <v>Invest</v>
      </c>
      <c r="CT1991" s="61"/>
      <c r="CU1991" s="45">
        <v>1987</v>
      </c>
      <c r="CV1991" s="45">
        <v>51.358344831168772</v>
      </c>
      <c r="CW1991" s="45" t="str">
        <v>Invest</v>
      </c>
      <c r="CX1991" s="61"/>
      <c r="CY1991" s="45">
        <v>1987</v>
      </c>
      <c r="CZ1991" s="45">
        <v>0</v>
      </c>
      <c r="DA1991" s="45" t="str">
        <v>Nothing</v>
      </c>
      <c r="DU1991" s="52"/>
      <c r="DV1991" s="50"/>
    </row>
    <row r="1992" spans="91:126" ht="23.5">
      <c r="CM1992" s="45">
        <v>1988</v>
      </c>
      <c r="CN1992" s="48">
        <v>20.968785542435182</v>
      </c>
      <c r="CO1992" s="45" t="str">
        <v>Invest</v>
      </c>
      <c r="CP1992" s="61"/>
      <c r="CQ1992" s="45">
        <v>1988</v>
      </c>
      <c r="CR1992" s="45">
        <v>14.273605421439877</v>
      </c>
      <c r="CS1992" s="45" t="str">
        <v>Invest</v>
      </c>
      <c r="CT1992" s="61"/>
      <c r="CU1992" s="45">
        <v>1988</v>
      </c>
      <c r="CV1992" s="45">
        <v>38.126282110112903</v>
      </c>
      <c r="CW1992" s="45" t="str">
        <v>Invest</v>
      </c>
      <c r="CX1992" s="61"/>
      <c r="CY1992" s="45">
        <v>1988</v>
      </c>
      <c r="CZ1992" s="45">
        <v>16.239469260109793</v>
      </c>
      <c r="DA1992" s="45" t="str">
        <v>Invest</v>
      </c>
      <c r="DU1992" s="52"/>
      <c r="DV1992" s="50"/>
    </row>
    <row r="1993" spans="91:126" ht="23.5">
      <c r="CM1993" s="45">
        <v>1989</v>
      </c>
      <c r="CN1993" s="48">
        <v>0</v>
      </c>
      <c r="CO1993" s="45" t="str">
        <v>Nothing</v>
      </c>
      <c r="CP1993" s="61"/>
      <c r="CQ1993" s="45">
        <v>1989</v>
      </c>
      <c r="CR1993" s="45">
        <v>56.418694336383098</v>
      </c>
      <c r="CS1993" s="45" t="str">
        <v>Invest</v>
      </c>
      <c r="CT1993" s="61"/>
      <c r="CU1993" s="45">
        <v>1989</v>
      </c>
      <c r="CV1993" s="45">
        <v>55.34931669935726</v>
      </c>
      <c r="CW1993" s="45" t="str">
        <v>Invest</v>
      </c>
      <c r="CX1993" s="61"/>
      <c r="CY1993" s="45">
        <v>1989</v>
      </c>
      <c r="CZ1993" s="45">
        <v>12.122940163062248</v>
      </c>
      <c r="DA1993" s="45" t="str">
        <v>Invest</v>
      </c>
      <c r="DU1993" s="52"/>
      <c r="DV1993" s="50"/>
    </row>
    <row r="1994" spans="91:126" ht="23.5">
      <c r="CM1994" s="45">
        <v>1990</v>
      </c>
      <c r="CN1994" s="48">
        <v>1.2683119495162112</v>
      </c>
      <c r="CO1994" s="45" t="str">
        <v>Invest</v>
      </c>
      <c r="CP1994" s="61"/>
      <c r="CQ1994" s="45">
        <v>1990</v>
      </c>
      <c r="CR1994" s="45">
        <v>0.60509681664405335</v>
      </c>
      <c r="CS1994" s="45" t="str">
        <v>Invest</v>
      </c>
      <c r="CT1994" s="61"/>
      <c r="CU1994" s="45">
        <v>1990</v>
      </c>
      <c r="CV1994" s="45">
        <v>31.985426171831737</v>
      </c>
      <c r="CW1994" s="45" t="str">
        <v>Invest</v>
      </c>
      <c r="CX1994" s="61"/>
      <c r="CY1994" s="45">
        <v>1990</v>
      </c>
      <c r="CZ1994" s="45">
        <v>33.73671367430051</v>
      </c>
      <c r="DA1994" s="45" t="str">
        <v>Invest</v>
      </c>
      <c r="DU1994" s="52"/>
      <c r="DV1994" s="50"/>
    </row>
    <row r="1995" spans="91:126" ht="23.5">
      <c r="CM1995" s="45">
        <v>1991</v>
      </c>
      <c r="CN1995" s="48">
        <v>24.851882948591324</v>
      </c>
      <c r="CO1995" s="45" t="str">
        <v>Invest</v>
      </c>
      <c r="CP1995" s="61"/>
      <c r="CQ1995" s="45">
        <v>1991</v>
      </c>
      <c r="CR1995" s="45">
        <v>8.720794075518695</v>
      </c>
      <c r="CS1995" s="45" t="str">
        <v>Invest</v>
      </c>
      <c r="CT1995" s="61"/>
      <c r="CU1995" s="45">
        <v>1991</v>
      </c>
      <c r="CV1995" s="45">
        <v>0</v>
      </c>
      <c r="CW1995" s="45" t="str">
        <v>Nothing</v>
      </c>
      <c r="CX1995" s="61"/>
      <c r="CY1995" s="45">
        <v>1991</v>
      </c>
      <c r="CZ1995" s="45">
        <v>28.351341493903167</v>
      </c>
      <c r="DA1995" s="45" t="str">
        <v>Invest</v>
      </c>
      <c r="DU1995" s="52"/>
      <c r="DV1995" s="50"/>
    </row>
    <row r="1996" spans="91:126" ht="23.5">
      <c r="CM1996" s="45">
        <v>1992</v>
      </c>
      <c r="CN1996" s="48">
        <v>31.22237172125557</v>
      </c>
      <c r="CO1996" s="45" t="str">
        <v>Invest</v>
      </c>
      <c r="CP1996" s="61"/>
      <c r="CQ1996" s="45">
        <v>1992</v>
      </c>
      <c r="CR1996" s="45">
        <v>30.99078308631994</v>
      </c>
      <c r="CS1996" s="45" t="str">
        <v>Invest</v>
      </c>
      <c r="CT1996" s="61"/>
      <c r="CU1996" s="45">
        <v>1992</v>
      </c>
      <c r="CV1996" s="45">
        <v>31.512046927120473</v>
      </c>
      <c r="CW1996" s="45" t="str">
        <v>Invest</v>
      </c>
      <c r="CX1996" s="61"/>
      <c r="CY1996" s="45">
        <v>1992</v>
      </c>
      <c r="CZ1996" s="45">
        <v>0</v>
      </c>
      <c r="DA1996" s="45" t="str">
        <v>Nothing</v>
      </c>
      <c r="DU1996" s="52"/>
      <c r="DV1996" s="50"/>
    </row>
    <row r="1997" spans="91:126" ht="23.5">
      <c r="CM1997" s="45">
        <v>1993</v>
      </c>
      <c r="CN1997" s="48">
        <v>9.4132321232780214</v>
      </c>
      <c r="CO1997" s="45" t="str">
        <v>Invest</v>
      </c>
      <c r="CP1997" s="61"/>
      <c r="CQ1997" s="45">
        <v>1993</v>
      </c>
      <c r="CR1997" s="45">
        <v>13.643574473357287</v>
      </c>
      <c r="CS1997" s="45" t="str">
        <v>Invest</v>
      </c>
      <c r="CT1997" s="61"/>
      <c r="CU1997" s="45">
        <v>1993</v>
      </c>
      <c r="CV1997" s="45">
        <v>39.483323418262543</v>
      </c>
      <c r="CW1997" s="45" t="str">
        <v>Invest</v>
      </c>
      <c r="CX1997" s="61"/>
      <c r="CY1997" s="45">
        <v>1993</v>
      </c>
      <c r="CZ1997" s="45">
        <v>0</v>
      </c>
      <c r="DA1997" s="45" t="str">
        <v>Nothing</v>
      </c>
      <c r="DU1997" s="52"/>
      <c r="DV1997" s="50"/>
    </row>
    <row r="1998" spans="91:126" ht="23.5">
      <c r="CM1998" s="45">
        <v>1994</v>
      </c>
      <c r="CN1998" s="48">
        <v>0</v>
      </c>
      <c r="CO1998" s="45" t="str">
        <v>Nothing</v>
      </c>
      <c r="CP1998" s="61"/>
      <c r="CQ1998" s="45">
        <v>1994</v>
      </c>
      <c r="CR1998" s="45">
        <v>0</v>
      </c>
      <c r="CS1998" s="45" t="str">
        <v>Nothing</v>
      </c>
      <c r="CT1998" s="61"/>
      <c r="CU1998" s="45">
        <v>1994</v>
      </c>
      <c r="CV1998" s="45">
        <v>0</v>
      </c>
      <c r="CW1998" s="45" t="str">
        <v>Nothing</v>
      </c>
      <c r="CX1998" s="61"/>
      <c r="CY1998" s="45">
        <v>1994</v>
      </c>
      <c r="CZ1998" s="45">
        <v>3.2325974210583546</v>
      </c>
      <c r="DA1998" s="45" t="str">
        <v>Invest</v>
      </c>
      <c r="DU1998" s="52"/>
      <c r="DV1998" s="50"/>
    </row>
    <row r="1999" spans="91:126" ht="23.5">
      <c r="CM1999" s="45">
        <v>1995</v>
      </c>
      <c r="CN1999" s="48">
        <v>0</v>
      </c>
      <c r="CO1999" s="45" t="str">
        <v>Nothing</v>
      </c>
      <c r="CP1999" s="61"/>
      <c r="CQ1999" s="45">
        <v>1995</v>
      </c>
      <c r="CR1999" s="45">
        <v>0</v>
      </c>
      <c r="CS1999" s="45" t="str">
        <v>Nothing</v>
      </c>
      <c r="CT1999" s="61"/>
      <c r="CU1999" s="45">
        <v>1995</v>
      </c>
      <c r="CV1999" s="45">
        <v>22.439684042807251</v>
      </c>
      <c r="CW1999" s="45" t="str">
        <v>Invest</v>
      </c>
      <c r="CX1999" s="61"/>
      <c r="CY1999" s="45">
        <v>1995</v>
      </c>
      <c r="CZ1999" s="45">
        <v>0</v>
      </c>
      <c r="DA1999" s="45" t="str">
        <v>Nothing</v>
      </c>
      <c r="DU1999" s="52"/>
      <c r="DV1999" s="50"/>
    </row>
    <row r="2000" spans="91:126" ht="23.5">
      <c r="CM2000" s="45">
        <v>1996</v>
      </c>
      <c r="CN2000" s="48">
        <v>0</v>
      </c>
      <c r="CO2000" s="45" t="str">
        <v>Nothing</v>
      </c>
      <c r="CP2000" s="61"/>
      <c r="CQ2000" s="45">
        <v>1996</v>
      </c>
      <c r="CR2000" s="45">
        <v>0</v>
      </c>
      <c r="CS2000" s="45" t="str">
        <v>Nothing</v>
      </c>
      <c r="CT2000" s="61"/>
      <c r="CU2000" s="45">
        <v>1996</v>
      </c>
      <c r="CV2000" s="45">
        <v>4.2284089231989554</v>
      </c>
      <c r="CW2000" s="45" t="str">
        <v>Invest</v>
      </c>
      <c r="CX2000" s="61"/>
      <c r="CY2000" s="45">
        <v>1996</v>
      </c>
      <c r="CZ2000" s="45">
        <v>14.006390237474619</v>
      </c>
      <c r="DA2000" s="45" t="str">
        <v>Invest</v>
      </c>
      <c r="DU2000" s="52"/>
      <c r="DV2000" s="50"/>
    </row>
    <row r="2001" spans="91:126" ht="23.5">
      <c r="CM2001" s="45">
        <v>1997</v>
      </c>
      <c r="CN2001" s="48">
        <v>0</v>
      </c>
      <c r="CO2001" s="45" t="str">
        <v>Nothing</v>
      </c>
      <c r="CP2001" s="61"/>
      <c r="CQ2001" s="45">
        <v>1997</v>
      </c>
      <c r="CR2001" s="45">
        <v>0</v>
      </c>
      <c r="CS2001" s="45" t="str">
        <v>Nothing</v>
      </c>
      <c r="CT2001" s="61"/>
      <c r="CU2001" s="45">
        <v>1997</v>
      </c>
      <c r="CV2001" s="45">
        <v>19.612673712405151</v>
      </c>
      <c r="CW2001" s="45" t="str">
        <v>Invest</v>
      </c>
      <c r="CX2001" s="61"/>
      <c r="CY2001" s="45">
        <v>1997</v>
      </c>
      <c r="CZ2001" s="45">
        <v>0</v>
      </c>
      <c r="DA2001" s="45" t="str">
        <v>Nothing</v>
      </c>
      <c r="DU2001" s="52"/>
      <c r="DV2001" s="50"/>
    </row>
    <row r="2002" spans="91:126" ht="23.5">
      <c r="CM2002" s="45">
        <v>1998</v>
      </c>
      <c r="CN2002" s="48">
        <v>16.834805500066473</v>
      </c>
      <c r="CO2002" s="45" t="str">
        <v>Invest</v>
      </c>
      <c r="CP2002" s="61"/>
      <c r="CQ2002" s="45">
        <v>1998</v>
      </c>
      <c r="CR2002" s="45">
        <v>24.924592417113793</v>
      </c>
      <c r="CS2002" s="45" t="str">
        <v>Invest</v>
      </c>
      <c r="CT2002" s="61"/>
      <c r="CU2002" s="45">
        <v>1998</v>
      </c>
      <c r="CV2002" s="45">
        <v>43.033060013524697</v>
      </c>
      <c r="CW2002" s="45" t="str">
        <v>Invest</v>
      </c>
      <c r="CX2002" s="61"/>
      <c r="CY2002" s="45">
        <v>1998</v>
      </c>
      <c r="CZ2002" s="45">
        <v>14.189387022481036</v>
      </c>
      <c r="DA2002" s="45" t="str">
        <v>Invest</v>
      </c>
      <c r="DU2002" s="52"/>
      <c r="DV2002" s="50"/>
    </row>
    <row r="2003" spans="91:126" ht="23.5">
      <c r="CM2003" s="45">
        <v>1999</v>
      </c>
      <c r="CN2003" s="48">
        <v>0</v>
      </c>
      <c r="CO2003" s="45" t="str">
        <v>Nothing</v>
      </c>
      <c r="CP2003" s="61"/>
      <c r="CQ2003" s="45">
        <v>1999</v>
      </c>
      <c r="CR2003" s="45">
        <v>13.438550673038897</v>
      </c>
      <c r="CS2003" s="45" t="str">
        <v>Invest</v>
      </c>
      <c r="CT2003" s="61"/>
      <c r="CU2003" s="45">
        <v>1999</v>
      </c>
      <c r="CV2003" s="45">
        <v>2.45257753343496</v>
      </c>
      <c r="CW2003" s="45" t="str">
        <v>Invest</v>
      </c>
      <c r="CX2003" s="61"/>
      <c r="CY2003" s="45">
        <v>1999</v>
      </c>
      <c r="CZ2003" s="45">
        <v>45.279359593746371</v>
      </c>
      <c r="DA2003" s="45" t="str">
        <v>Invest</v>
      </c>
      <c r="DU2003" s="52"/>
      <c r="DV2003" s="50"/>
    </row>
    <row r="2004" spans="91:126" ht="23.5">
      <c r="CM2004" s="45">
        <v>2000</v>
      </c>
      <c r="CN2004" s="48">
        <v>44.702768948002543</v>
      </c>
      <c r="CO2004" s="45" t="str">
        <v>Invest</v>
      </c>
      <c r="CP2004" s="61"/>
      <c r="CQ2004" s="45">
        <v>2000</v>
      </c>
      <c r="CR2004" s="45">
        <v>0</v>
      </c>
      <c r="CS2004" s="45" t="str">
        <v>Nothing</v>
      </c>
      <c r="CT2004" s="61"/>
      <c r="CU2004" s="45">
        <v>2000</v>
      </c>
      <c r="CV2004" s="45">
        <v>0</v>
      </c>
      <c r="CW2004" s="45" t="str">
        <v>Nothing</v>
      </c>
      <c r="CX2004" s="61"/>
      <c r="CY2004" s="45">
        <v>2000</v>
      </c>
      <c r="CZ2004" s="45">
        <v>12.439514522509414</v>
      </c>
      <c r="DA2004" s="45" t="str">
        <v>Invest</v>
      </c>
      <c r="DU2004" s="52"/>
      <c r="DV2004" s="50"/>
    </row>
    <row r="2005" spans="91:126" ht="23.5">
      <c r="CQ2005" s="45">
        <v>2001</v>
      </c>
      <c r="CR2005" s="18">
        <v>10.41421838458705</v>
      </c>
      <c r="CS2005" s="18" t="str">
        <v>Invest</v>
      </c>
      <c r="CU2005" s="45">
        <v>2001</v>
      </c>
      <c r="CV2005" s="18">
        <v>30.315947936016563</v>
      </c>
      <c r="CW2005" s="18" t="str">
        <v>Invest</v>
      </c>
      <c r="CY2005" s="45">
        <v>2001</v>
      </c>
      <c r="CZ2005" s="18">
        <v>10.502493133280936</v>
      </c>
      <c r="DA2005" s="18" t="str">
        <v>Invest</v>
      </c>
      <c r="DU2005" s="52"/>
    </row>
    <row r="2006" spans="91:126" ht="23.5">
      <c r="CQ2006" s="45">
        <v>2002</v>
      </c>
      <c r="CR2006" s="18">
        <v>0</v>
      </c>
      <c r="CS2006" s="18" t="str">
        <v>Nothing</v>
      </c>
      <c r="CU2006" s="45">
        <v>2002</v>
      </c>
      <c r="CV2006" s="18">
        <v>50.951840185419975</v>
      </c>
      <c r="CW2006" s="18" t="str">
        <v>Invest</v>
      </c>
      <c r="CY2006" s="45">
        <v>2002</v>
      </c>
      <c r="CZ2006" s="18">
        <v>0</v>
      </c>
      <c r="DA2006" s="18" t="str">
        <v>Nothing</v>
      </c>
      <c r="DU2006" s="52"/>
    </row>
    <row r="2007" spans="91:126" ht="23.5">
      <c r="CQ2007" s="45">
        <v>2003</v>
      </c>
      <c r="CR2007" s="18">
        <v>9.0588645472397697</v>
      </c>
      <c r="CS2007" s="18" t="str">
        <v>Invest</v>
      </c>
      <c r="CU2007" s="45">
        <v>2003</v>
      </c>
      <c r="CV2007" s="18">
        <v>49.260029027845597</v>
      </c>
      <c r="CW2007" s="18" t="str">
        <v>Invest</v>
      </c>
      <c r="CY2007" s="45">
        <v>2003</v>
      </c>
      <c r="CZ2007" s="18">
        <v>3.7185197910716923</v>
      </c>
      <c r="DA2007" s="18" t="str">
        <v>Invest</v>
      </c>
      <c r="DU2007" s="52"/>
    </row>
    <row r="2008" spans="91:126" ht="23.5">
      <c r="CQ2008" s="45">
        <v>2004</v>
      </c>
      <c r="CR2008" s="18">
        <v>38.291494788549933</v>
      </c>
      <c r="CS2008" s="18" t="str">
        <v>Invest</v>
      </c>
      <c r="CU2008" s="45">
        <v>2004</v>
      </c>
      <c r="CV2008" s="18">
        <v>35.693262003431343</v>
      </c>
      <c r="CW2008" s="18" t="str">
        <v>Invest</v>
      </c>
      <c r="CY2008" s="45">
        <v>2004</v>
      </c>
      <c r="CZ2008" s="18">
        <v>4.7247560381755864</v>
      </c>
      <c r="DA2008" s="18" t="str">
        <v>Invest</v>
      </c>
      <c r="DU2008" s="52"/>
    </row>
    <row r="2009" spans="91:126" ht="23.5">
      <c r="CQ2009" s="45">
        <v>2005</v>
      </c>
      <c r="CR2009" s="18">
        <v>14.805568938183665</v>
      </c>
      <c r="CS2009" s="18" t="str">
        <v>Invest</v>
      </c>
      <c r="CU2009" s="45">
        <v>2005</v>
      </c>
      <c r="CV2009" s="18">
        <v>0</v>
      </c>
      <c r="CW2009" s="18" t="str">
        <v>Nothing</v>
      </c>
      <c r="CY2009" s="45">
        <v>2005</v>
      </c>
      <c r="CZ2009" s="18">
        <v>42.366605913893878</v>
      </c>
      <c r="DA2009" s="18" t="str">
        <v>Invest</v>
      </c>
      <c r="DU2009" s="52"/>
    </row>
    <row r="2010" spans="91:126" ht="23.5">
      <c r="CQ2010" s="45">
        <v>2006</v>
      </c>
      <c r="CR2010" s="18">
        <v>0</v>
      </c>
      <c r="CS2010" s="18" t="str">
        <v>Nothing</v>
      </c>
      <c r="CU2010" s="45">
        <v>2006</v>
      </c>
      <c r="CV2010" s="18">
        <v>0</v>
      </c>
      <c r="CW2010" s="18" t="str">
        <v>Nothing</v>
      </c>
      <c r="CY2010" s="45">
        <v>2006</v>
      </c>
      <c r="CZ2010" s="18">
        <v>0</v>
      </c>
      <c r="DA2010" s="18" t="str">
        <v>Nothing</v>
      </c>
      <c r="DU2010" s="52"/>
    </row>
    <row r="2011" spans="91:126" ht="23.5">
      <c r="CQ2011" s="45">
        <v>2007</v>
      </c>
      <c r="CR2011" s="18">
        <v>0</v>
      </c>
      <c r="CS2011" s="18" t="str">
        <v>Nothing</v>
      </c>
      <c r="CU2011" s="45">
        <v>2007</v>
      </c>
      <c r="CV2011" s="18">
        <v>50.905849810023184</v>
      </c>
      <c r="CW2011" s="18" t="str">
        <v>Invest</v>
      </c>
      <c r="CY2011" s="45">
        <v>2007</v>
      </c>
      <c r="CZ2011" s="18">
        <v>53.51090770069694</v>
      </c>
      <c r="DA2011" s="18" t="str">
        <v>Invest</v>
      </c>
      <c r="DU2011" s="52"/>
    </row>
    <row r="2012" spans="91:126" ht="23.5">
      <c r="CQ2012" s="45">
        <v>2008</v>
      </c>
      <c r="CR2012" s="18">
        <v>39.528448736633933</v>
      </c>
      <c r="CS2012" s="18" t="str">
        <v>Invest</v>
      </c>
      <c r="CU2012" s="45">
        <v>2008</v>
      </c>
      <c r="CV2012" s="18">
        <v>31.377206758570914</v>
      </c>
      <c r="CW2012" s="18" t="str">
        <v>Invest</v>
      </c>
      <c r="CY2012" s="45">
        <v>2008</v>
      </c>
      <c r="CZ2012" s="18">
        <v>0</v>
      </c>
      <c r="DA2012" s="18" t="str">
        <v>Nothing</v>
      </c>
      <c r="DU2012" s="52"/>
    </row>
    <row r="2013" spans="91:126" ht="23.5">
      <c r="CQ2013" s="45">
        <v>2009</v>
      </c>
      <c r="CR2013" s="18">
        <v>21.184345541640688</v>
      </c>
      <c r="CS2013" s="18" t="str">
        <v>Invest</v>
      </c>
      <c r="CU2013" s="45">
        <v>2009</v>
      </c>
      <c r="CV2013" s="18">
        <v>0</v>
      </c>
      <c r="CW2013" s="18" t="str">
        <v>Nothing</v>
      </c>
      <c r="CY2013" s="45">
        <v>2009</v>
      </c>
      <c r="CZ2013" s="18">
        <v>20.698470715488227</v>
      </c>
      <c r="DA2013" s="18" t="str">
        <v>Invest</v>
      </c>
      <c r="DU2013" s="52"/>
    </row>
    <row r="2014" spans="91:126" ht="23.5">
      <c r="CQ2014" s="45">
        <v>2010</v>
      </c>
      <c r="CR2014" s="18">
        <v>28.390548741891443</v>
      </c>
      <c r="CS2014" s="18" t="str">
        <v>Invest</v>
      </c>
      <c r="CU2014" s="45">
        <v>2010</v>
      </c>
      <c r="CV2014" s="18">
        <v>30.978875139838266</v>
      </c>
      <c r="CW2014" s="18" t="str">
        <v>Invest</v>
      </c>
      <c r="CY2014" s="45">
        <v>2010</v>
      </c>
      <c r="CZ2014" s="18">
        <v>0</v>
      </c>
      <c r="DA2014" s="18" t="str">
        <v>Nothing</v>
      </c>
      <c r="DU2014" s="52"/>
    </row>
    <row r="2015" spans="91:126" ht="23.5">
      <c r="CQ2015" s="45">
        <v>2011</v>
      </c>
      <c r="CR2015" s="18">
        <v>31.669112456774545</v>
      </c>
      <c r="CS2015" s="18" t="str">
        <v>Invest</v>
      </c>
      <c r="CU2015" s="45">
        <v>2011</v>
      </c>
      <c r="CV2015" s="18">
        <v>0</v>
      </c>
      <c r="CW2015" s="18" t="str">
        <v>Nothing</v>
      </c>
      <c r="CY2015" s="45">
        <v>2011</v>
      </c>
      <c r="CZ2015" s="18">
        <v>34.333958643855887</v>
      </c>
      <c r="DA2015" s="18" t="str">
        <v>Invest</v>
      </c>
    </row>
    <row r="2016" spans="91:126" ht="23.5">
      <c r="CQ2016" s="45">
        <v>2012</v>
      </c>
      <c r="CR2016" s="18">
        <v>49.612365953521184</v>
      </c>
      <c r="CS2016" s="18" t="str">
        <v>Invest</v>
      </c>
      <c r="CU2016" s="45">
        <v>2012</v>
      </c>
      <c r="CV2016" s="18">
        <v>11.494250872117323</v>
      </c>
      <c r="CW2016" s="18" t="str">
        <v>Invest</v>
      </c>
      <c r="CY2016" s="45">
        <v>2012</v>
      </c>
      <c r="CZ2016" s="18">
        <v>0</v>
      </c>
      <c r="DA2016" s="18" t="str">
        <v>Nothing</v>
      </c>
    </row>
    <row r="2017" spans="95:105" ht="23.5">
      <c r="CQ2017" s="45">
        <v>2013</v>
      </c>
      <c r="CR2017" s="18">
        <v>0</v>
      </c>
      <c r="CS2017" s="18" t="str">
        <v>Nothing</v>
      </c>
      <c r="CU2017" s="45">
        <v>2013</v>
      </c>
      <c r="CV2017" s="18">
        <v>0</v>
      </c>
      <c r="CW2017" s="18" t="str">
        <v>Nothing</v>
      </c>
      <c r="CY2017" s="45">
        <v>2013</v>
      </c>
      <c r="CZ2017" s="18">
        <v>12.482711946400618</v>
      </c>
      <c r="DA2017" s="18" t="str">
        <v>Invest</v>
      </c>
    </row>
    <row r="2018" spans="95:105" ht="23.5">
      <c r="CQ2018" s="45">
        <v>2014</v>
      </c>
      <c r="CR2018" s="18">
        <v>27.678516729990495</v>
      </c>
      <c r="CS2018" s="18" t="str">
        <v>Invest</v>
      </c>
      <c r="CU2018" s="45">
        <v>2014</v>
      </c>
      <c r="CV2018" s="18">
        <v>36.678965307518766</v>
      </c>
      <c r="CW2018" s="18" t="str">
        <v>Invest</v>
      </c>
      <c r="CY2018" s="45">
        <v>2014</v>
      </c>
      <c r="CZ2018" s="18">
        <v>4.5744479992712321</v>
      </c>
      <c r="DA2018" s="18" t="str">
        <v>Invest</v>
      </c>
    </row>
    <row r="2019" spans="95:105" ht="23.5">
      <c r="CQ2019" s="45">
        <v>2015</v>
      </c>
      <c r="CR2019" s="18">
        <v>6.8184559951290709</v>
      </c>
      <c r="CS2019" s="18" t="str">
        <v>Invest</v>
      </c>
      <c r="CU2019" s="45">
        <v>2015</v>
      </c>
      <c r="CV2019" s="18">
        <v>0</v>
      </c>
      <c r="CW2019" s="18" t="str">
        <v>Nothing</v>
      </c>
      <c r="CY2019" s="45">
        <v>2015</v>
      </c>
      <c r="CZ2019" s="18">
        <v>36.037514254726013</v>
      </c>
      <c r="DA2019" s="18" t="str">
        <v>Invest</v>
      </c>
    </row>
    <row r="2020" spans="95:105" ht="23.5">
      <c r="CQ2020" s="45">
        <v>2016</v>
      </c>
      <c r="CR2020" s="18">
        <v>31.440580206785466</v>
      </c>
      <c r="CS2020" s="18" t="str">
        <v>Invest</v>
      </c>
      <c r="CU2020" s="45">
        <v>2016</v>
      </c>
      <c r="CV2020" s="18">
        <v>14.356459605812637</v>
      </c>
      <c r="CW2020" s="18" t="str">
        <v>Invest</v>
      </c>
      <c r="CY2020" s="45">
        <v>2016</v>
      </c>
      <c r="CZ2020" s="18">
        <v>4.259447715510019</v>
      </c>
      <c r="DA2020" s="18" t="str">
        <v>Invest</v>
      </c>
    </row>
    <row r="2021" spans="95:105" ht="23.5">
      <c r="CQ2021" s="45">
        <v>2017</v>
      </c>
      <c r="CR2021" s="18">
        <v>21.408191703820542</v>
      </c>
      <c r="CS2021" s="18" t="str">
        <v>Invest</v>
      </c>
      <c r="CU2021" s="45">
        <v>2017</v>
      </c>
      <c r="CV2021" s="18">
        <v>29.271513583608993</v>
      </c>
      <c r="CW2021" s="18" t="str">
        <v>Invest</v>
      </c>
      <c r="CY2021" s="45">
        <v>2017</v>
      </c>
      <c r="CZ2021" s="18">
        <v>0</v>
      </c>
      <c r="DA2021" s="18" t="str">
        <v>Nothing</v>
      </c>
    </row>
    <row r="2022" spans="95:105" ht="23.5">
      <c r="CQ2022" s="45">
        <v>2018</v>
      </c>
      <c r="CR2022" s="18">
        <v>0</v>
      </c>
      <c r="CS2022" s="18" t="str">
        <v>Nothing</v>
      </c>
      <c r="CU2022" s="45">
        <v>2018</v>
      </c>
      <c r="CV2022" s="18">
        <v>44.489339102924333</v>
      </c>
      <c r="CW2022" s="18" t="str">
        <v>Invest</v>
      </c>
      <c r="CY2022" s="45">
        <v>2018</v>
      </c>
      <c r="CZ2022" s="18">
        <v>0</v>
      </c>
      <c r="DA2022" s="18" t="str">
        <v>Nothing</v>
      </c>
    </row>
    <row r="2023" spans="95:105" ht="23.5">
      <c r="CQ2023" s="45">
        <v>2019</v>
      </c>
      <c r="CR2023" s="18">
        <v>0</v>
      </c>
      <c r="CS2023" s="18" t="str">
        <v>Nothing</v>
      </c>
      <c r="CU2023" s="45">
        <v>2019</v>
      </c>
      <c r="CV2023" s="18">
        <v>36.752000371273212</v>
      </c>
      <c r="CW2023" s="18" t="str">
        <v>Invest</v>
      </c>
      <c r="CY2023" s="45">
        <v>2019</v>
      </c>
      <c r="CZ2023" s="18">
        <v>18.310925939264351</v>
      </c>
      <c r="DA2023" s="18" t="str">
        <v>Invest</v>
      </c>
    </row>
    <row r="2024" spans="95:105" ht="23.5">
      <c r="CQ2024" s="45">
        <v>2020</v>
      </c>
      <c r="CR2024" s="18">
        <v>42.373568806906512</v>
      </c>
      <c r="CS2024" s="18" t="str">
        <v>Invest</v>
      </c>
      <c r="CU2024" s="45">
        <v>2020</v>
      </c>
      <c r="CV2024" s="18">
        <v>2.9034314134390335</v>
      </c>
      <c r="CW2024" s="18" t="str">
        <v>Invest</v>
      </c>
      <c r="CY2024" s="45">
        <v>2020</v>
      </c>
      <c r="CZ2024" s="18">
        <v>0</v>
      </c>
      <c r="DA2024" s="18" t="str">
        <v>Nothing</v>
      </c>
    </row>
    <row r="2025" spans="95:105" ht="23.5">
      <c r="CQ2025" s="45">
        <v>2021</v>
      </c>
      <c r="CR2025" s="18">
        <v>0</v>
      </c>
      <c r="CS2025" s="18" t="str">
        <v>Nothing</v>
      </c>
      <c r="CU2025" s="45">
        <v>2021</v>
      </c>
      <c r="CV2025" s="18">
        <v>12.297551398819985</v>
      </c>
      <c r="CW2025" s="18" t="str">
        <v>Invest</v>
      </c>
      <c r="CY2025" s="45">
        <v>2021</v>
      </c>
      <c r="CZ2025" s="18">
        <v>0</v>
      </c>
      <c r="DA2025" s="18" t="str">
        <v>Nothing</v>
      </c>
    </row>
    <row r="2026" spans="95:105" ht="23.5">
      <c r="CQ2026" s="45">
        <v>2022</v>
      </c>
      <c r="CR2026" s="18">
        <v>37.279387125158834</v>
      </c>
      <c r="CS2026" s="18" t="str">
        <v>Invest</v>
      </c>
      <c r="CU2026" s="45">
        <v>2022</v>
      </c>
      <c r="CV2026" s="18">
        <v>35.631281466387264</v>
      </c>
      <c r="CW2026" s="18" t="str">
        <v>Invest</v>
      </c>
      <c r="CY2026" s="45">
        <v>2022</v>
      </c>
      <c r="CZ2026" s="18">
        <v>12.743422389579504</v>
      </c>
      <c r="DA2026" s="18" t="str">
        <v>Invest</v>
      </c>
    </row>
    <row r="2027" spans="95:105" ht="23.5">
      <c r="CQ2027" s="45">
        <v>2023</v>
      </c>
      <c r="CR2027" s="18">
        <v>6.2872089678883487</v>
      </c>
      <c r="CS2027" s="18" t="str">
        <v>Invest</v>
      </c>
      <c r="CU2027" s="45">
        <v>2023</v>
      </c>
      <c r="CV2027" s="18">
        <v>15.135185839433651</v>
      </c>
      <c r="CW2027" s="18" t="str">
        <v>Invest</v>
      </c>
      <c r="CY2027" s="45">
        <v>2023</v>
      </c>
      <c r="CZ2027" s="18">
        <v>0</v>
      </c>
      <c r="DA2027" s="18" t="str">
        <v>Nothing</v>
      </c>
    </row>
    <row r="2028" spans="95:105" ht="23.5">
      <c r="CQ2028" s="45">
        <v>2024</v>
      </c>
      <c r="CR2028" s="18">
        <v>31.974225395763821</v>
      </c>
      <c r="CS2028" s="18" t="str">
        <v>Invest</v>
      </c>
      <c r="CU2028" s="45">
        <v>2024</v>
      </c>
      <c r="CV2028" s="18">
        <v>13.093049829778938</v>
      </c>
      <c r="CW2028" s="18" t="str">
        <v>Invest</v>
      </c>
      <c r="CY2028" s="45">
        <v>2024</v>
      </c>
      <c r="CZ2028" s="18">
        <v>10.303981207543995</v>
      </c>
      <c r="DA2028" s="18" t="str">
        <v>Invest</v>
      </c>
    </row>
    <row r="2029" spans="95:105" ht="23.5">
      <c r="CQ2029" s="45">
        <v>2025</v>
      </c>
      <c r="CR2029" s="18">
        <v>0.64998542737644627</v>
      </c>
      <c r="CS2029" s="18" t="str">
        <v>Invest</v>
      </c>
      <c r="CU2029" s="45">
        <v>2025</v>
      </c>
      <c r="CV2029" s="18">
        <v>36.654668272010476</v>
      </c>
      <c r="CW2029" s="18" t="str">
        <v>Invest</v>
      </c>
      <c r="CY2029" s="45">
        <v>2025</v>
      </c>
      <c r="CZ2029" s="18">
        <v>13.926106975969164</v>
      </c>
      <c r="DA2029" s="18" t="str">
        <v>Invest</v>
      </c>
    </row>
    <row r="2030" spans="95:105" ht="23.5">
      <c r="CQ2030" s="45">
        <v>2026</v>
      </c>
      <c r="CR2030" s="18">
        <v>0</v>
      </c>
      <c r="CS2030" s="18" t="str">
        <v>Nothing</v>
      </c>
      <c r="CU2030" s="45">
        <v>2026</v>
      </c>
      <c r="CV2030" s="18">
        <v>29.353145095484962</v>
      </c>
      <c r="CW2030" s="18" t="str">
        <v>Invest</v>
      </c>
      <c r="CY2030" s="45">
        <v>2026</v>
      </c>
      <c r="CZ2030" s="18">
        <v>0</v>
      </c>
      <c r="DA2030" s="18" t="str">
        <v>Nothing</v>
      </c>
    </row>
    <row r="2031" spans="95:105" ht="23.5">
      <c r="CQ2031" s="45">
        <v>2027</v>
      </c>
      <c r="CR2031" s="18">
        <v>30.266737758293111</v>
      </c>
      <c r="CS2031" s="18" t="str">
        <v>Invest</v>
      </c>
      <c r="CU2031" s="45">
        <v>2027</v>
      </c>
      <c r="CV2031" s="18">
        <v>59.755883031061188</v>
      </c>
      <c r="CW2031" s="18" t="str">
        <v>Invest</v>
      </c>
      <c r="CY2031" s="45">
        <v>2027</v>
      </c>
      <c r="CZ2031" s="18">
        <v>3.9952834837598665</v>
      </c>
      <c r="DA2031" s="18" t="str">
        <v>Invest</v>
      </c>
    </row>
    <row r="2032" spans="95:105" ht="23.5">
      <c r="CQ2032" s="45">
        <v>2028</v>
      </c>
      <c r="CR2032" s="18">
        <v>27.132512600634907</v>
      </c>
      <c r="CS2032" s="18" t="str">
        <v>Invest</v>
      </c>
      <c r="CU2032" s="45">
        <v>2028</v>
      </c>
      <c r="CV2032" s="18">
        <v>0.19968065732016704</v>
      </c>
      <c r="CW2032" s="18" t="str">
        <v>Invest</v>
      </c>
      <c r="CY2032" s="45">
        <v>2028</v>
      </c>
      <c r="CZ2032" s="18">
        <v>42.662110225254416</v>
      </c>
      <c r="DA2032" s="18" t="str">
        <v>Invest</v>
      </c>
    </row>
    <row r="2033" spans="95:105" ht="23.5">
      <c r="CQ2033" s="45">
        <v>2029</v>
      </c>
      <c r="CR2033" s="18">
        <v>0</v>
      </c>
      <c r="CS2033" s="18" t="str">
        <v>Nothing</v>
      </c>
      <c r="CU2033" s="45">
        <v>2029</v>
      </c>
      <c r="CV2033" s="18">
        <v>29.067985435022571</v>
      </c>
      <c r="CW2033" s="18" t="str">
        <v>Invest</v>
      </c>
      <c r="CY2033" s="45">
        <v>2029</v>
      </c>
      <c r="CZ2033" s="18">
        <v>0</v>
      </c>
      <c r="DA2033" s="18" t="str">
        <v>Nothing</v>
      </c>
    </row>
    <row r="2034" spans="95:105" ht="23.5">
      <c r="CQ2034" s="45">
        <v>2030</v>
      </c>
      <c r="CR2034" s="18">
        <v>9.298184321138244</v>
      </c>
      <c r="CS2034" s="18" t="str">
        <v>Invest</v>
      </c>
      <c r="CU2034" s="45">
        <v>2030</v>
      </c>
      <c r="CV2034" s="18">
        <v>22.832101583825004</v>
      </c>
      <c r="CW2034" s="18" t="str">
        <v>Invest</v>
      </c>
      <c r="CY2034" s="45">
        <v>2030</v>
      </c>
      <c r="CZ2034" s="18">
        <v>0</v>
      </c>
      <c r="DA2034" s="18" t="str">
        <v>Nothing</v>
      </c>
    </row>
    <row r="2035" spans="95:105" ht="23.5">
      <c r="CQ2035" s="45">
        <v>2031</v>
      </c>
      <c r="CR2035" s="18">
        <v>42.704477209241176</v>
      </c>
      <c r="CS2035" s="18" t="str">
        <v>Invest</v>
      </c>
      <c r="CU2035" s="45">
        <v>2031</v>
      </c>
      <c r="CV2035" s="18">
        <v>0</v>
      </c>
      <c r="CW2035" s="18" t="str">
        <v>Nothing</v>
      </c>
      <c r="CY2035" s="45">
        <v>2031</v>
      </c>
      <c r="CZ2035" s="18">
        <v>34.796074081888804</v>
      </c>
      <c r="DA2035" s="18" t="str">
        <v>Invest</v>
      </c>
    </row>
    <row r="2036" spans="95:105" ht="23.5">
      <c r="CQ2036" s="45">
        <v>2032</v>
      </c>
      <c r="CR2036" s="18">
        <v>42.130130991118804</v>
      </c>
      <c r="CS2036" s="18" t="str">
        <v>Invest</v>
      </c>
      <c r="CU2036" s="45">
        <v>2032</v>
      </c>
      <c r="CV2036" s="18">
        <v>0</v>
      </c>
      <c r="CW2036" s="18" t="str">
        <v>Nothing</v>
      </c>
      <c r="CY2036" s="45">
        <v>2032</v>
      </c>
      <c r="CZ2036" s="18">
        <v>0</v>
      </c>
      <c r="DA2036" s="18" t="str">
        <v>Nothing</v>
      </c>
    </row>
    <row r="2037" spans="95:105" ht="23.5">
      <c r="CQ2037" s="45">
        <v>2033</v>
      </c>
      <c r="CR2037" s="18">
        <v>33.641226348221714</v>
      </c>
      <c r="CS2037" s="18" t="str">
        <v>Invest</v>
      </c>
      <c r="CU2037" s="45">
        <v>2033</v>
      </c>
      <c r="CV2037" s="18">
        <v>31.797260968924157</v>
      </c>
      <c r="CW2037" s="18" t="str">
        <v>Invest</v>
      </c>
      <c r="CY2037" s="45">
        <v>2033</v>
      </c>
      <c r="CZ2037" s="18">
        <v>58.625067082129505</v>
      </c>
      <c r="DA2037" s="18" t="str">
        <v>Invest</v>
      </c>
    </row>
    <row r="2038" spans="95:105" ht="23.5">
      <c r="CQ2038" s="45">
        <v>2034</v>
      </c>
      <c r="CR2038" s="18">
        <v>0</v>
      </c>
      <c r="CS2038" s="18" t="str">
        <v>Nothing</v>
      </c>
      <c r="CU2038" s="45">
        <v>2034</v>
      </c>
      <c r="CV2038" s="18">
        <v>16.265174352426293</v>
      </c>
      <c r="CW2038" s="18" t="str">
        <v>Invest</v>
      </c>
      <c r="CY2038" s="45">
        <v>2034</v>
      </c>
      <c r="CZ2038" s="18">
        <v>16.67858862466527</v>
      </c>
      <c r="DA2038" s="18" t="str">
        <v>Invest</v>
      </c>
    </row>
    <row r="2039" spans="95:105" ht="23.5">
      <c r="CQ2039" s="45">
        <v>2035</v>
      </c>
      <c r="CR2039" s="18">
        <v>28.668256913118512</v>
      </c>
      <c r="CS2039" s="18" t="str">
        <v>Invest</v>
      </c>
      <c r="CU2039" s="45">
        <v>2035</v>
      </c>
      <c r="CV2039" s="18">
        <v>42.549889242685957</v>
      </c>
      <c r="CW2039" s="18" t="str">
        <v>Invest</v>
      </c>
      <c r="CY2039" s="45">
        <v>2035</v>
      </c>
      <c r="CZ2039" s="18">
        <v>12.706542305679664</v>
      </c>
      <c r="DA2039" s="18" t="str">
        <v>Invest</v>
      </c>
    </row>
    <row r="2040" spans="95:105" ht="23.5">
      <c r="CQ2040" s="45">
        <v>2036</v>
      </c>
      <c r="CR2040" s="18">
        <v>43.048910153583321</v>
      </c>
      <c r="CS2040" s="18" t="str">
        <v>Invest</v>
      </c>
      <c r="CU2040" s="45">
        <v>2036</v>
      </c>
      <c r="CV2040" s="18">
        <v>40.561441177718535</v>
      </c>
      <c r="CW2040" s="18" t="str">
        <v>Invest</v>
      </c>
      <c r="CY2040" s="45">
        <v>2036</v>
      </c>
      <c r="CZ2040" s="18">
        <v>0</v>
      </c>
      <c r="DA2040" s="18" t="str">
        <v>Nothing</v>
      </c>
    </row>
    <row r="2041" spans="95:105" ht="23.5">
      <c r="CQ2041" s="45">
        <v>2037</v>
      </c>
      <c r="CR2041" s="18">
        <v>30.045851790224148</v>
      </c>
      <c r="CS2041" s="18" t="str">
        <v>Invest</v>
      </c>
      <c r="CU2041" s="45">
        <v>2037</v>
      </c>
      <c r="CV2041" s="18">
        <v>27.090580210430161</v>
      </c>
      <c r="CW2041" s="18" t="str">
        <v>Invest</v>
      </c>
      <c r="CY2041" s="45">
        <v>2037</v>
      </c>
      <c r="CZ2041" s="18">
        <v>0</v>
      </c>
      <c r="DA2041" s="18" t="str">
        <v>Nothing</v>
      </c>
    </row>
    <row r="2042" spans="95:105" ht="23.5">
      <c r="CQ2042" s="45">
        <v>2038</v>
      </c>
      <c r="CR2042" s="18">
        <v>26.821772828210214</v>
      </c>
      <c r="CS2042" s="18" t="str">
        <v>Invest</v>
      </c>
      <c r="CU2042" s="45">
        <v>2038</v>
      </c>
      <c r="CV2042" s="18">
        <v>0</v>
      </c>
      <c r="CW2042" s="18" t="str">
        <v>Nothing</v>
      </c>
      <c r="CY2042" s="45">
        <v>2038</v>
      </c>
      <c r="CZ2042" s="18">
        <v>17.659858815120565</v>
      </c>
      <c r="DA2042" s="18" t="str">
        <v>Invest</v>
      </c>
    </row>
    <row r="2043" spans="95:105" ht="23.5">
      <c r="CQ2043" s="45">
        <v>2039</v>
      </c>
      <c r="CR2043" s="18">
        <v>39.415398250131091</v>
      </c>
      <c r="CS2043" s="18" t="str">
        <v>Invest</v>
      </c>
      <c r="CU2043" s="45">
        <v>2039</v>
      </c>
      <c r="CV2043" s="18">
        <v>0</v>
      </c>
      <c r="CW2043" s="18" t="str">
        <v>Nothing</v>
      </c>
      <c r="CY2043" s="45">
        <v>2039</v>
      </c>
      <c r="CZ2043" s="18">
        <v>0.58075681394522327</v>
      </c>
      <c r="DA2043" s="18" t="str">
        <v>Invest</v>
      </c>
    </row>
    <row r="2044" spans="95:105" ht="23.5">
      <c r="CQ2044" s="45">
        <v>2040</v>
      </c>
      <c r="CR2044" s="18">
        <v>9.9789822911583279</v>
      </c>
      <c r="CS2044" s="18" t="str">
        <v>Invest</v>
      </c>
      <c r="CU2044" s="45">
        <v>2040</v>
      </c>
      <c r="CV2044" s="18">
        <v>21.360044723129278</v>
      </c>
      <c r="CW2044" s="18" t="str">
        <v>Invest</v>
      </c>
      <c r="CY2044" s="45">
        <v>2040</v>
      </c>
      <c r="CZ2044" s="18">
        <v>0</v>
      </c>
      <c r="DA2044" s="18" t="str">
        <v>Nothing</v>
      </c>
    </row>
    <row r="2045" spans="95:105" ht="23.5">
      <c r="CQ2045" s="45">
        <v>2041</v>
      </c>
      <c r="CR2045" s="18">
        <v>13.708053158992271</v>
      </c>
      <c r="CS2045" s="18" t="str">
        <v>Invest</v>
      </c>
      <c r="CU2045" s="45">
        <v>2041</v>
      </c>
      <c r="CV2045" s="18">
        <v>51.095827779518174</v>
      </c>
      <c r="CW2045" s="18" t="str">
        <v>Invest</v>
      </c>
      <c r="CY2045" s="45">
        <v>2041</v>
      </c>
      <c r="CZ2045" s="18">
        <v>19.008039897381352</v>
      </c>
      <c r="DA2045" s="18" t="str">
        <v>Invest</v>
      </c>
    </row>
    <row r="2046" spans="95:105" ht="23.5">
      <c r="CQ2046" s="45">
        <v>2042</v>
      </c>
      <c r="CR2046" s="18">
        <v>29.833655943855774</v>
      </c>
      <c r="CS2046" s="18" t="str">
        <v>Invest</v>
      </c>
      <c r="CU2046" s="45">
        <v>2042</v>
      </c>
      <c r="CV2046" s="18">
        <v>0</v>
      </c>
      <c r="CW2046" s="18" t="str">
        <v>Nothing</v>
      </c>
      <c r="CY2046" s="45">
        <v>2042</v>
      </c>
      <c r="CZ2046" s="18">
        <v>3.8743207795488566</v>
      </c>
      <c r="DA2046" s="18" t="str">
        <v>Invest</v>
      </c>
    </row>
    <row r="2047" spans="95:105" ht="23.5">
      <c r="CQ2047" s="45">
        <v>2043</v>
      </c>
      <c r="CR2047" s="18">
        <v>15.131871928135963</v>
      </c>
      <c r="CS2047" s="18" t="str">
        <v>Invest</v>
      </c>
      <c r="CU2047" s="45">
        <v>2043</v>
      </c>
      <c r="CV2047" s="18">
        <v>0</v>
      </c>
      <c r="CW2047" s="18" t="str">
        <v>Nothing</v>
      </c>
      <c r="CY2047" s="45">
        <v>2043</v>
      </c>
      <c r="CZ2047" s="18">
        <v>22.496384277635826</v>
      </c>
      <c r="DA2047" s="18" t="str">
        <v>Invest</v>
      </c>
    </row>
    <row r="2048" spans="95:105" ht="23.5">
      <c r="CQ2048" s="45">
        <v>2044</v>
      </c>
      <c r="CR2048" s="18">
        <v>31.036563301126687</v>
      </c>
      <c r="CS2048" s="18" t="str">
        <v>Invest</v>
      </c>
      <c r="CU2048" s="45">
        <v>2044</v>
      </c>
      <c r="CV2048" s="18">
        <v>33.254688397364454</v>
      </c>
      <c r="CW2048" s="18" t="str">
        <v>Invest</v>
      </c>
      <c r="CY2048" s="45">
        <v>2044</v>
      </c>
      <c r="CZ2048" s="18">
        <v>41.753807466892574</v>
      </c>
      <c r="DA2048" s="18" t="str">
        <v>Invest</v>
      </c>
    </row>
    <row r="2049" spans="95:105" ht="23.5">
      <c r="CQ2049" s="45">
        <v>2045</v>
      </c>
      <c r="CR2049" s="18">
        <v>21.048142646092025</v>
      </c>
      <c r="CS2049" s="18" t="str">
        <v>Invest</v>
      </c>
      <c r="CU2049" s="45">
        <v>2045</v>
      </c>
      <c r="CV2049" s="18">
        <v>16.043247925556454</v>
      </c>
      <c r="CW2049" s="18" t="str">
        <v>Invest</v>
      </c>
      <c r="CY2049" s="45">
        <v>2045</v>
      </c>
      <c r="CZ2049" s="18">
        <v>0</v>
      </c>
      <c r="DA2049" s="18" t="str">
        <v>Nothing</v>
      </c>
    </row>
    <row r="2050" spans="95:105" ht="23.5">
      <c r="CQ2050" s="45">
        <v>2046</v>
      </c>
      <c r="CR2050" s="18">
        <v>0</v>
      </c>
      <c r="CS2050" s="18" t="str">
        <v>Nothing</v>
      </c>
      <c r="CU2050" s="45">
        <v>2046</v>
      </c>
      <c r="CV2050" s="18">
        <v>24.923394209643803</v>
      </c>
      <c r="CW2050" s="18" t="str">
        <v>Invest</v>
      </c>
      <c r="CY2050" s="45">
        <v>2046</v>
      </c>
      <c r="CZ2050" s="18">
        <v>46.44410900557272</v>
      </c>
      <c r="DA2050" s="18" t="str">
        <v>Invest</v>
      </c>
    </row>
    <row r="2051" spans="95:105" ht="23.5">
      <c r="CQ2051" s="45">
        <v>2047</v>
      </c>
      <c r="CR2051" s="18">
        <v>0</v>
      </c>
      <c r="CS2051" s="18" t="str">
        <v>Nothing</v>
      </c>
      <c r="CU2051" s="45">
        <v>2047</v>
      </c>
      <c r="CV2051" s="18">
        <v>0</v>
      </c>
      <c r="CW2051" s="18" t="str">
        <v>Nothing</v>
      </c>
      <c r="CY2051" s="45">
        <v>2047</v>
      </c>
      <c r="CZ2051" s="18">
        <v>0</v>
      </c>
      <c r="DA2051" s="18" t="str">
        <v>Nothing</v>
      </c>
    </row>
    <row r="2052" spans="95:105" ht="23.5">
      <c r="CQ2052" s="45">
        <v>2048</v>
      </c>
      <c r="CR2052" s="18">
        <v>21.411447493916519</v>
      </c>
      <c r="CS2052" s="18" t="str">
        <v>Invest</v>
      </c>
      <c r="CU2052" s="45">
        <v>2048</v>
      </c>
      <c r="CV2052" s="18">
        <v>9.6334994298840755</v>
      </c>
      <c r="CW2052" s="18" t="str">
        <v>Invest</v>
      </c>
      <c r="CY2052" s="45">
        <v>2048</v>
      </c>
      <c r="CZ2052" s="18">
        <v>22.979287922608016</v>
      </c>
      <c r="DA2052" s="18" t="str">
        <v>Invest</v>
      </c>
    </row>
    <row r="2053" spans="95:105" ht="23.5">
      <c r="CQ2053" s="45">
        <v>2049</v>
      </c>
      <c r="CR2053" s="18">
        <v>5.3143534202184934</v>
      </c>
      <c r="CS2053" s="18" t="str">
        <v>Invest</v>
      </c>
      <c r="CU2053" s="45">
        <v>2049</v>
      </c>
      <c r="CV2053" s="18">
        <v>31.486837436949784</v>
      </c>
      <c r="CW2053" s="18" t="str">
        <v>Invest</v>
      </c>
      <c r="CY2053" s="45">
        <v>2049</v>
      </c>
      <c r="CZ2053" s="18">
        <v>7.6691800424728793</v>
      </c>
      <c r="DA2053" s="18" t="str">
        <v>Invest</v>
      </c>
    </row>
    <row r="2054" spans="95:105" ht="23.5">
      <c r="CQ2054" s="45">
        <v>2050</v>
      </c>
      <c r="CR2054" s="18">
        <v>24.315094111293135</v>
      </c>
      <c r="CS2054" s="18" t="str">
        <v>Invest</v>
      </c>
      <c r="CU2054" s="45">
        <v>2050</v>
      </c>
      <c r="CV2054" s="18">
        <v>30.580564603737649</v>
      </c>
      <c r="CW2054" s="18" t="str">
        <v>Invest</v>
      </c>
      <c r="CY2054" s="45">
        <v>2050</v>
      </c>
      <c r="CZ2054" s="18">
        <v>19.665359750843528</v>
      </c>
      <c r="DA2054" s="18" t="str">
        <v>Invest</v>
      </c>
    </row>
    <row r="2055" spans="95:105" ht="23.5">
      <c r="CQ2055" s="45">
        <v>2051</v>
      </c>
      <c r="CR2055" s="18">
        <v>4.4677536067918666</v>
      </c>
      <c r="CS2055" s="18" t="str">
        <v>Invest</v>
      </c>
      <c r="CU2055" s="45">
        <v>2051</v>
      </c>
      <c r="CV2055" s="18">
        <v>20.596975055411036</v>
      </c>
      <c r="CW2055" s="18" t="str">
        <v>Invest</v>
      </c>
      <c r="CY2055" s="45">
        <v>2051</v>
      </c>
      <c r="CZ2055" s="18">
        <v>4.8678507126783188</v>
      </c>
      <c r="DA2055" s="18" t="str">
        <v>Invest</v>
      </c>
    </row>
    <row r="2056" spans="95:105" ht="23.5">
      <c r="CQ2056" s="45">
        <v>2052</v>
      </c>
      <c r="CR2056" s="18">
        <v>6.6465481120496825</v>
      </c>
      <c r="CS2056" s="18" t="str">
        <v>Invest</v>
      </c>
      <c r="CU2056" s="45">
        <v>2052</v>
      </c>
      <c r="CV2056" s="18">
        <v>0</v>
      </c>
      <c r="CW2056" s="18" t="str">
        <v>Nothing</v>
      </c>
      <c r="CY2056" s="45">
        <v>2052</v>
      </c>
      <c r="CZ2056" s="18">
        <v>18.229078849597911</v>
      </c>
      <c r="DA2056" s="18" t="str">
        <v>Invest</v>
      </c>
    </row>
    <row r="2057" spans="95:105" ht="23.5">
      <c r="CQ2057" s="45">
        <v>2053</v>
      </c>
      <c r="CR2057" s="18">
        <v>31.979559475721537</v>
      </c>
      <c r="CS2057" s="18" t="str">
        <v>Invest</v>
      </c>
      <c r="CU2057" s="45">
        <v>2053</v>
      </c>
      <c r="CV2057" s="18">
        <v>53.029047800870401</v>
      </c>
      <c r="CW2057" s="18" t="str">
        <v>Invest</v>
      </c>
      <c r="CY2057" s="45">
        <v>2053</v>
      </c>
      <c r="CZ2057" s="18">
        <v>25.745089366549273</v>
      </c>
      <c r="DA2057" s="18" t="str">
        <v>Invest</v>
      </c>
    </row>
    <row r="2058" spans="95:105" ht="23.5">
      <c r="CQ2058" s="45">
        <v>2054</v>
      </c>
      <c r="CR2058" s="18">
        <v>24.203387645541557</v>
      </c>
      <c r="CS2058" s="18" t="str">
        <v>Invest</v>
      </c>
      <c r="CU2058" s="45">
        <v>2054</v>
      </c>
      <c r="CV2058" s="18">
        <v>34.024284702781358</v>
      </c>
      <c r="CW2058" s="18" t="str">
        <v>Invest</v>
      </c>
      <c r="CY2058" s="45">
        <v>2054</v>
      </c>
      <c r="CZ2058" s="18">
        <v>1.3963674489960511</v>
      </c>
      <c r="DA2058" s="18" t="str">
        <v>Invest</v>
      </c>
    </row>
    <row r="2059" spans="95:105" ht="23.5">
      <c r="CQ2059" s="45">
        <v>2055</v>
      </c>
      <c r="CR2059" s="18">
        <v>0</v>
      </c>
      <c r="CS2059" s="18" t="str">
        <v>Nothing</v>
      </c>
      <c r="CU2059" s="45">
        <v>2055</v>
      </c>
      <c r="CV2059" s="18">
        <v>23.345183974038466</v>
      </c>
      <c r="CW2059" s="18" t="str">
        <v>Invest</v>
      </c>
      <c r="CY2059" s="45">
        <v>2055</v>
      </c>
      <c r="CZ2059" s="18">
        <v>1.6816420690342646</v>
      </c>
      <c r="DA2059" s="18" t="str">
        <v>Invest</v>
      </c>
    </row>
    <row r="2060" spans="95:105" ht="23.5">
      <c r="CQ2060" s="45">
        <v>2056</v>
      </c>
      <c r="CR2060" s="18">
        <v>35.723344969810618</v>
      </c>
      <c r="CS2060" s="18" t="str">
        <v>Invest</v>
      </c>
      <c r="CU2060" s="45">
        <v>2056</v>
      </c>
      <c r="CV2060" s="18">
        <v>18.728829237562842</v>
      </c>
      <c r="CW2060" s="18" t="str">
        <v>Invest</v>
      </c>
      <c r="CY2060" s="45">
        <v>2056</v>
      </c>
      <c r="CZ2060" s="18">
        <v>0</v>
      </c>
      <c r="DA2060" s="18" t="str">
        <v>Nothing</v>
      </c>
    </row>
    <row r="2061" spans="95:105" ht="23.5">
      <c r="CQ2061" s="45">
        <v>2057</v>
      </c>
      <c r="CR2061" s="18">
        <v>0</v>
      </c>
      <c r="CS2061" s="18" t="str">
        <v>Nothing</v>
      </c>
      <c r="CU2061" s="45">
        <v>2057</v>
      </c>
      <c r="CV2061" s="18">
        <v>33.936496196973778</v>
      </c>
      <c r="CW2061" s="18" t="str">
        <v>Invest</v>
      </c>
      <c r="CY2061" s="45">
        <v>2057</v>
      </c>
      <c r="CZ2061" s="18">
        <v>0</v>
      </c>
      <c r="DA2061" s="18" t="str">
        <v>Nothing</v>
      </c>
    </row>
    <row r="2062" spans="95:105" ht="23.5">
      <c r="CQ2062" s="45">
        <v>2058</v>
      </c>
      <c r="CR2062" s="18">
        <v>15.370175069920803</v>
      </c>
      <c r="CS2062" s="18" t="str">
        <v>Invest</v>
      </c>
      <c r="CU2062" s="45">
        <v>2058</v>
      </c>
      <c r="CV2062" s="18">
        <v>22.995725063136234</v>
      </c>
      <c r="CW2062" s="18" t="str">
        <v>Invest</v>
      </c>
      <c r="CY2062" s="45">
        <v>2058</v>
      </c>
      <c r="CZ2062" s="18">
        <v>3.0905403273700962</v>
      </c>
      <c r="DA2062" s="18" t="str">
        <v>Invest</v>
      </c>
    </row>
    <row r="2063" spans="95:105" ht="23.5">
      <c r="CQ2063" s="45">
        <v>2059</v>
      </c>
      <c r="CR2063" s="18">
        <v>51.097316396076025</v>
      </c>
      <c r="CS2063" s="18" t="str">
        <v>Invest</v>
      </c>
      <c r="CU2063" s="45">
        <v>2059</v>
      </c>
      <c r="CV2063" s="18">
        <v>29.60275953426104</v>
      </c>
      <c r="CW2063" s="18" t="str">
        <v>Invest</v>
      </c>
      <c r="CY2063" s="45">
        <v>2059</v>
      </c>
      <c r="CZ2063" s="18">
        <v>0</v>
      </c>
      <c r="DA2063" s="18" t="str">
        <v>Nothing</v>
      </c>
    </row>
    <row r="2064" spans="95:105" ht="23.5">
      <c r="CQ2064" s="45">
        <v>2060</v>
      </c>
      <c r="CR2064" s="18">
        <v>0</v>
      </c>
      <c r="CS2064" s="18" t="str">
        <v>Nothing</v>
      </c>
      <c r="CU2064" s="45">
        <v>2060</v>
      </c>
      <c r="CV2064" s="18">
        <v>0</v>
      </c>
      <c r="CW2064" s="18" t="str">
        <v>Nothing</v>
      </c>
      <c r="CY2064" s="45">
        <v>2060</v>
      </c>
      <c r="CZ2064" s="18">
        <v>0</v>
      </c>
      <c r="DA2064" s="18" t="str">
        <v>Nothing</v>
      </c>
    </row>
    <row r="2065" spans="95:105" ht="23.5">
      <c r="CQ2065" s="45">
        <v>2061</v>
      </c>
      <c r="CR2065" s="18">
        <v>3.8904939533823324</v>
      </c>
      <c r="CS2065" s="18" t="str">
        <v>Invest</v>
      </c>
      <c r="CU2065" s="45">
        <v>2061</v>
      </c>
      <c r="CV2065" s="18">
        <v>8.4981052874432024</v>
      </c>
      <c r="CW2065" s="18" t="str">
        <v>Invest</v>
      </c>
      <c r="CY2065" s="45">
        <v>2061</v>
      </c>
      <c r="CZ2065" s="18">
        <v>0</v>
      </c>
      <c r="DA2065" s="18" t="str">
        <v>Nothing</v>
      </c>
    </row>
    <row r="2066" spans="95:105" ht="23.5">
      <c r="CQ2066" s="45">
        <v>2062</v>
      </c>
      <c r="CR2066" s="18">
        <v>6.5396664413323684</v>
      </c>
      <c r="CS2066" s="18" t="str">
        <v>Invest</v>
      </c>
      <c r="CU2066" s="45">
        <v>2062</v>
      </c>
      <c r="CV2066" s="18">
        <v>0</v>
      </c>
      <c r="CW2066" s="18" t="str">
        <v>Nothing</v>
      </c>
      <c r="CY2066" s="45">
        <v>2062</v>
      </c>
      <c r="CZ2066" s="18">
        <v>0</v>
      </c>
      <c r="DA2066" s="18" t="str">
        <v>Nothing</v>
      </c>
    </row>
    <row r="2067" spans="95:105" ht="23.5">
      <c r="CQ2067" s="45">
        <v>2063</v>
      </c>
      <c r="CR2067" s="18">
        <v>0</v>
      </c>
      <c r="CS2067" s="18" t="str">
        <v>Nothing</v>
      </c>
      <c r="CU2067" s="45">
        <v>2063</v>
      </c>
      <c r="CV2067" s="18">
        <v>22.817663475251383</v>
      </c>
      <c r="CW2067" s="18" t="str">
        <v>Invest</v>
      </c>
      <c r="CY2067" s="45">
        <v>2063</v>
      </c>
      <c r="CZ2067" s="18">
        <v>0</v>
      </c>
      <c r="DA2067" s="18" t="str">
        <v>Nothing</v>
      </c>
    </row>
    <row r="2068" spans="95:105" ht="23.5">
      <c r="CQ2068" s="45">
        <v>2064</v>
      </c>
      <c r="CR2068" s="18">
        <v>2.5085913475253374</v>
      </c>
      <c r="CS2068" s="18" t="str">
        <v>Invest</v>
      </c>
      <c r="CU2068" s="45">
        <v>2064</v>
      </c>
      <c r="CV2068" s="18">
        <v>0</v>
      </c>
      <c r="CW2068" s="18" t="str">
        <v>Nothing</v>
      </c>
      <c r="CY2068" s="45">
        <v>2064</v>
      </c>
      <c r="CZ2068" s="18">
        <v>33.11663529624466</v>
      </c>
      <c r="DA2068" s="18" t="str">
        <v>Invest</v>
      </c>
    </row>
    <row r="2069" spans="95:105" ht="23.5">
      <c r="CQ2069" s="45">
        <v>2065</v>
      </c>
      <c r="CR2069" s="18">
        <v>0</v>
      </c>
      <c r="CS2069" s="18" t="str">
        <v>Nothing</v>
      </c>
      <c r="CU2069" s="45">
        <v>2065</v>
      </c>
      <c r="CV2069" s="18">
        <v>8.2687490470060059</v>
      </c>
      <c r="CW2069" s="18" t="str">
        <v>Invest</v>
      </c>
      <c r="CY2069" s="45">
        <v>2065</v>
      </c>
      <c r="CZ2069" s="18">
        <v>17.765959057951989</v>
      </c>
      <c r="DA2069" s="18" t="str">
        <v>Invest</v>
      </c>
    </row>
    <row r="2070" spans="95:105" ht="23.5">
      <c r="CQ2070" s="45">
        <v>2066</v>
      </c>
      <c r="CR2070" s="18">
        <v>48.578701308536118</v>
      </c>
      <c r="CS2070" s="18" t="str">
        <v>Invest</v>
      </c>
      <c r="CU2070" s="45">
        <v>2066</v>
      </c>
      <c r="CV2070" s="18">
        <v>0</v>
      </c>
      <c r="CW2070" s="18" t="str">
        <v>Nothing</v>
      </c>
      <c r="CY2070" s="45">
        <v>2066</v>
      </c>
      <c r="CZ2070" s="18">
        <v>33.052798290013349</v>
      </c>
      <c r="DA2070" s="18" t="str">
        <v>Invest</v>
      </c>
    </row>
    <row r="2071" spans="95:105" ht="23.5">
      <c r="CQ2071" s="45">
        <v>2067</v>
      </c>
      <c r="CR2071" s="18">
        <v>0</v>
      </c>
      <c r="CS2071" s="18" t="str">
        <v>Nothing</v>
      </c>
      <c r="CU2071" s="45">
        <v>2067</v>
      </c>
      <c r="CV2071" s="18">
        <v>0</v>
      </c>
      <c r="CW2071" s="18" t="str">
        <v>Nothing</v>
      </c>
      <c r="CY2071" s="45">
        <v>2067</v>
      </c>
      <c r="CZ2071" s="18">
        <v>0</v>
      </c>
      <c r="DA2071" s="18" t="str">
        <v>Nothing</v>
      </c>
    </row>
    <row r="2072" spans="95:105" ht="23.5">
      <c r="CQ2072" s="45">
        <v>2068</v>
      </c>
      <c r="CR2072" s="18">
        <v>0</v>
      </c>
      <c r="CS2072" s="18" t="str">
        <v>Nothing</v>
      </c>
      <c r="CU2072" s="45">
        <v>2068</v>
      </c>
      <c r="CV2072" s="18">
        <v>13.389021599244955</v>
      </c>
      <c r="CW2072" s="18" t="str">
        <v>Invest</v>
      </c>
      <c r="CY2072" s="45">
        <v>2068</v>
      </c>
      <c r="CZ2072" s="18">
        <v>43.031308526468138</v>
      </c>
      <c r="DA2072" s="18" t="str">
        <v>Invest</v>
      </c>
    </row>
    <row r="2073" spans="95:105" ht="23.5">
      <c r="CQ2073" s="45">
        <v>2069</v>
      </c>
      <c r="CR2073" s="18">
        <v>0</v>
      </c>
      <c r="CS2073" s="18" t="str">
        <v>Nothing</v>
      </c>
      <c r="CU2073" s="45">
        <v>2069</v>
      </c>
      <c r="CV2073" s="18">
        <v>0</v>
      </c>
      <c r="CW2073" s="18" t="str">
        <v>Nothing</v>
      </c>
      <c r="CY2073" s="45">
        <v>2069</v>
      </c>
      <c r="CZ2073" s="18">
        <v>0</v>
      </c>
      <c r="DA2073" s="18" t="str">
        <v>Nothing</v>
      </c>
    </row>
    <row r="2074" spans="95:105" ht="23.5">
      <c r="CQ2074" s="45">
        <v>2070</v>
      </c>
      <c r="CR2074" s="18">
        <v>20.029419238348453</v>
      </c>
      <c r="CS2074" s="18" t="str">
        <v>Invest</v>
      </c>
      <c r="CU2074" s="45">
        <v>2070</v>
      </c>
      <c r="CV2074" s="18">
        <v>25.750163622066317</v>
      </c>
      <c r="CW2074" s="18" t="str">
        <v>Invest</v>
      </c>
      <c r="CY2074" s="45">
        <v>2070</v>
      </c>
      <c r="CZ2074" s="18">
        <v>0</v>
      </c>
      <c r="DA2074" s="18" t="str">
        <v>Nothing</v>
      </c>
    </row>
    <row r="2075" spans="95:105" ht="23.5">
      <c r="CQ2075" s="45">
        <v>2071</v>
      </c>
      <c r="CR2075" s="18">
        <v>26.55982878518077</v>
      </c>
      <c r="CS2075" s="18" t="str">
        <v>Invest</v>
      </c>
      <c r="CU2075" s="45">
        <v>2071</v>
      </c>
      <c r="CV2075" s="18">
        <v>0</v>
      </c>
      <c r="CW2075" s="18" t="str">
        <v>Nothing</v>
      </c>
      <c r="CY2075" s="45">
        <v>2071</v>
      </c>
      <c r="CZ2075" s="18">
        <v>0</v>
      </c>
      <c r="DA2075" s="18" t="str">
        <v>Nothing</v>
      </c>
    </row>
    <row r="2076" spans="95:105" ht="23.5">
      <c r="CQ2076" s="45">
        <v>2072</v>
      </c>
      <c r="CR2076" s="18">
        <v>0</v>
      </c>
      <c r="CS2076" s="18" t="str">
        <v>Nothing</v>
      </c>
      <c r="CU2076" s="45">
        <v>2072</v>
      </c>
      <c r="CV2076" s="18">
        <v>0</v>
      </c>
      <c r="CW2076" s="18" t="str">
        <v>Nothing</v>
      </c>
      <c r="CY2076" s="45">
        <v>2072</v>
      </c>
      <c r="CZ2076" s="18">
        <v>23.238210661625811</v>
      </c>
      <c r="DA2076" s="18" t="str">
        <v>Invest</v>
      </c>
    </row>
    <row r="2077" spans="95:105" ht="23.5">
      <c r="CQ2077" s="45">
        <v>2073</v>
      </c>
      <c r="CR2077" s="18">
        <v>18.238939055338221</v>
      </c>
      <c r="CS2077" s="18" t="str">
        <v>Invest</v>
      </c>
      <c r="CU2077" s="45">
        <v>2073</v>
      </c>
      <c r="CV2077" s="18">
        <v>25.261582534087381</v>
      </c>
      <c r="CW2077" s="18" t="str">
        <v>Invest</v>
      </c>
      <c r="CY2077" s="45">
        <v>2073</v>
      </c>
      <c r="CZ2077" s="18">
        <v>0</v>
      </c>
      <c r="DA2077" s="18" t="str">
        <v>Nothing</v>
      </c>
    </row>
    <row r="2078" spans="95:105" ht="23.5">
      <c r="CQ2078" s="45">
        <v>2074</v>
      </c>
      <c r="CR2078" s="18">
        <v>31.552115192649524</v>
      </c>
      <c r="CS2078" s="18" t="str">
        <v>Invest</v>
      </c>
      <c r="CU2078" s="45">
        <v>2074</v>
      </c>
      <c r="CV2078" s="18">
        <v>10.725441729033406</v>
      </c>
      <c r="CW2078" s="18" t="str">
        <v>Invest</v>
      </c>
      <c r="CY2078" s="45">
        <v>2074</v>
      </c>
      <c r="CZ2078" s="18">
        <v>4.3041008976963511</v>
      </c>
      <c r="DA2078" s="18" t="str">
        <v>Invest</v>
      </c>
    </row>
    <row r="2079" spans="95:105" ht="23.5">
      <c r="CQ2079" s="45">
        <v>2075</v>
      </c>
      <c r="CR2079" s="18">
        <v>23.270218562340808</v>
      </c>
      <c r="CS2079" s="18" t="str">
        <v>Invest</v>
      </c>
      <c r="CU2079" s="45">
        <v>2075</v>
      </c>
      <c r="CV2079" s="18">
        <v>0</v>
      </c>
      <c r="CW2079" s="18" t="str">
        <v>Nothing</v>
      </c>
      <c r="CY2079" s="45">
        <v>2075</v>
      </c>
      <c r="CZ2079" s="18">
        <v>0</v>
      </c>
      <c r="DA2079" s="18" t="str">
        <v>Nothing</v>
      </c>
    </row>
    <row r="2080" spans="95:105" ht="23.5">
      <c r="CQ2080" s="45">
        <v>2076</v>
      </c>
      <c r="CR2080" s="18">
        <v>17.369017487877123</v>
      </c>
      <c r="CS2080" s="18" t="str">
        <v>Invest</v>
      </c>
      <c r="CU2080" s="45">
        <v>2076</v>
      </c>
      <c r="CV2080" s="18">
        <v>15.758458050390008</v>
      </c>
      <c r="CW2080" s="18" t="str">
        <v>Invest</v>
      </c>
      <c r="CY2080" s="45">
        <v>2076</v>
      </c>
      <c r="CZ2080" s="18">
        <v>4.6243837515808046</v>
      </c>
      <c r="DA2080" s="18" t="str">
        <v>Invest</v>
      </c>
    </row>
    <row r="2081" spans="95:105" ht="23.5">
      <c r="CQ2081" s="45">
        <v>2077</v>
      </c>
      <c r="CR2081" s="18">
        <v>0</v>
      </c>
      <c r="CS2081" s="18" t="str">
        <v>Nothing</v>
      </c>
      <c r="CU2081" s="45">
        <v>2077</v>
      </c>
      <c r="CV2081" s="18">
        <v>0</v>
      </c>
      <c r="CW2081" s="18" t="str">
        <v>Nothing</v>
      </c>
      <c r="CY2081" s="45">
        <v>2077</v>
      </c>
      <c r="CZ2081" s="18">
        <v>0.67189995271143488</v>
      </c>
      <c r="DA2081" s="18" t="str">
        <v>Invest</v>
      </c>
    </row>
    <row r="2082" spans="95:105" ht="23.5">
      <c r="CQ2082" s="45">
        <v>2078</v>
      </c>
      <c r="CR2082" s="18">
        <v>9.1592819722611551</v>
      </c>
      <c r="CS2082" s="18" t="str">
        <v>Invest</v>
      </c>
      <c r="CU2082" s="45">
        <v>2078</v>
      </c>
      <c r="CV2082" s="18">
        <v>0</v>
      </c>
      <c r="CW2082" s="18" t="str">
        <v>Nothing</v>
      </c>
      <c r="CY2082" s="45">
        <v>2078</v>
      </c>
      <c r="CZ2082" s="18">
        <v>42.074710360750871</v>
      </c>
      <c r="DA2082" s="18" t="str">
        <v>Invest</v>
      </c>
    </row>
    <row r="2083" spans="95:105" ht="23.5">
      <c r="CQ2083" s="45">
        <v>2079</v>
      </c>
      <c r="CR2083" s="18">
        <v>0</v>
      </c>
      <c r="CS2083" s="18" t="str">
        <v>Nothing</v>
      </c>
      <c r="CU2083" s="45">
        <v>2079</v>
      </c>
      <c r="CV2083" s="18">
        <v>19.146424368219613</v>
      </c>
      <c r="CW2083" s="18" t="str">
        <v>Invest</v>
      </c>
      <c r="CY2083" s="45">
        <v>2079</v>
      </c>
      <c r="CZ2083" s="18">
        <v>34.523999824006879</v>
      </c>
      <c r="DA2083" s="18" t="str">
        <v>Invest</v>
      </c>
    </row>
    <row r="2084" spans="95:105" ht="23.5">
      <c r="CQ2084" s="45">
        <v>2080</v>
      </c>
      <c r="CR2084" s="18">
        <v>23.887385832883993</v>
      </c>
      <c r="CS2084" s="18" t="str">
        <v>Invest</v>
      </c>
      <c r="CU2084" s="45">
        <v>2080</v>
      </c>
      <c r="CV2084" s="18">
        <v>0</v>
      </c>
      <c r="CW2084" s="18" t="str">
        <v>Nothing</v>
      </c>
      <c r="CY2084" s="45">
        <v>2080</v>
      </c>
      <c r="CZ2084" s="18">
        <v>8.2242937121562996</v>
      </c>
      <c r="DA2084" s="18" t="str">
        <v>Invest</v>
      </c>
    </row>
    <row r="2085" spans="95:105" ht="23.5">
      <c r="CQ2085" s="45">
        <v>2081</v>
      </c>
      <c r="CR2085" s="18">
        <v>9.1556755429676784</v>
      </c>
      <c r="CS2085" s="18" t="str">
        <v>Invest</v>
      </c>
      <c r="CU2085" s="45">
        <v>2081</v>
      </c>
      <c r="CV2085" s="18">
        <v>4.6989547738788673</v>
      </c>
      <c r="CW2085" s="18" t="str">
        <v>Invest</v>
      </c>
      <c r="CY2085" s="45">
        <v>2081</v>
      </c>
      <c r="CZ2085" s="18">
        <v>10.075102830314108</v>
      </c>
      <c r="DA2085" s="18" t="str">
        <v>Invest</v>
      </c>
    </row>
    <row r="2086" spans="95:105" ht="23.5">
      <c r="CQ2086" s="45">
        <v>2082</v>
      </c>
      <c r="CR2086" s="18">
        <v>5.1170183499887401</v>
      </c>
      <c r="CS2086" s="18" t="str">
        <v>Invest</v>
      </c>
      <c r="CU2086" s="45">
        <v>2082</v>
      </c>
      <c r="CV2086" s="18">
        <v>0</v>
      </c>
      <c r="CW2086" s="18" t="str">
        <v>Nothing</v>
      </c>
      <c r="CY2086" s="45">
        <v>2082</v>
      </c>
      <c r="CZ2086" s="18">
        <v>5.6690934052900026</v>
      </c>
      <c r="DA2086" s="18" t="str">
        <v>Invest</v>
      </c>
    </row>
    <row r="2087" spans="95:105" ht="23.5">
      <c r="CQ2087" s="45">
        <v>2083</v>
      </c>
      <c r="CR2087" s="18">
        <v>29.849822728030066</v>
      </c>
      <c r="CS2087" s="18" t="str">
        <v>Invest</v>
      </c>
      <c r="CU2087" s="45">
        <v>2083</v>
      </c>
      <c r="CV2087" s="18">
        <v>0</v>
      </c>
      <c r="CW2087" s="18" t="str">
        <v>Nothing</v>
      </c>
      <c r="CY2087" s="45">
        <v>2083</v>
      </c>
      <c r="CZ2087" s="18">
        <v>13.902878519197413</v>
      </c>
      <c r="DA2087" s="18" t="str">
        <v>Invest</v>
      </c>
    </row>
    <row r="2088" spans="95:105" ht="23.5">
      <c r="CQ2088" s="45">
        <v>2084</v>
      </c>
      <c r="CR2088" s="18">
        <v>7.8076090047022877</v>
      </c>
      <c r="CS2088" s="18" t="str">
        <v>Invest</v>
      </c>
      <c r="CU2088" s="45">
        <v>2084</v>
      </c>
      <c r="CV2088" s="18">
        <v>3.6686561339492538</v>
      </c>
      <c r="CW2088" s="18" t="str">
        <v>Invest</v>
      </c>
      <c r="CY2088" s="45">
        <v>2084</v>
      </c>
      <c r="CZ2088" s="18">
        <v>8.7980695311431099</v>
      </c>
      <c r="DA2088" s="18" t="str">
        <v>Invest</v>
      </c>
    </row>
    <row r="2089" spans="95:105" ht="23.5">
      <c r="CQ2089" s="45">
        <v>2085</v>
      </c>
      <c r="CR2089" s="18">
        <v>27.256638824390709</v>
      </c>
      <c r="CS2089" s="18" t="str">
        <v>Invest</v>
      </c>
      <c r="CU2089" s="45">
        <v>2085</v>
      </c>
      <c r="CV2089" s="18">
        <v>22.637109186237041</v>
      </c>
      <c r="CW2089" s="18" t="str">
        <v>Invest</v>
      </c>
      <c r="CY2089" s="45">
        <v>2085</v>
      </c>
      <c r="CZ2089" s="18">
        <v>0</v>
      </c>
      <c r="DA2089" s="18" t="str">
        <v>Nothing</v>
      </c>
    </row>
    <row r="2090" spans="95:105" ht="23.5">
      <c r="CQ2090" s="45">
        <v>2086</v>
      </c>
      <c r="CR2090" s="18">
        <v>21.741027283184586</v>
      </c>
      <c r="CS2090" s="18" t="str">
        <v>Invest</v>
      </c>
      <c r="CU2090" s="45">
        <v>2086</v>
      </c>
      <c r="CV2090" s="18">
        <v>53.130064128987328</v>
      </c>
      <c r="CW2090" s="18" t="str">
        <v>Invest</v>
      </c>
      <c r="CY2090" s="45">
        <v>2086</v>
      </c>
      <c r="CZ2090" s="18">
        <v>0</v>
      </c>
      <c r="DA2090" s="18" t="str">
        <v>Nothing</v>
      </c>
    </row>
    <row r="2091" spans="95:105" ht="23.5">
      <c r="CQ2091" s="45">
        <v>2087</v>
      </c>
      <c r="CR2091" s="18">
        <v>18.44681494164746</v>
      </c>
      <c r="CS2091" s="18" t="str">
        <v>Invest</v>
      </c>
      <c r="CU2091" s="45">
        <v>2087</v>
      </c>
      <c r="CV2091" s="18">
        <v>0</v>
      </c>
      <c r="CW2091" s="18" t="str">
        <v>Nothing</v>
      </c>
      <c r="CY2091" s="45">
        <v>2087</v>
      </c>
      <c r="CZ2091" s="18">
        <v>32.116243435299523</v>
      </c>
      <c r="DA2091" s="18" t="str">
        <v>Invest</v>
      </c>
    </row>
    <row r="2092" spans="95:105" ht="23.5">
      <c r="CQ2092" s="45">
        <v>2088</v>
      </c>
      <c r="CR2092" s="18">
        <v>0</v>
      </c>
      <c r="CS2092" s="18" t="str">
        <v>Nothing</v>
      </c>
      <c r="CU2092" s="45">
        <v>2088</v>
      </c>
      <c r="CV2092" s="18">
        <v>6.3644707335299131</v>
      </c>
      <c r="CW2092" s="18" t="str">
        <v>Invest</v>
      </c>
      <c r="CY2092" s="45">
        <v>2088</v>
      </c>
      <c r="CZ2092" s="18">
        <v>3.7729911307751056</v>
      </c>
      <c r="DA2092" s="18" t="str">
        <v>Invest</v>
      </c>
    </row>
    <row r="2093" spans="95:105" ht="23.5">
      <c r="CQ2093" s="45">
        <v>2089</v>
      </c>
      <c r="CR2093" s="18">
        <v>12.831040054423845</v>
      </c>
      <c r="CS2093" s="18" t="str">
        <v>Invest</v>
      </c>
      <c r="CU2093" s="45">
        <v>2089</v>
      </c>
      <c r="CV2093" s="18">
        <v>21.720709427312482</v>
      </c>
      <c r="CW2093" s="18" t="str">
        <v>Invest</v>
      </c>
      <c r="CY2093" s="45">
        <v>2089</v>
      </c>
      <c r="CZ2093" s="18">
        <v>0</v>
      </c>
      <c r="DA2093" s="18" t="str">
        <v>Nothing</v>
      </c>
    </row>
    <row r="2094" spans="95:105" ht="23.5">
      <c r="CQ2094" s="45">
        <v>2090</v>
      </c>
      <c r="CR2094" s="18">
        <v>5.0692421462503559</v>
      </c>
      <c r="CS2094" s="18" t="str">
        <v>Invest</v>
      </c>
      <c r="CU2094" s="45">
        <v>2090</v>
      </c>
      <c r="CV2094" s="18">
        <v>18.529108574992993</v>
      </c>
      <c r="CW2094" s="18" t="str">
        <v>Invest</v>
      </c>
      <c r="CY2094" s="45">
        <v>2090</v>
      </c>
      <c r="CZ2094" s="18">
        <v>3.7702049118258372</v>
      </c>
      <c r="DA2094" s="18" t="str">
        <v>Invest</v>
      </c>
    </row>
    <row r="2095" spans="95:105" ht="23.5">
      <c r="CQ2095" s="45">
        <v>2091</v>
      </c>
      <c r="CR2095" s="18">
        <v>30.396430506799497</v>
      </c>
      <c r="CS2095" s="18" t="str">
        <v>Invest</v>
      </c>
      <c r="CU2095" s="45">
        <v>2091</v>
      </c>
      <c r="CV2095" s="18">
        <v>16.174668173639528</v>
      </c>
      <c r="CW2095" s="18" t="str">
        <v>Invest</v>
      </c>
      <c r="CY2095" s="45">
        <v>2091</v>
      </c>
      <c r="CZ2095" s="18">
        <v>17.115667898981897</v>
      </c>
      <c r="DA2095" s="18" t="str">
        <v>Invest</v>
      </c>
    </row>
    <row r="2096" spans="95:105" ht="23.5">
      <c r="CQ2096" s="45">
        <v>2092</v>
      </c>
      <c r="CR2096" s="18">
        <v>30.679430304517201</v>
      </c>
      <c r="CS2096" s="18" t="str">
        <v>Invest</v>
      </c>
      <c r="CU2096" s="45">
        <v>2092</v>
      </c>
      <c r="CV2096" s="18">
        <v>48.583530509413514</v>
      </c>
      <c r="CW2096" s="18" t="str">
        <v>Invest</v>
      </c>
      <c r="CY2096" s="45">
        <v>2092</v>
      </c>
      <c r="CZ2096" s="18">
        <v>50.256867556251194</v>
      </c>
      <c r="DA2096" s="18" t="str">
        <v>Invest</v>
      </c>
    </row>
    <row r="2097" spans="95:105" ht="23.5">
      <c r="CQ2097" s="45">
        <v>2093</v>
      </c>
      <c r="CR2097" s="18">
        <v>0</v>
      </c>
      <c r="CS2097" s="18" t="str">
        <v>Nothing</v>
      </c>
      <c r="CU2097" s="45">
        <v>2093</v>
      </c>
      <c r="CV2097" s="18">
        <v>6.5523758994836294</v>
      </c>
      <c r="CW2097" s="18" t="str">
        <v>Invest</v>
      </c>
      <c r="CY2097" s="45">
        <v>2093</v>
      </c>
      <c r="CZ2097" s="18">
        <v>0</v>
      </c>
      <c r="DA2097" s="18" t="str">
        <v>Nothing</v>
      </c>
    </row>
    <row r="2098" spans="95:105" ht="23.5">
      <c r="CQ2098" s="45">
        <v>2094</v>
      </c>
      <c r="CR2098" s="18">
        <v>14.102605255377119</v>
      </c>
      <c r="CS2098" s="18" t="str">
        <v>Invest</v>
      </c>
      <c r="CU2098" s="45">
        <v>2094</v>
      </c>
      <c r="CV2098" s="18">
        <v>0</v>
      </c>
      <c r="CW2098" s="18" t="str">
        <v>Nothing</v>
      </c>
      <c r="CY2098" s="45">
        <v>2094</v>
      </c>
      <c r="CZ2098" s="18">
        <v>0</v>
      </c>
      <c r="DA2098" s="18" t="str">
        <v>Nothing</v>
      </c>
    </row>
    <row r="2099" spans="95:105" ht="23.5">
      <c r="CQ2099" s="45">
        <v>2095</v>
      </c>
      <c r="CR2099" s="18">
        <v>37.06115718998916</v>
      </c>
      <c r="CS2099" s="18" t="str">
        <v>Invest</v>
      </c>
      <c r="CU2099" s="45">
        <v>2095</v>
      </c>
      <c r="CV2099" s="18">
        <v>9.2999208632599029</v>
      </c>
      <c r="CW2099" s="18" t="str">
        <v>Invest</v>
      </c>
      <c r="CY2099" s="45">
        <v>2095</v>
      </c>
      <c r="CZ2099" s="18">
        <v>0</v>
      </c>
      <c r="DA2099" s="18" t="str">
        <v>Nothing</v>
      </c>
    </row>
    <row r="2100" spans="95:105" ht="23.5">
      <c r="CQ2100" s="45">
        <v>2096</v>
      </c>
      <c r="CR2100" s="18">
        <v>42.944799971178718</v>
      </c>
      <c r="CS2100" s="18" t="str">
        <v>Invest</v>
      </c>
      <c r="CU2100" s="45">
        <v>2096</v>
      </c>
      <c r="CV2100" s="18">
        <v>12.159077678481548</v>
      </c>
      <c r="CW2100" s="18" t="str">
        <v>Invest</v>
      </c>
      <c r="CY2100" s="45">
        <v>2096</v>
      </c>
      <c r="CZ2100" s="18">
        <v>24.006372856480414</v>
      </c>
      <c r="DA2100" s="18" t="str">
        <v>Invest</v>
      </c>
    </row>
    <row r="2101" spans="95:105" ht="23.5">
      <c r="CQ2101" s="45">
        <v>2097</v>
      </c>
      <c r="CR2101" s="18">
        <v>13.760671388799992</v>
      </c>
      <c r="CS2101" s="18" t="str">
        <v>Invest</v>
      </c>
      <c r="CU2101" s="45">
        <v>2097</v>
      </c>
      <c r="CV2101" s="18">
        <v>54.361309564013411</v>
      </c>
      <c r="CW2101" s="18" t="str">
        <v>Invest</v>
      </c>
      <c r="CY2101" s="45">
        <v>2097</v>
      </c>
      <c r="CZ2101" s="18">
        <v>3.7481059095486966</v>
      </c>
      <c r="DA2101" s="18" t="str">
        <v>Invest</v>
      </c>
    </row>
    <row r="2102" spans="95:105" ht="23.5">
      <c r="CQ2102" s="45">
        <v>2098</v>
      </c>
      <c r="CR2102" s="18">
        <v>0</v>
      </c>
      <c r="CS2102" s="18" t="str">
        <v>Nothing</v>
      </c>
      <c r="CU2102" s="45">
        <v>2098</v>
      </c>
      <c r="CV2102" s="18">
        <v>0</v>
      </c>
      <c r="CW2102" s="18" t="str">
        <v>Nothing</v>
      </c>
      <c r="CY2102" s="45">
        <v>2098</v>
      </c>
      <c r="CZ2102" s="18">
        <v>0</v>
      </c>
      <c r="DA2102" s="18" t="str">
        <v>Nothing</v>
      </c>
    </row>
    <row r="2103" spans="95:105" ht="23.5">
      <c r="CQ2103" s="45">
        <v>2099</v>
      </c>
      <c r="CR2103" s="18">
        <v>6.8510949337242302</v>
      </c>
      <c r="CS2103" s="18" t="str">
        <v>Invest</v>
      </c>
      <c r="CU2103" s="45">
        <v>2099</v>
      </c>
      <c r="CV2103" s="18">
        <v>10.487162101092261</v>
      </c>
      <c r="CW2103" s="18" t="str">
        <v>Invest</v>
      </c>
      <c r="CY2103" s="45">
        <v>2099</v>
      </c>
      <c r="CZ2103" s="18">
        <v>24.174383228751179</v>
      </c>
      <c r="DA2103" s="18" t="str">
        <v>Invest</v>
      </c>
    </row>
    <row r="2104" spans="95:105" ht="23.5">
      <c r="CQ2104" s="45">
        <v>2100</v>
      </c>
      <c r="CR2104" s="18">
        <v>21.827928545654274</v>
      </c>
      <c r="CS2104" s="18" t="str">
        <v>Invest</v>
      </c>
      <c r="CU2104" s="45">
        <v>2100</v>
      </c>
      <c r="CV2104" s="18">
        <v>18.700069673875031</v>
      </c>
      <c r="CW2104" s="18" t="str">
        <v>Invest</v>
      </c>
      <c r="CY2104" s="45">
        <v>2100</v>
      </c>
      <c r="CZ2104" s="18">
        <v>33.846228488547148</v>
      </c>
      <c r="DA2104" s="18" t="str">
        <v>Invest</v>
      </c>
    </row>
    <row r="2105" spans="95:105" ht="23.5">
      <c r="CQ2105" s="45">
        <v>2101</v>
      </c>
      <c r="CR2105" s="18">
        <v>53.083702946387795</v>
      </c>
      <c r="CS2105" s="18" t="str">
        <v>Invest</v>
      </c>
      <c r="CU2105" s="45">
        <v>2101</v>
      </c>
      <c r="CV2105" s="18">
        <v>52.441424632676593</v>
      </c>
      <c r="CW2105" s="18" t="str">
        <v>Invest</v>
      </c>
      <c r="CY2105" s="45">
        <v>2101</v>
      </c>
      <c r="CZ2105" s="18">
        <v>6.3732901510141629</v>
      </c>
      <c r="DA2105" s="18" t="str">
        <v>Invest</v>
      </c>
    </row>
    <row r="2106" spans="95:105" ht="23.5">
      <c r="CQ2106" s="45">
        <v>2102</v>
      </c>
      <c r="CR2106" s="18">
        <v>13.530101330196075</v>
      </c>
      <c r="CS2106" s="18" t="str">
        <v>Invest</v>
      </c>
      <c r="CU2106" s="45">
        <v>2102</v>
      </c>
      <c r="CV2106" s="18">
        <v>18.552830619271788</v>
      </c>
      <c r="CW2106" s="18" t="str">
        <v>Invest</v>
      </c>
      <c r="CY2106" s="45">
        <v>2102</v>
      </c>
      <c r="CZ2106" s="18">
        <v>15.426226791501753</v>
      </c>
      <c r="DA2106" s="18" t="str">
        <v>Invest</v>
      </c>
    </row>
    <row r="2107" spans="95:105" ht="23.5">
      <c r="CQ2107" s="45">
        <v>2103</v>
      </c>
      <c r="CR2107" s="18">
        <v>14.309647111992243</v>
      </c>
      <c r="CS2107" s="18" t="str">
        <v>Invest</v>
      </c>
      <c r="CU2107" s="45">
        <v>2103</v>
      </c>
      <c r="CV2107" s="18">
        <v>25.579286950717098</v>
      </c>
      <c r="CW2107" s="18" t="str">
        <v>Invest</v>
      </c>
      <c r="CY2107" s="45">
        <v>2103</v>
      </c>
      <c r="CZ2107" s="18">
        <v>0</v>
      </c>
      <c r="DA2107" s="18" t="str">
        <v>Nothing</v>
      </c>
    </row>
    <row r="2108" spans="95:105" ht="23.5">
      <c r="CQ2108" s="45">
        <v>2104</v>
      </c>
      <c r="CR2108" s="18">
        <v>11.130611738231897</v>
      </c>
      <c r="CS2108" s="18" t="str">
        <v>Invest</v>
      </c>
      <c r="CU2108" s="45">
        <v>2104</v>
      </c>
      <c r="CV2108" s="18">
        <v>25.458836186200344</v>
      </c>
      <c r="CW2108" s="18" t="str">
        <v>Invest</v>
      </c>
      <c r="CY2108" s="45">
        <v>2104</v>
      </c>
      <c r="CZ2108" s="18">
        <v>33.907978209158593</v>
      </c>
      <c r="DA2108" s="18" t="str">
        <v>Invest</v>
      </c>
    </row>
    <row r="2109" spans="95:105" ht="23.5">
      <c r="CQ2109" s="45">
        <v>2105</v>
      </c>
      <c r="CR2109" s="18">
        <v>21.052225504531293</v>
      </c>
      <c r="CS2109" s="18" t="str">
        <v>Invest</v>
      </c>
      <c r="CU2109" s="45">
        <v>2105</v>
      </c>
      <c r="CV2109" s="18">
        <v>19.386993312404101</v>
      </c>
      <c r="CW2109" s="18" t="str">
        <v>Invest</v>
      </c>
      <c r="CY2109" s="45">
        <v>2105</v>
      </c>
      <c r="CZ2109" s="18">
        <v>31.71361951008355</v>
      </c>
      <c r="DA2109" s="18" t="str">
        <v>Invest</v>
      </c>
    </row>
    <row r="2110" spans="95:105" ht="23.5">
      <c r="CQ2110" s="45">
        <v>2106</v>
      </c>
      <c r="CR2110" s="18">
        <v>17.828430912913582</v>
      </c>
      <c r="CS2110" s="18" t="str">
        <v>Invest</v>
      </c>
      <c r="CU2110" s="45">
        <v>2106</v>
      </c>
      <c r="CV2110" s="18">
        <v>0</v>
      </c>
      <c r="CW2110" s="18" t="str">
        <v>Nothing</v>
      </c>
      <c r="CY2110" s="45">
        <v>2106</v>
      </c>
      <c r="CZ2110" s="18">
        <v>15.516369494710158</v>
      </c>
      <c r="DA2110" s="18" t="str">
        <v>Invest</v>
      </c>
    </row>
    <row r="2111" spans="95:105" ht="23.5">
      <c r="CQ2111" s="45">
        <v>2107</v>
      </c>
      <c r="CR2111" s="18">
        <v>44.972732660916684</v>
      </c>
      <c r="CS2111" s="18" t="str">
        <v>Invest</v>
      </c>
      <c r="CU2111" s="45">
        <v>2107</v>
      </c>
      <c r="CV2111" s="18">
        <v>0</v>
      </c>
      <c r="CW2111" s="18" t="str">
        <v>Nothing</v>
      </c>
      <c r="CY2111" s="45">
        <v>2107</v>
      </c>
      <c r="CZ2111" s="18">
        <v>0</v>
      </c>
      <c r="DA2111" s="18" t="str">
        <v>Nothing</v>
      </c>
    </row>
    <row r="2112" spans="95:105" ht="23.5">
      <c r="CQ2112" s="45">
        <v>2108</v>
      </c>
      <c r="CR2112" s="18">
        <v>0.36974093003570552</v>
      </c>
      <c r="CS2112" s="18" t="str">
        <v>Invest</v>
      </c>
      <c r="CU2112" s="45">
        <v>2108</v>
      </c>
      <c r="CV2112" s="18">
        <v>17.003827520766762</v>
      </c>
      <c r="CW2112" s="18" t="str">
        <v>Invest</v>
      </c>
      <c r="CY2112" s="45">
        <v>2108</v>
      </c>
      <c r="CZ2112" s="18">
        <v>0</v>
      </c>
      <c r="DA2112" s="18" t="str">
        <v>Nothing</v>
      </c>
    </row>
    <row r="2113" spans="95:105" ht="23.5">
      <c r="CQ2113" s="45">
        <v>2109</v>
      </c>
      <c r="CR2113" s="18">
        <v>8.4865053171710727</v>
      </c>
      <c r="CS2113" s="18" t="str">
        <v>Invest</v>
      </c>
      <c r="CU2113" s="45">
        <v>2109</v>
      </c>
      <c r="CV2113" s="18">
        <v>48.933082178796099</v>
      </c>
      <c r="CW2113" s="18" t="str">
        <v>Invest</v>
      </c>
      <c r="CY2113" s="45">
        <v>2109</v>
      </c>
      <c r="CZ2113" s="18">
        <v>0</v>
      </c>
      <c r="DA2113" s="18" t="str">
        <v>Nothing</v>
      </c>
    </row>
    <row r="2114" spans="95:105" ht="23.5">
      <c r="CQ2114" s="45">
        <v>2110</v>
      </c>
      <c r="CR2114" s="18">
        <v>0</v>
      </c>
      <c r="CS2114" s="18" t="str">
        <v>Nothing</v>
      </c>
      <c r="CU2114" s="45">
        <v>2110</v>
      </c>
      <c r="CV2114" s="18">
        <v>0</v>
      </c>
      <c r="CW2114" s="18" t="str">
        <v>Nothing</v>
      </c>
      <c r="CY2114" s="45">
        <v>2110</v>
      </c>
      <c r="CZ2114" s="18">
        <v>0</v>
      </c>
      <c r="DA2114" s="18" t="str">
        <v>Nothing</v>
      </c>
    </row>
    <row r="2115" spans="95:105" ht="23.5">
      <c r="CQ2115" s="45">
        <v>2111</v>
      </c>
      <c r="CR2115" s="18">
        <v>12.518012153334125</v>
      </c>
      <c r="CS2115" s="18" t="str">
        <v>Invest</v>
      </c>
      <c r="CU2115" s="45">
        <v>2111</v>
      </c>
      <c r="CV2115" s="18">
        <v>25.869469181513683</v>
      </c>
      <c r="CW2115" s="18" t="str">
        <v>Invest</v>
      </c>
      <c r="CY2115" s="45">
        <v>2111</v>
      </c>
      <c r="CZ2115" s="18">
        <v>51.102927720217245</v>
      </c>
      <c r="DA2115" s="18" t="str">
        <v>Invest</v>
      </c>
    </row>
    <row r="2116" spans="95:105" ht="23.5">
      <c r="CQ2116" s="45">
        <v>2112</v>
      </c>
      <c r="CR2116" s="18">
        <v>21.66790119939067</v>
      </c>
      <c r="CS2116" s="18" t="str">
        <v>Invest</v>
      </c>
      <c r="CU2116" s="45">
        <v>2112</v>
      </c>
      <c r="CV2116" s="18">
        <v>54.706616147510118</v>
      </c>
      <c r="CW2116" s="18" t="str">
        <v>Invest</v>
      </c>
      <c r="CY2116" s="45">
        <v>2112</v>
      </c>
      <c r="CZ2116" s="18">
        <v>21.064270351052059</v>
      </c>
      <c r="DA2116" s="18" t="str">
        <v>Invest</v>
      </c>
    </row>
    <row r="2117" spans="95:105" ht="23.5">
      <c r="CQ2117" s="45">
        <v>2113</v>
      </c>
      <c r="CR2117" s="18">
        <v>21.408762265682171</v>
      </c>
      <c r="CS2117" s="18" t="str">
        <v>Invest</v>
      </c>
      <c r="CU2117" s="45">
        <v>2113</v>
      </c>
      <c r="CV2117" s="18">
        <v>23.267054598770265</v>
      </c>
      <c r="CW2117" s="18" t="str">
        <v>Invest</v>
      </c>
      <c r="CY2117" s="45">
        <v>2113</v>
      </c>
      <c r="CZ2117" s="18">
        <v>4.0492363793331272</v>
      </c>
      <c r="DA2117" s="18" t="str">
        <v>Invest</v>
      </c>
    </row>
    <row r="2118" spans="95:105" ht="23.5">
      <c r="CQ2118" s="45">
        <v>2114</v>
      </c>
      <c r="CR2118" s="18">
        <v>26.57943408751758</v>
      </c>
      <c r="CS2118" s="18" t="str">
        <v>Invest</v>
      </c>
      <c r="CU2118" s="45">
        <v>2114</v>
      </c>
      <c r="CV2118" s="18">
        <v>30.573388419758974</v>
      </c>
      <c r="CW2118" s="18" t="str">
        <v>Invest</v>
      </c>
      <c r="CY2118" s="45">
        <v>2114</v>
      </c>
      <c r="CZ2118" s="18">
        <v>42.560578994482384</v>
      </c>
      <c r="DA2118" s="18" t="str">
        <v>Invest</v>
      </c>
    </row>
    <row r="2119" spans="95:105" ht="23.5">
      <c r="CQ2119" s="45">
        <v>2115</v>
      </c>
      <c r="CR2119" s="18">
        <v>11.52335457825717</v>
      </c>
      <c r="CS2119" s="18" t="str">
        <v>Invest</v>
      </c>
      <c r="CU2119" s="45">
        <v>2115</v>
      </c>
      <c r="CV2119" s="18">
        <v>6.6770636851021354</v>
      </c>
      <c r="CW2119" s="18" t="str">
        <v>Invest</v>
      </c>
      <c r="CY2119" s="45">
        <v>2115</v>
      </c>
      <c r="CZ2119" s="18">
        <v>0</v>
      </c>
      <c r="DA2119" s="18" t="str">
        <v>Nothing</v>
      </c>
    </row>
    <row r="2120" spans="95:105" ht="23.5">
      <c r="CQ2120" s="45">
        <v>2116</v>
      </c>
      <c r="CR2120" s="18">
        <v>0</v>
      </c>
      <c r="CS2120" s="18" t="str">
        <v>Nothing</v>
      </c>
      <c r="CU2120" s="45">
        <v>2116</v>
      </c>
      <c r="CV2120" s="18">
        <v>0</v>
      </c>
      <c r="CW2120" s="18" t="str">
        <v>Nothing</v>
      </c>
      <c r="CY2120" s="45">
        <v>2116</v>
      </c>
      <c r="CZ2120" s="18">
        <v>39.794282850042428</v>
      </c>
      <c r="DA2120" s="18" t="str">
        <v>Invest</v>
      </c>
    </row>
    <row r="2121" spans="95:105" ht="23.5">
      <c r="CQ2121" s="45">
        <v>2117</v>
      </c>
      <c r="CR2121" s="18">
        <v>0</v>
      </c>
      <c r="CS2121" s="18" t="str">
        <v>Nothing</v>
      </c>
      <c r="CU2121" s="45">
        <v>2117</v>
      </c>
      <c r="CV2121" s="18">
        <v>58.136058763354654</v>
      </c>
      <c r="CW2121" s="18" t="str">
        <v>Invest</v>
      </c>
      <c r="CY2121" s="45">
        <v>2117</v>
      </c>
      <c r="CZ2121" s="18">
        <v>19.717944946975535</v>
      </c>
      <c r="DA2121" s="18" t="str">
        <v>Invest</v>
      </c>
    </row>
    <row r="2122" spans="95:105" ht="23.5">
      <c r="CQ2122" s="45">
        <v>2118</v>
      </c>
      <c r="CR2122" s="18">
        <v>5.5130524105443968</v>
      </c>
      <c r="CS2122" s="18" t="str">
        <v>Invest</v>
      </c>
      <c r="CU2122" s="45">
        <v>2118</v>
      </c>
      <c r="CV2122" s="18">
        <v>15.636484770083367</v>
      </c>
      <c r="CW2122" s="18" t="str">
        <v>Invest</v>
      </c>
      <c r="CY2122" s="45">
        <v>2118</v>
      </c>
      <c r="CZ2122" s="18">
        <v>3.1829447294592921</v>
      </c>
      <c r="DA2122" s="18" t="str">
        <v>Invest</v>
      </c>
    </row>
    <row r="2123" spans="95:105" ht="23.5">
      <c r="CQ2123" s="45">
        <v>2119</v>
      </c>
      <c r="CR2123" s="18">
        <v>11.00478064663217</v>
      </c>
      <c r="CS2123" s="18" t="str">
        <v>Invest</v>
      </c>
      <c r="CU2123" s="45">
        <v>2119</v>
      </c>
      <c r="CV2123" s="18">
        <v>12.906649097665241</v>
      </c>
      <c r="CW2123" s="18" t="str">
        <v>Invest</v>
      </c>
      <c r="CY2123" s="45">
        <v>2119</v>
      </c>
      <c r="CZ2123" s="18">
        <v>0</v>
      </c>
      <c r="DA2123" s="18" t="str">
        <v>Nothing</v>
      </c>
    </row>
    <row r="2124" spans="95:105" ht="23.5">
      <c r="CQ2124" s="45">
        <v>2120</v>
      </c>
      <c r="CR2124" s="18">
        <v>7.5873719666290746</v>
      </c>
      <c r="CS2124" s="18" t="str">
        <v>Invest</v>
      </c>
      <c r="CU2124" s="45">
        <v>2120</v>
      </c>
      <c r="CV2124" s="18">
        <v>6.9158970581857364</v>
      </c>
      <c r="CW2124" s="18" t="str">
        <v>Invest</v>
      </c>
      <c r="CY2124" s="45">
        <v>2120</v>
      </c>
      <c r="CZ2124" s="18">
        <v>0</v>
      </c>
      <c r="DA2124" s="18" t="str">
        <v>Nothing</v>
      </c>
    </row>
    <row r="2125" spans="95:105" ht="23.5">
      <c r="CQ2125" s="45">
        <v>2121</v>
      </c>
      <c r="CR2125" s="18">
        <v>26.800608536391284</v>
      </c>
      <c r="CS2125" s="18" t="str">
        <v>Invest</v>
      </c>
      <c r="CU2125" s="45">
        <v>2121</v>
      </c>
      <c r="CV2125" s="18">
        <v>25.142747075076553</v>
      </c>
      <c r="CW2125" s="18" t="str">
        <v>Invest</v>
      </c>
      <c r="CY2125" s="45">
        <v>2121</v>
      </c>
      <c r="CZ2125" s="18">
        <v>57.230707868676625</v>
      </c>
      <c r="DA2125" s="18" t="str">
        <v>Invest</v>
      </c>
    </row>
    <row r="2126" spans="95:105" ht="23.5">
      <c r="CQ2126" s="45">
        <v>2122</v>
      </c>
      <c r="CR2126" s="18">
        <v>51.015229303082577</v>
      </c>
      <c r="CS2126" s="18" t="str">
        <v>Invest</v>
      </c>
      <c r="CU2126" s="45">
        <v>2122</v>
      </c>
      <c r="CV2126" s="18">
        <v>32.068991095386281</v>
      </c>
      <c r="CW2126" s="18" t="str">
        <v>Invest</v>
      </c>
      <c r="CY2126" s="45">
        <v>2122</v>
      </c>
      <c r="CZ2126" s="18">
        <v>27.876153297676929</v>
      </c>
      <c r="DA2126" s="18" t="str">
        <v>Invest</v>
      </c>
    </row>
    <row r="2127" spans="95:105" ht="23.5">
      <c r="CQ2127" s="45">
        <v>2123</v>
      </c>
      <c r="CR2127" s="18">
        <v>46.979845081417089</v>
      </c>
      <c r="CS2127" s="18" t="str">
        <v>Invest</v>
      </c>
      <c r="CU2127" s="45">
        <v>2123</v>
      </c>
      <c r="CV2127" s="18">
        <v>47.404717890843614</v>
      </c>
      <c r="CW2127" s="18" t="str">
        <v>Invest</v>
      </c>
      <c r="CY2127" s="45">
        <v>2123</v>
      </c>
      <c r="CZ2127" s="18">
        <v>34.449281155059921</v>
      </c>
      <c r="DA2127" s="18" t="str">
        <v>Invest</v>
      </c>
    </row>
    <row r="2128" spans="95:105" ht="23.5">
      <c r="CQ2128" s="45">
        <v>2124</v>
      </c>
      <c r="CR2128" s="18">
        <v>0</v>
      </c>
      <c r="CS2128" s="18" t="str">
        <v>Nothing</v>
      </c>
      <c r="CU2128" s="45">
        <v>2124</v>
      </c>
      <c r="CV2128" s="18">
        <v>0</v>
      </c>
      <c r="CW2128" s="18" t="str">
        <v>Nothing</v>
      </c>
      <c r="CY2128" s="45">
        <v>2124</v>
      </c>
      <c r="CZ2128" s="18">
        <v>12.056062710429073</v>
      </c>
      <c r="DA2128" s="18" t="str">
        <v>Invest</v>
      </c>
    </row>
    <row r="2129" spans="95:105" ht="23.5">
      <c r="CQ2129" s="45">
        <v>2125</v>
      </c>
      <c r="CR2129" s="18">
        <v>10.229353336054096</v>
      </c>
      <c r="CS2129" s="18" t="str">
        <v>Invest</v>
      </c>
      <c r="CU2129" s="45">
        <v>2125</v>
      </c>
      <c r="CV2129" s="18">
        <v>0</v>
      </c>
      <c r="CW2129" s="18" t="str">
        <v>Nothing</v>
      </c>
      <c r="CY2129" s="45">
        <v>2125</v>
      </c>
      <c r="CZ2129" s="18">
        <v>56.77007299072843</v>
      </c>
      <c r="DA2129" s="18" t="str">
        <v>Invest</v>
      </c>
    </row>
    <row r="2130" spans="95:105" ht="23.5">
      <c r="CQ2130" s="45">
        <v>2126</v>
      </c>
      <c r="CR2130" s="18">
        <v>0</v>
      </c>
      <c r="CS2130" s="18" t="str">
        <v>Nothing</v>
      </c>
      <c r="CU2130" s="45">
        <v>2126</v>
      </c>
      <c r="CV2130" s="18">
        <v>25.261932121873777</v>
      </c>
      <c r="CW2130" s="18" t="str">
        <v>Invest</v>
      </c>
      <c r="CY2130" s="45">
        <v>2126</v>
      </c>
      <c r="CZ2130" s="18">
        <v>2.4403090015152635</v>
      </c>
      <c r="DA2130" s="18" t="str">
        <v>Invest</v>
      </c>
    </row>
    <row r="2131" spans="95:105" ht="23.5">
      <c r="CQ2131" s="45">
        <v>2127</v>
      </c>
      <c r="CR2131" s="18">
        <v>1.2920491980638698</v>
      </c>
      <c r="CS2131" s="18" t="str">
        <v>Invest</v>
      </c>
      <c r="CU2131" s="45">
        <v>2127</v>
      </c>
      <c r="CV2131" s="18">
        <v>8.585457648925825</v>
      </c>
      <c r="CW2131" s="18" t="str">
        <v>Invest</v>
      </c>
      <c r="CY2131" s="45">
        <v>2127</v>
      </c>
      <c r="CZ2131" s="18">
        <v>0</v>
      </c>
      <c r="DA2131" s="18" t="str">
        <v>Nothing</v>
      </c>
    </row>
    <row r="2132" spans="95:105" ht="23.5">
      <c r="CQ2132" s="45">
        <v>2128</v>
      </c>
      <c r="CR2132" s="18">
        <v>15.24835779778161</v>
      </c>
      <c r="CS2132" s="18" t="str">
        <v>Invest</v>
      </c>
      <c r="CU2132" s="45">
        <v>2128</v>
      </c>
      <c r="CV2132" s="18">
        <v>1.2657093821078957</v>
      </c>
      <c r="CW2132" s="18" t="str">
        <v>Invest</v>
      </c>
      <c r="CY2132" s="45">
        <v>2128</v>
      </c>
      <c r="CZ2132" s="18">
        <v>36.730236090059677</v>
      </c>
      <c r="DA2132" s="18" t="str">
        <v>Invest</v>
      </c>
    </row>
    <row r="2133" spans="95:105" ht="23.5">
      <c r="CQ2133" s="45">
        <v>2129</v>
      </c>
      <c r="CR2133" s="18">
        <v>1.2490112966733022</v>
      </c>
      <c r="CS2133" s="18" t="str">
        <v>Invest</v>
      </c>
      <c r="CU2133" s="45">
        <v>2129</v>
      </c>
      <c r="CV2133" s="18">
        <v>32.519008313497473</v>
      </c>
      <c r="CW2133" s="18" t="str">
        <v>Invest</v>
      </c>
      <c r="CY2133" s="45">
        <v>2129</v>
      </c>
      <c r="CZ2133" s="18">
        <v>9.567989232467724</v>
      </c>
      <c r="DA2133" s="18" t="str">
        <v>Invest</v>
      </c>
    </row>
    <row r="2134" spans="95:105" ht="23.5">
      <c r="CQ2134" s="45">
        <v>2130</v>
      </c>
      <c r="CR2134" s="18">
        <v>30.109191941658963</v>
      </c>
      <c r="CS2134" s="18" t="str">
        <v>Invest</v>
      </c>
      <c r="CU2134" s="45">
        <v>2130</v>
      </c>
      <c r="CV2134" s="18">
        <v>15.285529540425085</v>
      </c>
      <c r="CW2134" s="18" t="str">
        <v>Invest</v>
      </c>
      <c r="CY2134" s="45">
        <v>2130</v>
      </c>
      <c r="CZ2134" s="18">
        <v>14.322057804356138</v>
      </c>
      <c r="DA2134" s="18" t="str">
        <v>Invest</v>
      </c>
    </row>
    <row r="2135" spans="95:105" ht="23.5">
      <c r="CQ2135" s="45">
        <v>2131</v>
      </c>
      <c r="CR2135" s="18">
        <v>0</v>
      </c>
      <c r="CS2135" s="18" t="str">
        <v>Nothing</v>
      </c>
      <c r="CU2135" s="45">
        <v>2131</v>
      </c>
      <c r="CV2135" s="18">
        <v>24.446912988491274</v>
      </c>
      <c r="CW2135" s="18" t="str">
        <v>Invest</v>
      </c>
      <c r="CY2135" s="45">
        <v>2131</v>
      </c>
      <c r="CZ2135" s="18">
        <v>18.216042246926314</v>
      </c>
      <c r="DA2135" s="18" t="str">
        <v>Invest</v>
      </c>
    </row>
    <row r="2136" spans="95:105" ht="23.5">
      <c r="CQ2136" s="45">
        <v>2132</v>
      </c>
      <c r="CR2136" s="18">
        <v>5.0307712239130851</v>
      </c>
      <c r="CS2136" s="18" t="str">
        <v>Invest</v>
      </c>
      <c r="CU2136" s="45">
        <v>2132</v>
      </c>
      <c r="CV2136" s="18">
        <v>17.006493397076213</v>
      </c>
      <c r="CW2136" s="18" t="str">
        <v>Invest</v>
      </c>
      <c r="CY2136" s="45">
        <v>2132</v>
      </c>
      <c r="CZ2136" s="18">
        <v>0.69373915258421981</v>
      </c>
      <c r="DA2136" s="18" t="str">
        <v>Invest</v>
      </c>
    </row>
    <row r="2137" spans="95:105" ht="23.5">
      <c r="CQ2137" s="45">
        <v>2133</v>
      </c>
      <c r="CR2137" s="18">
        <v>5.1823625891832954</v>
      </c>
      <c r="CS2137" s="18" t="str">
        <v>Invest</v>
      </c>
      <c r="CU2137" s="45">
        <v>2133</v>
      </c>
      <c r="CV2137" s="18">
        <v>38.195965634054247</v>
      </c>
      <c r="CW2137" s="18" t="str">
        <v>Invest</v>
      </c>
      <c r="CY2137" s="45">
        <v>2133</v>
      </c>
      <c r="CZ2137" s="18">
        <v>0</v>
      </c>
      <c r="DA2137" s="18" t="str">
        <v>Nothing</v>
      </c>
    </row>
    <row r="2138" spans="95:105" ht="23.5">
      <c r="CQ2138" s="45">
        <v>2134</v>
      </c>
      <c r="CR2138" s="18">
        <v>0</v>
      </c>
      <c r="CS2138" s="18" t="str">
        <v>Nothing</v>
      </c>
      <c r="CU2138" s="45">
        <v>2134</v>
      </c>
      <c r="CV2138" s="18">
        <v>39.433785258643731</v>
      </c>
      <c r="CW2138" s="18" t="str">
        <v>Invest</v>
      </c>
      <c r="CY2138" s="45">
        <v>2134</v>
      </c>
      <c r="CZ2138" s="18">
        <v>0</v>
      </c>
      <c r="DA2138" s="18" t="str">
        <v>Nothing</v>
      </c>
    </row>
    <row r="2139" spans="95:105" ht="23.5">
      <c r="CQ2139" s="45">
        <v>2135</v>
      </c>
      <c r="CR2139" s="18">
        <v>30.113052278470647</v>
      </c>
      <c r="CS2139" s="18" t="str">
        <v>Invest</v>
      </c>
      <c r="CU2139" s="45">
        <v>2135</v>
      </c>
      <c r="CV2139" s="18">
        <v>0</v>
      </c>
      <c r="CW2139" s="18" t="str">
        <v>Nothing</v>
      </c>
      <c r="CY2139" s="45">
        <v>2135</v>
      </c>
      <c r="CZ2139" s="18">
        <v>0</v>
      </c>
      <c r="DA2139" s="18" t="str">
        <v>Nothing</v>
      </c>
    </row>
    <row r="2140" spans="95:105" ht="23.5">
      <c r="CQ2140" s="45">
        <v>2136</v>
      </c>
      <c r="CR2140" s="18">
        <v>22.604903834895872</v>
      </c>
      <c r="CS2140" s="18" t="str">
        <v>Invest</v>
      </c>
      <c r="CU2140" s="45">
        <v>2136</v>
      </c>
      <c r="CV2140" s="18">
        <v>5.3757072478300607</v>
      </c>
      <c r="CW2140" s="18" t="str">
        <v>Invest</v>
      </c>
      <c r="CY2140" s="45">
        <v>2136</v>
      </c>
      <c r="CZ2140" s="18">
        <v>15.289133953848381</v>
      </c>
      <c r="DA2140" s="18" t="str">
        <v>Invest</v>
      </c>
    </row>
    <row r="2141" spans="95:105" ht="23.5">
      <c r="CQ2141" s="45">
        <v>2137</v>
      </c>
      <c r="CR2141" s="18">
        <v>20.007860080010939</v>
      </c>
      <c r="CS2141" s="18" t="str">
        <v>Invest</v>
      </c>
      <c r="CU2141" s="45">
        <v>2137</v>
      </c>
      <c r="CV2141" s="18">
        <v>0</v>
      </c>
      <c r="CW2141" s="18" t="str">
        <v>Nothing</v>
      </c>
      <c r="CY2141" s="45">
        <v>2137</v>
      </c>
      <c r="CZ2141" s="18">
        <v>2.9617713349362855</v>
      </c>
      <c r="DA2141" s="18" t="str">
        <v>Invest</v>
      </c>
    </row>
    <row r="2142" spans="95:105" ht="23.5">
      <c r="CQ2142" s="45">
        <v>2138</v>
      </c>
      <c r="CR2142" s="18">
        <v>6.7248307746495737</v>
      </c>
      <c r="CS2142" s="18" t="str">
        <v>Invest</v>
      </c>
      <c r="CU2142" s="45">
        <v>2138</v>
      </c>
      <c r="CV2142" s="18">
        <v>0</v>
      </c>
      <c r="CW2142" s="18" t="str">
        <v>Nothing</v>
      </c>
      <c r="CY2142" s="45">
        <v>2138</v>
      </c>
      <c r="CZ2142" s="18">
        <v>22.476073206161146</v>
      </c>
      <c r="DA2142" s="18" t="str">
        <v>Invest</v>
      </c>
    </row>
    <row r="2143" spans="95:105" ht="23.5">
      <c r="CQ2143" s="45">
        <v>2139</v>
      </c>
      <c r="CR2143" s="18">
        <v>0</v>
      </c>
      <c r="CS2143" s="18" t="str">
        <v>Nothing</v>
      </c>
      <c r="CU2143" s="45">
        <v>2139</v>
      </c>
      <c r="CV2143" s="18">
        <v>22.019976032356801</v>
      </c>
      <c r="CW2143" s="18" t="str">
        <v>Invest</v>
      </c>
      <c r="CY2143" s="45">
        <v>2139</v>
      </c>
      <c r="CZ2143" s="18">
        <v>35.790059916514707</v>
      </c>
      <c r="DA2143" s="18" t="str">
        <v>Invest</v>
      </c>
    </row>
    <row r="2144" spans="95:105" ht="23.5">
      <c r="CQ2144" s="45">
        <v>2140</v>
      </c>
      <c r="CR2144" s="18">
        <v>5.6578345387483058</v>
      </c>
      <c r="CS2144" s="18" t="str">
        <v>Invest</v>
      </c>
      <c r="CU2144" s="45">
        <v>2140</v>
      </c>
      <c r="CV2144" s="18">
        <v>11.292911615409263</v>
      </c>
      <c r="CW2144" s="18" t="str">
        <v>Invest</v>
      </c>
      <c r="CY2144" s="45">
        <v>2140</v>
      </c>
      <c r="CZ2144" s="18">
        <v>15.988034888312653</v>
      </c>
      <c r="DA2144" s="18" t="str">
        <v>Invest</v>
      </c>
    </row>
    <row r="2145" spans="95:105" ht="23.5">
      <c r="CQ2145" s="45">
        <v>2141</v>
      </c>
      <c r="CR2145" s="18">
        <v>2.4127730266534968</v>
      </c>
      <c r="CS2145" s="18" t="str">
        <v>Invest</v>
      </c>
      <c r="CU2145" s="45">
        <v>2141</v>
      </c>
      <c r="CV2145" s="18">
        <v>40.546037691997299</v>
      </c>
      <c r="CW2145" s="18" t="str">
        <v>Invest</v>
      </c>
      <c r="CY2145" s="45">
        <v>2141</v>
      </c>
      <c r="CZ2145" s="18">
        <v>0.86983077435259482</v>
      </c>
      <c r="DA2145" s="18" t="str">
        <v>Invest</v>
      </c>
    </row>
    <row r="2146" spans="95:105" ht="23.5">
      <c r="CQ2146" s="45">
        <v>2142</v>
      </c>
      <c r="CR2146" s="18">
        <v>35.559149473039085</v>
      </c>
      <c r="CS2146" s="18" t="str">
        <v>Invest</v>
      </c>
      <c r="CU2146" s="45">
        <v>2142</v>
      </c>
      <c r="CV2146" s="18">
        <v>5.8007731271108813</v>
      </c>
      <c r="CW2146" s="18" t="str">
        <v>Invest</v>
      </c>
      <c r="CY2146" s="45">
        <v>2142</v>
      </c>
      <c r="CZ2146" s="18">
        <v>32.862383921255478</v>
      </c>
      <c r="DA2146" s="18" t="str">
        <v>Invest</v>
      </c>
    </row>
    <row r="2147" spans="95:105" ht="23.5">
      <c r="CQ2147" s="45">
        <v>2143</v>
      </c>
      <c r="CR2147" s="18">
        <v>0</v>
      </c>
      <c r="CS2147" s="18" t="str">
        <v>Nothing</v>
      </c>
      <c r="CU2147" s="45">
        <v>2143</v>
      </c>
      <c r="CV2147" s="18">
        <v>8.7718581268194811</v>
      </c>
      <c r="CW2147" s="18" t="str">
        <v>Invest</v>
      </c>
      <c r="CY2147" s="45">
        <v>2143</v>
      </c>
      <c r="CZ2147" s="18">
        <v>13.217321710322878</v>
      </c>
      <c r="DA2147" s="18" t="str">
        <v>Invest</v>
      </c>
    </row>
    <row r="2148" spans="95:105" ht="23.5">
      <c r="CQ2148" s="45">
        <v>2144</v>
      </c>
      <c r="CR2148" s="18">
        <v>0</v>
      </c>
      <c r="CS2148" s="18" t="str">
        <v>Nothing</v>
      </c>
      <c r="CU2148" s="45">
        <v>2144</v>
      </c>
      <c r="CV2148" s="18">
        <v>54.658566702960634</v>
      </c>
      <c r="CW2148" s="18" t="str">
        <v>Invest</v>
      </c>
      <c r="CY2148" s="45">
        <v>2144</v>
      </c>
      <c r="CZ2148" s="18">
        <v>13.194906905883524</v>
      </c>
      <c r="DA2148" s="18" t="str">
        <v>Invest</v>
      </c>
    </row>
    <row r="2149" spans="95:105" ht="23.5">
      <c r="CQ2149" s="45">
        <v>2145</v>
      </c>
      <c r="CR2149" s="18">
        <v>11.517317184433502</v>
      </c>
      <c r="CS2149" s="18" t="str">
        <v>Invest</v>
      </c>
      <c r="CU2149" s="45">
        <v>2145</v>
      </c>
      <c r="CV2149" s="18">
        <v>0</v>
      </c>
      <c r="CW2149" s="18" t="str">
        <v>Nothing</v>
      </c>
      <c r="CY2149" s="45">
        <v>2145</v>
      </c>
      <c r="CZ2149" s="18">
        <v>3.4069275003424941</v>
      </c>
      <c r="DA2149" s="18" t="str">
        <v>Invest</v>
      </c>
    </row>
    <row r="2150" spans="95:105" ht="23.5">
      <c r="CQ2150" s="45">
        <v>2146</v>
      </c>
      <c r="CR2150" s="18">
        <v>14.545211634596084</v>
      </c>
      <c r="CS2150" s="18" t="str">
        <v>Invest</v>
      </c>
      <c r="CU2150" s="45">
        <v>2146</v>
      </c>
      <c r="CV2150" s="18">
        <v>31.50268364523675</v>
      </c>
      <c r="CW2150" s="18" t="str">
        <v>Invest</v>
      </c>
      <c r="CY2150" s="45">
        <v>2146</v>
      </c>
      <c r="CZ2150" s="18">
        <v>0</v>
      </c>
      <c r="DA2150" s="18" t="str">
        <v>Nothing</v>
      </c>
    </row>
    <row r="2151" spans="95:105" ht="23.5">
      <c r="CQ2151" s="45">
        <v>2147</v>
      </c>
      <c r="CR2151" s="18">
        <v>0</v>
      </c>
      <c r="CS2151" s="18" t="str">
        <v>Nothing</v>
      </c>
      <c r="CU2151" s="45">
        <v>2147</v>
      </c>
      <c r="CV2151" s="18">
        <v>13.077702225939468</v>
      </c>
      <c r="CW2151" s="18" t="str">
        <v>Invest</v>
      </c>
      <c r="CY2151" s="45">
        <v>2147</v>
      </c>
      <c r="CZ2151" s="18">
        <v>43.415503594897046</v>
      </c>
      <c r="DA2151" s="18" t="str">
        <v>Invest</v>
      </c>
    </row>
    <row r="2152" spans="95:105" ht="23.5">
      <c r="CQ2152" s="45">
        <v>2148</v>
      </c>
      <c r="CR2152" s="18">
        <v>26.868332024591176</v>
      </c>
      <c r="CS2152" s="18" t="str">
        <v>Invest</v>
      </c>
      <c r="CU2152" s="45">
        <v>2148</v>
      </c>
      <c r="CV2152" s="18">
        <v>16.591778604155635</v>
      </c>
      <c r="CW2152" s="18" t="str">
        <v>Invest</v>
      </c>
      <c r="CY2152" s="45">
        <v>2148</v>
      </c>
      <c r="CZ2152" s="18">
        <v>5.9395389604995072</v>
      </c>
      <c r="DA2152" s="18" t="str">
        <v>Invest</v>
      </c>
    </row>
    <row r="2153" spans="95:105" ht="23.5">
      <c r="CQ2153" s="45">
        <v>2149</v>
      </c>
      <c r="CR2153" s="18">
        <v>61.275995579603027</v>
      </c>
      <c r="CS2153" s="18" t="str">
        <v>Invest</v>
      </c>
      <c r="CU2153" s="45">
        <v>2149</v>
      </c>
      <c r="CV2153" s="18">
        <v>31.133781903981234</v>
      </c>
      <c r="CW2153" s="18" t="str">
        <v>Invest</v>
      </c>
      <c r="CY2153" s="45">
        <v>2149</v>
      </c>
      <c r="CZ2153" s="18">
        <v>28.438756970345093</v>
      </c>
      <c r="DA2153" s="18" t="str">
        <v>Invest</v>
      </c>
    </row>
    <row r="2154" spans="95:105" ht="23.5">
      <c r="CQ2154" s="45">
        <v>2150</v>
      </c>
      <c r="CR2154" s="18">
        <v>18.101014331840371</v>
      </c>
      <c r="CS2154" s="18" t="str">
        <v>Invest</v>
      </c>
      <c r="CU2154" s="45">
        <v>2150</v>
      </c>
      <c r="CV2154" s="18">
        <v>23.940533082751287</v>
      </c>
      <c r="CW2154" s="18" t="str">
        <v>Invest</v>
      </c>
      <c r="CY2154" s="45">
        <v>2150</v>
      </c>
      <c r="CZ2154" s="18">
        <v>0</v>
      </c>
      <c r="DA2154" s="18" t="str">
        <v>Nothing</v>
      </c>
    </row>
    <row r="2155" spans="95:105" ht="23.5">
      <c r="CQ2155" s="45">
        <v>2151</v>
      </c>
      <c r="CR2155" s="18">
        <v>46.932024185390453</v>
      </c>
      <c r="CS2155" s="18" t="str">
        <v>Invest</v>
      </c>
      <c r="CU2155" s="45">
        <v>2151</v>
      </c>
      <c r="CV2155" s="18">
        <v>23.13110558657575</v>
      </c>
      <c r="CW2155" s="18" t="str">
        <v>Invest</v>
      </c>
      <c r="CY2155" s="45">
        <v>2151</v>
      </c>
      <c r="CZ2155" s="18">
        <v>42.861056244399698</v>
      </c>
      <c r="DA2155" s="18" t="str">
        <v>Invest</v>
      </c>
    </row>
    <row r="2156" spans="95:105" ht="23.5">
      <c r="CQ2156" s="45">
        <v>2152</v>
      </c>
      <c r="CR2156" s="18">
        <v>0</v>
      </c>
      <c r="CS2156" s="18" t="str">
        <v>Nothing</v>
      </c>
      <c r="CU2156" s="45">
        <v>2152</v>
      </c>
      <c r="CV2156" s="18">
        <v>42.23468575324533</v>
      </c>
      <c r="CW2156" s="18" t="str">
        <v>Invest</v>
      </c>
      <c r="CY2156" s="45">
        <v>2152</v>
      </c>
      <c r="CZ2156" s="18">
        <v>0</v>
      </c>
      <c r="DA2156" s="18" t="str">
        <v>Nothing</v>
      </c>
    </row>
    <row r="2157" spans="95:105" ht="23.5">
      <c r="CQ2157" s="45">
        <v>2153</v>
      </c>
      <c r="CR2157" s="18">
        <v>13.828614104895054</v>
      </c>
      <c r="CS2157" s="18" t="str">
        <v>Invest</v>
      </c>
      <c r="CU2157" s="45">
        <v>2153</v>
      </c>
      <c r="CV2157" s="18">
        <v>34.616612071949632</v>
      </c>
      <c r="CW2157" s="18" t="str">
        <v>Invest</v>
      </c>
      <c r="CY2157" s="45">
        <v>2153</v>
      </c>
      <c r="CZ2157" s="18">
        <v>20.395884375299037</v>
      </c>
      <c r="DA2157" s="18" t="str">
        <v>Invest</v>
      </c>
    </row>
    <row r="2158" spans="95:105" ht="23.5">
      <c r="CQ2158" s="45">
        <v>2154</v>
      </c>
      <c r="CR2158" s="18">
        <v>0.94079798638647594</v>
      </c>
      <c r="CS2158" s="18" t="str">
        <v>Invest</v>
      </c>
      <c r="CU2158" s="45">
        <v>2154</v>
      </c>
      <c r="CV2158" s="18">
        <v>0</v>
      </c>
      <c r="CW2158" s="18" t="str">
        <v>Nothing</v>
      </c>
      <c r="CY2158" s="45">
        <v>2154</v>
      </c>
      <c r="CZ2158" s="18">
        <v>15.862365606118344</v>
      </c>
      <c r="DA2158" s="18" t="str">
        <v>Invest</v>
      </c>
    </row>
    <row r="2159" spans="95:105" ht="23.5">
      <c r="CQ2159" s="45">
        <v>2155</v>
      </c>
      <c r="CR2159" s="18">
        <v>23.935267274470966</v>
      </c>
      <c r="CS2159" s="18" t="str">
        <v>Invest</v>
      </c>
      <c r="CU2159" s="45">
        <v>2155</v>
      </c>
      <c r="CV2159" s="18">
        <v>1.0993317854358438</v>
      </c>
      <c r="CW2159" s="18" t="str">
        <v>Invest</v>
      </c>
      <c r="CY2159" s="45">
        <v>2155</v>
      </c>
      <c r="CZ2159" s="18">
        <v>14.319410492140282</v>
      </c>
      <c r="DA2159" s="18" t="str">
        <v>Invest</v>
      </c>
    </row>
    <row r="2160" spans="95:105" ht="23.5">
      <c r="CQ2160" s="45">
        <v>2156</v>
      </c>
      <c r="CR2160" s="18">
        <v>0</v>
      </c>
      <c r="CS2160" s="18" t="str">
        <v>Nothing</v>
      </c>
      <c r="CU2160" s="45">
        <v>2156</v>
      </c>
      <c r="CV2160" s="18">
        <v>20.906151017688948</v>
      </c>
      <c r="CW2160" s="18" t="str">
        <v>Invest</v>
      </c>
      <c r="CY2160" s="45">
        <v>2156</v>
      </c>
      <c r="CZ2160" s="18">
        <v>0</v>
      </c>
      <c r="DA2160" s="18" t="str">
        <v>Nothing</v>
      </c>
    </row>
    <row r="2161" spans="95:105" ht="23.5">
      <c r="CQ2161" s="45">
        <v>2157</v>
      </c>
      <c r="CR2161" s="18">
        <v>61.032470112388744</v>
      </c>
      <c r="CS2161" s="18" t="str">
        <v>Invest</v>
      </c>
      <c r="CU2161" s="45">
        <v>2157</v>
      </c>
      <c r="CV2161" s="18">
        <v>15.773430580118067</v>
      </c>
      <c r="CW2161" s="18" t="str">
        <v>Invest</v>
      </c>
      <c r="CY2161" s="45">
        <v>2157</v>
      </c>
      <c r="CZ2161" s="18">
        <v>21.965410390828652</v>
      </c>
      <c r="DA2161" s="18" t="str">
        <v>Invest</v>
      </c>
    </row>
    <row r="2162" spans="95:105" ht="23.5">
      <c r="CQ2162" s="45">
        <v>2158</v>
      </c>
      <c r="CR2162" s="18">
        <v>9.5495919764648143</v>
      </c>
      <c r="CS2162" s="18" t="str">
        <v>Invest</v>
      </c>
      <c r="CU2162" s="45">
        <v>2158</v>
      </c>
      <c r="CV2162" s="18">
        <v>19.819161974947111</v>
      </c>
      <c r="CW2162" s="18" t="str">
        <v>Invest</v>
      </c>
      <c r="CY2162" s="45">
        <v>2158</v>
      </c>
      <c r="CZ2162" s="18">
        <v>41.074230131962423</v>
      </c>
      <c r="DA2162" s="18" t="str">
        <v>Invest</v>
      </c>
    </row>
    <row r="2163" spans="95:105" ht="23.5">
      <c r="CQ2163" s="45">
        <v>2159</v>
      </c>
      <c r="CR2163" s="18">
        <v>14.413530233342673</v>
      </c>
      <c r="CS2163" s="18" t="str">
        <v>Invest</v>
      </c>
      <c r="CU2163" s="45">
        <v>2159</v>
      </c>
      <c r="CV2163" s="18">
        <v>22.069044800264731</v>
      </c>
      <c r="CW2163" s="18" t="str">
        <v>Invest</v>
      </c>
      <c r="CY2163" s="45">
        <v>2159</v>
      </c>
      <c r="CZ2163" s="18">
        <v>18.681577077489074</v>
      </c>
      <c r="DA2163" s="18" t="str">
        <v>Invest</v>
      </c>
    </row>
    <row r="2164" spans="95:105" ht="23.5">
      <c r="CQ2164" s="45">
        <v>2160</v>
      </c>
      <c r="CR2164" s="18">
        <v>64.18686435524512</v>
      </c>
      <c r="CS2164" s="18" t="str">
        <v>Invest</v>
      </c>
      <c r="CU2164" s="45">
        <v>2160</v>
      </c>
      <c r="CV2164" s="18">
        <v>51.102329155604622</v>
      </c>
      <c r="CW2164" s="18" t="str">
        <v>Invest</v>
      </c>
      <c r="CY2164" s="45">
        <v>2160</v>
      </c>
      <c r="CZ2164" s="18">
        <v>46.481839095213608</v>
      </c>
      <c r="DA2164" s="18" t="str">
        <v>Invest</v>
      </c>
    </row>
    <row r="2165" spans="95:105" ht="23.5">
      <c r="CQ2165" s="45">
        <v>2161</v>
      </c>
      <c r="CR2165" s="18">
        <v>42.625150262639309</v>
      </c>
      <c r="CS2165" s="18" t="str">
        <v>Invest</v>
      </c>
      <c r="CU2165" s="45">
        <v>2161</v>
      </c>
      <c r="CV2165" s="18">
        <v>0</v>
      </c>
      <c r="CW2165" s="18" t="str">
        <v>Nothing</v>
      </c>
      <c r="CY2165" s="45">
        <v>2161</v>
      </c>
      <c r="CZ2165" s="18">
        <v>3.0342823237906345</v>
      </c>
      <c r="DA2165" s="18" t="str">
        <v>Invest</v>
      </c>
    </row>
    <row r="2166" spans="95:105" ht="23.5">
      <c r="CQ2166" s="45">
        <v>2162</v>
      </c>
      <c r="CR2166" s="18">
        <v>3.3179456425955349</v>
      </c>
      <c r="CS2166" s="18" t="str">
        <v>Invest</v>
      </c>
      <c r="CU2166" s="45">
        <v>2162</v>
      </c>
      <c r="CV2166" s="18">
        <v>0</v>
      </c>
      <c r="CW2166" s="18" t="str">
        <v>Nothing</v>
      </c>
      <c r="CY2166" s="45">
        <v>2162</v>
      </c>
      <c r="CZ2166" s="18">
        <v>16.507482933396762</v>
      </c>
      <c r="DA2166" s="18" t="str">
        <v>Invest</v>
      </c>
    </row>
    <row r="2167" spans="95:105" ht="23.5">
      <c r="CQ2167" s="45">
        <v>2163</v>
      </c>
      <c r="CR2167" s="18">
        <v>32.458564999283873</v>
      </c>
      <c r="CS2167" s="18" t="str">
        <v>Invest</v>
      </c>
      <c r="CU2167" s="45">
        <v>2163</v>
      </c>
      <c r="CV2167" s="18">
        <v>19.207004797897373</v>
      </c>
      <c r="CW2167" s="18" t="str">
        <v>Invest</v>
      </c>
      <c r="CY2167" s="45">
        <v>2163</v>
      </c>
      <c r="CZ2167" s="18">
        <v>42.332026902120433</v>
      </c>
      <c r="DA2167" s="18" t="str">
        <v>Invest</v>
      </c>
    </row>
    <row r="2168" spans="95:105" ht="23.5">
      <c r="CQ2168" s="45">
        <v>2164</v>
      </c>
      <c r="CR2168" s="18">
        <v>58.241494805692071</v>
      </c>
      <c r="CS2168" s="18" t="str">
        <v>Invest</v>
      </c>
      <c r="CU2168" s="45">
        <v>2164</v>
      </c>
      <c r="CV2168" s="18">
        <v>61.983745908871967</v>
      </c>
      <c r="CW2168" s="18" t="str">
        <v>Invest</v>
      </c>
      <c r="CY2168" s="45">
        <v>2164</v>
      </c>
      <c r="CZ2168" s="18">
        <v>0</v>
      </c>
      <c r="DA2168" s="18" t="str">
        <v>Nothing</v>
      </c>
    </row>
    <row r="2169" spans="95:105" ht="23.5">
      <c r="CQ2169" s="45">
        <v>2165</v>
      </c>
      <c r="CR2169" s="18">
        <v>21.626674650212433</v>
      </c>
      <c r="CS2169" s="18" t="str">
        <v>Invest</v>
      </c>
      <c r="CU2169" s="45">
        <v>2165</v>
      </c>
      <c r="CV2169" s="18">
        <v>17.379966335547294</v>
      </c>
      <c r="CW2169" s="18" t="str">
        <v>Invest</v>
      </c>
      <c r="CY2169" s="45">
        <v>2165</v>
      </c>
      <c r="CZ2169" s="18">
        <v>30.01167168220325</v>
      </c>
      <c r="DA2169" s="18" t="str">
        <v>Invest</v>
      </c>
    </row>
    <row r="2170" spans="95:105" ht="23.5">
      <c r="CQ2170" s="45">
        <v>2166</v>
      </c>
      <c r="CR2170" s="18">
        <v>30.072489335543118</v>
      </c>
      <c r="CS2170" s="18" t="str">
        <v>Invest</v>
      </c>
      <c r="CU2170" s="45">
        <v>2166</v>
      </c>
      <c r="CV2170" s="18">
        <v>2.8678700566841115</v>
      </c>
      <c r="CW2170" s="18" t="str">
        <v>Invest</v>
      </c>
      <c r="CY2170" s="45">
        <v>2166</v>
      </c>
      <c r="CZ2170" s="18">
        <v>1.3645852904178746</v>
      </c>
      <c r="DA2170" s="18" t="str">
        <v>Invest</v>
      </c>
    </row>
    <row r="2171" spans="95:105" ht="23.5">
      <c r="CQ2171" s="45">
        <v>2167</v>
      </c>
      <c r="CR2171" s="18">
        <v>5.9067346920803914</v>
      </c>
      <c r="CS2171" s="18" t="str">
        <v>Invest</v>
      </c>
      <c r="CU2171" s="45">
        <v>2167</v>
      </c>
      <c r="CV2171" s="18">
        <v>0</v>
      </c>
      <c r="CW2171" s="18" t="str">
        <v>Nothing</v>
      </c>
      <c r="CY2171" s="45">
        <v>2167</v>
      </c>
      <c r="CZ2171" s="18">
        <v>12.706505736781139</v>
      </c>
      <c r="DA2171" s="18" t="str">
        <v>Invest</v>
      </c>
    </row>
    <row r="2172" spans="95:105" ht="23.5">
      <c r="CQ2172" s="45">
        <v>2168</v>
      </c>
      <c r="CR2172" s="18">
        <v>9.9404938680584678</v>
      </c>
      <c r="CS2172" s="18" t="str">
        <v>Invest</v>
      </c>
      <c r="CU2172" s="45">
        <v>2168</v>
      </c>
      <c r="CV2172" s="18">
        <v>8.7580026758557725</v>
      </c>
      <c r="CW2172" s="18" t="str">
        <v>Invest</v>
      </c>
      <c r="CY2172" s="45">
        <v>2168</v>
      </c>
      <c r="CZ2172" s="18">
        <v>31.287622670415246</v>
      </c>
      <c r="DA2172" s="18" t="str">
        <v>Invest</v>
      </c>
    </row>
    <row r="2173" spans="95:105" ht="23.5">
      <c r="CQ2173" s="45">
        <v>2169</v>
      </c>
      <c r="CR2173" s="18">
        <v>34.246094322032945</v>
      </c>
      <c r="CS2173" s="18" t="str">
        <v>Invest</v>
      </c>
      <c r="CU2173" s="45">
        <v>2169</v>
      </c>
      <c r="CV2173" s="18">
        <v>8.5792209799329395</v>
      </c>
      <c r="CW2173" s="18" t="str">
        <v>Invest</v>
      </c>
      <c r="CY2173" s="45">
        <v>2169</v>
      </c>
      <c r="CZ2173" s="18">
        <v>0</v>
      </c>
      <c r="DA2173" s="18" t="str">
        <v>Nothing</v>
      </c>
    </row>
    <row r="2174" spans="95:105" ht="23.5">
      <c r="CQ2174" s="45">
        <v>2170</v>
      </c>
      <c r="CR2174" s="18">
        <v>0</v>
      </c>
      <c r="CS2174" s="18" t="str">
        <v>Nothing</v>
      </c>
      <c r="CU2174" s="45">
        <v>2170</v>
      </c>
      <c r="CV2174" s="18">
        <v>42.060978405325571</v>
      </c>
      <c r="CW2174" s="18" t="str">
        <v>Invest</v>
      </c>
      <c r="CY2174" s="45">
        <v>2170</v>
      </c>
      <c r="CZ2174" s="18">
        <v>24.288103846940523</v>
      </c>
      <c r="DA2174" s="18" t="str">
        <v>Invest</v>
      </c>
    </row>
    <row r="2175" spans="95:105" ht="23.5">
      <c r="CQ2175" s="45">
        <v>2171</v>
      </c>
      <c r="CR2175" s="18">
        <v>0</v>
      </c>
      <c r="CS2175" s="18" t="str">
        <v>Nothing</v>
      </c>
      <c r="CU2175" s="45">
        <v>2171</v>
      </c>
      <c r="CV2175" s="18">
        <v>7.329493597771318</v>
      </c>
      <c r="CW2175" s="18" t="str">
        <v>Invest</v>
      </c>
      <c r="CY2175" s="45">
        <v>2171</v>
      </c>
      <c r="CZ2175" s="18">
        <v>0</v>
      </c>
      <c r="DA2175" s="18" t="str">
        <v>Nothing</v>
      </c>
    </row>
    <row r="2176" spans="95:105" ht="23.5">
      <c r="CQ2176" s="45">
        <v>2172</v>
      </c>
      <c r="CR2176" s="18">
        <v>0</v>
      </c>
      <c r="CS2176" s="18" t="str">
        <v>Nothing</v>
      </c>
      <c r="CU2176" s="45">
        <v>2172</v>
      </c>
      <c r="CV2176" s="18">
        <v>0.43861121355535282</v>
      </c>
      <c r="CW2176" s="18" t="str">
        <v>Invest</v>
      </c>
      <c r="CY2176" s="45">
        <v>2172</v>
      </c>
      <c r="CZ2176" s="18">
        <v>27.453092827268478</v>
      </c>
      <c r="DA2176" s="18" t="str">
        <v>Invest</v>
      </c>
    </row>
    <row r="2177" spans="95:105" ht="23.5">
      <c r="CQ2177" s="45">
        <v>2173</v>
      </c>
      <c r="CR2177" s="18">
        <v>0</v>
      </c>
      <c r="CS2177" s="18" t="str">
        <v>Nothing</v>
      </c>
      <c r="CU2177" s="45">
        <v>2173</v>
      </c>
      <c r="CV2177" s="18">
        <v>34.889993061095517</v>
      </c>
      <c r="CW2177" s="18" t="str">
        <v>Invest</v>
      </c>
      <c r="CY2177" s="45">
        <v>2173</v>
      </c>
      <c r="CZ2177" s="18">
        <v>18.249415812437967</v>
      </c>
      <c r="DA2177" s="18" t="str">
        <v>Invest</v>
      </c>
    </row>
    <row r="2178" spans="95:105" ht="23.5">
      <c r="CQ2178" s="45">
        <v>2174</v>
      </c>
      <c r="CR2178" s="18">
        <v>9.0311144022070629</v>
      </c>
      <c r="CS2178" s="18" t="str">
        <v>Invest</v>
      </c>
      <c r="CU2178" s="45">
        <v>2174</v>
      </c>
      <c r="CV2178" s="18">
        <v>0</v>
      </c>
      <c r="CW2178" s="18" t="str">
        <v>Nothing</v>
      </c>
      <c r="CY2178" s="45">
        <v>2174</v>
      </c>
      <c r="CZ2178" s="18">
        <v>4.9983785820036317</v>
      </c>
      <c r="DA2178" s="18" t="str">
        <v>Invest</v>
      </c>
    </row>
    <row r="2179" spans="95:105" ht="23.5">
      <c r="CQ2179" s="45">
        <v>2175</v>
      </c>
      <c r="CR2179" s="18">
        <v>0</v>
      </c>
      <c r="CS2179" s="18" t="str">
        <v>Nothing</v>
      </c>
      <c r="CU2179" s="45">
        <v>2175</v>
      </c>
      <c r="CV2179" s="18">
        <v>21.615526654835222</v>
      </c>
      <c r="CW2179" s="18" t="str">
        <v>Invest</v>
      </c>
      <c r="CY2179" s="45">
        <v>2175</v>
      </c>
      <c r="CZ2179" s="18">
        <v>6.7486518655513503</v>
      </c>
      <c r="DA2179" s="18" t="str">
        <v>Invest</v>
      </c>
    </row>
    <row r="2180" spans="95:105" ht="23.5">
      <c r="CQ2180" s="45">
        <v>2176</v>
      </c>
      <c r="CR2180" s="18">
        <v>1.4929597050851093</v>
      </c>
      <c r="CS2180" s="18" t="str">
        <v>Invest</v>
      </c>
      <c r="CU2180" s="45">
        <v>2176</v>
      </c>
      <c r="CV2180" s="18">
        <v>40.684031658971698</v>
      </c>
      <c r="CW2180" s="18" t="str">
        <v>Invest</v>
      </c>
      <c r="CY2180" s="45">
        <v>2176</v>
      </c>
      <c r="CZ2180" s="18">
        <v>2.2164909668821036</v>
      </c>
      <c r="DA2180" s="18" t="str">
        <v>Invest</v>
      </c>
    </row>
    <row r="2181" spans="95:105" ht="23.5">
      <c r="CQ2181" s="45">
        <v>2177</v>
      </c>
      <c r="CR2181" s="18">
        <v>23.894523470613152</v>
      </c>
      <c r="CS2181" s="18" t="str">
        <v>Invest</v>
      </c>
      <c r="CU2181" s="45">
        <v>2177</v>
      </c>
      <c r="CV2181" s="18">
        <v>14.612774079220841</v>
      </c>
      <c r="CW2181" s="18" t="str">
        <v>Invest</v>
      </c>
      <c r="CY2181" s="45">
        <v>2177</v>
      </c>
      <c r="CZ2181" s="18">
        <v>10.904132604419631</v>
      </c>
      <c r="DA2181" s="18" t="str">
        <v>Invest</v>
      </c>
    </row>
    <row r="2182" spans="95:105" ht="23.5">
      <c r="CQ2182" s="45">
        <v>2178</v>
      </c>
      <c r="CR2182" s="18">
        <v>10.857873170698101</v>
      </c>
      <c r="CS2182" s="18" t="str">
        <v>Invest</v>
      </c>
      <c r="CU2182" s="45">
        <v>2178</v>
      </c>
      <c r="CV2182" s="18">
        <v>28.304123678660879</v>
      </c>
      <c r="CW2182" s="18" t="str">
        <v>Invest</v>
      </c>
      <c r="CY2182" s="45">
        <v>2178</v>
      </c>
      <c r="CZ2182" s="18">
        <v>1.5319818671119148</v>
      </c>
      <c r="DA2182" s="18" t="str">
        <v>Invest</v>
      </c>
    </row>
    <row r="2183" spans="95:105" ht="23.5">
      <c r="CQ2183" s="45">
        <v>2179</v>
      </c>
      <c r="CR2183" s="18">
        <v>0.10279619399693107</v>
      </c>
      <c r="CS2183" s="18" t="str">
        <v>Invest</v>
      </c>
      <c r="CU2183" s="45">
        <v>2179</v>
      </c>
      <c r="CV2183" s="18">
        <v>11.140105702230491</v>
      </c>
      <c r="CW2183" s="18" t="str">
        <v>Invest</v>
      </c>
      <c r="CY2183" s="45">
        <v>2179</v>
      </c>
      <c r="CZ2183" s="18">
        <v>0.53198647856593251</v>
      </c>
      <c r="DA2183" s="18" t="str">
        <v>Invest</v>
      </c>
    </row>
    <row r="2184" spans="95:105" ht="23.5">
      <c r="CQ2184" s="45">
        <v>2180</v>
      </c>
      <c r="CR2184" s="18">
        <v>19.284209481522179</v>
      </c>
      <c r="CS2184" s="18" t="str">
        <v>Invest</v>
      </c>
      <c r="CU2184" s="45">
        <v>2180</v>
      </c>
      <c r="CV2184" s="18">
        <v>24.368494331385278</v>
      </c>
      <c r="CW2184" s="18" t="str">
        <v>Invest</v>
      </c>
      <c r="CY2184" s="45">
        <v>2180</v>
      </c>
      <c r="CZ2184" s="18">
        <v>40.230685470471883</v>
      </c>
      <c r="DA2184" s="18" t="str">
        <v>Invest</v>
      </c>
    </row>
    <row r="2185" spans="95:105" ht="23.5">
      <c r="CQ2185" s="45">
        <v>2181</v>
      </c>
      <c r="CR2185" s="18">
        <v>9.3193711106111063</v>
      </c>
      <c r="CS2185" s="18" t="str">
        <v>Invest</v>
      </c>
      <c r="CU2185" s="45">
        <v>2181</v>
      </c>
      <c r="CV2185" s="18">
        <v>9.6279720563954321</v>
      </c>
      <c r="CW2185" s="18" t="str">
        <v>Invest</v>
      </c>
      <c r="CY2185" s="45">
        <v>2181</v>
      </c>
      <c r="CZ2185" s="18">
        <v>16.222677940184052</v>
      </c>
      <c r="DA2185" s="18" t="str">
        <v>Invest</v>
      </c>
    </row>
    <row r="2186" spans="95:105" ht="23.5">
      <c r="CQ2186" s="45">
        <v>2182</v>
      </c>
      <c r="CR2186" s="18">
        <v>0</v>
      </c>
      <c r="CS2186" s="18" t="str">
        <v>Nothing</v>
      </c>
      <c r="CU2186" s="45">
        <v>2182</v>
      </c>
      <c r="CV2186" s="18">
        <v>0</v>
      </c>
      <c r="CW2186" s="18" t="str">
        <v>Nothing</v>
      </c>
      <c r="CY2186" s="45">
        <v>2182</v>
      </c>
      <c r="CZ2186" s="18">
        <v>19.832187927835058</v>
      </c>
      <c r="DA2186" s="18" t="str">
        <v>Invest</v>
      </c>
    </row>
    <row r="2187" spans="95:105" ht="23.5">
      <c r="CQ2187" s="45">
        <v>2183</v>
      </c>
      <c r="CR2187" s="18">
        <v>3.5956769658243992</v>
      </c>
      <c r="CS2187" s="18" t="str">
        <v>Invest</v>
      </c>
      <c r="CU2187" s="45">
        <v>2183</v>
      </c>
      <c r="CV2187" s="18">
        <v>0</v>
      </c>
      <c r="CW2187" s="18" t="str">
        <v>Nothing</v>
      </c>
      <c r="CY2187" s="45">
        <v>2183</v>
      </c>
      <c r="CZ2187" s="18">
        <v>7.8249084056710432</v>
      </c>
      <c r="DA2187" s="18" t="str">
        <v>Invest</v>
      </c>
    </row>
    <row r="2188" spans="95:105" ht="23.5">
      <c r="CQ2188" s="45">
        <v>2184</v>
      </c>
      <c r="CR2188" s="18">
        <v>0</v>
      </c>
      <c r="CS2188" s="18" t="str">
        <v>Nothing</v>
      </c>
      <c r="CU2188" s="45">
        <v>2184</v>
      </c>
      <c r="CV2188" s="18">
        <v>51.15845359272231</v>
      </c>
      <c r="CW2188" s="18" t="str">
        <v>Invest</v>
      </c>
      <c r="CY2188" s="45">
        <v>2184</v>
      </c>
      <c r="CZ2188" s="18">
        <v>35.160101041161546</v>
      </c>
      <c r="DA2188" s="18" t="str">
        <v>Invest</v>
      </c>
    </row>
    <row r="2189" spans="95:105" ht="23.5">
      <c r="CQ2189" s="45">
        <v>2185</v>
      </c>
      <c r="CR2189" s="18">
        <v>5.864968488172174</v>
      </c>
      <c r="CS2189" s="18" t="str">
        <v>Invest</v>
      </c>
      <c r="CU2189" s="45">
        <v>2185</v>
      </c>
      <c r="CV2189" s="18">
        <v>22.253003770183476</v>
      </c>
      <c r="CW2189" s="18" t="str">
        <v>Invest</v>
      </c>
      <c r="CY2189" s="45">
        <v>2185</v>
      </c>
      <c r="CZ2189" s="18">
        <v>7.4337233895524442</v>
      </c>
      <c r="DA2189" s="18" t="str">
        <v>Invest</v>
      </c>
    </row>
    <row r="2190" spans="95:105" ht="23.5">
      <c r="CQ2190" s="45">
        <v>2186</v>
      </c>
      <c r="CR2190" s="18">
        <v>18.050834660625181</v>
      </c>
      <c r="CS2190" s="18" t="str">
        <v>Invest</v>
      </c>
      <c r="CU2190" s="45">
        <v>2186</v>
      </c>
      <c r="CV2190" s="18">
        <v>0</v>
      </c>
      <c r="CW2190" s="18" t="str">
        <v>Nothing</v>
      </c>
      <c r="CY2190" s="45">
        <v>2186</v>
      </c>
      <c r="CZ2190" s="18">
        <v>29.267730041145168</v>
      </c>
      <c r="DA2190" s="18" t="str">
        <v>Invest</v>
      </c>
    </row>
    <row r="2191" spans="95:105" ht="23.5">
      <c r="CQ2191" s="45">
        <v>2187</v>
      </c>
      <c r="CR2191" s="18">
        <v>8.2322568022565434E-2</v>
      </c>
      <c r="CS2191" s="18" t="str">
        <v>Invest</v>
      </c>
      <c r="CU2191" s="45">
        <v>2187</v>
      </c>
      <c r="CV2191" s="18">
        <v>28.546305970830335</v>
      </c>
      <c r="CW2191" s="18" t="str">
        <v>Invest</v>
      </c>
      <c r="CY2191" s="45">
        <v>2187</v>
      </c>
      <c r="CZ2191" s="18">
        <v>7.350593186058795</v>
      </c>
      <c r="DA2191" s="18" t="str">
        <v>Invest</v>
      </c>
    </row>
    <row r="2192" spans="95:105" ht="23.5">
      <c r="CQ2192" s="45">
        <v>2188</v>
      </c>
      <c r="CR2192" s="18">
        <v>0</v>
      </c>
      <c r="CS2192" s="18" t="str">
        <v>Nothing</v>
      </c>
      <c r="CU2192" s="45">
        <v>2188</v>
      </c>
      <c r="CV2192" s="18">
        <v>0</v>
      </c>
      <c r="CW2192" s="18" t="str">
        <v>Nothing</v>
      </c>
      <c r="CY2192" s="45">
        <v>2188</v>
      </c>
      <c r="CZ2192" s="18">
        <v>0</v>
      </c>
      <c r="DA2192" s="18" t="str">
        <v>Nothing</v>
      </c>
    </row>
    <row r="2193" spans="95:105" ht="23.5">
      <c r="CQ2193" s="45">
        <v>2189</v>
      </c>
      <c r="CR2193" s="18">
        <v>25.777882050223084</v>
      </c>
      <c r="CS2193" s="18" t="str">
        <v>Invest</v>
      </c>
      <c r="CU2193" s="45">
        <v>2189</v>
      </c>
      <c r="CV2193" s="18">
        <v>56.6053765544805</v>
      </c>
      <c r="CW2193" s="18" t="str">
        <v>Invest</v>
      </c>
      <c r="CY2193" s="45">
        <v>2189</v>
      </c>
      <c r="CZ2193" s="18">
        <v>7.9833968464680689</v>
      </c>
      <c r="DA2193" s="18" t="str">
        <v>Invest</v>
      </c>
    </row>
    <row r="2194" spans="95:105" ht="23.5">
      <c r="CQ2194" s="45">
        <v>2190</v>
      </c>
      <c r="CR2194" s="18">
        <v>16.391484228541081</v>
      </c>
      <c r="CS2194" s="18" t="str">
        <v>Invest</v>
      </c>
      <c r="CU2194" s="45">
        <v>2190</v>
      </c>
      <c r="CV2194" s="18">
        <v>45.179875278924357</v>
      </c>
      <c r="CW2194" s="18" t="str">
        <v>Invest</v>
      </c>
      <c r="CY2194" s="45">
        <v>2190</v>
      </c>
      <c r="CZ2194" s="18">
        <v>0</v>
      </c>
      <c r="DA2194" s="18" t="str">
        <v>Nothing</v>
      </c>
    </row>
    <row r="2195" spans="95:105" ht="23.5">
      <c r="CQ2195" s="45">
        <v>2191</v>
      </c>
      <c r="CR2195" s="18">
        <v>17.977400129119179</v>
      </c>
      <c r="CS2195" s="18" t="str">
        <v>Invest</v>
      </c>
      <c r="CU2195" s="45">
        <v>2191</v>
      </c>
      <c r="CV2195" s="18">
        <v>19.278679544594929</v>
      </c>
      <c r="CW2195" s="18" t="str">
        <v>Invest</v>
      </c>
      <c r="CY2195" s="45">
        <v>2191</v>
      </c>
      <c r="CZ2195" s="18">
        <v>23.456652024950714</v>
      </c>
      <c r="DA2195" s="18" t="str">
        <v>Invest</v>
      </c>
    </row>
    <row r="2196" spans="95:105" ht="23.5">
      <c r="CQ2196" s="45">
        <v>2192</v>
      </c>
      <c r="CR2196" s="18">
        <v>21.833445141734053</v>
      </c>
      <c r="CS2196" s="18" t="str">
        <v>Invest</v>
      </c>
      <c r="CU2196" s="45">
        <v>2192</v>
      </c>
      <c r="CV2196" s="18">
        <v>30.213552531662824</v>
      </c>
      <c r="CW2196" s="18" t="str">
        <v>Invest</v>
      </c>
      <c r="CY2196" s="45">
        <v>2192</v>
      </c>
      <c r="CZ2196" s="18">
        <v>29.055476019681606</v>
      </c>
      <c r="DA2196" s="18" t="str">
        <v>Invest</v>
      </c>
    </row>
    <row r="2197" spans="95:105" ht="23.5">
      <c r="CQ2197" s="45">
        <v>2193</v>
      </c>
      <c r="CR2197" s="18">
        <v>32.217649338984955</v>
      </c>
      <c r="CS2197" s="18" t="str">
        <v>Invest</v>
      </c>
      <c r="CU2197" s="45">
        <v>2193</v>
      </c>
      <c r="CV2197" s="18">
        <v>11.641227677242089</v>
      </c>
      <c r="CW2197" s="18" t="str">
        <v>Invest</v>
      </c>
      <c r="CY2197" s="45">
        <v>2193</v>
      </c>
      <c r="CZ2197" s="18">
        <v>33.59535448703123</v>
      </c>
      <c r="DA2197" s="18" t="str">
        <v>Invest</v>
      </c>
    </row>
    <row r="2198" spans="95:105" ht="23.5">
      <c r="CQ2198" s="45">
        <v>2194</v>
      </c>
      <c r="CR2198" s="18">
        <v>11.399676544654788</v>
      </c>
      <c r="CS2198" s="18" t="str">
        <v>Invest</v>
      </c>
      <c r="CU2198" s="45">
        <v>2194</v>
      </c>
      <c r="CV2198" s="18">
        <v>2.9095715586610602</v>
      </c>
      <c r="CW2198" s="18" t="str">
        <v>Invest</v>
      </c>
      <c r="CY2198" s="45">
        <v>2194</v>
      </c>
      <c r="CZ2198" s="18">
        <v>0</v>
      </c>
      <c r="DA2198" s="18" t="str">
        <v>Nothing</v>
      </c>
    </row>
    <row r="2199" spans="95:105" ht="23.5">
      <c r="CQ2199" s="45">
        <v>2195</v>
      </c>
      <c r="CR2199" s="18">
        <v>12.987284171242775</v>
      </c>
      <c r="CS2199" s="18" t="str">
        <v>Invest</v>
      </c>
      <c r="CU2199" s="45">
        <v>2195</v>
      </c>
      <c r="CV2199" s="18">
        <v>24.208891414184567</v>
      </c>
      <c r="CW2199" s="18" t="str">
        <v>Invest</v>
      </c>
      <c r="CY2199" s="45">
        <v>2195</v>
      </c>
      <c r="CZ2199" s="18">
        <v>0</v>
      </c>
      <c r="DA2199" s="18" t="str">
        <v>Nothing</v>
      </c>
    </row>
    <row r="2200" spans="95:105" ht="23.5">
      <c r="CQ2200" s="45">
        <v>2196</v>
      </c>
      <c r="CR2200" s="18">
        <v>26.60120015036086</v>
      </c>
      <c r="CS2200" s="18" t="str">
        <v>Invest</v>
      </c>
      <c r="CU2200" s="45">
        <v>2196</v>
      </c>
      <c r="CV2200" s="18">
        <v>0</v>
      </c>
      <c r="CW2200" s="18" t="str">
        <v>Nothing</v>
      </c>
      <c r="CY2200" s="45">
        <v>2196</v>
      </c>
      <c r="CZ2200" s="18">
        <v>0</v>
      </c>
      <c r="DA2200" s="18" t="str">
        <v>Nothing</v>
      </c>
    </row>
    <row r="2201" spans="95:105" ht="23.5">
      <c r="CQ2201" s="45">
        <v>2197</v>
      </c>
      <c r="CR2201" s="18">
        <v>14.688243795984686</v>
      </c>
      <c r="CS2201" s="18" t="str">
        <v>Invest</v>
      </c>
      <c r="CU2201" s="45">
        <v>2197</v>
      </c>
      <c r="CV2201" s="18">
        <v>29.631019965777771</v>
      </c>
      <c r="CW2201" s="18" t="str">
        <v>Invest</v>
      </c>
      <c r="CY2201" s="45">
        <v>2197</v>
      </c>
      <c r="CZ2201" s="18">
        <v>14.867054625230992</v>
      </c>
      <c r="DA2201" s="18" t="str">
        <v>Invest</v>
      </c>
    </row>
    <row r="2202" spans="95:105" ht="23.5">
      <c r="CQ2202" s="45">
        <v>2198</v>
      </c>
      <c r="CR2202" s="18">
        <v>42.351421683065425</v>
      </c>
      <c r="CS2202" s="18" t="str">
        <v>Invest</v>
      </c>
      <c r="CU2202" s="45">
        <v>2198</v>
      </c>
      <c r="CV2202" s="18">
        <v>28.15928747601895</v>
      </c>
      <c r="CW2202" s="18" t="str">
        <v>Invest</v>
      </c>
      <c r="CY2202" s="45">
        <v>2198</v>
      </c>
      <c r="CZ2202" s="18">
        <v>37.487831508333556</v>
      </c>
      <c r="DA2202" s="18" t="str">
        <v>Invest</v>
      </c>
    </row>
    <row r="2203" spans="95:105" ht="23.5">
      <c r="CQ2203" s="45">
        <v>2199</v>
      </c>
      <c r="CR2203" s="18">
        <v>0</v>
      </c>
      <c r="CS2203" s="18" t="str">
        <v>Nothing</v>
      </c>
      <c r="CU2203" s="45">
        <v>2199</v>
      </c>
      <c r="CV2203" s="18">
        <v>13.826543194194453</v>
      </c>
      <c r="CW2203" s="18" t="str">
        <v>Invest</v>
      </c>
      <c r="CY2203" s="45">
        <v>2199</v>
      </c>
      <c r="CZ2203" s="18">
        <v>35.102365230489283</v>
      </c>
      <c r="DA2203" s="18" t="str">
        <v>Invest</v>
      </c>
    </row>
    <row r="2204" spans="95:105" ht="23.5">
      <c r="CQ2204" s="45">
        <v>2200</v>
      </c>
      <c r="CR2204" s="18">
        <v>12.782195028034689</v>
      </c>
      <c r="CS2204" s="18" t="str">
        <v>Invest</v>
      </c>
      <c r="CU2204" s="45">
        <v>2200</v>
      </c>
      <c r="CV2204" s="18">
        <v>40.875986562975697</v>
      </c>
      <c r="CW2204" s="18" t="str">
        <v>Invest</v>
      </c>
      <c r="CY2204" s="45">
        <v>2200</v>
      </c>
      <c r="CZ2204" s="18">
        <v>42.066748139629034</v>
      </c>
      <c r="DA2204" s="18" t="str">
        <v>Invest</v>
      </c>
    </row>
    <row r="2205" spans="95:105" ht="23.5">
      <c r="CQ2205" s="45">
        <v>2201</v>
      </c>
      <c r="CR2205" s="18">
        <v>0</v>
      </c>
      <c r="CS2205" s="18" t="str">
        <v>Nothing</v>
      </c>
      <c r="CU2205" s="45">
        <v>2201</v>
      </c>
      <c r="CV2205" s="18">
        <v>19.708681861774494</v>
      </c>
      <c r="CW2205" s="18" t="str">
        <v>Invest</v>
      </c>
      <c r="CY2205" s="45">
        <v>2201</v>
      </c>
      <c r="CZ2205" s="18">
        <v>42.718584137517432</v>
      </c>
      <c r="DA2205" s="18" t="str">
        <v>Invest</v>
      </c>
    </row>
    <row r="2206" spans="95:105" ht="23.5">
      <c r="CQ2206" s="45">
        <v>2202</v>
      </c>
      <c r="CR2206" s="18">
        <v>43.894189674614672</v>
      </c>
      <c r="CS2206" s="18" t="str">
        <v>Invest</v>
      </c>
      <c r="CU2206" s="45">
        <v>2202</v>
      </c>
      <c r="CV2206" s="18">
        <v>0.20310094376647037</v>
      </c>
      <c r="CW2206" s="18" t="str">
        <v>Invest</v>
      </c>
      <c r="CY2206" s="45">
        <v>2202</v>
      </c>
      <c r="CZ2206" s="18">
        <v>33.943037977540961</v>
      </c>
      <c r="DA2206" s="18" t="str">
        <v>Invest</v>
      </c>
    </row>
    <row r="2207" spans="95:105" ht="23.5">
      <c r="CQ2207" s="45">
        <v>2203</v>
      </c>
      <c r="CR2207" s="18">
        <v>1.4221011527240144</v>
      </c>
      <c r="CS2207" s="18" t="str">
        <v>Invest</v>
      </c>
      <c r="CU2207" s="45">
        <v>2203</v>
      </c>
      <c r="CV2207" s="18">
        <v>13.6032767429193</v>
      </c>
      <c r="CW2207" s="18" t="str">
        <v>Invest</v>
      </c>
      <c r="CY2207" s="45">
        <v>2203</v>
      </c>
      <c r="CZ2207" s="18">
        <v>26.440515131878712</v>
      </c>
      <c r="DA2207" s="18" t="str">
        <v>Invest</v>
      </c>
    </row>
    <row r="2208" spans="95:105" ht="23.5">
      <c r="CQ2208" s="45">
        <v>2204</v>
      </c>
      <c r="CR2208" s="18">
        <v>0</v>
      </c>
      <c r="CS2208" s="18" t="str">
        <v>Nothing</v>
      </c>
      <c r="CU2208" s="45">
        <v>2204</v>
      </c>
      <c r="CV2208" s="18">
        <v>52.694173620080043</v>
      </c>
      <c r="CW2208" s="18" t="str">
        <v>Invest</v>
      </c>
      <c r="CY2208" s="45">
        <v>2204</v>
      </c>
      <c r="CZ2208" s="18">
        <v>20.04029288154949</v>
      </c>
      <c r="DA2208" s="18" t="str">
        <v>Invest</v>
      </c>
    </row>
    <row r="2209" spans="95:105" ht="23.5">
      <c r="CQ2209" s="45">
        <v>2205</v>
      </c>
      <c r="CR2209" s="18">
        <v>23.389280292902409</v>
      </c>
      <c r="CS2209" s="18" t="str">
        <v>Invest</v>
      </c>
      <c r="CU2209" s="45">
        <v>2205</v>
      </c>
      <c r="CV2209" s="18">
        <v>32.832406572916881</v>
      </c>
      <c r="CW2209" s="18" t="str">
        <v>Invest</v>
      </c>
      <c r="CY2209" s="45">
        <v>2205</v>
      </c>
      <c r="CZ2209" s="18">
        <v>29.09429604917522</v>
      </c>
      <c r="DA2209" s="18" t="str">
        <v>Invest</v>
      </c>
    </row>
    <row r="2210" spans="95:105" ht="23.5">
      <c r="CQ2210" s="45">
        <v>2206</v>
      </c>
      <c r="CR2210" s="18">
        <v>39.677886263501712</v>
      </c>
      <c r="CS2210" s="18" t="str">
        <v>Invest</v>
      </c>
      <c r="CU2210" s="45">
        <v>2206</v>
      </c>
      <c r="CV2210" s="18">
        <v>0</v>
      </c>
      <c r="CW2210" s="18" t="str">
        <v>Nothing</v>
      </c>
      <c r="CY2210" s="45">
        <v>2206</v>
      </c>
      <c r="CZ2210" s="18">
        <v>0</v>
      </c>
      <c r="DA2210" s="18" t="str">
        <v>Nothing</v>
      </c>
    </row>
    <row r="2211" spans="95:105" ht="23.5">
      <c r="CQ2211" s="45">
        <v>2207</v>
      </c>
      <c r="CR2211" s="18">
        <v>24.862880909832569</v>
      </c>
      <c r="CS2211" s="18" t="str">
        <v>Invest</v>
      </c>
      <c r="CU2211" s="45">
        <v>2207</v>
      </c>
      <c r="CV2211" s="18">
        <v>0</v>
      </c>
      <c r="CW2211" s="18" t="str">
        <v>Nothing</v>
      </c>
      <c r="CY2211" s="45">
        <v>2207</v>
      </c>
      <c r="CZ2211" s="18">
        <v>6.4437315768442431</v>
      </c>
      <c r="DA2211" s="18" t="str">
        <v>Invest</v>
      </c>
    </row>
    <row r="2212" spans="95:105" ht="23.5">
      <c r="CQ2212" s="45">
        <v>2208</v>
      </c>
      <c r="CR2212" s="18">
        <v>0.27713992886352212</v>
      </c>
      <c r="CS2212" s="18" t="str">
        <v>Invest</v>
      </c>
      <c r="CU2212" s="45">
        <v>2208</v>
      </c>
      <c r="CV2212" s="18">
        <v>1.837200707155116</v>
      </c>
      <c r="CW2212" s="18" t="str">
        <v>Invest</v>
      </c>
      <c r="CY2212" s="45">
        <v>2208</v>
      </c>
      <c r="CZ2212" s="18">
        <v>2.5724617778937784</v>
      </c>
      <c r="DA2212" s="18" t="str">
        <v>Invest</v>
      </c>
    </row>
    <row r="2213" spans="95:105" ht="23.5">
      <c r="CQ2213" s="45">
        <v>2209</v>
      </c>
      <c r="CR2213" s="18">
        <v>8.7609667043655719</v>
      </c>
      <c r="CS2213" s="18" t="str">
        <v>Invest</v>
      </c>
      <c r="CU2213" s="45">
        <v>2209</v>
      </c>
      <c r="CV2213" s="18">
        <v>0</v>
      </c>
      <c r="CW2213" s="18" t="str">
        <v>Nothing</v>
      </c>
      <c r="CY2213" s="45">
        <v>2209</v>
      </c>
      <c r="CZ2213" s="18">
        <v>45.877792317612133</v>
      </c>
      <c r="DA2213" s="18" t="str">
        <v>Invest</v>
      </c>
    </row>
    <row r="2214" spans="95:105" ht="23.5">
      <c r="CQ2214" s="45">
        <v>2210</v>
      </c>
      <c r="CR2214" s="18">
        <v>2.9139297832767497</v>
      </c>
      <c r="CS2214" s="18" t="str">
        <v>Invest</v>
      </c>
      <c r="CU2214" s="45">
        <v>2210</v>
      </c>
      <c r="CV2214" s="18">
        <v>55.317256401409786</v>
      </c>
      <c r="CW2214" s="18" t="str">
        <v>Invest</v>
      </c>
      <c r="CY2214" s="45">
        <v>2210</v>
      </c>
      <c r="CZ2214" s="18">
        <v>11.79291427838487</v>
      </c>
      <c r="DA2214" s="18" t="str">
        <v>Invest</v>
      </c>
    </row>
    <row r="2215" spans="95:105" ht="23.5">
      <c r="CQ2215" s="45">
        <v>2211</v>
      </c>
      <c r="CR2215" s="18">
        <v>17.169005037843007</v>
      </c>
      <c r="CS2215" s="18" t="str">
        <v>Invest</v>
      </c>
      <c r="CU2215" s="45">
        <v>2211</v>
      </c>
      <c r="CV2215" s="18">
        <v>55.508218747512757</v>
      </c>
      <c r="CW2215" s="18" t="str">
        <v>Invest</v>
      </c>
      <c r="CY2215" s="45">
        <v>2211</v>
      </c>
      <c r="CZ2215" s="18">
        <v>2.3430347199641517</v>
      </c>
      <c r="DA2215" s="18" t="str">
        <v>Invest</v>
      </c>
    </row>
    <row r="2216" spans="95:105" ht="23.5">
      <c r="CQ2216" s="45">
        <v>2212</v>
      </c>
      <c r="CR2216" s="18">
        <v>0</v>
      </c>
      <c r="CS2216" s="18" t="str">
        <v>Nothing</v>
      </c>
      <c r="CU2216" s="45">
        <v>2212</v>
      </c>
      <c r="CV2216" s="18">
        <v>45.92165967075541</v>
      </c>
      <c r="CW2216" s="18" t="str">
        <v>Invest</v>
      </c>
      <c r="CY2216" s="45">
        <v>2212</v>
      </c>
      <c r="CZ2216" s="18">
        <v>0</v>
      </c>
      <c r="DA2216" s="18" t="str">
        <v>Nothing</v>
      </c>
    </row>
    <row r="2217" spans="95:105" ht="23.5">
      <c r="CQ2217" s="45">
        <v>2213</v>
      </c>
      <c r="CR2217" s="18">
        <v>51.388845125991772</v>
      </c>
      <c r="CS2217" s="18" t="str">
        <v>Invest</v>
      </c>
      <c r="CU2217" s="45">
        <v>2213</v>
      </c>
      <c r="CV2217" s="18">
        <v>5.5770211270607364</v>
      </c>
      <c r="CW2217" s="18" t="str">
        <v>Invest</v>
      </c>
      <c r="CY2217" s="45">
        <v>2213</v>
      </c>
      <c r="CZ2217" s="18">
        <v>6.7876215860421887</v>
      </c>
      <c r="DA2217" s="18" t="str">
        <v>Invest</v>
      </c>
    </row>
    <row r="2218" spans="95:105" ht="23.5">
      <c r="CQ2218" s="45">
        <v>2214</v>
      </c>
      <c r="CR2218" s="18">
        <v>15.749017294763203</v>
      </c>
      <c r="CS2218" s="18" t="str">
        <v>Invest</v>
      </c>
      <c r="CU2218" s="45">
        <v>2214</v>
      </c>
      <c r="CV2218" s="18">
        <v>1.3594812673490413</v>
      </c>
      <c r="CW2218" s="18" t="str">
        <v>Invest</v>
      </c>
      <c r="CY2218" s="45">
        <v>2214</v>
      </c>
      <c r="CZ2218" s="18">
        <v>35.576705700229851</v>
      </c>
      <c r="DA2218" s="18" t="str">
        <v>Invest</v>
      </c>
    </row>
    <row r="2219" spans="95:105" ht="23.5">
      <c r="CQ2219" s="45">
        <v>2215</v>
      </c>
      <c r="CR2219" s="18">
        <v>24.422560941252783</v>
      </c>
      <c r="CS2219" s="18" t="str">
        <v>Invest</v>
      </c>
      <c r="CU2219" s="45">
        <v>2215</v>
      </c>
      <c r="CV2219" s="18">
        <v>0</v>
      </c>
      <c r="CW2219" s="18" t="str">
        <v>Nothing</v>
      </c>
      <c r="CY2219" s="45">
        <v>2215</v>
      </c>
      <c r="CZ2219" s="18">
        <v>24.669884346123546</v>
      </c>
      <c r="DA2219" s="18" t="str">
        <v>Invest</v>
      </c>
    </row>
    <row r="2220" spans="95:105" ht="23.5">
      <c r="CQ2220" s="45">
        <v>2216</v>
      </c>
      <c r="CR2220" s="18">
        <v>17.969575507637558</v>
      </c>
      <c r="CS2220" s="18" t="str">
        <v>Invest</v>
      </c>
      <c r="CU2220" s="45">
        <v>2216</v>
      </c>
      <c r="CV2220" s="18">
        <v>4.1814804791297551</v>
      </c>
      <c r="CW2220" s="18" t="str">
        <v>Invest</v>
      </c>
      <c r="CY2220" s="45">
        <v>2216</v>
      </c>
      <c r="CZ2220" s="18">
        <v>1.6540751351794052</v>
      </c>
      <c r="DA2220" s="18" t="str">
        <v>Invest</v>
      </c>
    </row>
    <row r="2221" spans="95:105" ht="23.5">
      <c r="CQ2221" s="45">
        <v>2217</v>
      </c>
      <c r="CR2221" s="18">
        <v>0</v>
      </c>
      <c r="CS2221" s="18" t="str">
        <v>Nothing</v>
      </c>
      <c r="CU2221" s="45">
        <v>2217</v>
      </c>
      <c r="CV2221" s="18">
        <v>0</v>
      </c>
      <c r="CW2221" s="18" t="str">
        <v>Nothing</v>
      </c>
      <c r="CY2221" s="45">
        <v>2217</v>
      </c>
      <c r="CZ2221" s="18">
        <v>40.65641577153319</v>
      </c>
      <c r="DA2221" s="18" t="str">
        <v>Invest</v>
      </c>
    </row>
    <row r="2222" spans="95:105" ht="23.5">
      <c r="CQ2222" s="45">
        <v>2218</v>
      </c>
      <c r="CR2222" s="18">
        <v>0</v>
      </c>
      <c r="CS2222" s="18" t="str">
        <v>Nothing</v>
      </c>
      <c r="CU2222" s="45">
        <v>2218</v>
      </c>
      <c r="CV2222" s="18">
        <v>23.780903181841971</v>
      </c>
      <c r="CW2222" s="18" t="str">
        <v>Invest</v>
      </c>
      <c r="CY2222" s="45">
        <v>2218</v>
      </c>
      <c r="CZ2222" s="18">
        <v>35.797211818269375</v>
      </c>
      <c r="DA2222" s="18" t="str">
        <v>Invest</v>
      </c>
    </row>
    <row r="2223" spans="95:105" ht="23.5">
      <c r="CQ2223" s="45">
        <v>2219</v>
      </c>
      <c r="CR2223" s="18">
        <v>22.470993828598587</v>
      </c>
      <c r="CS2223" s="18" t="str">
        <v>Invest</v>
      </c>
      <c r="CU2223" s="45">
        <v>2219</v>
      </c>
      <c r="CV2223" s="18">
        <v>0.56761743548887367</v>
      </c>
      <c r="CW2223" s="18" t="str">
        <v>Invest</v>
      </c>
      <c r="CY2223" s="45">
        <v>2219</v>
      </c>
      <c r="CZ2223" s="18">
        <v>0</v>
      </c>
      <c r="DA2223" s="18" t="str">
        <v>Nothing</v>
      </c>
    </row>
    <row r="2224" spans="95:105" ht="23.5">
      <c r="CQ2224" s="45">
        <v>2220</v>
      </c>
      <c r="CR2224" s="18">
        <v>0.83975549489155021</v>
      </c>
      <c r="CS2224" s="18" t="str">
        <v>Invest</v>
      </c>
      <c r="CU2224" s="45">
        <v>2220</v>
      </c>
      <c r="CV2224" s="18">
        <v>19.842734077166543</v>
      </c>
      <c r="CW2224" s="18" t="str">
        <v>Invest</v>
      </c>
      <c r="CY2224" s="45">
        <v>2220</v>
      </c>
      <c r="CZ2224" s="18">
        <v>6.429952494423917</v>
      </c>
      <c r="DA2224" s="18" t="str">
        <v>Invest</v>
      </c>
    </row>
    <row r="2225" spans="95:105" ht="23.5">
      <c r="CQ2225" s="45">
        <v>2221</v>
      </c>
      <c r="CR2225" s="18">
        <v>40.063074509701813</v>
      </c>
      <c r="CS2225" s="18" t="str">
        <v>Invest</v>
      </c>
      <c r="CU2225" s="45">
        <v>2221</v>
      </c>
      <c r="CV2225" s="18">
        <v>34.017353334630471</v>
      </c>
      <c r="CW2225" s="18" t="str">
        <v>Invest</v>
      </c>
      <c r="CY2225" s="45">
        <v>2221</v>
      </c>
      <c r="CZ2225" s="18">
        <v>0</v>
      </c>
      <c r="DA2225" s="18" t="str">
        <v>Nothing</v>
      </c>
    </row>
    <row r="2226" spans="95:105" ht="23.5">
      <c r="CQ2226" s="45">
        <v>2222</v>
      </c>
      <c r="CR2226" s="18">
        <v>19.363556870045585</v>
      </c>
      <c r="CS2226" s="18" t="str">
        <v>Invest</v>
      </c>
      <c r="CU2226" s="45">
        <v>2222</v>
      </c>
      <c r="CV2226" s="18">
        <v>45.029132432474043</v>
      </c>
      <c r="CW2226" s="18" t="str">
        <v>Invest</v>
      </c>
      <c r="CY2226" s="45">
        <v>2222</v>
      </c>
      <c r="CZ2226" s="18">
        <v>0</v>
      </c>
      <c r="DA2226" s="18" t="str">
        <v>Nothing</v>
      </c>
    </row>
    <row r="2227" spans="95:105" ht="23.5">
      <c r="CQ2227" s="45">
        <v>2223</v>
      </c>
      <c r="CR2227" s="18">
        <v>2.9120810948262168</v>
      </c>
      <c r="CS2227" s="18" t="str">
        <v>Invest</v>
      </c>
      <c r="CU2227" s="45">
        <v>2223</v>
      </c>
      <c r="CV2227" s="18">
        <v>54.594119014291209</v>
      </c>
      <c r="CW2227" s="18" t="str">
        <v>Invest</v>
      </c>
      <c r="CY2227" s="45">
        <v>2223</v>
      </c>
      <c r="CZ2227" s="18">
        <v>20.96171393024002</v>
      </c>
      <c r="DA2227" s="18" t="str">
        <v>Invest</v>
      </c>
    </row>
    <row r="2228" spans="95:105" ht="23.5">
      <c r="CQ2228" s="45">
        <v>2224</v>
      </c>
      <c r="CR2228" s="18">
        <v>2.2278599703684527</v>
      </c>
      <c r="CS2228" s="18" t="str">
        <v>Invest</v>
      </c>
      <c r="CU2228" s="45">
        <v>2224</v>
      </c>
      <c r="CV2228" s="18">
        <v>19.91718334120953</v>
      </c>
      <c r="CW2228" s="18" t="str">
        <v>Invest</v>
      </c>
      <c r="CY2228" s="45">
        <v>2224</v>
      </c>
      <c r="CZ2228" s="18">
        <v>0</v>
      </c>
      <c r="DA2228" s="18" t="str">
        <v>Nothing</v>
      </c>
    </row>
    <row r="2229" spans="95:105" ht="23.5">
      <c r="CQ2229" s="45">
        <v>2225</v>
      </c>
      <c r="CR2229" s="18">
        <v>39.603106996479589</v>
      </c>
      <c r="CS2229" s="18" t="str">
        <v>Invest</v>
      </c>
      <c r="CU2229" s="45">
        <v>2225</v>
      </c>
      <c r="CV2229" s="18">
        <v>17.55288128617833</v>
      </c>
      <c r="CW2229" s="18" t="str">
        <v>Invest</v>
      </c>
      <c r="CY2229" s="45">
        <v>2225</v>
      </c>
      <c r="CZ2229" s="18">
        <v>20.81503544721928</v>
      </c>
      <c r="DA2229" s="18" t="str">
        <v>Invest</v>
      </c>
    </row>
    <row r="2230" spans="95:105" ht="23.5">
      <c r="CQ2230" s="45">
        <v>2226</v>
      </c>
      <c r="CR2230" s="18">
        <v>0</v>
      </c>
      <c r="CS2230" s="18" t="str">
        <v>Nothing</v>
      </c>
      <c r="CU2230" s="45">
        <v>2226</v>
      </c>
      <c r="CV2230" s="18">
        <v>0</v>
      </c>
      <c r="CW2230" s="18" t="str">
        <v>Nothing</v>
      </c>
      <c r="CY2230" s="45">
        <v>2226</v>
      </c>
      <c r="CZ2230" s="18">
        <v>16.382609207536678</v>
      </c>
      <c r="DA2230" s="18" t="str">
        <v>Invest</v>
      </c>
    </row>
    <row r="2231" spans="95:105" ht="23.5">
      <c r="CQ2231" s="45">
        <v>2227</v>
      </c>
      <c r="CR2231" s="18">
        <v>17.409429155209882</v>
      </c>
      <c r="CS2231" s="18" t="str">
        <v>Invest</v>
      </c>
      <c r="CU2231" s="45">
        <v>2227</v>
      </c>
      <c r="CV2231" s="18">
        <v>8.353092883816144</v>
      </c>
      <c r="CW2231" s="18" t="str">
        <v>Invest</v>
      </c>
      <c r="CY2231" s="45">
        <v>2227</v>
      </c>
      <c r="CZ2231" s="18">
        <v>17.411122199224074</v>
      </c>
      <c r="DA2231" s="18" t="str">
        <v>Invest</v>
      </c>
    </row>
    <row r="2232" spans="95:105" ht="23.5">
      <c r="CQ2232" s="45">
        <v>2228</v>
      </c>
      <c r="CR2232" s="18">
        <v>0</v>
      </c>
      <c r="CS2232" s="18" t="str">
        <v>Nothing</v>
      </c>
      <c r="CU2232" s="45">
        <v>2228</v>
      </c>
      <c r="CV2232" s="18">
        <v>0</v>
      </c>
      <c r="CW2232" s="18" t="str">
        <v>Nothing</v>
      </c>
      <c r="CY2232" s="45">
        <v>2228</v>
      </c>
      <c r="CZ2232" s="18">
        <v>28.996703436323322</v>
      </c>
      <c r="DA2232" s="18" t="str">
        <v>Invest</v>
      </c>
    </row>
    <row r="2233" spans="95:105" ht="23.5">
      <c r="CQ2233" s="45">
        <v>2229</v>
      </c>
      <c r="CR2233" s="18">
        <v>0</v>
      </c>
      <c r="CS2233" s="18" t="str">
        <v>Nothing</v>
      </c>
      <c r="CU2233" s="45">
        <v>2229</v>
      </c>
      <c r="CV2233" s="18">
        <v>0</v>
      </c>
      <c r="CW2233" s="18" t="str">
        <v>Nothing</v>
      </c>
      <c r="CY2233" s="45">
        <v>2229</v>
      </c>
      <c r="CZ2233" s="18">
        <v>12.527075427188834</v>
      </c>
      <c r="DA2233" s="18" t="str">
        <v>Invest</v>
      </c>
    </row>
    <row r="2234" spans="95:105" ht="23.5">
      <c r="CQ2234" s="45">
        <v>2230</v>
      </c>
      <c r="CR2234" s="18">
        <v>0</v>
      </c>
      <c r="CS2234" s="18" t="str">
        <v>Nothing</v>
      </c>
      <c r="CU2234" s="45">
        <v>2230</v>
      </c>
      <c r="CV2234" s="18">
        <v>10.959395430224069</v>
      </c>
      <c r="CW2234" s="18" t="str">
        <v>Invest</v>
      </c>
      <c r="CY2234" s="45">
        <v>2230</v>
      </c>
      <c r="CZ2234" s="18">
        <v>48.041350208557233</v>
      </c>
      <c r="DA2234" s="18" t="str">
        <v>Invest</v>
      </c>
    </row>
    <row r="2235" spans="95:105" ht="23.5">
      <c r="CQ2235" s="45">
        <v>2231</v>
      </c>
      <c r="CR2235" s="18">
        <v>0</v>
      </c>
      <c r="CS2235" s="18" t="str">
        <v>Nothing</v>
      </c>
      <c r="CU2235" s="45">
        <v>2231</v>
      </c>
      <c r="CV2235" s="18">
        <v>7.7695070738545233</v>
      </c>
      <c r="CW2235" s="18" t="str">
        <v>Invest</v>
      </c>
      <c r="CY2235" s="45">
        <v>2231</v>
      </c>
      <c r="CZ2235" s="18">
        <v>17.470687683318346</v>
      </c>
      <c r="DA2235" s="18" t="str">
        <v>Invest</v>
      </c>
    </row>
    <row r="2236" spans="95:105" ht="23.5">
      <c r="CQ2236" s="45">
        <v>2232</v>
      </c>
      <c r="CR2236" s="18">
        <v>14.318572980283241</v>
      </c>
      <c r="CS2236" s="18" t="str">
        <v>Invest</v>
      </c>
      <c r="CU2236" s="45">
        <v>2232</v>
      </c>
      <c r="CV2236" s="18">
        <v>0</v>
      </c>
      <c r="CW2236" s="18" t="str">
        <v>Nothing</v>
      </c>
      <c r="CY2236" s="45">
        <v>2232</v>
      </c>
      <c r="CZ2236" s="18">
        <v>17.775577503444175</v>
      </c>
      <c r="DA2236" s="18" t="str">
        <v>Invest</v>
      </c>
    </row>
    <row r="2237" spans="95:105" ht="23.5">
      <c r="CQ2237" s="45">
        <v>2233</v>
      </c>
      <c r="CR2237" s="18">
        <v>39.750468393028392</v>
      </c>
      <c r="CS2237" s="18" t="str">
        <v>Invest</v>
      </c>
      <c r="CU2237" s="45">
        <v>2233</v>
      </c>
      <c r="CV2237" s="18">
        <v>0</v>
      </c>
      <c r="CW2237" s="18" t="str">
        <v>Nothing</v>
      </c>
      <c r="CY2237" s="45">
        <v>2233</v>
      </c>
      <c r="CZ2237" s="18">
        <v>32.787390686875369</v>
      </c>
      <c r="DA2237" s="18" t="str">
        <v>Invest</v>
      </c>
    </row>
    <row r="2238" spans="95:105" ht="23.5">
      <c r="CQ2238" s="45">
        <v>2234</v>
      </c>
      <c r="CR2238" s="18">
        <v>11.436960329766455</v>
      </c>
      <c r="CS2238" s="18" t="str">
        <v>Invest</v>
      </c>
      <c r="CU2238" s="45">
        <v>2234</v>
      </c>
      <c r="CV2238" s="18">
        <v>0</v>
      </c>
      <c r="CW2238" s="18" t="str">
        <v>Nothing</v>
      </c>
      <c r="CY2238" s="45">
        <v>2234</v>
      </c>
      <c r="CZ2238" s="18">
        <v>0</v>
      </c>
      <c r="DA2238" s="18" t="str">
        <v>Nothing</v>
      </c>
    </row>
    <row r="2239" spans="95:105" ht="23.5">
      <c r="CQ2239" s="45">
        <v>2235</v>
      </c>
      <c r="CR2239" s="18">
        <v>49.409783387511524</v>
      </c>
      <c r="CS2239" s="18" t="str">
        <v>Invest</v>
      </c>
      <c r="CU2239" s="45">
        <v>2235</v>
      </c>
      <c r="CV2239" s="18">
        <v>55.039674334382454</v>
      </c>
      <c r="CW2239" s="18" t="str">
        <v>Invest</v>
      </c>
      <c r="CY2239" s="45">
        <v>2235</v>
      </c>
      <c r="CZ2239" s="18">
        <v>0</v>
      </c>
      <c r="DA2239" s="18" t="str">
        <v>Nothing</v>
      </c>
    </row>
    <row r="2240" spans="95:105" ht="23.5">
      <c r="CQ2240" s="45">
        <v>2236</v>
      </c>
      <c r="CR2240" s="18">
        <v>0</v>
      </c>
      <c r="CS2240" s="18" t="str">
        <v>Nothing</v>
      </c>
      <c r="CU2240" s="45">
        <v>2236</v>
      </c>
      <c r="CV2240" s="18">
        <v>58.961100078222898</v>
      </c>
      <c r="CW2240" s="18" t="str">
        <v>Invest</v>
      </c>
      <c r="CY2240" s="45">
        <v>2236</v>
      </c>
      <c r="CZ2240" s="18">
        <v>6.9028519705274842</v>
      </c>
      <c r="DA2240" s="18" t="str">
        <v>Invest</v>
      </c>
    </row>
    <row r="2241" spans="95:105" ht="23.5">
      <c r="CQ2241" s="45">
        <v>2237</v>
      </c>
      <c r="CR2241" s="18">
        <v>51.317598909405604</v>
      </c>
      <c r="CS2241" s="18" t="str">
        <v>Invest</v>
      </c>
      <c r="CU2241" s="45">
        <v>2237</v>
      </c>
      <c r="CV2241" s="18">
        <v>4.4439347187424225</v>
      </c>
      <c r="CW2241" s="18" t="str">
        <v>Invest</v>
      </c>
      <c r="CY2241" s="45">
        <v>2237</v>
      </c>
      <c r="CZ2241" s="18">
        <v>42.609354374949646</v>
      </c>
      <c r="DA2241" s="18" t="str">
        <v>Invest</v>
      </c>
    </row>
    <row r="2242" spans="95:105" ht="23.5">
      <c r="CQ2242" s="45">
        <v>2238</v>
      </c>
      <c r="CR2242" s="18">
        <v>0</v>
      </c>
      <c r="CS2242" s="18" t="str">
        <v>Nothing</v>
      </c>
      <c r="CU2242" s="45">
        <v>2238</v>
      </c>
      <c r="CV2242" s="18">
        <v>44.792672190606766</v>
      </c>
      <c r="CW2242" s="18" t="str">
        <v>Invest</v>
      </c>
      <c r="CY2242" s="45">
        <v>2238</v>
      </c>
      <c r="CZ2242" s="18">
        <v>3.7839041115373178</v>
      </c>
      <c r="DA2242" s="18" t="str">
        <v>Invest</v>
      </c>
    </row>
    <row r="2243" spans="95:105" ht="23.5">
      <c r="CQ2243" s="45">
        <v>2239</v>
      </c>
      <c r="CR2243" s="18">
        <v>0</v>
      </c>
      <c r="CS2243" s="18" t="str">
        <v>Nothing</v>
      </c>
      <c r="CU2243" s="45">
        <v>2239</v>
      </c>
      <c r="CV2243" s="18">
        <v>34.593743951547054</v>
      </c>
      <c r="CW2243" s="18" t="str">
        <v>Invest</v>
      </c>
      <c r="CY2243" s="45">
        <v>2239</v>
      </c>
      <c r="CZ2243" s="18">
        <v>50.884336527643754</v>
      </c>
      <c r="DA2243" s="18" t="str">
        <v>Invest</v>
      </c>
    </row>
    <row r="2244" spans="95:105" ht="23.5">
      <c r="CQ2244" s="45">
        <v>2240</v>
      </c>
      <c r="CR2244" s="18">
        <v>26.320632015546778</v>
      </c>
      <c r="CS2244" s="18" t="str">
        <v>Invest</v>
      </c>
      <c r="CU2244" s="45">
        <v>2240</v>
      </c>
      <c r="CV2244" s="18">
        <v>36.23930718427561</v>
      </c>
      <c r="CW2244" s="18" t="str">
        <v>Invest</v>
      </c>
      <c r="CY2244" s="45">
        <v>2240</v>
      </c>
      <c r="CZ2244" s="18">
        <v>6.2428234435022603</v>
      </c>
      <c r="DA2244" s="18" t="str">
        <v>Invest</v>
      </c>
    </row>
    <row r="2245" spans="95:105" ht="23.5">
      <c r="CQ2245" s="45">
        <v>2241</v>
      </c>
      <c r="CR2245" s="18">
        <v>13.571700540027962</v>
      </c>
      <c r="CS2245" s="18" t="str">
        <v>Invest</v>
      </c>
      <c r="CU2245" s="45">
        <v>2241</v>
      </c>
      <c r="CV2245" s="18">
        <v>0</v>
      </c>
      <c r="CW2245" s="18" t="str">
        <v>Nothing</v>
      </c>
      <c r="CY2245" s="45">
        <v>2241</v>
      </c>
      <c r="CZ2245" s="18">
        <v>2.853721732782045</v>
      </c>
      <c r="DA2245" s="18" t="str">
        <v>Invest</v>
      </c>
    </row>
    <row r="2246" spans="95:105" ht="23.5">
      <c r="CQ2246" s="45">
        <v>2242</v>
      </c>
      <c r="CR2246" s="18">
        <v>30.729602203484657</v>
      </c>
      <c r="CS2246" s="18" t="str">
        <v>Invest</v>
      </c>
      <c r="CU2246" s="45">
        <v>2242</v>
      </c>
      <c r="CV2246" s="18">
        <v>0.57741755779527715</v>
      </c>
      <c r="CW2246" s="18" t="str">
        <v>Invest</v>
      </c>
      <c r="CY2246" s="45">
        <v>2242</v>
      </c>
      <c r="CZ2246" s="18">
        <v>17.574576014364176</v>
      </c>
      <c r="DA2246" s="18" t="str">
        <v>Invest</v>
      </c>
    </row>
    <row r="2247" spans="95:105" ht="23.5">
      <c r="CQ2247" s="45">
        <v>2243</v>
      </c>
      <c r="CR2247" s="18">
        <v>27.349725208297887</v>
      </c>
      <c r="CS2247" s="18" t="str">
        <v>Invest</v>
      </c>
      <c r="CU2247" s="45">
        <v>2243</v>
      </c>
      <c r="CV2247" s="18">
        <v>0</v>
      </c>
      <c r="CW2247" s="18" t="str">
        <v>Nothing</v>
      </c>
      <c r="CY2247" s="45">
        <v>2243</v>
      </c>
      <c r="CZ2247" s="18">
        <v>0</v>
      </c>
      <c r="DA2247" s="18" t="str">
        <v>Nothing</v>
      </c>
    </row>
    <row r="2248" spans="95:105" ht="23.5">
      <c r="CQ2248" s="45">
        <v>2244</v>
      </c>
      <c r="CR2248" s="18">
        <v>47.468788828471446</v>
      </c>
      <c r="CS2248" s="18" t="str">
        <v>Invest</v>
      </c>
      <c r="CU2248" s="45">
        <v>2244</v>
      </c>
      <c r="CV2248" s="18">
        <v>29.851611182666147</v>
      </c>
      <c r="CW2248" s="18" t="str">
        <v>Invest</v>
      </c>
      <c r="CY2248" s="45">
        <v>2244</v>
      </c>
      <c r="CZ2248" s="18">
        <v>6.3106507384933295</v>
      </c>
      <c r="DA2248" s="18" t="str">
        <v>Invest</v>
      </c>
    </row>
    <row r="2249" spans="95:105" ht="23.5">
      <c r="CQ2249" s="45">
        <v>2245</v>
      </c>
      <c r="CR2249" s="18">
        <v>57.438175094913369</v>
      </c>
      <c r="CS2249" s="18" t="str">
        <v>Invest</v>
      </c>
      <c r="CU2249" s="45">
        <v>2245</v>
      </c>
      <c r="CV2249" s="18">
        <v>22.00326337088612</v>
      </c>
      <c r="CW2249" s="18" t="str">
        <v>Invest</v>
      </c>
      <c r="CY2249" s="45">
        <v>2245</v>
      </c>
      <c r="CZ2249" s="18">
        <v>0</v>
      </c>
      <c r="DA2249" s="18" t="str">
        <v>Nothing</v>
      </c>
    </row>
    <row r="2250" spans="95:105" ht="23.5">
      <c r="CQ2250" s="45">
        <v>2246</v>
      </c>
      <c r="CR2250" s="18">
        <v>25.366803780885959</v>
      </c>
      <c r="CS2250" s="18" t="str">
        <v>Invest</v>
      </c>
      <c r="CU2250" s="45">
        <v>2246</v>
      </c>
      <c r="CV2250" s="18">
        <v>39.743379311924919</v>
      </c>
      <c r="CW2250" s="18" t="str">
        <v>Invest</v>
      </c>
      <c r="CY2250" s="45">
        <v>2246</v>
      </c>
      <c r="CZ2250" s="18">
        <v>4.1075012665592254</v>
      </c>
      <c r="DA2250" s="18" t="str">
        <v>Invest</v>
      </c>
    </row>
    <row r="2251" spans="95:105" ht="23.5">
      <c r="CQ2251" s="45">
        <v>2247</v>
      </c>
      <c r="CR2251" s="18">
        <v>9.494282886297615</v>
      </c>
      <c r="CS2251" s="18" t="str">
        <v>Invest</v>
      </c>
      <c r="CU2251" s="45">
        <v>2247</v>
      </c>
      <c r="CV2251" s="18">
        <v>0</v>
      </c>
      <c r="CW2251" s="18" t="str">
        <v>Nothing</v>
      </c>
      <c r="CY2251" s="45">
        <v>2247</v>
      </c>
      <c r="CZ2251" s="18">
        <v>37.280029669024273</v>
      </c>
      <c r="DA2251" s="18" t="str">
        <v>Invest</v>
      </c>
    </row>
    <row r="2252" spans="95:105" ht="23.5">
      <c r="CQ2252" s="45">
        <v>2248</v>
      </c>
      <c r="CR2252" s="18">
        <v>18.627238710659565</v>
      </c>
      <c r="CS2252" s="18" t="str">
        <v>Invest</v>
      </c>
      <c r="CU2252" s="45">
        <v>2248</v>
      </c>
      <c r="CV2252" s="18">
        <v>35.655335742084979</v>
      </c>
      <c r="CW2252" s="18" t="str">
        <v>Invest</v>
      </c>
      <c r="CY2252" s="45">
        <v>2248</v>
      </c>
      <c r="CZ2252" s="18">
        <v>7.5646504760587767</v>
      </c>
      <c r="DA2252" s="18" t="str">
        <v>Invest</v>
      </c>
    </row>
    <row r="2253" spans="95:105" ht="23.5">
      <c r="CQ2253" s="45">
        <v>2249</v>
      </c>
      <c r="CR2253" s="18">
        <v>20.404328484253103</v>
      </c>
      <c r="CS2253" s="18" t="str">
        <v>Invest</v>
      </c>
      <c r="CU2253" s="45">
        <v>2249</v>
      </c>
      <c r="CV2253" s="18">
        <v>37.656385740293793</v>
      </c>
      <c r="CW2253" s="18" t="str">
        <v>Invest</v>
      </c>
      <c r="CY2253" s="45">
        <v>2249</v>
      </c>
      <c r="CZ2253" s="18">
        <v>0</v>
      </c>
      <c r="DA2253" s="18" t="str">
        <v>Nothing</v>
      </c>
    </row>
    <row r="2254" spans="95:105" ht="23.5">
      <c r="CQ2254" s="45">
        <v>2250</v>
      </c>
      <c r="CR2254" s="18">
        <v>24.301755193434868</v>
      </c>
      <c r="CS2254" s="18" t="str">
        <v>Invest</v>
      </c>
      <c r="CU2254" s="45">
        <v>2250</v>
      </c>
      <c r="CV2254" s="18">
        <v>0</v>
      </c>
      <c r="CW2254" s="18" t="str">
        <v>Nothing</v>
      </c>
      <c r="CY2254" s="45">
        <v>2250</v>
      </c>
      <c r="CZ2254" s="18">
        <v>59.152278761839973</v>
      </c>
      <c r="DA2254" s="18" t="str">
        <v>Invest</v>
      </c>
    </row>
    <row r="2255" spans="95:105" ht="23.5">
      <c r="CQ2255" s="45">
        <v>2251</v>
      </c>
      <c r="CR2255" s="18">
        <v>9.916121684957762</v>
      </c>
      <c r="CS2255" s="18" t="str">
        <v>Invest</v>
      </c>
      <c r="CU2255" s="45">
        <v>2251</v>
      </c>
      <c r="CV2255" s="18">
        <v>22.028505751764097</v>
      </c>
      <c r="CW2255" s="18" t="str">
        <v>Invest</v>
      </c>
      <c r="CY2255" s="45">
        <v>2251</v>
      </c>
      <c r="CZ2255" s="18">
        <v>21.665400862309845</v>
      </c>
      <c r="DA2255" s="18" t="str">
        <v>Invest</v>
      </c>
    </row>
    <row r="2256" spans="95:105" ht="23.5">
      <c r="CQ2256" s="45">
        <v>2252</v>
      </c>
      <c r="CR2256" s="18">
        <v>5.8118048337677166</v>
      </c>
      <c r="CS2256" s="18" t="str">
        <v>Invest</v>
      </c>
      <c r="CU2256" s="45">
        <v>2252</v>
      </c>
      <c r="CV2256" s="18">
        <v>39.591628531218781</v>
      </c>
      <c r="CW2256" s="18" t="str">
        <v>Invest</v>
      </c>
      <c r="CY2256" s="45">
        <v>2252</v>
      </c>
      <c r="CZ2256" s="18">
        <v>33.776197134037062</v>
      </c>
      <c r="DA2256" s="18" t="str">
        <v>Invest</v>
      </c>
    </row>
    <row r="2257" spans="95:105" ht="23.5">
      <c r="CQ2257" s="45">
        <v>2253</v>
      </c>
      <c r="CR2257" s="18">
        <v>13.296585595331239</v>
      </c>
      <c r="CS2257" s="18" t="str">
        <v>Invest</v>
      </c>
      <c r="CU2257" s="45">
        <v>2253</v>
      </c>
      <c r="CV2257" s="18">
        <v>23.070509878545646</v>
      </c>
      <c r="CW2257" s="18" t="str">
        <v>Invest</v>
      </c>
      <c r="CY2257" s="45">
        <v>2253</v>
      </c>
      <c r="CZ2257" s="18">
        <v>0</v>
      </c>
      <c r="DA2257" s="18" t="str">
        <v>Nothing</v>
      </c>
    </row>
    <row r="2258" spans="95:105" ht="23.5">
      <c r="CQ2258" s="45">
        <v>2254</v>
      </c>
      <c r="CR2258" s="18">
        <v>1.3423842711199772</v>
      </c>
      <c r="CS2258" s="18" t="str">
        <v>Invest</v>
      </c>
      <c r="CU2258" s="45">
        <v>2254</v>
      </c>
      <c r="CV2258" s="18">
        <v>55.44749108920788</v>
      </c>
      <c r="CW2258" s="18" t="str">
        <v>Invest</v>
      </c>
      <c r="CY2258" s="45">
        <v>2254</v>
      </c>
      <c r="CZ2258" s="18">
        <v>0</v>
      </c>
      <c r="DA2258" s="18" t="str">
        <v>Nothing</v>
      </c>
    </row>
    <row r="2259" spans="95:105" ht="23.5">
      <c r="CQ2259" s="45">
        <v>2255</v>
      </c>
      <c r="CR2259" s="18">
        <v>0</v>
      </c>
      <c r="CS2259" s="18" t="str">
        <v>Nothing</v>
      </c>
      <c r="CU2259" s="45">
        <v>2255</v>
      </c>
      <c r="CV2259" s="18">
        <v>0</v>
      </c>
      <c r="CW2259" s="18" t="str">
        <v>Nothing</v>
      </c>
      <c r="CY2259" s="45">
        <v>2255</v>
      </c>
      <c r="CZ2259" s="18">
        <v>9.6765147131435736</v>
      </c>
      <c r="DA2259" s="18" t="str">
        <v>Invest</v>
      </c>
    </row>
    <row r="2260" spans="95:105" ht="23.5">
      <c r="CQ2260" s="45">
        <v>2256</v>
      </c>
      <c r="CR2260" s="18">
        <v>46.507676793828473</v>
      </c>
      <c r="CS2260" s="18" t="str">
        <v>Invest</v>
      </c>
      <c r="CU2260" s="45">
        <v>2256</v>
      </c>
      <c r="CV2260" s="18">
        <v>0</v>
      </c>
      <c r="CW2260" s="18" t="str">
        <v>Nothing</v>
      </c>
      <c r="CY2260" s="45">
        <v>2256</v>
      </c>
      <c r="CZ2260" s="18">
        <v>0</v>
      </c>
      <c r="DA2260" s="18" t="str">
        <v>Nothing</v>
      </c>
    </row>
    <row r="2261" spans="95:105" ht="23.5">
      <c r="CQ2261" s="45">
        <v>2257</v>
      </c>
      <c r="CR2261" s="18">
        <v>51.173390686167238</v>
      </c>
      <c r="CS2261" s="18" t="str">
        <v>Invest</v>
      </c>
      <c r="CU2261" s="45">
        <v>2257</v>
      </c>
      <c r="CV2261" s="18">
        <v>43.017832817281047</v>
      </c>
      <c r="CW2261" s="18" t="str">
        <v>Invest</v>
      </c>
      <c r="CY2261" s="45">
        <v>2257</v>
      </c>
      <c r="CZ2261" s="18">
        <v>0</v>
      </c>
      <c r="DA2261" s="18" t="str">
        <v>Nothing</v>
      </c>
    </row>
    <row r="2262" spans="95:105" ht="23.5">
      <c r="CQ2262" s="45">
        <v>2258</v>
      </c>
      <c r="CR2262" s="18">
        <v>12.775940554199497</v>
      </c>
      <c r="CS2262" s="18" t="str">
        <v>Invest</v>
      </c>
      <c r="CU2262" s="45">
        <v>2258</v>
      </c>
      <c r="CV2262" s="18">
        <v>0</v>
      </c>
      <c r="CW2262" s="18" t="str">
        <v>Nothing</v>
      </c>
      <c r="CY2262" s="45">
        <v>2258</v>
      </c>
      <c r="CZ2262" s="18">
        <v>18.879317224612844</v>
      </c>
      <c r="DA2262" s="18" t="str">
        <v>Invest</v>
      </c>
    </row>
    <row r="2263" spans="95:105" ht="23.5">
      <c r="CQ2263" s="45">
        <v>2259</v>
      </c>
      <c r="CR2263" s="18">
        <v>20.163223246063183</v>
      </c>
      <c r="CS2263" s="18" t="str">
        <v>Invest</v>
      </c>
      <c r="CU2263" s="45">
        <v>2259</v>
      </c>
      <c r="CV2263" s="18">
        <v>37.366703119784766</v>
      </c>
      <c r="CW2263" s="18" t="str">
        <v>Invest</v>
      </c>
      <c r="CY2263" s="45">
        <v>2259</v>
      </c>
      <c r="CZ2263" s="18">
        <v>0.37029571550463203</v>
      </c>
      <c r="DA2263" s="18" t="str">
        <v>Invest</v>
      </c>
    </row>
    <row r="2264" spans="95:105" ht="23.5">
      <c r="CQ2264" s="45">
        <v>2260</v>
      </c>
      <c r="CR2264" s="18">
        <v>35.823490622074424</v>
      </c>
      <c r="CS2264" s="18" t="str">
        <v>Invest</v>
      </c>
      <c r="CU2264" s="45">
        <v>2260</v>
      </c>
      <c r="CV2264" s="18">
        <v>52.436448866274304</v>
      </c>
      <c r="CW2264" s="18" t="str">
        <v>Invest</v>
      </c>
      <c r="CY2264" s="45">
        <v>2260</v>
      </c>
      <c r="CZ2264" s="18">
        <v>0</v>
      </c>
      <c r="DA2264" s="18" t="str">
        <v>Nothing</v>
      </c>
    </row>
    <row r="2265" spans="95:105" ht="23.5">
      <c r="CQ2265" s="45">
        <v>2261</v>
      </c>
      <c r="CR2265" s="18">
        <v>30.791949144287074</v>
      </c>
      <c r="CS2265" s="18" t="str">
        <v>Invest</v>
      </c>
      <c r="CU2265" s="45">
        <v>2261</v>
      </c>
      <c r="CV2265" s="18">
        <v>39.696923185731507</v>
      </c>
      <c r="CW2265" s="18" t="str">
        <v>Invest</v>
      </c>
      <c r="CY2265" s="45">
        <v>2261</v>
      </c>
      <c r="CZ2265" s="18">
        <v>17.455687473354864</v>
      </c>
      <c r="DA2265" s="18" t="str">
        <v>Invest</v>
      </c>
    </row>
    <row r="2266" spans="95:105" ht="23.5">
      <c r="CQ2266" s="45">
        <v>2262</v>
      </c>
      <c r="CR2266" s="18">
        <v>27.833487744257226</v>
      </c>
      <c r="CS2266" s="18" t="str">
        <v>Invest</v>
      </c>
      <c r="CU2266" s="45">
        <v>2262</v>
      </c>
      <c r="CV2266" s="18">
        <v>0</v>
      </c>
      <c r="CW2266" s="18" t="str">
        <v>Nothing</v>
      </c>
      <c r="CY2266" s="45">
        <v>2262</v>
      </c>
      <c r="CZ2266" s="18">
        <v>3.1959250270057886</v>
      </c>
      <c r="DA2266" s="18" t="str">
        <v>Invest</v>
      </c>
    </row>
    <row r="2267" spans="95:105" ht="23.5">
      <c r="CQ2267" s="45">
        <v>2263</v>
      </c>
      <c r="CR2267" s="18">
        <v>0</v>
      </c>
      <c r="CS2267" s="18" t="str">
        <v>Nothing</v>
      </c>
      <c r="CU2267" s="45">
        <v>2263</v>
      </c>
      <c r="CV2267" s="18">
        <v>0</v>
      </c>
      <c r="CW2267" s="18" t="str">
        <v>Nothing</v>
      </c>
      <c r="CY2267" s="45">
        <v>2263</v>
      </c>
      <c r="CZ2267" s="18">
        <v>1.4642424686232616</v>
      </c>
      <c r="DA2267" s="18" t="str">
        <v>Invest</v>
      </c>
    </row>
    <row r="2268" spans="95:105" ht="23.5">
      <c r="CQ2268" s="45">
        <v>2264</v>
      </c>
      <c r="CR2268" s="18">
        <v>18.016692917965415</v>
      </c>
      <c r="CS2268" s="18" t="str">
        <v>Invest</v>
      </c>
      <c r="CU2268" s="45">
        <v>2264</v>
      </c>
      <c r="CV2268" s="18">
        <v>29.340847939999364</v>
      </c>
      <c r="CW2268" s="18" t="str">
        <v>Invest</v>
      </c>
      <c r="CY2268" s="45">
        <v>2264</v>
      </c>
      <c r="CZ2268" s="18">
        <v>8.6796429068884287</v>
      </c>
      <c r="DA2268" s="18" t="str">
        <v>Invest</v>
      </c>
    </row>
    <row r="2269" spans="95:105" ht="23.5">
      <c r="CQ2269" s="45">
        <v>2265</v>
      </c>
      <c r="CR2269" s="18">
        <v>4.5826204178036889</v>
      </c>
      <c r="CS2269" s="18" t="str">
        <v>Invest</v>
      </c>
      <c r="CU2269" s="45">
        <v>2265</v>
      </c>
      <c r="CV2269" s="18">
        <v>16.988536151429912</v>
      </c>
      <c r="CW2269" s="18" t="str">
        <v>Invest</v>
      </c>
      <c r="CY2269" s="45">
        <v>2265</v>
      </c>
      <c r="CZ2269" s="18">
        <v>1.3953133472204708</v>
      </c>
      <c r="DA2269" s="18" t="str">
        <v>Invest</v>
      </c>
    </row>
    <row r="2270" spans="95:105" ht="23.5">
      <c r="CQ2270" s="45">
        <v>2266</v>
      </c>
      <c r="CR2270" s="18">
        <v>0</v>
      </c>
      <c r="CS2270" s="18" t="str">
        <v>Nothing</v>
      </c>
      <c r="CU2270" s="45">
        <v>2266</v>
      </c>
      <c r="CV2270" s="18">
        <v>10.738899146846453</v>
      </c>
      <c r="CW2270" s="18" t="str">
        <v>Invest</v>
      </c>
      <c r="CY2270" s="45">
        <v>2266</v>
      </c>
      <c r="CZ2270" s="18">
        <v>60.583617741551841</v>
      </c>
      <c r="DA2270" s="18" t="str">
        <v>Invest</v>
      </c>
    </row>
    <row r="2271" spans="95:105" ht="23.5">
      <c r="CQ2271" s="45">
        <v>2267</v>
      </c>
      <c r="CR2271" s="18">
        <v>0</v>
      </c>
      <c r="CS2271" s="18" t="str">
        <v>Nothing</v>
      </c>
      <c r="CU2271" s="45">
        <v>2267</v>
      </c>
      <c r="CV2271" s="18">
        <v>0</v>
      </c>
      <c r="CW2271" s="18" t="str">
        <v>Nothing</v>
      </c>
      <c r="CY2271" s="45">
        <v>2267</v>
      </c>
      <c r="CZ2271" s="18">
        <v>20.144922396086542</v>
      </c>
      <c r="DA2271" s="18" t="str">
        <v>Invest</v>
      </c>
    </row>
    <row r="2272" spans="95:105" ht="23.5">
      <c r="CQ2272" s="45">
        <v>2268</v>
      </c>
      <c r="CR2272" s="18">
        <v>8.3526775203115839</v>
      </c>
      <c r="CS2272" s="18" t="str">
        <v>Invest</v>
      </c>
      <c r="CU2272" s="45">
        <v>2268</v>
      </c>
      <c r="CV2272" s="18">
        <v>28.800545900235036</v>
      </c>
      <c r="CW2272" s="18" t="str">
        <v>Invest</v>
      </c>
      <c r="CY2272" s="45">
        <v>2268</v>
      </c>
      <c r="CZ2272" s="18">
        <v>12.462048974853992</v>
      </c>
      <c r="DA2272" s="18" t="str">
        <v>Invest</v>
      </c>
    </row>
    <row r="2273" spans="95:105" ht="23.5">
      <c r="CQ2273" s="45">
        <v>2269</v>
      </c>
      <c r="CR2273" s="18">
        <v>0</v>
      </c>
      <c r="CS2273" s="18" t="str">
        <v>Nothing</v>
      </c>
      <c r="CU2273" s="45">
        <v>2269</v>
      </c>
      <c r="CV2273" s="18">
        <v>39.995227697247472</v>
      </c>
      <c r="CW2273" s="18" t="str">
        <v>Invest</v>
      </c>
      <c r="CY2273" s="45">
        <v>2269</v>
      </c>
      <c r="CZ2273" s="18">
        <v>9.1053765935414166</v>
      </c>
      <c r="DA2273" s="18" t="str">
        <v>Invest</v>
      </c>
    </row>
    <row r="2274" spans="95:105" ht="23.5">
      <c r="CQ2274" s="45">
        <v>2270</v>
      </c>
      <c r="CR2274" s="18">
        <v>37.157278621012566</v>
      </c>
      <c r="CS2274" s="18" t="str">
        <v>Invest</v>
      </c>
      <c r="CU2274" s="45">
        <v>2270</v>
      </c>
      <c r="CV2274" s="18">
        <v>0</v>
      </c>
      <c r="CW2274" s="18" t="str">
        <v>Nothing</v>
      </c>
      <c r="CY2274" s="45">
        <v>2270</v>
      </c>
      <c r="CZ2274" s="18">
        <v>41.157960814208536</v>
      </c>
      <c r="DA2274" s="18" t="str">
        <v>Invest</v>
      </c>
    </row>
    <row r="2275" spans="95:105" ht="23.5">
      <c r="CQ2275" s="45">
        <v>2271</v>
      </c>
      <c r="CR2275" s="18">
        <v>37.298609623997237</v>
      </c>
      <c r="CS2275" s="18" t="str">
        <v>Invest</v>
      </c>
      <c r="CU2275" s="45">
        <v>2271</v>
      </c>
      <c r="CV2275" s="18">
        <v>45.406999373768649</v>
      </c>
      <c r="CW2275" s="18" t="str">
        <v>Invest</v>
      </c>
      <c r="CY2275" s="45">
        <v>2271</v>
      </c>
      <c r="CZ2275" s="18">
        <v>0</v>
      </c>
      <c r="DA2275" s="18" t="str">
        <v>Nothing</v>
      </c>
    </row>
    <row r="2276" spans="95:105" ht="23.5">
      <c r="CQ2276" s="45">
        <v>2272</v>
      </c>
      <c r="CR2276" s="18">
        <v>0</v>
      </c>
      <c r="CS2276" s="18" t="str">
        <v>Nothing</v>
      </c>
      <c r="CU2276" s="45">
        <v>2272</v>
      </c>
      <c r="CV2276" s="18">
        <v>25.9868804778413</v>
      </c>
      <c r="CW2276" s="18" t="str">
        <v>Invest</v>
      </c>
      <c r="CY2276" s="45">
        <v>2272</v>
      </c>
      <c r="CZ2276" s="18">
        <v>28.049140335142528</v>
      </c>
      <c r="DA2276" s="18" t="str">
        <v>Invest</v>
      </c>
    </row>
    <row r="2277" spans="95:105" ht="23.5">
      <c r="CQ2277" s="45">
        <v>2273</v>
      </c>
      <c r="CR2277" s="18">
        <v>12.417481736531986</v>
      </c>
      <c r="CS2277" s="18" t="str">
        <v>Invest</v>
      </c>
      <c r="CU2277" s="45">
        <v>2273</v>
      </c>
      <c r="CV2277" s="18">
        <v>46.9471697996049</v>
      </c>
      <c r="CW2277" s="18" t="str">
        <v>Invest</v>
      </c>
      <c r="CY2277" s="45">
        <v>2273</v>
      </c>
      <c r="CZ2277" s="18">
        <v>0</v>
      </c>
      <c r="DA2277" s="18" t="str">
        <v>Nothing</v>
      </c>
    </row>
    <row r="2278" spans="95:105" ht="23.5">
      <c r="CQ2278" s="45">
        <v>2274</v>
      </c>
      <c r="CR2278" s="18">
        <v>0</v>
      </c>
      <c r="CS2278" s="18" t="str">
        <v>Nothing</v>
      </c>
      <c r="CU2278" s="45">
        <v>2274</v>
      </c>
      <c r="CV2278" s="18">
        <v>16.522832756506215</v>
      </c>
      <c r="CW2278" s="18" t="str">
        <v>Invest</v>
      </c>
      <c r="CY2278" s="45">
        <v>2274</v>
      </c>
      <c r="CZ2278" s="18">
        <v>7.0213793908928501</v>
      </c>
      <c r="DA2278" s="18" t="str">
        <v>Invest</v>
      </c>
    </row>
    <row r="2279" spans="95:105" ht="23.5">
      <c r="CQ2279" s="45">
        <v>2275</v>
      </c>
      <c r="CR2279" s="18">
        <v>27.070082046754049</v>
      </c>
      <c r="CS2279" s="18" t="str">
        <v>Invest</v>
      </c>
      <c r="CU2279" s="45">
        <v>2275</v>
      </c>
      <c r="CV2279" s="18">
        <v>32.811760550149984</v>
      </c>
      <c r="CW2279" s="18" t="str">
        <v>Invest</v>
      </c>
      <c r="CY2279" s="45">
        <v>2275</v>
      </c>
      <c r="CZ2279" s="18">
        <v>28.238745368482011</v>
      </c>
      <c r="DA2279" s="18" t="str">
        <v>Invest</v>
      </c>
    </row>
    <row r="2280" spans="95:105" ht="23.5">
      <c r="CQ2280" s="45">
        <v>2276</v>
      </c>
      <c r="CR2280" s="18">
        <v>27.592025955377782</v>
      </c>
      <c r="CS2280" s="18" t="str">
        <v>Invest</v>
      </c>
      <c r="CU2280" s="45">
        <v>2276</v>
      </c>
      <c r="CV2280" s="18">
        <v>14.289602386583212</v>
      </c>
      <c r="CW2280" s="18" t="str">
        <v>Invest</v>
      </c>
      <c r="CY2280" s="45">
        <v>2276</v>
      </c>
      <c r="CZ2280" s="18">
        <v>25.883957365231069</v>
      </c>
      <c r="DA2280" s="18" t="str">
        <v>Invest</v>
      </c>
    </row>
    <row r="2281" spans="95:105" ht="23.5">
      <c r="CQ2281" s="45">
        <v>2277</v>
      </c>
      <c r="CR2281" s="18">
        <v>0</v>
      </c>
      <c r="CS2281" s="18" t="str">
        <v>Nothing</v>
      </c>
      <c r="CU2281" s="45">
        <v>2277</v>
      </c>
      <c r="CV2281" s="18">
        <v>10.823895851538119</v>
      </c>
      <c r="CW2281" s="18" t="str">
        <v>Invest</v>
      </c>
      <c r="CY2281" s="45">
        <v>2277</v>
      </c>
      <c r="CZ2281" s="18">
        <v>36.656496459623597</v>
      </c>
      <c r="DA2281" s="18" t="str">
        <v>Invest</v>
      </c>
    </row>
    <row r="2282" spans="95:105" ht="23.5">
      <c r="CQ2282" s="45">
        <v>2278</v>
      </c>
      <c r="CR2282" s="18">
        <v>34.274623801285117</v>
      </c>
      <c r="CS2282" s="18" t="str">
        <v>Invest</v>
      </c>
      <c r="CU2282" s="45">
        <v>2278</v>
      </c>
      <c r="CV2282" s="18">
        <v>36.608945210631262</v>
      </c>
      <c r="CW2282" s="18" t="str">
        <v>Invest</v>
      </c>
      <c r="CY2282" s="45">
        <v>2278</v>
      </c>
      <c r="CZ2282" s="18">
        <v>0</v>
      </c>
      <c r="DA2282" s="18" t="str">
        <v>Nothing</v>
      </c>
    </row>
    <row r="2283" spans="95:105" ht="23.5">
      <c r="CQ2283" s="45">
        <v>2279</v>
      </c>
      <c r="CR2283" s="18">
        <v>55.648228942003065</v>
      </c>
      <c r="CS2283" s="18" t="str">
        <v>Invest</v>
      </c>
      <c r="CU2283" s="45">
        <v>2279</v>
      </c>
      <c r="CV2283" s="18">
        <v>19.86570633711915</v>
      </c>
      <c r="CW2283" s="18" t="str">
        <v>Invest</v>
      </c>
      <c r="CY2283" s="45">
        <v>2279</v>
      </c>
      <c r="CZ2283" s="18">
        <v>0</v>
      </c>
      <c r="DA2283" s="18" t="str">
        <v>Nothing</v>
      </c>
    </row>
    <row r="2284" spans="95:105" ht="23.5">
      <c r="CQ2284" s="45">
        <v>2280</v>
      </c>
      <c r="CR2284" s="18">
        <v>4.8027615858224753</v>
      </c>
      <c r="CS2284" s="18" t="str">
        <v>Invest</v>
      </c>
      <c r="CU2284" s="45">
        <v>2280</v>
      </c>
      <c r="CV2284" s="18">
        <v>4.3781736501370467</v>
      </c>
      <c r="CW2284" s="18" t="str">
        <v>Invest</v>
      </c>
      <c r="CY2284" s="45">
        <v>2280</v>
      </c>
      <c r="CZ2284" s="18">
        <v>10.477317676870813</v>
      </c>
      <c r="DA2284" s="18" t="str">
        <v>Invest</v>
      </c>
    </row>
    <row r="2285" spans="95:105" ht="23.5">
      <c r="CQ2285" s="45">
        <v>2281</v>
      </c>
      <c r="CR2285" s="18">
        <v>49.948177110899351</v>
      </c>
      <c r="CS2285" s="18" t="str">
        <v>Invest</v>
      </c>
      <c r="CU2285" s="45">
        <v>2281</v>
      </c>
      <c r="CV2285" s="18">
        <v>8.250441219988371</v>
      </c>
      <c r="CW2285" s="18" t="str">
        <v>Invest</v>
      </c>
      <c r="CY2285" s="45">
        <v>2281</v>
      </c>
      <c r="CZ2285" s="18">
        <v>38.36165983868581</v>
      </c>
      <c r="DA2285" s="18" t="str">
        <v>Invest</v>
      </c>
    </row>
    <row r="2286" spans="95:105" ht="23.5">
      <c r="CQ2286" s="45">
        <v>2282</v>
      </c>
      <c r="CR2286" s="18">
        <v>10.578106085078961</v>
      </c>
      <c r="CS2286" s="18" t="str">
        <v>Invest</v>
      </c>
      <c r="CU2286" s="45">
        <v>2282</v>
      </c>
      <c r="CV2286" s="18">
        <v>0</v>
      </c>
      <c r="CW2286" s="18" t="str">
        <v>Nothing</v>
      </c>
      <c r="CY2286" s="45">
        <v>2282</v>
      </c>
      <c r="CZ2286" s="18">
        <v>25.762508469662421</v>
      </c>
      <c r="DA2286" s="18" t="str">
        <v>Invest</v>
      </c>
    </row>
    <row r="2287" spans="95:105" ht="23.5">
      <c r="CQ2287" s="45">
        <v>2283</v>
      </c>
      <c r="CR2287" s="18">
        <v>38.269721567062</v>
      </c>
      <c r="CS2287" s="18" t="str">
        <v>Invest</v>
      </c>
      <c r="CU2287" s="45">
        <v>2283</v>
      </c>
      <c r="CV2287" s="18">
        <v>51.274394607595568</v>
      </c>
      <c r="CW2287" s="18" t="str">
        <v>Invest</v>
      </c>
      <c r="CY2287" s="45">
        <v>2283</v>
      </c>
      <c r="CZ2287" s="18">
        <v>24.035215088932979</v>
      </c>
      <c r="DA2287" s="18" t="str">
        <v>Invest</v>
      </c>
    </row>
    <row r="2288" spans="95:105" ht="23.5">
      <c r="CQ2288" s="45">
        <v>2284</v>
      </c>
      <c r="CR2288" s="18">
        <v>0</v>
      </c>
      <c r="CS2288" s="18" t="str">
        <v>Nothing</v>
      </c>
      <c r="CU2288" s="45">
        <v>2284</v>
      </c>
      <c r="CV2288" s="18">
        <v>51.564809697587862</v>
      </c>
      <c r="CW2288" s="18" t="str">
        <v>Invest</v>
      </c>
      <c r="CY2288" s="45">
        <v>2284</v>
      </c>
      <c r="CZ2288" s="18">
        <v>5.4334777567839101</v>
      </c>
      <c r="DA2288" s="18" t="str">
        <v>Invest</v>
      </c>
    </row>
    <row r="2289" spans="95:105" ht="23.5">
      <c r="CQ2289" s="45">
        <v>2285</v>
      </c>
      <c r="CR2289" s="18">
        <v>0</v>
      </c>
      <c r="CS2289" s="18" t="str">
        <v>Nothing</v>
      </c>
      <c r="CU2289" s="45">
        <v>2285</v>
      </c>
      <c r="CV2289" s="18">
        <v>18.626315517964962</v>
      </c>
      <c r="CW2289" s="18" t="str">
        <v>Invest</v>
      </c>
      <c r="CY2289" s="45">
        <v>2285</v>
      </c>
      <c r="CZ2289" s="18">
        <v>1.3783080521667479</v>
      </c>
      <c r="DA2289" s="18" t="str">
        <v>Invest</v>
      </c>
    </row>
    <row r="2290" spans="95:105" ht="23.5">
      <c r="CQ2290" s="45">
        <v>2286</v>
      </c>
      <c r="CR2290" s="18">
        <v>39.508472805803763</v>
      </c>
      <c r="CS2290" s="18" t="str">
        <v>Invest</v>
      </c>
      <c r="CU2290" s="45">
        <v>2286</v>
      </c>
      <c r="CV2290" s="18">
        <v>15.28247914119323</v>
      </c>
      <c r="CW2290" s="18" t="str">
        <v>Invest</v>
      </c>
      <c r="CY2290" s="45">
        <v>2286</v>
      </c>
      <c r="CZ2290" s="18">
        <v>0</v>
      </c>
      <c r="DA2290" s="18" t="str">
        <v>Nothing</v>
      </c>
    </row>
    <row r="2291" spans="95:105" ht="23.5">
      <c r="CQ2291" s="45">
        <v>2287</v>
      </c>
      <c r="CR2291" s="18">
        <v>46.313575828915091</v>
      </c>
      <c r="CS2291" s="18" t="str">
        <v>Invest</v>
      </c>
      <c r="CU2291" s="45">
        <v>2287</v>
      </c>
      <c r="CV2291" s="18">
        <v>0</v>
      </c>
      <c r="CW2291" s="18" t="str">
        <v>Nothing</v>
      </c>
      <c r="CY2291" s="45">
        <v>2287</v>
      </c>
      <c r="CZ2291" s="18">
        <v>11.081487417796245</v>
      </c>
      <c r="DA2291" s="18" t="str">
        <v>Invest</v>
      </c>
    </row>
    <row r="2292" spans="95:105" ht="23.5">
      <c r="CQ2292" s="45">
        <v>2288</v>
      </c>
      <c r="CR2292" s="18">
        <v>23.716214253253394</v>
      </c>
      <c r="CS2292" s="18" t="str">
        <v>Invest</v>
      </c>
      <c r="CU2292" s="45">
        <v>2288</v>
      </c>
      <c r="CV2292" s="18">
        <v>33.213255695621271</v>
      </c>
      <c r="CW2292" s="18" t="str">
        <v>Invest</v>
      </c>
      <c r="CY2292" s="45">
        <v>2288</v>
      </c>
      <c r="CZ2292" s="18">
        <v>0</v>
      </c>
      <c r="DA2292" s="18" t="str">
        <v>Nothing</v>
      </c>
    </row>
    <row r="2293" spans="95:105" ht="23.5">
      <c r="CQ2293" s="45">
        <v>2289</v>
      </c>
      <c r="CR2293" s="18">
        <v>29.88623130774981</v>
      </c>
      <c r="CS2293" s="18" t="str">
        <v>Invest</v>
      </c>
      <c r="CU2293" s="45">
        <v>2289</v>
      </c>
      <c r="CV2293" s="18">
        <v>0</v>
      </c>
      <c r="CW2293" s="18" t="str">
        <v>Nothing</v>
      </c>
      <c r="CY2293" s="45">
        <v>2289</v>
      </c>
      <c r="CZ2293" s="18">
        <v>25.674041691020417</v>
      </c>
      <c r="DA2293" s="18" t="str">
        <v>Invest</v>
      </c>
    </row>
    <row r="2294" spans="95:105" ht="23.5">
      <c r="CQ2294" s="45">
        <v>2290</v>
      </c>
      <c r="CR2294" s="18">
        <v>45.93085320174184</v>
      </c>
      <c r="CS2294" s="18" t="str">
        <v>Invest</v>
      </c>
      <c r="CU2294" s="45">
        <v>2290</v>
      </c>
      <c r="CV2294" s="18">
        <v>0</v>
      </c>
      <c r="CW2294" s="18" t="str">
        <v>Nothing</v>
      </c>
      <c r="CY2294" s="45">
        <v>2290</v>
      </c>
      <c r="CZ2294" s="18">
        <v>8.8815710634224523</v>
      </c>
      <c r="DA2294" s="18" t="str">
        <v>Invest</v>
      </c>
    </row>
    <row r="2295" spans="95:105" ht="23.5">
      <c r="CQ2295" s="45">
        <v>2291</v>
      </c>
      <c r="CR2295" s="18">
        <v>32.597947161372218</v>
      </c>
      <c r="CS2295" s="18" t="str">
        <v>Invest</v>
      </c>
      <c r="CU2295" s="45">
        <v>2291</v>
      </c>
      <c r="CV2295" s="18">
        <v>28.478531046311748</v>
      </c>
      <c r="CW2295" s="18" t="str">
        <v>Invest</v>
      </c>
      <c r="CY2295" s="45">
        <v>2291</v>
      </c>
      <c r="CZ2295" s="18">
        <v>13.768137950113331</v>
      </c>
      <c r="DA2295" s="18" t="str">
        <v>Invest</v>
      </c>
    </row>
    <row r="2296" spans="95:105" ht="23.5">
      <c r="CQ2296" s="45">
        <v>2292</v>
      </c>
      <c r="CR2296" s="18">
        <v>3.5285273542330895</v>
      </c>
      <c r="CS2296" s="18" t="str">
        <v>Invest</v>
      </c>
      <c r="CU2296" s="45">
        <v>2292</v>
      </c>
      <c r="CV2296" s="18">
        <v>27.081326971809521</v>
      </c>
      <c r="CW2296" s="18" t="str">
        <v>Invest</v>
      </c>
      <c r="CY2296" s="45">
        <v>2292</v>
      </c>
      <c r="CZ2296" s="18">
        <v>17.729655797039307</v>
      </c>
      <c r="DA2296" s="18" t="str">
        <v>Invest</v>
      </c>
    </row>
    <row r="2297" spans="95:105" ht="23.5">
      <c r="CQ2297" s="45">
        <v>2293</v>
      </c>
      <c r="CR2297" s="18">
        <v>8.1658174307806064</v>
      </c>
      <c r="CS2297" s="18" t="str">
        <v>Invest</v>
      </c>
      <c r="CU2297" s="45">
        <v>2293</v>
      </c>
      <c r="CV2297" s="18">
        <v>11.417956024754513</v>
      </c>
      <c r="CW2297" s="18" t="str">
        <v>Invest</v>
      </c>
      <c r="CY2297" s="45">
        <v>2293</v>
      </c>
      <c r="CZ2297" s="18">
        <v>0</v>
      </c>
      <c r="DA2297" s="18" t="str">
        <v>Nothing</v>
      </c>
    </row>
    <row r="2298" spans="95:105" ht="23.5">
      <c r="CQ2298" s="45">
        <v>2294</v>
      </c>
      <c r="CR2298" s="18">
        <v>28.581467155347049</v>
      </c>
      <c r="CS2298" s="18" t="str">
        <v>Invest</v>
      </c>
      <c r="CU2298" s="45">
        <v>2294</v>
      </c>
      <c r="CV2298" s="18">
        <v>7.0126373220042311</v>
      </c>
      <c r="CW2298" s="18" t="str">
        <v>Invest</v>
      </c>
      <c r="CY2298" s="45">
        <v>2294</v>
      </c>
      <c r="CZ2298" s="18">
        <v>0</v>
      </c>
      <c r="DA2298" s="18" t="str">
        <v>Nothing</v>
      </c>
    </row>
    <row r="2299" spans="95:105" ht="23.5">
      <c r="CQ2299" s="45">
        <v>2295</v>
      </c>
      <c r="CR2299" s="18">
        <v>7.5740000874426947</v>
      </c>
      <c r="CS2299" s="18" t="str">
        <v>Invest</v>
      </c>
      <c r="CU2299" s="45">
        <v>2295</v>
      </c>
      <c r="CV2299" s="18">
        <v>0</v>
      </c>
      <c r="CW2299" s="18" t="str">
        <v>Nothing</v>
      </c>
      <c r="CY2299" s="45">
        <v>2295</v>
      </c>
      <c r="CZ2299" s="18">
        <v>21.376253994616565</v>
      </c>
      <c r="DA2299" s="18" t="str">
        <v>Invest</v>
      </c>
    </row>
    <row r="2300" spans="95:105" ht="23.5">
      <c r="CQ2300" s="45">
        <v>2296</v>
      </c>
      <c r="CR2300" s="18">
        <v>0</v>
      </c>
      <c r="CS2300" s="18" t="str">
        <v>Nothing</v>
      </c>
      <c r="CU2300" s="45">
        <v>2296</v>
      </c>
      <c r="CV2300" s="18">
        <v>4.8505064193154439</v>
      </c>
      <c r="CW2300" s="18" t="str">
        <v>Invest</v>
      </c>
      <c r="CY2300" s="45">
        <v>2296</v>
      </c>
      <c r="CZ2300" s="18">
        <v>52.295567724438605</v>
      </c>
      <c r="DA2300" s="18" t="str">
        <v>Invest</v>
      </c>
    </row>
    <row r="2301" spans="95:105" ht="23.5">
      <c r="CQ2301" s="45">
        <v>2297</v>
      </c>
      <c r="CR2301" s="18">
        <v>10.414273078926296</v>
      </c>
      <c r="CS2301" s="18" t="str">
        <v>Invest</v>
      </c>
      <c r="CU2301" s="45">
        <v>2297</v>
      </c>
      <c r="CV2301" s="18">
        <v>33.633623913917162</v>
      </c>
      <c r="CW2301" s="18" t="str">
        <v>Invest</v>
      </c>
      <c r="CY2301" s="45">
        <v>2297</v>
      </c>
      <c r="CZ2301" s="18">
        <v>0</v>
      </c>
      <c r="DA2301" s="18" t="str">
        <v>Nothing</v>
      </c>
    </row>
    <row r="2302" spans="95:105" ht="23.5">
      <c r="CQ2302" s="45">
        <v>2298</v>
      </c>
      <c r="CR2302" s="18">
        <v>8.7573636999626743</v>
      </c>
      <c r="CS2302" s="18" t="str">
        <v>Invest</v>
      </c>
      <c r="CU2302" s="45">
        <v>2298</v>
      </c>
      <c r="CV2302" s="18">
        <v>22.235727993024824</v>
      </c>
      <c r="CW2302" s="18" t="str">
        <v>Invest</v>
      </c>
      <c r="CY2302" s="45">
        <v>2298</v>
      </c>
      <c r="CZ2302" s="18">
        <v>0</v>
      </c>
      <c r="DA2302" s="18" t="str">
        <v>Nothing</v>
      </c>
    </row>
    <row r="2303" spans="95:105" ht="23.5">
      <c r="CQ2303" s="45">
        <v>2299</v>
      </c>
      <c r="CR2303" s="18">
        <v>6.7385113511742194</v>
      </c>
      <c r="CS2303" s="18" t="str">
        <v>Invest</v>
      </c>
      <c r="CU2303" s="45">
        <v>2299</v>
      </c>
      <c r="CV2303" s="18">
        <v>30.703747733429104</v>
      </c>
      <c r="CW2303" s="18" t="str">
        <v>Invest</v>
      </c>
      <c r="CY2303" s="45">
        <v>2299</v>
      </c>
      <c r="CZ2303" s="18">
        <v>11.18572224476106</v>
      </c>
      <c r="DA2303" s="18" t="str">
        <v>Invest</v>
      </c>
    </row>
    <row r="2304" spans="95:105" ht="23.5">
      <c r="CQ2304" s="45">
        <v>2300</v>
      </c>
      <c r="CR2304" s="18">
        <v>18.479457947673534</v>
      </c>
      <c r="CS2304" s="18" t="str">
        <v>Invest</v>
      </c>
      <c r="CU2304" s="45">
        <v>2300</v>
      </c>
      <c r="CV2304" s="18">
        <v>37.92399899188645</v>
      </c>
      <c r="CW2304" s="18" t="str">
        <v>Invest</v>
      </c>
      <c r="CY2304" s="45">
        <v>2300</v>
      </c>
      <c r="CZ2304" s="18">
        <v>4.4163273171429474</v>
      </c>
      <c r="DA2304" s="18" t="str">
        <v>Invest</v>
      </c>
    </row>
    <row r="2305" spans="95:105" ht="23.5">
      <c r="CQ2305" s="45">
        <v>2301</v>
      </c>
      <c r="CR2305" s="18">
        <v>7.2541873903381209</v>
      </c>
      <c r="CS2305" s="18" t="str">
        <v>Invest</v>
      </c>
      <c r="CU2305" s="45">
        <v>2301</v>
      </c>
      <c r="CV2305" s="18">
        <v>0</v>
      </c>
      <c r="CW2305" s="18" t="str">
        <v>Nothing</v>
      </c>
      <c r="CY2305" s="45">
        <v>2301</v>
      </c>
      <c r="CZ2305" s="18">
        <v>17.199686707382973</v>
      </c>
      <c r="DA2305" s="18" t="str">
        <v>Invest</v>
      </c>
    </row>
    <row r="2306" spans="95:105" ht="23.5">
      <c r="CQ2306" s="45">
        <v>2302</v>
      </c>
      <c r="CR2306" s="18">
        <v>15.426172314377766</v>
      </c>
      <c r="CS2306" s="18" t="str">
        <v>Invest</v>
      </c>
      <c r="CU2306" s="45">
        <v>2302</v>
      </c>
      <c r="CV2306" s="18">
        <v>45.15776522303188</v>
      </c>
      <c r="CW2306" s="18" t="str">
        <v>Invest</v>
      </c>
      <c r="CY2306" s="45">
        <v>2302</v>
      </c>
      <c r="CZ2306" s="18">
        <v>3.0559799752495316</v>
      </c>
      <c r="DA2306" s="18" t="str">
        <v>Invest</v>
      </c>
    </row>
    <row r="2307" spans="95:105" ht="23.5">
      <c r="CQ2307" s="45">
        <v>2303</v>
      </c>
      <c r="CR2307" s="18">
        <v>9.8105869548002111</v>
      </c>
      <c r="CS2307" s="18" t="str">
        <v>Invest</v>
      </c>
      <c r="CU2307" s="45">
        <v>2303</v>
      </c>
      <c r="CV2307" s="18">
        <v>0</v>
      </c>
      <c r="CW2307" s="18" t="str">
        <v>Nothing</v>
      </c>
      <c r="CY2307" s="45">
        <v>2303</v>
      </c>
      <c r="CZ2307" s="18">
        <v>25.75511915555786</v>
      </c>
      <c r="DA2307" s="18" t="str">
        <v>Invest</v>
      </c>
    </row>
    <row r="2308" spans="95:105" ht="23.5">
      <c r="CQ2308" s="45">
        <v>2304</v>
      </c>
      <c r="CR2308" s="18">
        <v>55.429692261831619</v>
      </c>
      <c r="CS2308" s="18" t="str">
        <v>Invest</v>
      </c>
      <c r="CU2308" s="45">
        <v>2304</v>
      </c>
      <c r="CV2308" s="18">
        <v>35.912591140723691</v>
      </c>
      <c r="CW2308" s="18" t="str">
        <v>Invest</v>
      </c>
      <c r="CY2308" s="45">
        <v>2304</v>
      </c>
      <c r="CZ2308" s="18">
        <v>6.676190566786488</v>
      </c>
      <c r="DA2308" s="18" t="str">
        <v>Invest</v>
      </c>
    </row>
    <row r="2309" spans="95:105" ht="23.5">
      <c r="CQ2309" s="45">
        <v>2305</v>
      </c>
      <c r="CR2309" s="18">
        <v>29.83546935841354</v>
      </c>
      <c r="CS2309" s="18" t="str">
        <v>Invest</v>
      </c>
      <c r="CU2309" s="45">
        <v>2305</v>
      </c>
      <c r="CV2309" s="18">
        <v>14.067743590386446</v>
      </c>
      <c r="CW2309" s="18" t="str">
        <v>Invest</v>
      </c>
      <c r="CY2309" s="45">
        <v>2305</v>
      </c>
      <c r="CZ2309" s="18">
        <v>10.470691921461453</v>
      </c>
      <c r="DA2309" s="18" t="str">
        <v>Invest</v>
      </c>
    </row>
    <row r="2310" spans="95:105" ht="23.5">
      <c r="CQ2310" s="45">
        <v>2306</v>
      </c>
      <c r="CR2310" s="18">
        <v>0</v>
      </c>
      <c r="CS2310" s="18" t="str">
        <v>Nothing</v>
      </c>
      <c r="CU2310" s="45">
        <v>2306</v>
      </c>
      <c r="CV2310" s="18">
        <v>33.684609489488864</v>
      </c>
      <c r="CW2310" s="18" t="str">
        <v>Invest</v>
      </c>
      <c r="CY2310" s="45">
        <v>2306</v>
      </c>
      <c r="CZ2310" s="18">
        <v>42.279340889767283</v>
      </c>
      <c r="DA2310" s="18" t="str">
        <v>Invest</v>
      </c>
    </row>
    <row r="2311" spans="95:105" ht="23.5">
      <c r="CQ2311" s="45">
        <v>2307</v>
      </c>
      <c r="CR2311" s="18">
        <v>34.811491392565244</v>
      </c>
      <c r="CS2311" s="18" t="str">
        <v>Invest</v>
      </c>
      <c r="CU2311" s="45">
        <v>2307</v>
      </c>
      <c r="CV2311" s="18">
        <v>11.286879612515609</v>
      </c>
      <c r="CW2311" s="18" t="str">
        <v>Invest</v>
      </c>
      <c r="CY2311" s="45">
        <v>2307</v>
      </c>
      <c r="CZ2311" s="18">
        <v>3.6667557206938994</v>
      </c>
      <c r="DA2311" s="18" t="str">
        <v>Invest</v>
      </c>
    </row>
    <row r="2312" spans="95:105" ht="23.5">
      <c r="CQ2312" s="45">
        <v>2308</v>
      </c>
      <c r="CR2312" s="18">
        <v>17.63889309376021</v>
      </c>
      <c r="CS2312" s="18" t="str">
        <v>Invest</v>
      </c>
      <c r="CU2312" s="45">
        <v>2308</v>
      </c>
      <c r="CV2312" s="18">
        <v>27.967723188824046</v>
      </c>
      <c r="CW2312" s="18" t="str">
        <v>Invest</v>
      </c>
      <c r="CY2312" s="45">
        <v>2308</v>
      </c>
      <c r="CZ2312" s="18">
        <v>5.2573789019129986</v>
      </c>
      <c r="DA2312" s="18" t="str">
        <v>Invest</v>
      </c>
    </row>
    <row r="2313" spans="95:105" ht="23.5">
      <c r="CQ2313" s="45">
        <v>2309</v>
      </c>
      <c r="CR2313" s="18">
        <v>29.131941753585174</v>
      </c>
      <c r="CS2313" s="18" t="str">
        <v>Invest</v>
      </c>
      <c r="CU2313" s="45">
        <v>2309</v>
      </c>
      <c r="CV2313" s="18">
        <v>1.3401720092055811</v>
      </c>
      <c r="CW2313" s="18" t="str">
        <v>Invest</v>
      </c>
      <c r="CY2313" s="45">
        <v>2309</v>
      </c>
      <c r="CZ2313" s="18">
        <v>7.5689681485103861</v>
      </c>
      <c r="DA2313" s="18" t="str">
        <v>Invest</v>
      </c>
    </row>
    <row r="2314" spans="95:105" ht="23.5">
      <c r="CQ2314" s="45">
        <v>2310</v>
      </c>
      <c r="CR2314" s="18">
        <v>42.147983059187709</v>
      </c>
      <c r="CS2314" s="18" t="str">
        <v>Invest</v>
      </c>
      <c r="CU2314" s="45">
        <v>2310</v>
      </c>
      <c r="CV2314" s="18">
        <v>44.451698146057389</v>
      </c>
      <c r="CW2314" s="18" t="str">
        <v>Invest</v>
      </c>
      <c r="CY2314" s="45">
        <v>2310</v>
      </c>
      <c r="CZ2314" s="18">
        <v>32.781943208544014</v>
      </c>
      <c r="DA2314" s="18" t="str">
        <v>Invest</v>
      </c>
    </row>
    <row r="2315" spans="95:105" ht="23.5">
      <c r="CQ2315" s="45">
        <v>2311</v>
      </c>
      <c r="CR2315" s="18">
        <v>17.994249205011023</v>
      </c>
      <c r="CS2315" s="18" t="str">
        <v>Invest</v>
      </c>
      <c r="CU2315" s="45">
        <v>2311</v>
      </c>
      <c r="CV2315" s="18">
        <v>15.271371749654211</v>
      </c>
      <c r="CW2315" s="18" t="str">
        <v>Invest</v>
      </c>
      <c r="CY2315" s="45">
        <v>2311</v>
      </c>
      <c r="CZ2315" s="18">
        <v>6.0288863649981259</v>
      </c>
      <c r="DA2315" s="18" t="str">
        <v>Invest</v>
      </c>
    </row>
    <row r="2316" spans="95:105" ht="23.5">
      <c r="CQ2316" s="45">
        <v>2312</v>
      </c>
      <c r="CR2316" s="18">
        <v>10.660021704616348</v>
      </c>
      <c r="CS2316" s="18" t="str">
        <v>Invest</v>
      </c>
      <c r="CU2316" s="45">
        <v>2312</v>
      </c>
      <c r="CV2316" s="18">
        <v>4.4362784280305201</v>
      </c>
      <c r="CW2316" s="18" t="str">
        <v>Invest</v>
      </c>
      <c r="CY2316" s="45">
        <v>2312</v>
      </c>
      <c r="CZ2316" s="18">
        <v>0</v>
      </c>
      <c r="DA2316" s="18" t="str">
        <v>Nothing</v>
      </c>
    </row>
    <row r="2317" spans="95:105" ht="23.5">
      <c r="CQ2317" s="45">
        <v>2313</v>
      </c>
      <c r="CR2317" s="18">
        <v>0</v>
      </c>
      <c r="CS2317" s="18" t="str">
        <v>Nothing</v>
      </c>
      <c r="CU2317" s="45">
        <v>2313</v>
      </c>
      <c r="CV2317" s="18">
        <v>2.8489131505957861</v>
      </c>
      <c r="CW2317" s="18" t="str">
        <v>Invest</v>
      </c>
      <c r="CY2317" s="45">
        <v>2313</v>
      </c>
      <c r="CZ2317" s="18">
        <v>20.782621107746717</v>
      </c>
      <c r="DA2317" s="18" t="str">
        <v>Invest</v>
      </c>
    </row>
    <row r="2318" spans="95:105" ht="23.5">
      <c r="CQ2318" s="45">
        <v>2314</v>
      </c>
      <c r="CR2318" s="18">
        <v>0</v>
      </c>
      <c r="CS2318" s="18" t="str">
        <v>Nothing</v>
      </c>
      <c r="CU2318" s="45">
        <v>2314</v>
      </c>
      <c r="CV2318" s="18">
        <v>0</v>
      </c>
      <c r="CW2318" s="18" t="str">
        <v>Nothing</v>
      </c>
      <c r="CY2318" s="45">
        <v>2314</v>
      </c>
      <c r="CZ2318" s="18">
        <v>0</v>
      </c>
      <c r="DA2318" s="18" t="str">
        <v>Nothing</v>
      </c>
    </row>
    <row r="2319" spans="95:105" ht="23.5">
      <c r="CQ2319" s="45">
        <v>2315</v>
      </c>
      <c r="CR2319" s="18">
        <v>20.534472241513534</v>
      </c>
      <c r="CS2319" s="18" t="str">
        <v>Invest</v>
      </c>
      <c r="CU2319" s="45">
        <v>2315</v>
      </c>
      <c r="CV2319" s="18">
        <v>15.424747930367726</v>
      </c>
      <c r="CW2319" s="18" t="str">
        <v>Invest</v>
      </c>
      <c r="CY2319" s="45">
        <v>2315</v>
      </c>
      <c r="CZ2319" s="18">
        <v>0</v>
      </c>
      <c r="DA2319" s="18" t="str">
        <v>Nothing</v>
      </c>
    </row>
    <row r="2320" spans="95:105" ht="23.5">
      <c r="CQ2320" s="45">
        <v>2316</v>
      </c>
      <c r="CR2320" s="18">
        <v>0</v>
      </c>
      <c r="CS2320" s="18" t="str">
        <v>Nothing</v>
      </c>
      <c r="CU2320" s="45">
        <v>2316</v>
      </c>
      <c r="CV2320" s="18">
        <v>9.9544880322130957</v>
      </c>
      <c r="CW2320" s="18" t="str">
        <v>Invest</v>
      </c>
      <c r="CY2320" s="45">
        <v>2316</v>
      </c>
      <c r="CZ2320" s="18">
        <v>14.458176118925348</v>
      </c>
      <c r="DA2320" s="18" t="str">
        <v>Invest</v>
      </c>
    </row>
    <row r="2321" spans="95:105" ht="23.5">
      <c r="CQ2321" s="45">
        <v>2317</v>
      </c>
      <c r="CR2321" s="18">
        <v>51.244179307117051</v>
      </c>
      <c r="CS2321" s="18" t="str">
        <v>Invest</v>
      </c>
      <c r="CU2321" s="45">
        <v>2317</v>
      </c>
      <c r="CV2321" s="18">
        <v>0.74477366356128627</v>
      </c>
      <c r="CW2321" s="18" t="str">
        <v>Invest</v>
      </c>
      <c r="CY2321" s="45">
        <v>2317</v>
      </c>
      <c r="CZ2321" s="18">
        <v>21.423737844479895</v>
      </c>
      <c r="DA2321" s="18" t="str">
        <v>Invest</v>
      </c>
    </row>
    <row r="2322" spans="95:105" ht="23.5">
      <c r="CQ2322" s="45">
        <v>2318</v>
      </c>
      <c r="CR2322" s="18">
        <v>14.51656385008673</v>
      </c>
      <c r="CS2322" s="18" t="str">
        <v>Invest</v>
      </c>
      <c r="CU2322" s="45">
        <v>2318</v>
      </c>
      <c r="CV2322" s="18">
        <v>6.898519304339775</v>
      </c>
      <c r="CW2322" s="18" t="str">
        <v>Invest</v>
      </c>
      <c r="CY2322" s="45">
        <v>2318</v>
      </c>
      <c r="CZ2322" s="18">
        <v>25.488802831694162</v>
      </c>
      <c r="DA2322" s="18" t="str">
        <v>Invest</v>
      </c>
    </row>
    <row r="2323" spans="95:105" ht="23.5">
      <c r="CQ2323" s="45">
        <v>2319</v>
      </c>
      <c r="CR2323" s="18">
        <v>0</v>
      </c>
      <c r="CS2323" s="18" t="str">
        <v>Nothing</v>
      </c>
      <c r="CU2323" s="45">
        <v>2319</v>
      </c>
      <c r="CV2323" s="18">
        <v>0</v>
      </c>
      <c r="CW2323" s="18" t="str">
        <v>Nothing</v>
      </c>
      <c r="CY2323" s="45">
        <v>2319</v>
      </c>
      <c r="CZ2323" s="18">
        <v>23.574825867663105</v>
      </c>
      <c r="DA2323" s="18" t="str">
        <v>Invest</v>
      </c>
    </row>
    <row r="2324" spans="95:105" ht="23.5">
      <c r="CQ2324" s="45">
        <v>2320</v>
      </c>
      <c r="CR2324" s="18">
        <v>7.6792888041072267</v>
      </c>
      <c r="CS2324" s="18" t="str">
        <v>Invest</v>
      </c>
      <c r="CU2324" s="45">
        <v>2320</v>
      </c>
      <c r="CV2324" s="18">
        <v>0</v>
      </c>
      <c r="CW2324" s="18" t="str">
        <v>Nothing</v>
      </c>
      <c r="CY2324" s="45">
        <v>2320</v>
      </c>
      <c r="CZ2324" s="18">
        <v>18.818854191826347</v>
      </c>
      <c r="DA2324" s="18" t="str">
        <v>Invest</v>
      </c>
    </row>
    <row r="2325" spans="95:105" ht="23.5">
      <c r="CQ2325" s="45">
        <v>2321</v>
      </c>
      <c r="CR2325" s="18">
        <v>12.641055682319136</v>
      </c>
      <c r="CS2325" s="18" t="str">
        <v>Invest</v>
      </c>
      <c r="CU2325" s="45">
        <v>2321</v>
      </c>
      <c r="CV2325" s="18">
        <v>16.875378301526879</v>
      </c>
      <c r="CW2325" s="18" t="str">
        <v>Invest</v>
      </c>
      <c r="CY2325" s="45">
        <v>2321</v>
      </c>
      <c r="CZ2325" s="18">
        <v>17.003244326294549</v>
      </c>
      <c r="DA2325" s="18" t="str">
        <v>Invest</v>
      </c>
    </row>
    <row r="2326" spans="95:105" ht="23.5">
      <c r="CQ2326" s="45">
        <v>2322</v>
      </c>
      <c r="CR2326" s="18">
        <v>36.988433127914519</v>
      </c>
      <c r="CS2326" s="18" t="str">
        <v>Invest</v>
      </c>
      <c r="CU2326" s="45">
        <v>2322</v>
      </c>
      <c r="CV2326" s="18">
        <v>25.580344015437817</v>
      </c>
      <c r="CW2326" s="18" t="str">
        <v>Invest</v>
      </c>
      <c r="CY2326" s="45">
        <v>2322</v>
      </c>
      <c r="CZ2326" s="18">
        <v>6.4102929973846834</v>
      </c>
      <c r="DA2326" s="18" t="str">
        <v>Invest</v>
      </c>
    </row>
    <row r="2327" spans="95:105" ht="23.5">
      <c r="CQ2327" s="45">
        <v>2323</v>
      </c>
      <c r="CR2327" s="18">
        <v>0</v>
      </c>
      <c r="CS2327" s="18" t="str">
        <v>Nothing</v>
      </c>
      <c r="CU2327" s="45">
        <v>2323</v>
      </c>
      <c r="CV2327" s="18">
        <v>0</v>
      </c>
      <c r="CW2327" s="18" t="str">
        <v>Nothing</v>
      </c>
      <c r="CY2327" s="45">
        <v>2323</v>
      </c>
      <c r="CZ2327" s="18">
        <v>3.8531020128972706</v>
      </c>
      <c r="DA2327" s="18" t="str">
        <v>Invest</v>
      </c>
    </row>
    <row r="2328" spans="95:105" ht="23.5">
      <c r="CQ2328" s="45">
        <v>2324</v>
      </c>
      <c r="CR2328" s="18">
        <v>7.4093867268521354</v>
      </c>
      <c r="CS2328" s="18" t="str">
        <v>Invest</v>
      </c>
      <c r="CU2328" s="45">
        <v>2324</v>
      </c>
      <c r="CV2328" s="18">
        <v>25.787379723037397</v>
      </c>
      <c r="CW2328" s="18" t="str">
        <v>Invest</v>
      </c>
      <c r="CY2328" s="45">
        <v>2324</v>
      </c>
      <c r="CZ2328" s="18">
        <v>0</v>
      </c>
      <c r="DA2328" s="18" t="str">
        <v>Nothing</v>
      </c>
    </row>
    <row r="2329" spans="95:105" ht="23.5">
      <c r="CQ2329" s="45">
        <v>2325</v>
      </c>
      <c r="CR2329" s="18">
        <v>22.360758217885376</v>
      </c>
      <c r="CS2329" s="18" t="str">
        <v>Invest</v>
      </c>
      <c r="CU2329" s="45">
        <v>2325</v>
      </c>
      <c r="CV2329" s="18">
        <v>27.700532973280495</v>
      </c>
      <c r="CW2329" s="18" t="str">
        <v>Invest</v>
      </c>
      <c r="CY2329" s="45">
        <v>2325</v>
      </c>
      <c r="CZ2329" s="18">
        <v>4.4646980511974768</v>
      </c>
      <c r="DA2329" s="18" t="str">
        <v>Invest</v>
      </c>
    </row>
    <row r="2330" spans="95:105" ht="23.5">
      <c r="CQ2330" s="45">
        <v>2326</v>
      </c>
      <c r="CR2330" s="18">
        <v>37.58565407933704</v>
      </c>
      <c r="CS2330" s="18" t="str">
        <v>Invest</v>
      </c>
      <c r="CU2330" s="45">
        <v>2326</v>
      </c>
      <c r="CV2330" s="18">
        <v>2.856894355567432</v>
      </c>
      <c r="CW2330" s="18" t="str">
        <v>Invest</v>
      </c>
      <c r="CY2330" s="45">
        <v>2326</v>
      </c>
      <c r="CZ2330" s="18">
        <v>38.778533678662257</v>
      </c>
      <c r="DA2330" s="18" t="str">
        <v>Invest</v>
      </c>
    </row>
    <row r="2331" spans="95:105" ht="23.5">
      <c r="CQ2331" s="45">
        <v>2327</v>
      </c>
      <c r="CR2331" s="18">
        <v>0</v>
      </c>
      <c r="CS2331" s="18" t="str">
        <v>Nothing</v>
      </c>
      <c r="CU2331" s="45">
        <v>2327</v>
      </c>
      <c r="CV2331" s="18">
        <v>17.936023266350858</v>
      </c>
      <c r="CW2331" s="18" t="str">
        <v>Invest</v>
      </c>
      <c r="CY2331" s="45">
        <v>2327</v>
      </c>
      <c r="CZ2331" s="18">
        <v>0</v>
      </c>
      <c r="DA2331" s="18" t="str">
        <v>Nothing</v>
      </c>
    </row>
    <row r="2332" spans="95:105" ht="23.5">
      <c r="CQ2332" s="45">
        <v>2328</v>
      </c>
      <c r="CR2332" s="18">
        <v>10.374007173990053</v>
      </c>
      <c r="CS2332" s="18" t="str">
        <v>Invest</v>
      </c>
      <c r="CU2332" s="45">
        <v>2328</v>
      </c>
      <c r="CV2332" s="18">
        <v>0</v>
      </c>
      <c r="CW2332" s="18" t="str">
        <v>Nothing</v>
      </c>
      <c r="CY2332" s="45">
        <v>2328</v>
      </c>
      <c r="CZ2332" s="18">
        <v>0</v>
      </c>
      <c r="DA2332" s="18" t="str">
        <v>Nothing</v>
      </c>
    </row>
    <row r="2333" spans="95:105" ht="23.5">
      <c r="CQ2333" s="45">
        <v>2329</v>
      </c>
      <c r="CR2333" s="18">
        <v>0</v>
      </c>
      <c r="CS2333" s="18" t="str">
        <v>Nothing</v>
      </c>
      <c r="CU2333" s="45">
        <v>2329</v>
      </c>
      <c r="CV2333" s="18">
        <v>0</v>
      </c>
      <c r="CW2333" s="18" t="str">
        <v>Nothing</v>
      </c>
      <c r="CY2333" s="45">
        <v>2329</v>
      </c>
      <c r="CZ2333" s="18">
        <v>6.5461608061479186</v>
      </c>
      <c r="DA2333" s="18" t="str">
        <v>Invest</v>
      </c>
    </row>
    <row r="2334" spans="95:105" ht="23.5">
      <c r="CQ2334" s="45">
        <v>2330</v>
      </c>
      <c r="CR2334" s="18">
        <v>10.87947455790037</v>
      </c>
      <c r="CS2334" s="18" t="str">
        <v>Invest</v>
      </c>
      <c r="CU2334" s="45">
        <v>2330</v>
      </c>
      <c r="CV2334" s="18">
        <v>37.348259128193163</v>
      </c>
      <c r="CW2334" s="18" t="str">
        <v>Invest</v>
      </c>
      <c r="CY2334" s="45">
        <v>2330</v>
      </c>
      <c r="CZ2334" s="18">
        <v>7.8367303745748718</v>
      </c>
      <c r="DA2334" s="18" t="str">
        <v>Invest</v>
      </c>
    </row>
    <row r="2335" spans="95:105" ht="23.5">
      <c r="CQ2335" s="45">
        <v>2331</v>
      </c>
      <c r="CR2335" s="18">
        <v>19.051230425375451</v>
      </c>
      <c r="CS2335" s="18" t="str">
        <v>Invest</v>
      </c>
      <c r="CU2335" s="45">
        <v>2331</v>
      </c>
      <c r="CV2335" s="18">
        <v>22.791877881214759</v>
      </c>
      <c r="CW2335" s="18" t="str">
        <v>Invest</v>
      </c>
      <c r="CY2335" s="45">
        <v>2331</v>
      </c>
      <c r="CZ2335" s="18">
        <v>7.5130192186641649</v>
      </c>
      <c r="DA2335" s="18" t="str">
        <v>Invest</v>
      </c>
    </row>
    <row r="2336" spans="95:105" ht="23.5">
      <c r="CQ2336" s="45">
        <v>2332</v>
      </c>
      <c r="CR2336" s="18">
        <v>13.751834295093458</v>
      </c>
      <c r="CS2336" s="18" t="str">
        <v>Invest</v>
      </c>
      <c r="CU2336" s="45">
        <v>2332</v>
      </c>
      <c r="CV2336" s="18">
        <v>0</v>
      </c>
      <c r="CW2336" s="18" t="str">
        <v>Nothing</v>
      </c>
      <c r="CY2336" s="45">
        <v>2332</v>
      </c>
      <c r="CZ2336" s="18">
        <v>23.914392839071901</v>
      </c>
      <c r="DA2336" s="18" t="str">
        <v>Invest</v>
      </c>
    </row>
    <row r="2337" spans="95:105" ht="23.5">
      <c r="CQ2337" s="45">
        <v>2333</v>
      </c>
      <c r="CR2337" s="18">
        <v>4.7890945259775943</v>
      </c>
      <c r="CS2337" s="18" t="str">
        <v>Invest</v>
      </c>
      <c r="CU2337" s="45">
        <v>2333</v>
      </c>
      <c r="CV2337" s="18">
        <v>49.953972436170567</v>
      </c>
      <c r="CW2337" s="18" t="str">
        <v>Invest</v>
      </c>
      <c r="CY2337" s="45">
        <v>2333</v>
      </c>
      <c r="CZ2337" s="18">
        <v>12.668183023575057</v>
      </c>
      <c r="DA2337" s="18" t="str">
        <v>Invest</v>
      </c>
    </row>
    <row r="2338" spans="95:105" ht="23.5">
      <c r="CQ2338" s="45">
        <v>2334</v>
      </c>
      <c r="CR2338" s="18">
        <v>21.572664512371869</v>
      </c>
      <c r="CS2338" s="18" t="str">
        <v>Invest</v>
      </c>
      <c r="CU2338" s="45">
        <v>2334</v>
      </c>
      <c r="CV2338" s="18">
        <v>17.505474432492893</v>
      </c>
      <c r="CW2338" s="18" t="str">
        <v>Invest</v>
      </c>
      <c r="CY2338" s="45">
        <v>2334</v>
      </c>
      <c r="CZ2338" s="18">
        <v>34.793485444384828</v>
      </c>
      <c r="DA2338" s="18" t="str">
        <v>Invest</v>
      </c>
    </row>
    <row r="2339" spans="95:105" ht="23.5">
      <c r="CQ2339" s="45">
        <v>2335</v>
      </c>
      <c r="CR2339" s="18">
        <v>1.0083922095533033</v>
      </c>
      <c r="CS2339" s="18" t="str">
        <v>Invest</v>
      </c>
      <c r="CU2339" s="45">
        <v>2335</v>
      </c>
      <c r="CV2339" s="18">
        <v>28.753264075530389</v>
      </c>
      <c r="CW2339" s="18" t="str">
        <v>Invest</v>
      </c>
      <c r="CY2339" s="45">
        <v>2335</v>
      </c>
      <c r="CZ2339" s="18">
        <v>0</v>
      </c>
      <c r="DA2339" s="18" t="str">
        <v>Nothing</v>
      </c>
    </row>
    <row r="2340" spans="95:105" ht="23.5">
      <c r="CQ2340" s="45">
        <v>2336</v>
      </c>
      <c r="CR2340" s="18">
        <v>51.265276174615686</v>
      </c>
      <c r="CS2340" s="18" t="str">
        <v>Invest</v>
      </c>
      <c r="CU2340" s="45">
        <v>2336</v>
      </c>
      <c r="CV2340" s="18">
        <v>0</v>
      </c>
      <c r="CW2340" s="18" t="str">
        <v>Nothing</v>
      </c>
      <c r="CY2340" s="45">
        <v>2336</v>
      </c>
      <c r="CZ2340" s="18">
        <v>29.380363603936111</v>
      </c>
      <c r="DA2340" s="18" t="str">
        <v>Invest</v>
      </c>
    </row>
    <row r="2341" spans="95:105" ht="23.5">
      <c r="CQ2341" s="45">
        <v>2337</v>
      </c>
      <c r="CR2341" s="18">
        <v>0</v>
      </c>
      <c r="CS2341" s="18" t="str">
        <v>Nothing</v>
      </c>
      <c r="CU2341" s="45">
        <v>2337</v>
      </c>
      <c r="CV2341" s="18">
        <v>51.858943970466171</v>
      </c>
      <c r="CW2341" s="18" t="str">
        <v>Invest</v>
      </c>
      <c r="CY2341" s="45">
        <v>2337</v>
      </c>
      <c r="CZ2341" s="18">
        <v>0</v>
      </c>
      <c r="DA2341" s="18" t="str">
        <v>Nothing</v>
      </c>
    </row>
    <row r="2342" spans="95:105" ht="23.5">
      <c r="CQ2342" s="45">
        <v>2338</v>
      </c>
      <c r="CR2342" s="18">
        <v>9.376559291564682</v>
      </c>
      <c r="CS2342" s="18" t="str">
        <v>Invest</v>
      </c>
      <c r="CU2342" s="45">
        <v>2338</v>
      </c>
      <c r="CV2342" s="18">
        <v>11.924246427196596</v>
      </c>
      <c r="CW2342" s="18" t="str">
        <v>Invest</v>
      </c>
      <c r="CY2342" s="45">
        <v>2338</v>
      </c>
      <c r="CZ2342" s="18">
        <v>27.390845500168034</v>
      </c>
      <c r="DA2342" s="18" t="str">
        <v>Invest</v>
      </c>
    </row>
    <row r="2343" spans="95:105" ht="23.5">
      <c r="CQ2343" s="45">
        <v>2339</v>
      </c>
      <c r="CR2343" s="18">
        <v>53.854287228443177</v>
      </c>
      <c r="CS2343" s="18" t="str">
        <v>Invest</v>
      </c>
      <c r="CU2343" s="45">
        <v>2339</v>
      </c>
      <c r="CV2343" s="18">
        <v>47.375324525034245</v>
      </c>
      <c r="CW2343" s="18" t="str">
        <v>Invest</v>
      </c>
      <c r="CY2343" s="45">
        <v>2339</v>
      </c>
      <c r="CZ2343" s="18">
        <v>19.230359616120566</v>
      </c>
      <c r="DA2343" s="18" t="str">
        <v>Invest</v>
      </c>
    </row>
    <row r="2344" spans="95:105" ht="23.5">
      <c r="CQ2344" s="45">
        <v>2340</v>
      </c>
      <c r="CR2344" s="18">
        <v>0</v>
      </c>
      <c r="CS2344" s="18" t="str">
        <v>Nothing</v>
      </c>
      <c r="CU2344" s="45">
        <v>2340</v>
      </c>
      <c r="CV2344" s="18">
        <v>0</v>
      </c>
      <c r="CW2344" s="18" t="str">
        <v>Nothing</v>
      </c>
      <c r="CY2344" s="45">
        <v>2340</v>
      </c>
      <c r="CZ2344" s="18">
        <v>17.873852879961913</v>
      </c>
      <c r="DA2344" s="18" t="str">
        <v>Invest</v>
      </c>
    </row>
    <row r="2345" spans="95:105" ht="23.5">
      <c r="CQ2345" s="45">
        <v>2341</v>
      </c>
      <c r="CR2345" s="18">
        <v>10.796396497598479</v>
      </c>
      <c r="CS2345" s="18" t="str">
        <v>Invest</v>
      </c>
      <c r="CU2345" s="45">
        <v>2341</v>
      </c>
      <c r="CV2345" s="18">
        <v>9.6475977205616097</v>
      </c>
      <c r="CW2345" s="18" t="str">
        <v>Invest</v>
      </c>
      <c r="CY2345" s="45">
        <v>2341</v>
      </c>
      <c r="CZ2345" s="18">
        <v>0.37191827362632246</v>
      </c>
      <c r="DA2345" s="18" t="str">
        <v>Invest</v>
      </c>
    </row>
    <row r="2346" spans="95:105" ht="23.5">
      <c r="CQ2346" s="45">
        <v>2342</v>
      </c>
      <c r="CR2346" s="18">
        <v>37.737948641185312</v>
      </c>
      <c r="CS2346" s="18" t="str">
        <v>Invest</v>
      </c>
      <c r="CU2346" s="45">
        <v>2342</v>
      </c>
      <c r="CV2346" s="18">
        <v>35.041843508914987</v>
      </c>
      <c r="CW2346" s="18" t="str">
        <v>Invest</v>
      </c>
      <c r="CY2346" s="45">
        <v>2342</v>
      </c>
      <c r="CZ2346" s="18">
        <v>1.5297925300958406</v>
      </c>
      <c r="DA2346" s="18" t="str">
        <v>Invest</v>
      </c>
    </row>
    <row r="2347" spans="95:105" ht="23.5">
      <c r="CQ2347" s="45">
        <v>2343</v>
      </c>
      <c r="CR2347" s="18">
        <v>27.355716166831904</v>
      </c>
      <c r="CS2347" s="18" t="str">
        <v>Invest</v>
      </c>
      <c r="CU2347" s="45">
        <v>2343</v>
      </c>
      <c r="CV2347" s="18">
        <v>2.7081152541797344</v>
      </c>
      <c r="CW2347" s="18" t="str">
        <v>Invest</v>
      </c>
      <c r="CY2347" s="45">
        <v>2343</v>
      </c>
      <c r="CZ2347" s="18">
        <v>21.03694388334301</v>
      </c>
      <c r="DA2347" s="18" t="str">
        <v>Invest</v>
      </c>
    </row>
    <row r="2348" spans="95:105" ht="23.5">
      <c r="CQ2348" s="45">
        <v>2344</v>
      </c>
      <c r="CR2348" s="18">
        <v>8.5907018842546119</v>
      </c>
      <c r="CS2348" s="18" t="str">
        <v>Invest</v>
      </c>
      <c r="CU2348" s="45">
        <v>2344</v>
      </c>
      <c r="CV2348" s="18">
        <v>15.901058557558787</v>
      </c>
      <c r="CW2348" s="18" t="str">
        <v>Invest</v>
      </c>
      <c r="CY2348" s="45">
        <v>2344</v>
      </c>
      <c r="CZ2348" s="18">
        <v>0.63891980968581485</v>
      </c>
      <c r="DA2348" s="18" t="str">
        <v>Invest</v>
      </c>
    </row>
    <row r="2349" spans="95:105" ht="23.5">
      <c r="CQ2349" s="45">
        <v>2345</v>
      </c>
      <c r="CR2349" s="18">
        <v>19.829164473077697</v>
      </c>
      <c r="CS2349" s="18" t="str">
        <v>Invest</v>
      </c>
      <c r="CU2349" s="45">
        <v>2345</v>
      </c>
      <c r="CV2349" s="18">
        <v>0</v>
      </c>
      <c r="CW2349" s="18" t="str">
        <v>Nothing</v>
      </c>
      <c r="CY2349" s="45">
        <v>2345</v>
      </c>
      <c r="CZ2349" s="18">
        <v>8.4290553144364821</v>
      </c>
      <c r="DA2349" s="18" t="str">
        <v>Invest</v>
      </c>
    </row>
    <row r="2350" spans="95:105" ht="23.5">
      <c r="CQ2350" s="45">
        <v>2346</v>
      </c>
      <c r="CR2350" s="18">
        <v>32.415125111798815</v>
      </c>
      <c r="CS2350" s="18" t="str">
        <v>Invest</v>
      </c>
      <c r="CU2350" s="45">
        <v>2346</v>
      </c>
      <c r="CV2350" s="18">
        <v>55.160968540525062</v>
      </c>
      <c r="CW2350" s="18" t="str">
        <v>Invest</v>
      </c>
      <c r="CY2350" s="45">
        <v>2346</v>
      </c>
      <c r="CZ2350" s="18">
        <v>33.76352307052575</v>
      </c>
      <c r="DA2350" s="18" t="str">
        <v>Invest</v>
      </c>
    </row>
    <row r="2351" spans="95:105" ht="23.5">
      <c r="CQ2351" s="45">
        <v>2347</v>
      </c>
      <c r="CR2351" s="18">
        <v>37.814413079724133</v>
      </c>
      <c r="CS2351" s="18" t="str">
        <v>Invest</v>
      </c>
      <c r="CU2351" s="45">
        <v>2347</v>
      </c>
      <c r="CV2351" s="18">
        <v>4.9705381312472099</v>
      </c>
      <c r="CW2351" s="18" t="str">
        <v>Invest</v>
      </c>
      <c r="CY2351" s="45">
        <v>2347</v>
      </c>
      <c r="CZ2351" s="18">
        <v>0</v>
      </c>
      <c r="DA2351" s="18" t="str">
        <v>Nothing</v>
      </c>
    </row>
    <row r="2352" spans="95:105" ht="23.5">
      <c r="CQ2352" s="45">
        <v>2348</v>
      </c>
      <c r="CR2352" s="18">
        <v>16.223621680168311</v>
      </c>
      <c r="CS2352" s="18" t="str">
        <v>Invest</v>
      </c>
      <c r="CU2352" s="45">
        <v>2348</v>
      </c>
      <c r="CV2352" s="18">
        <v>1.8617129449106513</v>
      </c>
      <c r="CW2352" s="18" t="str">
        <v>Invest</v>
      </c>
      <c r="CY2352" s="45">
        <v>2348</v>
      </c>
      <c r="CZ2352" s="18">
        <v>0</v>
      </c>
      <c r="DA2352" s="18" t="str">
        <v>Nothing</v>
      </c>
    </row>
    <row r="2353" spans="95:105" ht="23.5">
      <c r="CQ2353" s="45">
        <v>2349</v>
      </c>
      <c r="CR2353" s="18">
        <v>0</v>
      </c>
      <c r="CS2353" s="18" t="str">
        <v>Nothing</v>
      </c>
      <c r="CU2353" s="45">
        <v>2349</v>
      </c>
      <c r="CV2353" s="18">
        <v>36.162810884642838</v>
      </c>
      <c r="CW2353" s="18" t="str">
        <v>Invest</v>
      </c>
      <c r="CY2353" s="45">
        <v>2349</v>
      </c>
      <c r="CZ2353" s="18">
        <v>0</v>
      </c>
      <c r="DA2353" s="18" t="str">
        <v>Nothing</v>
      </c>
    </row>
    <row r="2354" spans="95:105" ht="23.5">
      <c r="CQ2354" s="45">
        <v>2350</v>
      </c>
      <c r="CR2354" s="18">
        <v>28.066141305427294</v>
      </c>
      <c r="CS2354" s="18" t="str">
        <v>Invest</v>
      </c>
      <c r="CU2354" s="45">
        <v>2350</v>
      </c>
      <c r="CV2354" s="18">
        <v>43.064645419176983</v>
      </c>
      <c r="CW2354" s="18" t="str">
        <v>Invest</v>
      </c>
      <c r="CY2354" s="45">
        <v>2350</v>
      </c>
      <c r="CZ2354" s="18">
        <v>48.807361406303542</v>
      </c>
      <c r="DA2354" s="18" t="str">
        <v>Invest</v>
      </c>
    </row>
    <row r="2355" spans="95:105" ht="23.5">
      <c r="CQ2355" s="45">
        <v>2351</v>
      </c>
      <c r="CR2355" s="18">
        <v>34.521546065773009</v>
      </c>
      <c r="CS2355" s="18" t="str">
        <v>Invest</v>
      </c>
      <c r="CU2355" s="45">
        <v>2351</v>
      </c>
      <c r="CV2355" s="18">
        <v>39.983877438020464</v>
      </c>
      <c r="CW2355" s="18" t="str">
        <v>Invest</v>
      </c>
      <c r="CY2355" s="45">
        <v>2351</v>
      </c>
      <c r="CZ2355" s="18">
        <v>13.522630030874016</v>
      </c>
      <c r="DA2355" s="18" t="str">
        <v>Invest</v>
      </c>
    </row>
    <row r="2356" spans="95:105" ht="23.5">
      <c r="CQ2356" s="45">
        <v>2352</v>
      </c>
      <c r="CR2356" s="18">
        <v>54.980085130715388</v>
      </c>
      <c r="CS2356" s="18" t="str">
        <v>Invest</v>
      </c>
      <c r="CU2356" s="45">
        <v>2352</v>
      </c>
      <c r="CV2356" s="18">
        <v>23.4829331716561</v>
      </c>
      <c r="CW2356" s="18" t="str">
        <v>Invest</v>
      </c>
      <c r="CY2356" s="45">
        <v>2352</v>
      </c>
      <c r="CZ2356" s="18">
        <v>21.062547619598909</v>
      </c>
      <c r="DA2356" s="18" t="str">
        <v>Invest</v>
      </c>
    </row>
    <row r="2357" spans="95:105" ht="23.5">
      <c r="CQ2357" s="45">
        <v>2353</v>
      </c>
      <c r="CR2357" s="18">
        <v>10.272911970774572</v>
      </c>
      <c r="CS2357" s="18" t="str">
        <v>Invest</v>
      </c>
      <c r="CU2357" s="45">
        <v>2353</v>
      </c>
      <c r="CV2357" s="18">
        <v>17.267909220051642</v>
      </c>
      <c r="CW2357" s="18" t="str">
        <v>Invest</v>
      </c>
      <c r="CY2357" s="45">
        <v>2353</v>
      </c>
      <c r="CZ2357" s="18">
        <v>50.329526840886523</v>
      </c>
      <c r="DA2357" s="18" t="str">
        <v>Invest</v>
      </c>
    </row>
    <row r="2358" spans="95:105" ht="23.5">
      <c r="CQ2358" s="45">
        <v>2354</v>
      </c>
      <c r="CR2358" s="18">
        <v>21.339258208210865</v>
      </c>
      <c r="CS2358" s="18" t="str">
        <v>Invest</v>
      </c>
      <c r="CU2358" s="45">
        <v>2354</v>
      </c>
      <c r="CV2358" s="18">
        <v>17.725500451823006</v>
      </c>
      <c r="CW2358" s="18" t="str">
        <v>Invest</v>
      </c>
      <c r="CY2358" s="45">
        <v>2354</v>
      </c>
      <c r="CZ2358" s="18">
        <v>37.756826364617687</v>
      </c>
      <c r="DA2358" s="18" t="str">
        <v>Invest</v>
      </c>
    </row>
    <row r="2359" spans="95:105" ht="23.5">
      <c r="CQ2359" s="45">
        <v>2355</v>
      </c>
      <c r="CR2359" s="18">
        <v>39.173579391044697</v>
      </c>
      <c r="CS2359" s="18" t="str">
        <v>Invest</v>
      </c>
      <c r="CU2359" s="45">
        <v>2355</v>
      </c>
      <c r="CV2359" s="18">
        <v>0</v>
      </c>
      <c r="CW2359" s="18" t="str">
        <v>Nothing</v>
      </c>
      <c r="CY2359" s="45">
        <v>2355</v>
      </c>
      <c r="CZ2359" s="18">
        <v>0</v>
      </c>
      <c r="DA2359" s="18" t="str">
        <v>Nothing</v>
      </c>
    </row>
    <row r="2360" spans="95:105" ht="23.5">
      <c r="CQ2360" s="45">
        <v>2356</v>
      </c>
      <c r="CR2360" s="18">
        <v>17.344068237001444</v>
      </c>
      <c r="CS2360" s="18" t="str">
        <v>Invest</v>
      </c>
      <c r="CU2360" s="45">
        <v>2356</v>
      </c>
      <c r="CV2360" s="18">
        <v>0</v>
      </c>
      <c r="CW2360" s="18" t="str">
        <v>Nothing</v>
      </c>
      <c r="CY2360" s="45">
        <v>2356</v>
      </c>
      <c r="CZ2360" s="18">
        <v>35.807083119765373</v>
      </c>
      <c r="DA2360" s="18" t="str">
        <v>Invest</v>
      </c>
    </row>
    <row r="2361" spans="95:105" ht="23.5">
      <c r="CQ2361" s="45">
        <v>2357</v>
      </c>
      <c r="CR2361" s="18">
        <v>19.762769395990283</v>
      </c>
      <c r="CS2361" s="18" t="str">
        <v>Invest</v>
      </c>
      <c r="CU2361" s="45">
        <v>2357</v>
      </c>
      <c r="CV2361" s="18">
        <v>34.375173065711003</v>
      </c>
      <c r="CW2361" s="18" t="str">
        <v>Invest</v>
      </c>
      <c r="CY2361" s="45">
        <v>2357</v>
      </c>
      <c r="CZ2361" s="18">
        <v>0</v>
      </c>
      <c r="DA2361" s="18" t="str">
        <v>Nothing</v>
      </c>
    </row>
    <row r="2362" spans="95:105" ht="23.5">
      <c r="CQ2362" s="45">
        <v>2358</v>
      </c>
      <c r="CR2362" s="18">
        <v>40.106263725240865</v>
      </c>
      <c r="CS2362" s="18" t="str">
        <v>Invest</v>
      </c>
      <c r="CU2362" s="45">
        <v>2358</v>
      </c>
      <c r="CV2362" s="18">
        <v>5.3151896473029456</v>
      </c>
      <c r="CW2362" s="18" t="str">
        <v>Invest</v>
      </c>
      <c r="CY2362" s="45">
        <v>2358</v>
      </c>
      <c r="CZ2362" s="18">
        <v>0</v>
      </c>
      <c r="DA2362" s="18" t="str">
        <v>Nothing</v>
      </c>
    </row>
    <row r="2363" spans="95:105" ht="23.5">
      <c r="CQ2363" s="45">
        <v>2359</v>
      </c>
      <c r="CR2363" s="18">
        <v>22.322582562635549</v>
      </c>
      <c r="CS2363" s="18" t="str">
        <v>Invest</v>
      </c>
      <c r="CU2363" s="45">
        <v>2359</v>
      </c>
      <c r="CV2363" s="18">
        <v>33.707871464531983</v>
      </c>
      <c r="CW2363" s="18" t="str">
        <v>Invest</v>
      </c>
      <c r="CY2363" s="45">
        <v>2359</v>
      </c>
      <c r="CZ2363" s="18">
        <v>5.4410034818833477</v>
      </c>
      <c r="DA2363" s="18" t="str">
        <v>Invest</v>
      </c>
    </row>
    <row r="2364" spans="95:105" ht="23.5">
      <c r="CQ2364" s="45">
        <v>2360</v>
      </c>
      <c r="CR2364" s="18">
        <v>0</v>
      </c>
      <c r="CS2364" s="18" t="str">
        <v>Nothing</v>
      </c>
      <c r="CU2364" s="45">
        <v>2360</v>
      </c>
      <c r="CV2364" s="18">
        <v>2.9982098389514569</v>
      </c>
      <c r="CW2364" s="18" t="str">
        <v>Invest</v>
      </c>
      <c r="CY2364" s="45">
        <v>2360</v>
      </c>
      <c r="CZ2364" s="18">
        <v>32.858415390195731</v>
      </c>
      <c r="DA2364" s="18" t="str">
        <v>Invest</v>
      </c>
    </row>
    <row r="2365" spans="95:105" ht="23.5">
      <c r="CQ2365" s="45">
        <v>2361</v>
      </c>
      <c r="CR2365" s="18">
        <v>0</v>
      </c>
      <c r="CS2365" s="18" t="str">
        <v>Nothing</v>
      </c>
      <c r="CU2365" s="45">
        <v>2361</v>
      </c>
      <c r="CV2365" s="18">
        <v>0</v>
      </c>
      <c r="CW2365" s="18" t="str">
        <v>Nothing</v>
      </c>
      <c r="CY2365" s="45">
        <v>2361</v>
      </c>
      <c r="CZ2365" s="18">
        <v>0</v>
      </c>
      <c r="DA2365" s="18" t="str">
        <v>Nothing</v>
      </c>
    </row>
    <row r="2366" spans="95:105" ht="23.5">
      <c r="CQ2366" s="45">
        <v>2362</v>
      </c>
      <c r="CR2366" s="18">
        <v>36.434305019709058</v>
      </c>
      <c r="CS2366" s="18" t="str">
        <v>Invest</v>
      </c>
      <c r="CU2366" s="45">
        <v>2362</v>
      </c>
      <c r="CV2366" s="18">
        <v>48.739785155688338</v>
      </c>
      <c r="CW2366" s="18" t="str">
        <v>Invest</v>
      </c>
      <c r="CY2366" s="45">
        <v>2362</v>
      </c>
      <c r="CZ2366" s="18">
        <v>10.00621764714098</v>
      </c>
      <c r="DA2366" s="18" t="str">
        <v>Invest</v>
      </c>
    </row>
    <row r="2367" spans="95:105" ht="23.5">
      <c r="CQ2367" s="45">
        <v>2363</v>
      </c>
      <c r="CR2367" s="18">
        <v>9.2570109992614551</v>
      </c>
      <c r="CS2367" s="18" t="str">
        <v>Invest</v>
      </c>
      <c r="CU2367" s="45">
        <v>2363</v>
      </c>
      <c r="CV2367" s="18">
        <v>49.169840663553281</v>
      </c>
      <c r="CW2367" s="18" t="str">
        <v>Invest</v>
      </c>
      <c r="CY2367" s="45">
        <v>2363</v>
      </c>
      <c r="CZ2367" s="18">
        <v>30.276367868312803</v>
      </c>
      <c r="DA2367" s="18" t="str">
        <v>Invest</v>
      </c>
    </row>
    <row r="2368" spans="95:105" ht="23.5">
      <c r="CQ2368" s="45">
        <v>2364</v>
      </c>
      <c r="CR2368" s="18">
        <v>21.938376634432167</v>
      </c>
      <c r="CS2368" s="18" t="str">
        <v>Invest</v>
      </c>
      <c r="CU2368" s="45">
        <v>2364</v>
      </c>
      <c r="CV2368" s="18">
        <v>27.925140371387187</v>
      </c>
      <c r="CW2368" s="18" t="str">
        <v>Invest</v>
      </c>
      <c r="CY2368" s="45">
        <v>2364</v>
      </c>
      <c r="CZ2368" s="18">
        <v>0</v>
      </c>
      <c r="DA2368" s="18" t="str">
        <v>Nothing</v>
      </c>
    </row>
    <row r="2369" spans="95:105" ht="23.5">
      <c r="CQ2369" s="45">
        <v>2365</v>
      </c>
      <c r="CR2369" s="18">
        <v>1.9328011766010409</v>
      </c>
      <c r="CS2369" s="18" t="str">
        <v>Invest</v>
      </c>
      <c r="CU2369" s="45">
        <v>2365</v>
      </c>
      <c r="CV2369" s="18">
        <v>20.007555412717757</v>
      </c>
      <c r="CW2369" s="18" t="str">
        <v>Invest</v>
      </c>
      <c r="CY2369" s="45">
        <v>2365</v>
      </c>
      <c r="CZ2369" s="18">
        <v>24.508146958685128</v>
      </c>
      <c r="DA2369" s="18" t="str">
        <v>Invest</v>
      </c>
    </row>
    <row r="2370" spans="95:105" ht="23.5">
      <c r="CQ2370" s="45">
        <v>2366</v>
      </c>
      <c r="CR2370" s="18">
        <v>39.171066029512502</v>
      </c>
      <c r="CS2370" s="18" t="str">
        <v>Invest</v>
      </c>
      <c r="CU2370" s="45">
        <v>2366</v>
      </c>
      <c r="CV2370" s="18">
        <v>9.7339237424234462</v>
      </c>
      <c r="CW2370" s="18" t="str">
        <v>Invest</v>
      </c>
      <c r="CY2370" s="45">
        <v>2366</v>
      </c>
      <c r="CZ2370" s="18">
        <v>0</v>
      </c>
      <c r="DA2370" s="18" t="str">
        <v>Nothing</v>
      </c>
    </row>
    <row r="2371" spans="95:105" ht="23.5">
      <c r="CQ2371" s="45">
        <v>2367</v>
      </c>
      <c r="CR2371" s="18">
        <v>0</v>
      </c>
      <c r="CS2371" s="18" t="str">
        <v>Nothing</v>
      </c>
      <c r="CU2371" s="45">
        <v>2367</v>
      </c>
      <c r="CV2371" s="18">
        <v>52.323400411121824</v>
      </c>
      <c r="CW2371" s="18" t="str">
        <v>Invest</v>
      </c>
      <c r="CY2371" s="45">
        <v>2367</v>
      </c>
      <c r="CZ2371" s="18">
        <v>57.955706969198182</v>
      </c>
      <c r="DA2371" s="18" t="str">
        <v>Invest</v>
      </c>
    </row>
    <row r="2372" spans="95:105" ht="23.5">
      <c r="CQ2372" s="45">
        <v>2368</v>
      </c>
      <c r="CR2372" s="18">
        <v>5.4324590834443134</v>
      </c>
      <c r="CS2372" s="18" t="str">
        <v>Invest</v>
      </c>
      <c r="CU2372" s="45">
        <v>2368</v>
      </c>
      <c r="CV2372" s="18">
        <v>16.201274409619327</v>
      </c>
      <c r="CW2372" s="18" t="str">
        <v>Invest</v>
      </c>
      <c r="CY2372" s="45">
        <v>2368</v>
      </c>
      <c r="CZ2372" s="18">
        <v>6.5143554918615951</v>
      </c>
      <c r="DA2372" s="18" t="str">
        <v>Invest</v>
      </c>
    </row>
    <row r="2373" spans="95:105" ht="23.5">
      <c r="CQ2373" s="45">
        <v>2369</v>
      </c>
      <c r="CR2373" s="18">
        <v>9.9703636700712579</v>
      </c>
      <c r="CS2373" s="18" t="str">
        <v>Invest</v>
      </c>
      <c r="CU2373" s="45">
        <v>2369</v>
      </c>
      <c r="CV2373" s="18">
        <v>5.2146546353997572</v>
      </c>
      <c r="CW2373" s="18" t="str">
        <v>Invest</v>
      </c>
      <c r="CY2373" s="45">
        <v>2369</v>
      </c>
      <c r="CZ2373" s="18">
        <v>0</v>
      </c>
      <c r="DA2373" s="18" t="str">
        <v>Nothing</v>
      </c>
    </row>
    <row r="2374" spans="95:105" ht="23.5">
      <c r="CQ2374" s="45">
        <v>2370</v>
      </c>
      <c r="CR2374" s="18">
        <v>39.683841903825453</v>
      </c>
      <c r="CS2374" s="18" t="str">
        <v>Invest</v>
      </c>
      <c r="CU2374" s="45">
        <v>2370</v>
      </c>
      <c r="CV2374" s="18">
        <v>30.088913742601569</v>
      </c>
      <c r="CW2374" s="18" t="str">
        <v>Invest</v>
      </c>
      <c r="CY2374" s="45">
        <v>2370</v>
      </c>
      <c r="CZ2374" s="18">
        <v>35.274920690321736</v>
      </c>
      <c r="DA2374" s="18" t="str">
        <v>Invest</v>
      </c>
    </row>
    <row r="2375" spans="95:105" ht="23.5">
      <c r="CQ2375" s="45">
        <v>2371</v>
      </c>
      <c r="CR2375" s="18">
        <v>30.434369066894121</v>
      </c>
      <c r="CS2375" s="18" t="str">
        <v>Invest</v>
      </c>
      <c r="CU2375" s="45">
        <v>2371</v>
      </c>
      <c r="CV2375" s="18">
        <v>13.44960454120408</v>
      </c>
      <c r="CW2375" s="18" t="str">
        <v>Invest</v>
      </c>
      <c r="CY2375" s="45">
        <v>2371</v>
      </c>
      <c r="CZ2375" s="18">
        <v>23.663662974918935</v>
      </c>
      <c r="DA2375" s="18" t="str">
        <v>Invest</v>
      </c>
    </row>
    <row r="2376" spans="95:105" ht="23.5">
      <c r="CQ2376" s="45">
        <v>2372</v>
      </c>
      <c r="CR2376" s="18">
        <v>15.752936709137838</v>
      </c>
      <c r="CS2376" s="18" t="str">
        <v>Invest</v>
      </c>
      <c r="CU2376" s="45">
        <v>2372</v>
      </c>
      <c r="CV2376" s="18">
        <v>0</v>
      </c>
      <c r="CW2376" s="18" t="str">
        <v>Nothing</v>
      </c>
      <c r="CY2376" s="45">
        <v>2372</v>
      </c>
      <c r="CZ2376" s="18">
        <v>52.367980091692083</v>
      </c>
      <c r="DA2376" s="18" t="str">
        <v>Invest</v>
      </c>
    </row>
    <row r="2377" spans="95:105" ht="23.5">
      <c r="CQ2377" s="45">
        <v>2373</v>
      </c>
      <c r="CR2377" s="18">
        <v>36.527530079640634</v>
      </c>
      <c r="CS2377" s="18" t="str">
        <v>Invest</v>
      </c>
      <c r="CU2377" s="45">
        <v>2373</v>
      </c>
      <c r="CV2377" s="18">
        <v>31.099645315414175</v>
      </c>
      <c r="CW2377" s="18" t="str">
        <v>Invest</v>
      </c>
      <c r="CY2377" s="45">
        <v>2373</v>
      </c>
      <c r="CZ2377" s="18">
        <v>33.235900292238831</v>
      </c>
      <c r="DA2377" s="18" t="str">
        <v>Invest</v>
      </c>
    </row>
    <row r="2378" spans="95:105" ht="23.5">
      <c r="CQ2378" s="45">
        <v>2374</v>
      </c>
      <c r="CR2378" s="18">
        <v>13.106002340547031</v>
      </c>
      <c r="CS2378" s="18" t="str">
        <v>Invest</v>
      </c>
      <c r="CU2378" s="45">
        <v>2374</v>
      </c>
      <c r="CV2378" s="18">
        <v>10.86722372274842</v>
      </c>
      <c r="CW2378" s="18" t="str">
        <v>Invest</v>
      </c>
      <c r="CY2378" s="45">
        <v>2374</v>
      </c>
      <c r="CZ2378" s="18">
        <v>24.890213779008164</v>
      </c>
      <c r="DA2378" s="18" t="str">
        <v>Invest</v>
      </c>
    </row>
    <row r="2379" spans="95:105" ht="23.5">
      <c r="CQ2379" s="45">
        <v>2375</v>
      </c>
      <c r="CR2379" s="18">
        <v>0</v>
      </c>
      <c r="CS2379" s="18" t="str">
        <v>Nothing</v>
      </c>
      <c r="CU2379" s="45">
        <v>2375</v>
      </c>
      <c r="CV2379" s="18">
        <v>43.679956931424222</v>
      </c>
      <c r="CW2379" s="18" t="str">
        <v>Invest</v>
      </c>
      <c r="CY2379" s="45">
        <v>2375</v>
      </c>
      <c r="CZ2379" s="18">
        <v>20.172739845608124</v>
      </c>
      <c r="DA2379" s="18" t="str">
        <v>Invest</v>
      </c>
    </row>
    <row r="2380" spans="95:105" ht="23.5">
      <c r="CQ2380" s="45">
        <v>2376</v>
      </c>
      <c r="CR2380" s="18">
        <v>0</v>
      </c>
      <c r="CS2380" s="18" t="str">
        <v>Nothing</v>
      </c>
      <c r="CU2380" s="45">
        <v>2376</v>
      </c>
      <c r="CV2380" s="18">
        <v>24.377554033101816</v>
      </c>
      <c r="CW2380" s="18" t="str">
        <v>Invest</v>
      </c>
      <c r="CY2380" s="45">
        <v>2376</v>
      </c>
      <c r="CZ2380" s="18">
        <v>8.6075495921373886</v>
      </c>
      <c r="DA2380" s="18" t="str">
        <v>Invest</v>
      </c>
    </row>
    <row r="2381" spans="95:105" ht="23.5">
      <c r="CQ2381" s="45">
        <v>2377</v>
      </c>
      <c r="CR2381" s="18">
        <v>35.522178448790491</v>
      </c>
      <c r="CS2381" s="18" t="str">
        <v>Invest</v>
      </c>
      <c r="CU2381" s="45">
        <v>2377</v>
      </c>
      <c r="CV2381" s="18">
        <v>23.005104260785846</v>
      </c>
      <c r="CW2381" s="18" t="str">
        <v>Invest</v>
      </c>
      <c r="CY2381" s="45">
        <v>2377</v>
      </c>
      <c r="CZ2381" s="18">
        <v>11.243424600521443</v>
      </c>
      <c r="DA2381" s="18" t="str">
        <v>Invest</v>
      </c>
    </row>
    <row r="2382" spans="95:105" ht="23.5">
      <c r="CQ2382" s="45">
        <v>2378</v>
      </c>
      <c r="CR2382" s="18">
        <v>0</v>
      </c>
      <c r="CS2382" s="18" t="str">
        <v>Nothing</v>
      </c>
      <c r="CU2382" s="45">
        <v>2378</v>
      </c>
      <c r="CV2382" s="18">
        <v>15.843524447522912</v>
      </c>
      <c r="CW2382" s="18" t="str">
        <v>Invest</v>
      </c>
      <c r="CY2382" s="45">
        <v>2378</v>
      </c>
      <c r="CZ2382" s="18">
        <v>45.560731361424118</v>
      </c>
      <c r="DA2382" s="18" t="str">
        <v>Invest</v>
      </c>
    </row>
    <row r="2383" spans="95:105" ht="23.5">
      <c r="CQ2383" s="45">
        <v>2379</v>
      </c>
      <c r="CR2383" s="18">
        <v>15.257348435444335</v>
      </c>
      <c r="CS2383" s="18" t="str">
        <v>Invest</v>
      </c>
      <c r="CU2383" s="45">
        <v>2379</v>
      </c>
      <c r="CV2383" s="18">
        <v>0</v>
      </c>
      <c r="CW2383" s="18" t="str">
        <v>Nothing</v>
      </c>
      <c r="CY2383" s="45">
        <v>2379</v>
      </c>
      <c r="CZ2383" s="18">
        <v>6.1108050509422496</v>
      </c>
      <c r="DA2383" s="18" t="str">
        <v>Invest</v>
      </c>
    </row>
    <row r="2384" spans="95:105" ht="23.5">
      <c r="CQ2384" s="45">
        <v>2380</v>
      </c>
      <c r="CR2384" s="18">
        <v>31.991532030263485</v>
      </c>
      <c r="CS2384" s="18" t="str">
        <v>Invest</v>
      </c>
      <c r="CU2384" s="45">
        <v>2380</v>
      </c>
      <c r="CV2384" s="18">
        <v>0</v>
      </c>
      <c r="CW2384" s="18" t="str">
        <v>Nothing</v>
      </c>
      <c r="CY2384" s="45">
        <v>2380</v>
      </c>
      <c r="CZ2384" s="18">
        <v>0</v>
      </c>
      <c r="DA2384" s="18" t="str">
        <v>Nothing</v>
      </c>
    </row>
    <row r="2385" spans="95:105" ht="23.5">
      <c r="CQ2385" s="45">
        <v>2381</v>
      </c>
      <c r="CR2385" s="18">
        <v>17.549266722525019</v>
      </c>
      <c r="CS2385" s="18" t="str">
        <v>Invest</v>
      </c>
      <c r="CU2385" s="45">
        <v>2381</v>
      </c>
      <c r="CV2385" s="18">
        <v>0</v>
      </c>
      <c r="CW2385" s="18" t="str">
        <v>Nothing</v>
      </c>
      <c r="CY2385" s="45">
        <v>2381</v>
      </c>
      <c r="CZ2385" s="18">
        <v>30.251627004056122</v>
      </c>
      <c r="DA2385" s="18" t="str">
        <v>Invest</v>
      </c>
    </row>
    <row r="2386" spans="95:105" ht="23.5">
      <c r="CQ2386" s="45">
        <v>2382</v>
      </c>
      <c r="CR2386" s="18">
        <v>17.717262097494981</v>
      </c>
      <c r="CS2386" s="18" t="str">
        <v>Invest</v>
      </c>
      <c r="CU2386" s="45">
        <v>2382</v>
      </c>
      <c r="CV2386" s="18">
        <v>16.965319939024489</v>
      </c>
      <c r="CW2386" s="18" t="str">
        <v>Invest</v>
      </c>
      <c r="CY2386" s="45">
        <v>2382</v>
      </c>
      <c r="CZ2386" s="18">
        <v>8.1074432037976472</v>
      </c>
      <c r="DA2386" s="18" t="str">
        <v>Invest</v>
      </c>
    </row>
    <row r="2387" spans="95:105" ht="23.5">
      <c r="CQ2387" s="45">
        <v>2383</v>
      </c>
      <c r="CR2387" s="18">
        <v>0</v>
      </c>
      <c r="CS2387" s="18" t="str">
        <v>Nothing</v>
      </c>
      <c r="CU2387" s="45">
        <v>2383</v>
      </c>
      <c r="CV2387" s="18">
        <v>10.975156040743276</v>
      </c>
      <c r="CW2387" s="18" t="str">
        <v>Invest</v>
      </c>
      <c r="CY2387" s="45">
        <v>2383</v>
      </c>
      <c r="CZ2387" s="18">
        <v>9.0472511127569408</v>
      </c>
      <c r="DA2387" s="18" t="str">
        <v>Invest</v>
      </c>
    </row>
    <row r="2388" spans="95:105" ht="23.5">
      <c r="CQ2388" s="45">
        <v>2384</v>
      </c>
      <c r="CR2388" s="18">
        <v>0</v>
      </c>
      <c r="CS2388" s="18" t="str">
        <v>Nothing</v>
      </c>
      <c r="CU2388" s="45">
        <v>2384</v>
      </c>
      <c r="CV2388" s="18">
        <v>35.228105975236311</v>
      </c>
      <c r="CW2388" s="18" t="str">
        <v>Invest</v>
      </c>
      <c r="CY2388" s="45">
        <v>2384</v>
      </c>
      <c r="CZ2388" s="18">
        <v>8.8898100289351696</v>
      </c>
      <c r="DA2388" s="18" t="str">
        <v>Invest</v>
      </c>
    </row>
    <row r="2389" spans="95:105" ht="23.5">
      <c r="CQ2389" s="45">
        <v>2385</v>
      </c>
      <c r="CR2389" s="18">
        <v>22.57241450469618</v>
      </c>
      <c r="CS2389" s="18" t="str">
        <v>Invest</v>
      </c>
      <c r="CU2389" s="45">
        <v>2385</v>
      </c>
      <c r="CV2389" s="18">
        <v>20.49735449495159</v>
      </c>
      <c r="CW2389" s="18" t="str">
        <v>Invest</v>
      </c>
      <c r="CY2389" s="45">
        <v>2385</v>
      </c>
      <c r="CZ2389" s="18">
        <v>15.92379893958849</v>
      </c>
      <c r="DA2389" s="18" t="str">
        <v>Invest</v>
      </c>
    </row>
    <row r="2390" spans="95:105" ht="23.5">
      <c r="CQ2390" s="45">
        <v>2386</v>
      </c>
      <c r="CR2390" s="18">
        <v>0</v>
      </c>
      <c r="CS2390" s="18" t="str">
        <v>Nothing</v>
      </c>
      <c r="CU2390" s="45">
        <v>2386</v>
      </c>
      <c r="CV2390" s="18">
        <v>11.83183546747237</v>
      </c>
      <c r="CW2390" s="18" t="str">
        <v>Invest</v>
      </c>
      <c r="CY2390" s="45">
        <v>2386</v>
      </c>
      <c r="CZ2390" s="18">
        <v>8.1931033560579252</v>
      </c>
      <c r="DA2390" s="18" t="str">
        <v>Invest</v>
      </c>
    </row>
    <row r="2391" spans="95:105" ht="23.5">
      <c r="CQ2391" s="45">
        <v>2387</v>
      </c>
      <c r="CR2391" s="18">
        <v>0</v>
      </c>
      <c r="CS2391" s="18" t="str">
        <v>Nothing</v>
      </c>
      <c r="CU2391" s="45">
        <v>2387</v>
      </c>
      <c r="CV2391" s="18">
        <v>2.2436712769570217</v>
      </c>
      <c r="CW2391" s="18" t="str">
        <v>Invest</v>
      </c>
      <c r="CY2391" s="45">
        <v>2387</v>
      </c>
      <c r="CZ2391" s="18">
        <v>26.360844191753785</v>
      </c>
      <c r="DA2391" s="18" t="str">
        <v>Invest</v>
      </c>
    </row>
    <row r="2392" spans="95:105" ht="23.5">
      <c r="CQ2392" s="45">
        <v>2388</v>
      </c>
      <c r="CR2392" s="18">
        <v>13.758737166863892</v>
      </c>
      <c r="CS2392" s="18" t="str">
        <v>Invest</v>
      </c>
      <c r="CU2392" s="45">
        <v>2388</v>
      </c>
      <c r="CV2392" s="18">
        <v>9.7938672848936896</v>
      </c>
      <c r="CW2392" s="18" t="str">
        <v>Invest</v>
      </c>
      <c r="CY2392" s="45">
        <v>2388</v>
      </c>
      <c r="CZ2392" s="18">
        <v>0</v>
      </c>
      <c r="DA2392" s="18" t="str">
        <v>Nothing</v>
      </c>
    </row>
    <row r="2393" spans="95:105" ht="23.5">
      <c r="CQ2393" s="45">
        <v>2389</v>
      </c>
      <c r="CR2393" s="18">
        <v>0</v>
      </c>
      <c r="CS2393" s="18" t="str">
        <v>Nothing</v>
      </c>
      <c r="CU2393" s="45">
        <v>2389</v>
      </c>
      <c r="CV2393" s="18">
        <v>37.223980869661375</v>
      </c>
      <c r="CW2393" s="18" t="str">
        <v>Invest</v>
      </c>
      <c r="CY2393" s="45">
        <v>2389</v>
      </c>
      <c r="CZ2393" s="18">
        <v>34.055809827770304</v>
      </c>
      <c r="DA2393" s="18" t="str">
        <v>Invest</v>
      </c>
    </row>
    <row r="2394" spans="95:105" ht="23.5">
      <c r="CQ2394" s="45">
        <v>2390</v>
      </c>
      <c r="CR2394" s="18">
        <v>44.342501089517803</v>
      </c>
      <c r="CS2394" s="18" t="str">
        <v>Invest</v>
      </c>
      <c r="CU2394" s="45">
        <v>2390</v>
      </c>
      <c r="CV2394" s="18">
        <v>48.673635924807385</v>
      </c>
      <c r="CW2394" s="18" t="str">
        <v>Invest</v>
      </c>
      <c r="CY2394" s="45">
        <v>2390</v>
      </c>
      <c r="CZ2394" s="18">
        <v>35.571103578312623</v>
      </c>
      <c r="DA2394" s="18" t="str">
        <v>Invest</v>
      </c>
    </row>
    <row r="2395" spans="95:105" ht="23.5">
      <c r="CQ2395" s="45">
        <v>2391</v>
      </c>
      <c r="CR2395" s="18">
        <v>0</v>
      </c>
      <c r="CS2395" s="18" t="str">
        <v>Nothing</v>
      </c>
      <c r="CU2395" s="45">
        <v>2391</v>
      </c>
      <c r="CV2395" s="18">
        <v>0</v>
      </c>
      <c r="CW2395" s="18" t="str">
        <v>Nothing</v>
      </c>
      <c r="CY2395" s="45">
        <v>2391</v>
      </c>
      <c r="CZ2395" s="18">
        <v>20.998072950816116</v>
      </c>
      <c r="DA2395" s="18" t="str">
        <v>Invest</v>
      </c>
    </row>
    <row r="2396" spans="95:105" ht="23.5">
      <c r="CQ2396" s="45">
        <v>2392</v>
      </c>
      <c r="CR2396" s="18">
        <v>20.707830752891432</v>
      </c>
      <c r="CS2396" s="18" t="str">
        <v>Invest</v>
      </c>
      <c r="CU2396" s="45">
        <v>2392</v>
      </c>
      <c r="CV2396" s="18">
        <v>30.781554864866298</v>
      </c>
      <c r="CW2396" s="18" t="str">
        <v>Invest</v>
      </c>
      <c r="CY2396" s="45">
        <v>2392</v>
      </c>
      <c r="CZ2396" s="18">
        <v>30.775291702365543</v>
      </c>
      <c r="DA2396" s="18" t="str">
        <v>Invest</v>
      </c>
    </row>
    <row r="2397" spans="95:105" ht="23.5">
      <c r="CQ2397" s="45">
        <v>2393</v>
      </c>
      <c r="CR2397" s="18">
        <v>0</v>
      </c>
      <c r="CS2397" s="18" t="str">
        <v>Nothing</v>
      </c>
      <c r="CU2397" s="45">
        <v>2393</v>
      </c>
      <c r="CV2397" s="18">
        <v>28.843269613936165</v>
      </c>
      <c r="CW2397" s="18" t="str">
        <v>Invest</v>
      </c>
      <c r="CY2397" s="45">
        <v>2393</v>
      </c>
      <c r="CZ2397" s="18">
        <v>0</v>
      </c>
      <c r="DA2397" s="18" t="str">
        <v>Nothing</v>
      </c>
    </row>
    <row r="2398" spans="95:105" ht="23.5">
      <c r="CQ2398" s="45">
        <v>2394</v>
      </c>
      <c r="CR2398" s="18">
        <v>57.24730774500896</v>
      </c>
      <c r="CS2398" s="18" t="str">
        <v>Invest</v>
      </c>
      <c r="CU2398" s="45">
        <v>2394</v>
      </c>
      <c r="CV2398" s="18">
        <v>35.365732889863445</v>
      </c>
      <c r="CW2398" s="18" t="str">
        <v>Invest</v>
      </c>
      <c r="CY2398" s="45">
        <v>2394</v>
      </c>
      <c r="CZ2398" s="18">
        <v>7.4038018607420062</v>
      </c>
      <c r="DA2398" s="18" t="str">
        <v>Invest</v>
      </c>
    </row>
    <row r="2399" spans="95:105" ht="23.5">
      <c r="CQ2399" s="45">
        <v>2395</v>
      </c>
      <c r="CR2399" s="18">
        <v>12.185289974954838</v>
      </c>
      <c r="CS2399" s="18" t="str">
        <v>Invest</v>
      </c>
      <c r="CU2399" s="45">
        <v>2395</v>
      </c>
      <c r="CV2399" s="18">
        <v>9.5175717972329039</v>
      </c>
      <c r="CW2399" s="18" t="str">
        <v>Invest</v>
      </c>
      <c r="CY2399" s="45">
        <v>2395</v>
      </c>
      <c r="CZ2399" s="18">
        <v>2.0056634490951915</v>
      </c>
      <c r="DA2399" s="18" t="str">
        <v>Invest</v>
      </c>
    </row>
    <row r="2400" spans="95:105" ht="23.5">
      <c r="CQ2400" s="45">
        <v>2396</v>
      </c>
      <c r="CR2400" s="18">
        <v>0</v>
      </c>
      <c r="CS2400" s="18" t="str">
        <v>Nothing</v>
      </c>
      <c r="CU2400" s="45">
        <v>2396</v>
      </c>
      <c r="CV2400" s="18">
        <v>36.730577990706387</v>
      </c>
      <c r="CW2400" s="18" t="str">
        <v>Invest</v>
      </c>
      <c r="CY2400" s="45">
        <v>2396</v>
      </c>
      <c r="CZ2400" s="18">
        <v>0</v>
      </c>
      <c r="DA2400" s="18" t="str">
        <v>Nothing</v>
      </c>
    </row>
    <row r="2401" spans="95:105" ht="23.5">
      <c r="CQ2401" s="45">
        <v>2397</v>
      </c>
      <c r="CR2401" s="18">
        <v>32.434182044086782</v>
      </c>
      <c r="CS2401" s="18" t="str">
        <v>Invest</v>
      </c>
      <c r="CU2401" s="45">
        <v>2397</v>
      </c>
      <c r="CV2401" s="18">
        <v>0</v>
      </c>
      <c r="CW2401" s="18" t="str">
        <v>Nothing</v>
      </c>
      <c r="CY2401" s="45">
        <v>2397</v>
      </c>
      <c r="CZ2401" s="18">
        <v>0</v>
      </c>
      <c r="DA2401" s="18" t="str">
        <v>Nothing</v>
      </c>
    </row>
    <row r="2402" spans="95:105" ht="23.5">
      <c r="CQ2402" s="45">
        <v>2398</v>
      </c>
      <c r="CR2402" s="18">
        <v>11.762027231017139</v>
      </c>
      <c r="CS2402" s="18" t="str">
        <v>Invest</v>
      </c>
      <c r="CU2402" s="45">
        <v>2398</v>
      </c>
      <c r="CV2402" s="18">
        <v>0</v>
      </c>
      <c r="CW2402" s="18" t="str">
        <v>Nothing</v>
      </c>
      <c r="CY2402" s="45">
        <v>2398</v>
      </c>
      <c r="CZ2402" s="18">
        <v>6.6685180985928127E-2</v>
      </c>
      <c r="DA2402" s="18" t="str">
        <v>Invest</v>
      </c>
    </row>
    <row r="2403" spans="95:105" ht="23.5">
      <c r="CQ2403" s="45">
        <v>2399</v>
      </c>
      <c r="CR2403" s="18">
        <v>36.688815443432659</v>
      </c>
      <c r="CS2403" s="18" t="str">
        <v>Invest</v>
      </c>
      <c r="CU2403" s="45">
        <v>2399</v>
      </c>
      <c r="CV2403" s="18">
        <v>0</v>
      </c>
      <c r="CW2403" s="18" t="str">
        <v>Nothing</v>
      </c>
      <c r="CY2403" s="45">
        <v>2399</v>
      </c>
      <c r="CZ2403" s="18">
        <v>49.103628814532946</v>
      </c>
      <c r="DA2403" s="18" t="str">
        <v>Invest</v>
      </c>
    </row>
    <row r="2404" spans="95:105" ht="23.5">
      <c r="CQ2404" s="45">
        <v>2400</v>
      </c>
      <c r="CR2404" s="18">
        <v>26.242355214903888</v>
      </c>
      <c r="CS2404" s="18" t="str">
        <v>Invest</v>
      </c>
      <c r="CU2404" s="45">
        <v>2400</v>
      </c>
      <c r="CV2404" s="18">
        <v>24.469613741637925</v>
      </c>
      <c r="CW2404" s="18" t="str">
        <v>Invest</v>
      </c>
      <c r="CY2404" s="45">
        <v>2400</v>
      </c>
      <c r="CZ2404" s="18">
        <v>0</v>
      </c>
      <c r="DA2404" s="18" t="str">
        <v>Nothing</v>
      </c>
    </row>
    <row r="2405" spans="95:105" ht="23.5">
      <c r="CQ2405" s="45">
        <v>2401</v>
      </c>
      <c r="CR2405" s="18">
        <v>0</v>
      </c>
      <c r="CS2405" s="18" t="str">
        <v>Nothing</v>
      </c>
      <c r="CU2405" s="45">
        <v>2401</v>
      </c>
      <c r="CV2405" s="18">
        <v>15.723765429261624</v>
      </c>
      <c r="CW2405" s="18" t="str">
        <v>Invest</v>
      </c>
      <c r="CY2405" s="45">
        <v>2401</v>
      </c>
      <c r="CZ2405" s="18">
        <v>20.285473087405354</v>
      </c>
      <c r="DA2405" s="18" t="str">
        <v>Invest</v>
      </c>
    </row>
    <row r="2406" spans="95:105" ht="23.5">
      <c r="CQ2406" s="45">
        <v>2402</v>
      </c>
      <c r="CR2406" s="18">
        <v>0</v>
      </c>
      <c r="CS2406" s="18" t="str">
        <v>Nothing</v>
      </c>
      <c r="CU2406" s="45">
        <v>2402</v>
      </c>
      <c r="CV2406" s="18">
        <v>0</v>
      </c>
      <c r="CW2406" s="18" t="str">
        <v>Nothing</v>
      </c>
      <c r="CY2406" s="45">
        <v>2402</v>
      </c>
      <c r="CZ2406" s="18">
        <v>2.0404161881068834</v>
      </c>
      <c r="DA2406" s="18" t="str">
        <v>Invest</v>
      </c>
    </row>
    <row r="2407" spans="95:105" ht="23.5">
      <c r="CQ2407" s="45">
        <v>2403</v>
      </c>
      <c r="CR2407" s="18">
        <v>36.543431849578823</v>
      </c>
      <c r="CS2407" s="18" t="str">
        <v>Invest</v>
      </c>
      <c r="CU2407" s="45">
        <v>2403</v>
      </c>
      <c r="CV2407" s="18">
        <v>20.736172184338894</v>
      </c>
      <c r="CW2407" s="18" t="str">
        <v>Invest</v>
      </c>
      <c r="CY2407" s="45">
        <v>2403</v>
      </c>
      <c r="CZ2407" s="18">
        <v>0</v>
      </c>
      <c r="DA2407" s="18" t="str">
        <v>Nothing</v>
      </c>
    </row>
    <row r="2408" spans="95:105" ht="23.5">
      <c r="CQ2408" s="45">
        <v>2404</v>
      </c>
      <c r="CR2408" s="18">
        <v>0</v>
      </c>
      <c r="CS2408" s="18" t="str">
        <v>Nothing</v>
      </c>
      <c r="CU2408" s="45">
        <v>2404</v>
      </c>
      <c r="CV2408" s="18">
        <v>48.093522597422755</v>
      </c>
      <c r="CW2408" s="18" t="str">
        <v>Invest</v>
      </c>
      <c r="CY2408" s="45">
        <v>2404</v>
      </c>
      <c r="CZ2408" s="18">
        <v>12.637409279244732</v>
      </c>
      <c r="DA2408" s="18" t="str">
        <v>Invest</v>
      </c>
    </row>
    <row r="2409" spans="95:105" ht="23.5">
      <c r="CQ2409" s="45">
        <v>2405</v>
      </c>
      <c r="CR2409" s="18">
        <v>0</v>
      </c>
      <c r="CS2409" s="18" t="str">
        <v>Nothing</v>
      </c>
      <c r="CU2409" s="45">
        <v>2405</v>
      </c>
      <c r="CV2409" s="18">
        <v>16.124262805932361</v>
      </c>
      <c r="CW2409" s="18" t="str">
        <v>Invest</v>
      </c>
      <c r="CY2409" s="45">
        <v>2405</v>
      </c>
      <c r="CZ2409" s="18">
        <v>19.131022331466529</v>
      </c>
      <c r="DA2409" s="18" t="str">
        <v>Invest</v>
      </c>
    </row>
    <row r="2410" spans="95:105" ht="23.5">
      <c r="CQ2410" s="45">
        <v>2406</v>
      </c>
      <c r="CR2410" s="18">
        <v>15.543999077432494</v>
      </c>
      <c r="CS2410" s="18" t="str">
        <v>Invest</v>
      </c>
      <c r="CU2410" s="45">
        <v>2406</v>
      </c>
      <c r="CV2410" s="18">
        <v>31.154828867269821</v>
      </c>
      <c r="CW2410" s="18" t="str">
        <v>Invest</v>
      </c>
      <c r="CY2410" s="45">
        <v>2406</v>
      </c>
      <c r="CZ2410" s="18">
        <v>0</v>
      </c>
      <c r="DA2410" s="18" t="str">
        <v>Nothing</v>
      </c>
    </row>
    <row r="2411" spans="95:105" ht="23.5">
      <c r="CQ2411" s="45">
        <v>2407</v>
      </c>
      <c r="CR2411" s="18">
        <v>49.550597895000735</v>
      </c>
      <c r="CS2411" s="18" t="str">
        <v>Invest</v>
      </c>
      <c r="CU2411" s="45">
        <v>2407</v>
      </c>
      <c r="CV2411" s="18">
        <v>0</v>
      </c>
      <c r="CW2411" s="18" t="str">
        <v>Nothing</v>
      </c>
      <c r="CY2411" s="45">
        <v>2407</v>
      </c>
      <c r="CZ2411" s="18">
        <v>14.556637642153742</v>
      </c>
      <c r="DA2411" s="18" t="str">
        <v>Invest</v>
      </c>
    </row>
    <row r="2412" spans="95:105" ht="23.5">
      <c r="CQ2412" s="45">
        <v>2408</v>
      </c>
      <c r="CR2412" s="18">
        <v>9.9476690088620394</v>
      </c>
      <c r="CS2412" s="18" t="str">
        <v>Invest</v>
      </c>
      <c r="CU2412" s="45">
        <v>2408</v>
      </c>
      <c r="CV2412" s="18">
        <v>52.138713178274685</v>
      </c>
      <c r="CW2412" s="18" t="str">
        <v>Invest</v>
      </c>
      <c r="CY2412" s="45">
        <v>2408</v>
      </c>
      <c r="CZ2412" s="18">
        <v>12.515807497590673</v>
      </c>
      <c r="DA2412" s="18" t="str">
        <v>Invest</v>
      </c>
    </row>
    <row r="2413" spans="95:105" ht="23.5">
      <c r="CQ2413" s="45">
        <v>2409</v>
      </c>
      <c r="CR2413" s="18">
        <v>42.672905102335903</v>
      </c>
      <c r="CS2413" s="18" t="str">
        <v>Invest</v>
      </c>
      <c r="CU2413" s="45">
        <v>2409</v>
      </c>
      <c r="CV2413" s="18">
        <v>0</v>
      </c>
      <c r="CW2413" s="18" t="str">
        <v>Nothing</v>
      </c>
      <c r="CY2413" s="45">
        <v>2409</v>
      </c>
      <c r="CZ2413" s="18">
        <v>0</v>
      </c>
      <c r="DA2413" s="18" t="str">
        <v>Nothing</v>
      </c>
    </row>
    <row r="2414" spans="95:105" ht="23.5">
      <c r="CQ2414" s="45">
        <v>2410</v>
      </c>
      <c r="CR2414" s="18">
        <v>0</v>
      </c>
      <c r="CS2414" s="18" t="str">
        <v>Nothing</v>
      </c>
      <c r="CU2414" s="45">
        <v>2410</v>
      </c>
      <c r="CV2414" s="18">
        <v>6.3332730498021235</v>
      </c>
      <c r="CW2414" s="18" t="str">
        <v>Invest</v>
      </c>
      <c r="CY2414" s="45">
        <v>2410</v>
      </c>
      <c r="CZ2414" s="18">
        <v>27.500919077197107</v>
      </c>
      <c r="DA2414" s="18" t="str">
        <v>Invest</v>
      </c>
    </row>
    <row r="2415" spans="95:105" ht="23.5">
      <c r="CQ2415" s="45">
        <v>2411</v>
      </c>
      <c r="CR2415" s="18">
        <v>21.040242875858691</v>
      </c>
      <c r="CS2415" s="18" t="str">
        <v>Invest</v>
      </c>
      <c r="CU2415" s="45">
        <v>2411</v>
      </c>
      <c r="CV2415" s="18">
        <v>26.113754681492871</v>
      </c>
      <c r="CW2415" s="18" t="str">
        <v>Invest</v>
      </c>
      <c r="CY2415" s="45">
        <v>2411</v>
      </c>
      <c r="CZ2415" s="18">
        <v>24.773525180744034</v>
      </c>
      <c r="DA2415" s="18" t="str">
        <v>Invest</v>
      </c>
    </row>
    <row r="2416" spans="95:105" ht="23.5">
      <c r="CQ2416" s="45">
        <v>2412</v>
      </c>
      <c r="CR2416" s="18">
        <v>9.1481678689401846</v>
      </c>
      <c r="CS2416" s="18" t="str">
        <v>Invest</v>
      </c>
      <c r="CU2416" s="45">
        <v>2412</v>
      </c>
      <c r="CV2416" s="18">
        <v>42.565506498598616</v>
      </c>
      <c r="CW2416" s="18" t="str">
        <v>Invest</v>
      </c>
      <c r="CY2416" s="45">
        <v>2412</v>
      </c>
      <c r="CZ2416" s="18">
        <v>54.920090830273764</v>
      </c>
      <c r="DA2416" s="18" t="str">
        <v>Invest</v>
      </c>
    </row>
    <row r="2417" spans="95:105" ht="23.5">
      <c r="CQ2417" s="45">
        <v>2413</v>
      </c>
      <c r="CR2417" s="18">
        <v>19.369982502379298</v>
      </c>
      <c r="CS2417" s="18" t="str">
        <v>Invest</v>
      </c>
      <c r="CU2417" s="45">
        <v>2413</v>
      </c>
      <c r="CV2417" s="18">
        <v>0</v>
      </c>
      <c r="CW2417" s="18" t="str">
        <v>Nothing</v>
      </c>
      <c r="CY2417" s="45">
        <v>2413</v>
      </c>
      <c r="CZ2417" s="18">
        <v>0</v>
      </c>
      <c r="DA2417" s="18" t="str">
        <v>Nothing</v>
      </c>
    </row>
    <row r="2418" spans="95:105" ht="23.5">
      <c r="CQ2418" s="45">
        <v>2414</v>
      </c>
      <c r="CR2418" s="18">
        <v>10.668868098552508</v>
      </c>
      <c r="CS2418" s="18" t="str">
        <v>Invest</v>
      </c>
      <c r="CU2418" s="45">
        <v>2414</v>
      </c>
      <c r="CV2418" s="18">
        <v>36.085559299494804</v>
      </c>
      <c r="CW2418" s="18" t="str">
        <v>Invest</v>
      </c>
      <c r="CY2418" s="45">
        <v>2414</v>
      </c>
      <c r="CZ2418" s="18">
        <v>0</v>
      </c>
      <c r="DA2418" s="18" t="str">
        <v>Nothing</v>
      </c>
    </row>
    <row r="2419" spans="95:105" ht="23.5">
      <c r="CQ2419" s="45">
        <v>2415</v>
      </c>
      <c r="CR2419" s="18">
        <v>10.954259484178099</v>
      </c>
      <c r="CS2419" s="18" t="str">
        <v>Invest</v>
      </c>
      <c r="CU2419" s="45">
        <v>2415</v>
      </c>
      <c r="CV2419" s="18">
        <v>13.062940833930515</v>
      </c>
      <c r="CW2419" s="18" t="str">
        <v>Invest</v>
      </c>
      <c r="CY2419" s="45">
        <v>2415</v>
      </c>
      <c r="CZ2419" s="18">
        <v>0</v>
      </c>
      <c r="DA2419" s="18" t="str">
        <v>Nothing</v>
      </c>
    </row>
    <row r="2420" spans="95:105" ht="23.5">
      <c r="CQ2420" s="45">
        <v>2416</v>
      </c>
      <c r="CR2420" s="18">
        <v>12.609918442919954</v>
      </c>
      <c r="CS2420" s="18" t="str">
        <v>Invest</v>
      </c>
      <c r="CU2420" s="45">
        <v>2416</v>
      </c>
      <c r="CV2420" s="18">
        <v>9.958431425227678</v>
      </c>
      <c r="CW2420" s="18" t="str">
        <v>Invest</v>
      </c>
      <c r="CY2420" s="45">
        <v>2416</v>
      </c>
      <c r="CZ2420" s="18">
        <v>0</v>
      </c>
      <c r="DA2420" s="18" t="str">
        <v>Nothing</v>
      </c>
    </row>
    <row r="2421" spans="95:105" ht="23.5">
      <c r="CQ2421" s="45">
        <v>2417</v>
      </c>
      <c r="CR2421" s="18">
        <v>32.259817180124728</v>
      </c>
      <c r="CS2421" s="18" t="str">
        <v>Invest</v>
      </c>
      <c r="CU2421" s="45">
        <v>2417</v>
      </c>
      <c r="CV2421" s="18">
        <v>34.479643915462532</v>
      </c>
      <c r="CW2421" s="18" t="str">
        <v>Invest</v>
      </c>
      <c r="CY2421" s="45">
        <v>2417</v>
      </c>
      <c r="CZ2421" s="18">
        <v>14.884068411913191</v>
      </c>
      <c r="DA2421" s="18" t="str">
        <v>Invest</v>
      </c>
    </row>
    <row r="2422" spans="95:105" ht="23.5">
      <c r="CQ2422" s="45">
        <v>2418</v>
      </c>
      <c r="CR2422" s="18">
        <v>16.109392602062538</v>
      </c>
      <c r="CS2422" s="18" t="str">
        <v>Invest</v>
      </c>
      <c r="CU2422" s="45">
        <v>2418</v>
      </c>
      <c r="CV2422" s="18">
        <v>5.9144531810245091</v>
      </c>
      <c r="CW2422" s="18" t="str">
        <v>Invest</v>
      </c>
      <c r="CY2422" s="45">
        <v>2418</v>
      </c>
      <c r="CZ2422" s="18">
        <v>10.012963165367506</v>
      </c>
      <c r="DA2422" s="18" t="str">
        <v>Invest</v>
      </c>
    </row>
    <row r="2423" spans="95:105" ht="23.5">
      <c r="CQ2423" s="45">
        <v>2419</v>
      </c>
      <c r="CR2423" s="18">
        <v>17.166703581453593</v>
      </c>
      <c r="CS2423" s="18" t="str">
        <v>Invest</v>
      </c>
      <c r="CU2423" s="45">
        <v>2419</v>
      </c>
      <c r="CV2423" s="18">
        <v>11.637798317227034</v>
      </c>
      <c r="CW2423" s="18" t="str">
        <v>Invest</v>
      </c>
      <c r="CY2423" s="45">
        <v>2419</v>
      </c>
      <c r="CZ2423" s="18">
        <v>0</v>
      </c>
      <c r="DA2423" s="18" t="str">
        <v>Nothing</v>
      </c>
    </row>
    <row r="2424" spans="95:105" ht="23.5">
      <c r="CQ2424" s="45">
        <v>2420</v>
      </c>
      <c r="CR2424" s="18">
        <v>0</v>
      </c>
      <c r="CS2424" s="18" t="str">
        <v>Nothing</v>
      </c>
      <c r="CU2424" s="45">
        <v>2420</v>
      </c>
      <c r="CV2424" s="18">
        <v>29.467618293498468</v>
      </c>
      <c r="CW2424" s="18" t="str">
        <v>Invest</v>
      </c>
      <c r="CY2424" s="45">
        <v>2420</v>
      </c>
      <c r="CZ2424" s="18">
        <v>0</v>
      </c>
      <c r="DA2424" s="18" t="str">
        <v>Nothing</v>
      </c>
    </row>
    <row r="2425" spans="95:105" ht="23.5">
      <c r="CQ2425" s="45">
        <v>2421</v>
      </c>
      <c r="CR2425" s="18">
        <v>17.407008939168467</v>
      </c>
      <c r="CS2425" s="18" t="str">
        <v>Invest</v>
      </c>
      <c r="CU2425" s="45">
        <v>2421</v>
      </c>
      <c r="CV2425" s="18">
        <v>21.262674974461575</v>
      </c>
      <c r="CW2425" s="18" t="str">
        <v>Invest</v>
      </c>
      <c r="CY2425" s="45">
        <v>2421</v>
      </c>
      <c r="CZ2425" s="18">
        <v>23.999635028876817</v>
      </c>
      <c r="DA2425" s="18" t="str">
        <v>Invest</v>
      </c>
    </row>
    <row r="2426" spans="95:105" ht="23.5">
      <c r="CQ2426" s="45">
        <v>2422</v>
      </c>
      <c r="CR2426" s="18">
        <v>1.6457896955422906</v>
      </c>
      <c r="CS2426" s="18" t="str">
        <v>Invest</v>
      </c>
      <c r="CU2426" s="45">
        <v>2422</v>
      </c>
      <c r="CV2426" s="18">
        <v>37.805312011934923</v>
      </c>
      <c r="CW2426" s="18" t="str">
        <v>Invest</v>
      </c>
      <c r="CY2426" s="45">
        <v>2422</v>
      </c>
      <c r="CZ2426" s="18">
        <v>0</v>
      </c>
      <c r="DA2426" s="18" t="str">
        <v>Nothing</v>
      </c>
    </row>
    <row r="2427" spans="95:105" ht="23.5">
      <c r="CQ2427" s="45">
        <v>2423</v>
      </c>
      <c r="CR2427" s="18">
        <v>27.690180206283863</v>
      </c>
      <c r="CS2427" s="18" t="str">
        <v>Invest</v>
      </c>
      <c r="CU2427" s="45">
        <v>2423</v>
      </c>
      <c r="CV2427" s="18">
        <v>0</v>
      </c>
      <c r="CW2427" s="18" t="str">
        <v>Nothing</v>
      </c>
      <c r="CY2427" s="45">
        <v>2423</v>
      </c>
      <c r="CZ2427" s="18">
        <v>18.578367251547689</v>
      </c>
      <c r="DA2427" s="18" t="str">
        <v>Invest</v>
      </c>
    </row>
    <row r="2428" spans="95:105" ht="23.5">
      <c r="CQ2428" s="45">
        <v>2424</v>
      </c>
      <c r="CR2428" s="18">
        <v>38.13952629218722</v>
      </c>
      <c r="CS2428" s="18" t="str">
        <v>Invest</v>
      </c>
      <c r="CU2428" s="45">
        <v>2424</v>
      </c>
      <c r="CV2428" s="18">
        <v>0</v>
      </c>
      <c r="CW2428" s="18" t="str">
        <v>Nothing</v>
      </c>
      <c r="CY2428" s="45">
        <v>2424</v>
      </c>
      <c r="CZ2428" s="18">
        <v>38.421328243935292</v>
      </c>
      <c r="DA2428" s="18" t="str">
        <v>Invest</v>
      </c>
    </row>
    <row r="2429" spans="95:105" ht="23.5">
      <c r="CQ2429" s="45">
        <v>2425</v>
      </c>
      <c r="CR2429" s="18">
        <v>7.0554508347900002</v>
      </c>
      <c r="CS2429" s="18" t="str">
        <v>Invest</v>
      </c>
      <c r="CU2429" s="45">
        <v>2425</v>
      </c>
      <c r="CV2429" s="18">
        <v>30.057032847911557</v>
      </c>
      <c r="CW2429" s="18" t="str">
        <v>Invest</v>
      </c>
      <c r="CY2429" s="45">
        <v>2425</v>
      </c>
      <c r="CZ2429" s="18">
        <v>11.989823737066693</v>
      </c>
      <c r="DA2429" s="18" t="str">
        <v>Invest</v>
      </c>
    </row>
    <row r="2430" spans="95:105" ht="23.5">
      <c r="CQ2430" s="45">
        <v>2426</v>
      </c>
      <c r="CR2430" s="18">
        <v>0</v>
      </c>
      <c r="CS2430" s="18" t="str">
        <v>Nothing</v>
      </c>
      <c r="CU2430" s="45">
        <v>2426</v>
      </c>
      <c r="CV2430" s="18">
        <v>53.195562925872458</v>
      </c>
      <c r="CW2430" s="18" t="str">
        <v>Invest</v>
      </c>
      <c r="CY2430" s="45">
        <v>2426</v>
      </c>
      <c r="CZ2430" s="18">
        <v>12.743587663768279</v>
      </c>
      <c r="DA2430" s="18" t="str">
        <v>Invest</v>
      </c>
    </row>
    <row r="2431" spans="95:105" ht="23.5">
      <c r="CQ2431" s="45">
        <v>2427</v>
      </c>
      <c r="CR2431" s="18">
        <v>58.004755488573323</v>
      </c>
      <c r="CS2431" s="18" t="str">
        <v>Invest</v>
      </c>
      <c r="CU2431" s="45">
        <v>2427</v>
      </c>
      <c r="CV2431" s="18">
        <v>32.313232984808181</v>
      </c>
      <c r="CW2431" s="18" t="str">
        <v>Invest</v>
      </c>
      <c r="CY2431" s="45">
        <v>2427</v>
      </c>
      <c r="CZ2431" s="18">
        <v>14.668906430132552</v>
      </c>
      <c r="DA2431" s="18" t="str">
        <v>Invest</v>
      </c>
    </row>
    <row r="2432" spans="95:105" ht="23.5">
      <c r="CQ2432" s="45">
        <v>2428</v>
      </c>
      <c r="CR2432" s="18">
        <v>19.418120325775185</v>
      </c>
      <c r="CS2432" s="18" t="str">
        <v>Invest</v>
      </c>
      <c r="CU2432" s="45">
        <v>2428</v>
      </c>
      <c r="CV2432" s="18">
        <v>25.912675362835721</v>
      </c>
      <c r="CW2432" s="18" t="str">
        <v>Invest</v>
      </c>
      <c r="CY2432" s="45">
        <v>2428</v>
      </c>
      <c r="CZ2432" s="18">
        <v>25.623949032779411</v>
      </c>
      <c r="DA2432" s="18" t="str">
        <v>Invest</v>
      </c>
    </row>
    <row r="2433" spans="95:105" ht="23.5">
      <c r="CQ2433" s="45">
        <v>2429</v>
      </c>
      <c r="CR2433" s="18">
        <v>0.317944511853959</v>
      </c>
      <c r="CS2433" s="18" t="str">
        <v>Invest</v>
      </c>
      <c r="CU2433" s="45">
        <v>2429</v>
      </c>
      <c r="CV2433" s="18">
        <v>23.173179605461335</v>
      </c>
      <c r="CW2433" s="18" t="str">
        <v>Invest</v>
      </c>
      <c r="CY2433" s="45">
        <v>2429</v>
      </c>
      <c r="CZ2433" s="18">
        <v>19.925246313809428</v>
      </c>
      <c r="DA2433" s="18" t="str">
        <v>Invest</v>
      </c>
    </row>
    <row r="2434" spans="95:105" ht="23.5">
      <c r="CQ2434" s="45">
        <v>2430</v>
      </c>
      <c r="CR2434" s="18">
        <v>52.843450947679045</v>
      </c>
      <c r="CS2434" s="18" t="str">
        <v>Invest</v>
      </c>
      <c r="CU2434" s="45">
        <v>2430</v>
      </c>
      <c r="CV2434" s="18">
        <v>0</v>
      </c>
      <c r="CW2434" s="18" t="str">
        <v>Nothing</v>
      </c>
      <c r="CY2434" s="45">
        <v>2430</v>
      </c>
      <c r="CZ2434" s="18">
        <v>1.0109657746017149</v>
      </c>
      <c r="DA2434" s="18" t="str">
        <v>Invest</v>
      </c>
    </row>
    <row r="2435" spans="95:105" ht="23.5">
      <c r="CQ2435" s="45">
        <v>2431</v>
      </c>
      <c r="CR2435" s="18">
        <v>32.951162462719616</v>
      </c>
      <c r="CS2435" s="18" t="str">
        <v>Invest</v>
      </c>
      <c r="CU2435" s="45">
        <v>2431</v>
      </c>
      <c r="CV2435" s="18">
        <v>0</v>
      </c>
      <c r="CW2435" s="18" t="str">
        <v>Nothing</v>
      </c>
      <c r="CY2435" s="45">
        <v>2431</v>
      </c>
      <c r="CZ2435" s="18">
        <v>28.927929927203653</v>
      </c>
      <c r="DA2435" s="18" t="str">
        <v>Invest</v>
      </c>
    </row>
    <row r="2436" spans="95:105" ht="23.5">
      <c r="CQ2436" s="45">
        <v>2432</v>
      </c>
      <c r="CR2436" s="18">
        <v>4.7384792197307064</v>
      </c>
      <c r="CS2436" s="18" t="str">
        <v>Invest</v>
      </c>
      <c r="CU2436" s="45">
        <v>2432</v>
      </c>
      <c r="CV2436" s="18">
        <v>49.643090094795269</v>
      </c>
      <c r="CW2436" s="18" t="str">
        <v>Invest</v>
      </c>
      <c r="CY2436" s="45">
        <v>2432</v>
      </c>
      <c r="CZ2436" s="18">
        <v>27.13640647937331</v>
      </c>
      <c r="DA2436" s="18" t="str">
        <v>Invest</v>
      </c>
    </row>
    <row r="2437" spans="95:105" ht="23.5">
      <c r="CQ2437" s="45">
        <v>2433</v>
      </c>
      <c r="CR2437" s="18">
        <v>20.423058730584088</v>
      </c>
      <c r="CS2437" s="18" t="str">
        <v>Invest</v>
      </c>
      <c r="CU2437" s="45">
        <v>2433</v>
      </c>
      <c r="CV2437" s="18">
        <v>2.1608893476858118</v>
      </c>
      <c r="CW2437" s="18" t="str">
        <v>Invest</v>
      </c>
      <c r="CY2437" s="45">
        <v>2433</v>
      </c>
      <c r="CZ2437" s="18">
        <v>0.42128570401288101</v>
      </c>
      <c r="DA2437" s="18" t="str">
        <v>Invest</v>
      </c>
    </row>
    <row r="2438" spans="95:105" ht="23.5">
      <c r="CQ2438" s="45">
        <v>2434</v>
      </c>
      <c r="CR2438" s="18">
        <v>19.809726409242437</v>
      </c>
      <c r="CS2438" s="18" t="str">
        <v>Invest</v>
      </c>
      <c r="CU2438" s="45">
        <v>2434</v>
      </c>
      <c r="CV2438" s="18">
        <v>0</v>
      </c>
      <c r="CW2438" s="18" t="str">
        <v>Nothing</v>
      </c>
      <c r="CY2438" s="45">
        <v>2434</v>
      </c>
      <c r="CZ2438" s="18">
        <v>0</v>
      </c>
      <c r="DA2438" s="18" t="str">
        <v>Nothing</v>
      </c>
    </row>
    <row r="2439" spans="95:105" ht="23.5">
      <c r="CQ2439" s="45">
        <v>2435</v>
      </c>
      <c r="CR2439" s="18">
        <v>34.445467351987105</v>
      </c>
      <c r="CS2439" s="18" t="str">
        <v>Invest</v>
      </c>
      <c r="CU2439" s="45">
        <v>2435</v>
      </c>
      <c r="CV2439" s="18">
        <v>39.225938881280456</v>
      </c>
      <c r="CW2439" s="18" t="str">
        <v>Invest</v>
      </c>
      <c r="CY2439" s="45">
        <v>2435</v>
      </c>
      <c r="CZ2439" s="18">
        <v>5.199073840131275</v>
      </c>
      <c r="DA2439" s="18" t="str">
        <v>Invest</v>
      </c>
    </row>
    <row r="2440" spans="95:105" ht="23.5">
      <c r="CQ2440" s="45">
        <v>2436</v>
      </c>
      <c r="CR2440" s="18">
        <v>0</v>
      </c>
      <c r="CS2440" s="18" t="str">
        <v>Nothing</v>
      </c>
      <c r="CU2440" s="45">
        <v>2436</v>
      </c>
      <c r="CV2440" s="18">
        <v>5.047824535927667</v>
      </c>
      <c r="CW2440" s="18" t="str">
        <v>Invest</v>
      </c>
      <c r="CY2440" s="45">
        <v>2436</v>
      </c>
      <c r="CZ2440" s="18">
        <v>10.002334424938521</v>
      </c>
      <c r="DA2440" s="18" t="str">
        <v>Invest</v>
      </c>
    </row>
    <row r="2441" spans="95:105" ht="23.5">
      <c r="CQ2441" s="45">
        <v>2437</v>
      </c>
      <c r="CR2441" s="18">
        <v>0</v>
      </c>
      <c r="CS2441" s="18" t="str">
        <v>Nothing</v>
      </c>
      <c r="CU2441" s="45">
        <v>2437</v>
      </c>
      <c r="CV2441" s="18">
        <v>14.810033966795785</v>
      </c>
      <c r="CW2441" s="18" t="str">
        <v>Invest</v>
      </c>
      <c r="CY2441" s="45">
        <v>2437</v>
      </c>
      <c r="CZ2441" s="18">
        <v>12.27751677761848</v>
      </c>
      <c r="DA2441" s="18" t="str">
        <v>Invest</v>
      </c>
    </row>
    <row r="2442" spans="95:105" ht="23.5">
      <c r="CQ2442" s="45">
        <v>2438</v>
      </c>
      <c r="CR2442" s="18">
        <v>43.29670332054279</v>
      </c>
      <c r="CS2442" s="18" t="str">
        <v>Invest</v>
      </c>
      <c r="CU2442" s="45">
        <v>2438</v>
      </c>
      <c r="CV2442" s="18">
        <v>47.50203723736638</v>
      </c>
      <c r="CW2442" s="18" t="str">
        <v>Invest</v>
      </c>
      <c r="CY2442" s="45">
        <v>2438</v>
      </c>
      <c r="CZ2442" s="18">
        <v>0</v>
      </c>
      <c r="DA2442" s="18" t="str">
        <v>Nothing</v>
      </c>
    </row>
    <row r="2443" spans="95:105" ht="23.5">
      <c r="CQ2443" s="45">
        <v>2439</v>
      </c>
      <c r="CR2443" s="18">
        <v>43.815514722087052</v>
      </c>
      <c r="CS2443" s="18" t="str">
        <v>Invest</v>
      </c>
      <c r="CU2443" s="45">
        <v>2439</v>
      </c>
      <c r="CV2443" s="18">
        <v>20.858990463944643</v>
      </c>
      <c r="CW2443" s="18" t="str">
        <v>Invest</v>
      </c>
      <c r="CY2443" s="45">
        <v>2439</v>
      </c>
      <c r="CZ2443" s="18">
        <v>26.702953630975998</v>
      </c>
      <c r="DA2443" s="18" t="str">
        <v>Invest</v>
      </c>
    </row>
    <row r="2444" spans="95:105" ht="23.5">
      <c r="CQ2444" s="45">
        <v>2440</v>
      </c>
      <c r="CR2444" s="18">
        <v>0</v>
      </c>
      <c r="CS2444" s="18" t="str">
        <v>Nothing</v>
      </c>
      <c r="CU2444" s="45">
        <v>2440</v>
      </c>
      <c r="CV2444" s="18">
        <v>28.86245756733959</v>
      </c>
      <c r="CW2444" s="18" t="str">
        <v>Invest</v>
      </c>
      <c r="CY2444" s="45">
        <v>2440</v>
      </c>
      <c r="CZ2444" s="18">
        <v>19.242126414915518</v>
      </c>
      <c r="DA2444" s="18" t="str">
        <v>Invest</v>
      </c>
    </row>
    <row r="2445" spans="95:105" ht="23.5">
      <c r="CQ2445" s="45">
        <v>2441</v>
      </c>
      <c r="CR2445" s="18">
        <v>24.276799776853672</v>
      </c>
      <c r="CS2445" s="18" t="str">
        <v>Invest</v>
      </c>
      <c r="CU2445" s="45">
        <v>2441</v>
      </c>
      <c r="CV2445" s="18">
        <v>54.993904852119826</v>
      </c>
      <c r="CW2445" s="18" t="str">
        <v>Invest</v>
      </c>
      <c r="CY2445" s="45">
        <v>2441</v>
      </c>
      <c r="CZ2445" s="18">
        <v>0</v>
      </c>
      <c r="DA2445" s="18" t="str">
        <v>Nothing</v>
      </c>
    </row>
    <row r="2446" spans="95:105" ht="23.5">
      <c r="CQ2446" s="45">
        <v>2442</v>
      </c>
      <c r="CR2446" s="18">
        <v>29.871263380631728</v>
      </c>
      <c r="CS2446" s="18" t="str">
        <v>Invest</v>
      </c>
      <c r="CU2446" s="45">
        <v>2442</v>
      </c>
      <c r="CV2446" s="18">
        <v>0</v>
      </c>
      <c r="CW2446" s="18" t="str">
        <v>Nothing</v>
      </c>
      <c r="CY2446" s="45">
        <v>2442</v>
      </c>
      <c r="CZ2446" s="18">
        <v>0</v>
      </c>
      <c r="DA2446" s="18" t="str">
        <v>Nothing</v>
      </c>
    </row>
    <row r="2447" spans="95:105" ht="23.5">
      <c r="CQ2447" s="45">
        <v>2443</v>
      </c>
      <c r="CR2447" s="18">
        <v>15.672703387157991</v>
      </c>
      <c r="CS2447" s="18" t="str">
        <v>Invest</v>
      </c>
      <c r="CU2447" s="45">
        <v>2443</v>
      </c>
      <c r="CV2447" s="18">
        <v>21.427593534554553</v>
      </c>
      <c r="CW2447" s="18" t="str">
        <v>Invest</v>
      </c>
      <c r="CY2447" s="45">
        <v>2443</v>
      </c>
      <c r="CZ2447" s="18">
        <v>28.082583330001178</v>
      </c>
      <c r="DA2447" s="18" t="str">
        <v>Invest</v>
      </c>
    </row>
    <row r="2448" spans="95:105" ht="23.5">
      <c r="CQ2448" s="45">
        <v>2444</v>
      </c>
      <c r="CR2448" s="18">
        <v>17.072094500615581</v>
      </c>
      <c r="CS2448" s="18" t="str">
        <v>Invest</v>
      </c>
      <c r="CU2448" s="45">
        <v>2444</v>
      </c>
      <c r="CV2448" s="18">
        <v>8.3663225722390884</v>
      </c>
      <c r="CW2448" s="18" t="str">
        <v>Invest</v>
      </c>
      <c r="CY2448" s="45">
        <v>2444</v>
      </c>
      <c r="CZ2448" s="18">
        <v>15.843875175715141</v>
      </c>
      <c r="DA2448" s="18" t="str">
        <v>Invest</v>
      </c>
    </row>
    <row r="2449" spans="95:105" ht="23.5">
      <c r="CQ2449" s="45">
        <v>2445</v>
      </c>
      <c r="CR2449" s="18">
        <v>0</v>
      </c>
      <c r="CS2449" s="18" t="str">
        <v>Nothing</v>
      </c>
      <c r="CU2449" s="45">
        <v>2445</v>
      </c>
      <c r="CV2449" s="18">
        <v>37.990229893165186</v>
      </c>
      <c r="CW2449" s="18" t="str">
        <v>Invest</v>
      </c>
      <c r="CY2449" s="45">
        <v>2445</v>
      </c>
      <c r="CZ2449" s="18">
        <v>17.043693287012761</v>
      </c>
      <c r="DA2449" s="18" t="str">
        <v>Invest</v>
      </c>
    </row>
    <row r="2450" spans="95:105" ht="23.5">
      <c r="CQ2450" s="45">
        <v>2446</v>
      </c>
      <c r="CR2450" s="18">
        <v>10.990915367493631</v>
      </c>
      <c r="CS2450" s="18" t="str">
        <v>Invest</v>
      </c>
      <c r="CU2450" s="45">
        <v>2446</v>
      </c>
      <c r="CV2450" s="18">
        <v>0</v>
      </c>
      <c r="CW2450" s="18" t="str">
        <v>Nothing</v>
      </c>
      <c r="CY2450" s="45">
        <v>2446</v>
      </c>
      <c r="CZ2450" s="18">
        <v>0</v>
      </c>
      <c r="DA2450" s="18" t="str">
        <v>Nothing</v>
      </c>
    </row>
    <row r="2451" spans="95:105" ht="23.5">
      <c r="CQ2451" s="45">
        <v>2447</v>
      </c>
      <c r="CR2451" s="18">
        <v>4.5054614486079352</v>
      </c>
      <c r="CS2451" s="18" t="str">
        <v>Invest</v>
      </c>
      <c r="CU2451" s="45">
        <v>2447</v>
      </c>
      <c r="CV2451" s="18">
        <v>14.723289588049623</v>
      </c>
      <c r="CW2451" s="18" t="str">
        <v>Invest</v>
      </c>
      <c r="CY2451" s="45">
        <v>2447</v>
      </c>
      <c r="CZ2451" s="18">
        <v>0</v>
      </c>
      <c r="DA2451" s="18" t="str">
        <v>Nothing</v>
      </c>
    </row>
    <row r="2452" spans="95:105" ht="23.5">
      <c r="CQ2452" s="45">
        <v>2448</v>
      </c>
      <c r="CR2452" s="18">
        <v>17.632233528918341</v>
      </c>
      <c r="CS2452" s="18" t="str">
        <v>Invest</v>
      </c>
      <c r="CU2452" s="45">
        <v>2448</v>
      </c>
      <c r="CV2452" s="18">
        <v>0</v>
      </c>
      <c r="CW2452" s="18" t="str">
        <v>Nothing</v>
      </c>
      <c r="CY2452" s="45">
        <v>2448</v>
      </c>
      <c r="CZ2452" s="18">
        <v>0</v>
      </c>
      <c r="DA2452" s="18" t="str">
        <v>Nothing</v>
      </c>
    </row>
    <row r="2453" spans="95:105" ht="23.5">
      <c r="CQ2453" s="45">
        <v>2449</v>
      </c>
      <c r="CR2453" s="18">
        <v>15.35157697170083</v>
      </c>
      <c r="CS2453" s="18" t="str">
        <v>Invest</v>
      </c>
      <c r="CU2453" s="45">
        <v>2449</v>
      </c>
      <c r="CV2453" s="18">
        <v>25.9453625451461</v>
      </c>
      <c r="CW2453" s="18" t="str">
        <v>Invest</v>
      </c>
      <c r="CY2453" s="45">
        <v>2449</v>
      </c>
      <c r="CZ2453" s="18">
        <v>15.415746458122014</v>
      </c>
      <c r="DA2453" s="18" t="str">
        <v>Invest</v>
      </c>
    </row>
    <row r="2454" spans="95:105" ht="23.5">
      <c r="CQ2454" s="45">
        <v>2450</v>
      </c>
      <c r="CR2454" s="18">
        <v>5.2476479626747157</v>
      </c>
      <c r="CS2454" s="18" t="str">
        <v>Invest</v>
      </c>
      <c r="CU2454" s="45">
        <v>2450</v>
      </c>
      <c r="CV2454" s="18">
        <v>26.830161432512899</v>
      </c>
      <c r="CW2454" s="18" t="str">
        <v>Invest</v>
      </c>
      <c r="CY2454" s="45">
        <v>2450</v>
      </c>
      <c r="CZ2454" s="18">
        <v>17.033903872389612</v>
      </c>
      <c r="DA2454" s="18" t="str">
        <v>Invest</v>
      </c>
    </row>
    <row r="2455" spans="95:105" ht="23.5">
      <c r="CQ2455" s="45">
        <v>2451</v>
      </c>
      <c r="CR2455" s="18">
        <v>0</v>
      </c>
      <c r="CS2455" s="18" t="str">
        <v>Nothing</v>
      </c>
      <c r="CU2455" s="45">
        <v>2451</v>
      </c>
      <c r="CV2455" s="18">
        <v>0</v>
      </c>
      <c r="CW2455" s="18" t="str">
        <v>Nothing</v>
      </c>
      <c r="CY2455" s="45">
        <v>2451</v>
      </c>
      <c r="CZ2455" s="18">
        <v>19.716516664298862</v>
      </c>
      <c r="DA2455" s="18" t="str">
        <v>Invest</v>
      </c>
    </row>
    <row r="2456" spans="95:105" ht="23.5">
      <c r="CQ2456" s="45">
        <v>2452</v>
      </c>
      <c r="CR2456" s="18">
        <v>46.21344378546442</v>
      </c>
      <c r="CS2456" s="18" t="str">
        <v>Invest</v>
      </c>
      <c r="CU2456" s="45">
        <v>2452</v>
      </c>
      <c r="CV2456" s="18">
        <v>2.9942602039600832</v>
      </c>
      <c r="CW2456" s="18" t="str">
        <v>Invest</v>
      </c>
      <c r="CY2456" s="45">
        <v>2452</v>
      </c>
      <c r="CZ2456" s="18">
        <v>20.524226534975206</v>
      </c>
      <c r="DA2456" s="18" t="str">
        <v>Invest</v>
      </c>
    </row>
    <row r="2457" spans="95:105" ht="23.5">
      <c r="CQ2457" s="45">
        <v>2453</v>
      </c>
      <c r="CR2457" s="18">
        <v>23.522706909638501</v>
      </c>
      <c r="CS2457" s="18" t="str">
        <v>Invest</v>
      </c>
      <c r="CU2457" s="45">
        <v>2453</v>
      </c>
      <c r="CV2457" s="18">
        <v>52.951844953198531</v>
      </c>
      <c r="CW2457" s="18" t="str">
        <v>Invest</v>
      </c>
      <c r="CY2457" s="45">
        <v>2453</v>
      </c>
      <c r="CZ2457" s="18">
        <v>9.2255307027372915</v>
      </c>
      <c r="DA2457" s="18" t="str">
        <v>Invest</v>
      </c>
    </row>
    <row r="2458" spans="95:105" ht="23.5">
      <c r="CQ2458" s="45">
        <v>2454</v>
      </c>
      <c r="CR2458" s="18">
        <v>27.172653638711182</v>
      </c>
      <c r="CS2458" s="18" t="str">
        <v>Invest</v>
      </c>
      <c r="CU2458" s="45">
        <v>2454</v>
      </c>
      <c r="CV2458" s="18">
        <v>0</v>
      </c>
      <c r="CW2458" s="18" t="str">
        <v>Nothing</v>
      </c>
      <c r="CY2458" s="45">
        <v>2454</v>
      </c>
      <c r="CZ2458" s="18">
        <v>0</v>
      </c>
      <c r="DA2458" s="18" t="str">
        <v>Nothing</v>
      </c>
    </row>
    <row r="2459" spans="95:105" ht="23.5">
      <c r="CQ2459" s="45">
        <v>2455</v>
      </c>
      <c r="CR2459" s="18">
        <v>8.3107116795202742</v>
      </c>
      <c r="CS2459" s="18" t="str">
        <v>Invest</v>
      </c>
      <c r="CU2459" s="45">
        <v>2455</v>
      </c>
      <c r="CV2459" s="18">
        <v>0</v>
      </c>
      <c r="CW2459" s="18" t="str">
        <v>Nothing</v>
      </c>
      <c r="CY2459" s="45">
        <v>2455</v>
      </c>
      <c r="CZ2459" s="18">
        <v>14.656868806653343</v>
      </c>
      <c r="DA2459" s="18" t="str">
        <v>Invest</v>
      </c>
    </row>
    <row r="2460" spans="95:105" ht="23.5">
      <c r="CQ2460" s="45">
        <v>2456</v>
      </c>
      <c r="CR2460" s="18">
        <v>0</v>
      </c>
      <c r="CS2460" s="18" t="str">
        <v>Nothing</v>
      </c>
      <c r="CU2460" s="45">
        <v>2456</v>
      </c>
      <c r="CV2460" s="18">
        <v>9.415937979069037</v>
      </c>
      <c r="CW2460" s="18" t="str">
        <v>Invest</v>
      </c>
      <c r="CY2460" s="45">
        <v>2456</v>
      </c>
      <c r="CZ2460" s="18">
        <v>0</v>
      </c>
      <c r="DA2460" s="18" t="str">
        <v>Nothing</v>
      </c>
    </row>
    <row r="2461" spans="95:105" ht="23.5">
      <c r="CQ2461" s="45">
        <v>2457</v>
      </c>
      <c r="CR2461" s="18">
        <v>13.019990849441047</v>
      </c>
      <c r="CS2461" s="18" t="str">
        <v>Invest</v>
      </c>
      <c r="CU2461" s="45">
        <v>2457</v>
      </c>
      <c r="CV2461" s="18">
        <v>47.311956700651841</v>
      </c>
      <c r="CW2461" s="18" t="str">
        <v>Invest</v>
      </c>
      <c r="CY2461" s="45">
        <v>2457</v>
      </c>
      <c r="CZ2461" s="18">
        <v>2.9535823375911967</v>
      </c>
      <c r="DA2461" s="18" t="str">
        <v>Invest</v>
      </c>
    </row>
    <row r="2462" spans="95:105" ht="23.5">
      <c r="CQ2462" s="45">
        <v>2458</v>
      </c>
      <c r="CR2462" s="18">
        <v>0</v>
      </c>
      <c r="CS2462" s="18" t="str">
        <v>Nothing</v>
      </c>
      <c r="CU2462" s="45">
        <v>2458</v>
      </c>
      <c r="CV2462" s="18">
        <v>28.603120007773388</v>
      </c>
      <c r="CW2462" s="18" t="str">
        <v>Invest</v>
      </c>
      <c r="CY2462" s="45">
        <v>2458</v>
      </c>
      <c r="CZ2462" s="18">
        <v>23.227358553647445</v>
      </c>
      <c r="DA2462" s="18" t="str">
        <v>Invest</v>
      </c>
    </row>
    <row r="2463" spans="95:105" ht="23.5">
      <c r="CQ2463" s="45">
        <v>2459</v>
      </c>
      <c r="CR2463" s="18">
        <v>3.679225584555267</v>
      </c>
      <c r="CS2463" s="18" t="str">
        <v>Invest</v>
      </c>
      <c r="CU2463" s="45">
        <v>2459</v>
      </c>
      <c r="CV2463" s="18">
        <v>12.808515255180993</v>
      </c>
      <c r="CW2463" s="18" t="str">
        <v>Invest</v>
      </c>
      <c r="CY2463" s="45">
        <v>2459</v>
      </c>
      <c r="CZ2463" s="18">
        <v>1.392424676304028</v>
      </c>
      <c r="DA2463" s="18" t="str">
        <v>Invest</v>
      </c>
    </row>
    <row r="2464" spans="95:105" ht="23.5">
      <c r="CQ2464" s="45">
        <v>2460</v>
      </c>
      <c r="CR2464" s="18">
        <v>0</v>
      </c>
      <c r="CS2464" s="18" t="str">
        <v>Nothing</v>
      </c>
      <c r="CU2464" s="45">
        <v>2460</v>
      </c>
      <c r="CV2464" s="18">
        <v>0</v>
      </c>
      <c r="CW2464" s="18" t="str">
        <v>Nothing</v>
      </c>
      <c r="CY2464" s="45">
        <v>2460</v>
      </c>
      <c r="CZ2464" s="18">
        <v>0</v>
      </c>
      <c r="DA2464" s="18" t="str">
        <v>Nothing</v>
      </c>
    </row>
    <row r="2465" spans="95:105" ht="23.5">
      <c r="CQ2465" s="45">
        <v>2461</v>
      </c>
      <c r="CR2465" s="18">
        <v>3.0200961876820349</v>
      </c>
      <c r="CS2465" s="18" t="str">
        <v>Invest</v>
      </c>
      <c r="CU2465" s="45">
        <v>2461</v>
      </c>
      <c r="CV2465" s="18">
        <v>9.9368656072488264</v>
      </c>
      <c r="CW2465" s="18" t="str">
        <v>Invest</v>
      </c>
      <c r="CY2465" s="45">
        <v>2461</v>
      </c>
      <c r="CZ2465" s="18">
        <v>49.945081936439763</v>
      </c>
      <c r="DA2465" s="18" t="str">
        <v>Invest</v>
      </c>
    </row>
    <row r="2466" spans="95:105" ht="23.5">
      <c r="CQ2466" s="45">
        <v>2462</v>
      </c>
      <c r="CR2466" s="18">
        <v>0</v>
      </c>
      <c r="CS2466" s="18" t="str">
        <v>Nothing</v>
      </c>
      <c r="CU2466" s="45">
        <v>2462</v>
      </c>
      <c r="CV2466" s="18">
        <v>36.698979276666982</v>
      </c>
      <c r="CW2466" s="18" t="str">
        <v>Invest</v>
      </c>
      <c r="CY2466" s="45">
        <v>2462</v>
      </c>
      <c r="CZ2466" s="18">
        <v>8.1766750943029329</v>
      </c>
      <c r="DA2466" s="18" t="str">
        <v>Invest</v>
      </c>
    </row>
    <row r="2467" spans="95:105" ht="23.5">
      <c r="CQ2467" s="45">
        <v>2463</v>
      </c>
      <c r="CR2467" s="18">
        <v>4.6033635790851761</v>
      </c>
      <c r="CS2467" s="18" t="str">
        <v>Invest</v>
      </c>
      <c r="CU2467" s="45">
        <v>2463</v>
      </c>
      <c r="CV2467" s="18">
        <v>3.2520054037147847</v>
      </c>
      <c r="CW2467" s="18" t="str">
        <v>Invest</v>
      </c>
      <c r="CY2467" s="45">
        <v>2463</v>
      </c>
      <c r="CZ2467" s="18">
        <v>0</v>
      </c>
      <c r="DA2467" s="18" t="str">
        <v>Nothing</v>
      </c>
    </row>
    <row r="2468" spans="95:105" ht="23.5">
      <c r="CQ2468" s="45">
        <v>2464</v>
      </c>
      <c r="CR2468" s="18">
        <v>24.85326590621526</v>
      </c>
      <c r="CS2468" s="18" t="str">
        <v>Invest</v>
      </c>
      <c r="CU2468" s="45">
        <v>2464</v>
      </c>
      <c r="CV2468" s="18">
        <v>46.656527863869428</v>
      </c>
      <c r="CW2468" s="18" t="str">
        <v>Invest</v>
      </c>
      <c r="CY2468" s="45">
        <v>2464</v>
      </c>
      <c r="CZ2468" s="18">
        <v>3.0083783645521773</v>
      </c>
      <c r="DA2468" s="18" t="str">
        <v>Invest</v>
      </c>
    </row>
    <row r="2469" spans="95:105" ht="23.5">
      <c r="CQ2469" s="45">
        <v>2465</v>
      </c>
      <c r="CR2469" s="18">
        <v>0</v>
      </c>
      <c r="CS2469" s="18" t="str">
        <v>Nothing</v>
      </c>
      <c r="CU2469" s="45">
        <v>2465</v>
      </c>
      <c r="CV2469" s="18">
        <v>0</v>
      </c>
      <c r="CW2469" s="18" t="str">
        <v>Nothing</v>
      </c>
      <c r="CY2469" s="45">
        <v>2465</v>
      </c>
      <c r="CZ2469" s="18">
        <v>22.158122530506525</v>
      </c>
      <c r="DA2469" s="18" t="str">
        <v>Invest</v>
      </c>
    </row>
    <row r="2470" spans="95:105" ht="23.5">
      <c r="CQ2470" s="45">
        <v>2466</v>
      </c>
      <c r="CR2470" s="18">
        <v>21.189013201854088</v>
      </c>
      <c r="CS2470" s="18" t="str">
        <v>Invest</v>
      </c>
      <c r="CU2470" s="45">
        <v>2466</v>
      </c>
      <c r="CV2470" s="18">
        <v>0</v>
      </c>
      <c r="CW2470" s="18" t="str">
        <v>Nothing</v>
      </c>
      <c r="CY2470" s="45">
        <v>2466</v>
      </c>
      <c r="CZ2470" s="18">
        <v>21.200497715548284</v>
      </c>
      <c r="DA2470" s="18" t="str">
        <v>Invest</v>
      </c>
    </row>
    <row r="2471" spans="95:105" ht="23.5">
      <c r="CQ2471" s="45">
        <v>2467</v>
      </c>
      <c r="CR2471" s="18">
        <v>0</v>
      </c>
      <c r="CS2471" s="18" t="str">
        <v>Nothing</v>
      </c>
      <c r="CU2471" s="45">
        <v>2467</v>
      </c>
      <c r="CV2471" s="18">
        <v>8.9338961430875123</v>
      </c>
      <c r="CW2471" s="18" t="str">
        <v>Invest</v>
      </c>
      <c r="CY2471" s="45">
        <v>2467</v>
      </c>
      <c r="CZ2471" s="18">
        <v>0</v>
      </c>
      <c r="DA2471" s="18" t="str">
        <v>Nothing</v>
      </c>
    </row>
    <row r="2472" spans="95:105" ht="23.5">
      <c r="CQ2472" s="45">
        <v>2468</v>
      </c>
      <c r="CR2472" s="18">
        <v>50.333536412715262</v>
      </c>
      <c r="CS2472" s="18" t="str">
        <v>Invest</v>
      </c>
      <c r="CU2472" s="45">
        <v>2468</v>
      </c>
      <c r="CV2472" s="18">
        <v>36.99404039162561</v>
      </c>
      <c r="CW2472" s="18" t="str">
        <v>Invest</v>
      </c>
      <c r="CY2472" s="45">
        <v>2468</v>
      </c>
      <c r="CZ2472" s="18">
        <v>8.0818708883340555</v>
      </c>
      <c r="DA2472" s="18" t="str">
        <v>Invest</v>
      </c>
    </row>
    <row r="2473" spans="95:105" ht="23.5">
      <c r="CQ2473" s="45">
        <v>2469</v>
      </c>
      <c r="CR2473" s="18">
        <v>0</v>
      </c>
      <c r="CS2473" s="18" t="str">
        <v>Nothing</v>
      </c>
      <c r="CU2473" s="45">
        <v>2469</v>
      </c>
      <c r="CV2473" s="18">
        <v>1.8285426431961049</v>
      </c>
      <c r="CW2473" s="18" t="str">
        <v>Invest</v>
      </c>
      <c r="CY2473" s="45">
        <v>2469</v>
      </c>
      <c r="CZ2473" s="18">
        <v>36.786542595655462</v>
      </c>
      <c r="DA2473" s="18" t="str">
        <v>Invest</v>
      </c>
    </row>
    <row r="2474" spans="95:105" ht="23.5">
      <c r="CQ2474" s="45">
        <v>2470</v>
      </c>
      <c r="CR2474" s="18">
        <v>25.391445064709764</v>
      </c>
      <c r="CS2474" s="18" t="str">
        <v>Invest</v>
      </c>
      <c r="CU2474" s="45">
        <v>2470</v>
      </c>
      <c r="CV2474" s="18">
        <v>6.5989633374180796</v>
      </c>
      <c r="CW2474" s="18" t="str">
        <v>Invest</v>
      </c>
      <c r="CY2474" s="45">
        <v>2470</v>
      </c>
      <c r="CZ2474" s="18">
        <v>12.476027701656584</v>
      </c>
      <c r="DA2474" s="18" t="str">
        <v>Invest</v>
      </c>
    </row>
    <row r="2475" spans="95:105" ht="23.5">
      <c r="CQ2475" s="45">
        <v>2471</v>
      </c>
      <c r="CR2475" s="18">
        <v>1.1329255934554858</v>
      </c>
      <c r="CS2475" s="18" t="str">
        <v>Invest</v>
      </c>
      <c r="CU2475" s="45">
        <v>2471</v>
      </c>
      <c r="CV2475" s="18">
        <v>0</v>
      </c>
      <c r="CW2475" s="18" t="str">
        <v>Nothing</v>
      </c>
      <c r="CY2475" s="45">
        <v>2471</v>
      </c>
      <c r="CZ2475" s="18">
        <v>5.4162382798658939</v>
      </c>
      <c r="DA2475" s="18" t="str">
        <v>Invest</v>
      </c>
    </row>
    <row r="2476" spans="95:105" ht="23.5">
      <c r="CQ2476" s="45">
        <v>2472</v>
      </c>
      <c r="CR2476" s="18">
        <v>57.906494602124283</v>
      </c>
      <c r="CS2476" s="18" t="str">
        <v>Invest</v>
      </c>
      <c r="CU2476" s="45">
        <v>2472</v>
      </c>
      <c r="CV2476" s="18">
        <v>42.135070682183354</v>
      </c>
      <c r="CW2476" s="18" t="str">
        <v>Invest</v>
      </c>
      <c r="CY2476" s="45">
        <v>2472</v>
      </c>
      <c r="CZ2476" s="18">
        <v>6.645357244297994</v>
      </c>
      <c r="DA2476" s="18" t="str">
        <v>Invest</v>
      </c>
    </row>
    <row r="2477" spans="95:105" ht="23.5">
      <c r="CQ2477" s="45">
        <v>2473</v>
      </c>
      <c r="CR2477" s="18">
        <v>4.3879288743748734</v>
      </c>
      <c r="CS2477" s="18" t="str">
        <v>Invest</v>
      </c>
      <c r="CU2477" s="45">
        <v>2473</v>
      </c>
      <c r="CV2477" s="18">
        <v>33.125751631588777</v>
      </c>
      <c r="CW2477" s="18" t="str">
        <v>Invest</v>
      </c>
      <c r="CY2477" s="45">
        <v>2473</v>
      </c>
      <c r="CZ2477" s="18">
        <v>29.325179796720825</v>
      </c>
      <c r="DA2477" s="18" t="str">
        <v>Invest</v>
      </c>
    </row>
    <row r="2478" spans="95:105" ht="23.5">
      <c r="CQ2478" s="45">
        <v>2474</v>
      </c>
      <c r="CR2478" s="18">
        <v>12.419299696680438</v>
      </c>
      <c r="CS2478" s="18" t="str">
        <v>Invest</v>
      </c>
      <c r="CU2478" s="45">
        <v>2474</v>
      </c>
      <c r="CV2478" s="18">
        <v>4.7657605412810522</v>
      </c>
      <c r="CW2478" s="18" t="str">
        <v>Invest</v>
      </c>
      <c r="CY2478" s="45">
        <v>2474</v>
      </c>
      <c r="CZ2478" s="18">
        <v>33.471156992422792</v>
      </c>
      <c r="DA2478" s="18" t="str">
        <v>Invest</v>
      </c>
    </row>
    <row r="2479" spans="95:105" ht="23.5">
      <c r="CQ2479" s="45">
        <v>2475</v>
      </c>
      <c r="CR2479" s="18">
        <v>43.87733131275337</v>
      </c>
      <c r="CS2479" s="18" t="str">
        <v>Invest</v>
      </c>
      <c r="CU2479" s="45">
        <v>2475</v>
      </c>
      <c r="CV2479" s="18">
        <v>0</v>
      </c>
      <c r="CW2479" s="18" t="str">
        <v>Nothing</v>
      </c>
      <c r="CY2479" s="45">
        <v>2475</v>
      </c>
      <c r="CZ2479" s="18">
        <v>22.191878784771404</v>
      </c>
      <c r="DA2479" s="18" t="str">
        <v>Invest</v>
      </c>
    </row>
    <row r="2480" spans="95:105" ht="23.5">
      <c r="CQ2480" s="45">
        <v>2476</v>
      </c>
      <c r="CR2480" s="18">
        <v>10.386768845839079</v>
      </c>
      <c r="CS2480" s="18" t="str">
        <v>Invest</v>
      </c>
      <c r="CU2480" s="45">
        <v>2476</v>
      </c>
      <c r="CV2480" s="18">
        <v>24.501608429922655</v>
      </c>
      <c r="CW2480" s="18" t="str">
        <v>Invest</v>
      </c>
      <c r="CY2480" s="45">
        <v>2476</v>
      </c>
      <c r="CZ2480" s="18">
        <v>27.773534883062275</v>
      </c>
      <c r="DA2480" s="18" t="str">
        <v>Invest</v>
      </c>
    </row>
    <row r="2481" spans="95:105" ht="23.5">
      <c r="CQ2481" s="45">
        <v>2477</v>
      </c>
      <c r="CR2481" s="18">
        <v>14.268305485179251</v>
      </c>
      <c r="CS2481" s="18" t="str">
        <v>Invest</v>
      </c>
      <c r="CU2481" s="45">
        <v>2477</v>
      </c>
      <c r="CV2481" s="18">
        <v>61.608690175222712</v>
      </c>
      <c r="CW2481" s="18" t="str">
        <v>Invest</v>
      </c>
      <c r="CY2481" s="45">
        <v>2477</v>
      </c>
      <c r="CZ2481" s="18">
        <v>1.1338330998506656</v>
      </c>
      <c r="DA2481" s="18" t="str">
        <v>Invest</v>
      </c>
    </row>
    <row r="2482" spans="95:105" ht="23.5">
      <c r="CQ2482" s="45">
        <v>2478</v>
      </c>
      <c r="CR2482" s="18">
        <v>26.119300233367944</v>
      </c>
      <c r="CS2482" s="18" t="str">
        <v>Invest</v>
      </c>
      <c r="CU2482" s="45">
        <v>2478</v>
      </c>
      <c r="CV2482" s="18">
        <v>4.7813745637807035</v>
      </c>
      <c r="CW2482" s="18" t="str">
        <v>Invest</v>
      </c>
      <c r="CY2482" s="45">
        <v>2478</v>
      </c>
      <c r="CZ2482" s="18">
        <v>0</v>
      </c>
      <c r="DA2482" s="18" t="str">
        <v>Nothing</v>
      </c>
    </row>
    <row r="2483" spans="95:105" ht="23.5">
      <c r="CQ2483" s="45">
        <v>2479</v>
      </c>
      <c r="CR2483" s="18">
        <v>0</v>
      </c>
      <c r="CS2483" s="18" t="str">
        <v>Nothing</v>
      </c>
      <c r="CU2483" s="45">
        <v>2479</v>
      </c>
      <c r="CV2483" s="18">
        <v>49.581133700881537</v>
      </c>
      <c r="CW2483" s="18" t="str">
        <v>Invest</v>
      </c>
      <c r="CY2483" s="45">
        <v>2479</v>
      </c>
      <c r="CZ2483" s="18">
        <v>18.671977750449695</v>
      </c>
      <c r="DA2483" s="18" t="str">
        <v>Invest</v>
      </c>
    </row>
    <row r="2484" spans="95:105" ht="23.5">
      <c r="CQ2484" s="45">
        <v>2480</v>
      </c>
      <c r="CR2484" s="18">
        <v>11.457363583880138</v>
      </c>
      <c r="CS2484" s="18" t="str">
        <v>Invest</v>
      </c>
      <c r="CU2484" s="45">
        <v>2480</v>
      </c>
      <c r="CV2484" s="18">
        <v>1.4927838046752733</v>
      </c>
      <c r="CW2484" s="18" t="str">
        <v>Invest</v>
      </c>
      <c r="CY2484" s="45">
        <v>2480</v>
      </c>
      <c r="CZ2484" s="18">
        <v>0</v>
      </c>
      <c r="DA2484" s="18" t="str">
        <v>Nothing</v>
      </c>
    </row>
    <row r="2485" spans="95:105" ht="23.5">
      <c r="CQ2485" s="45">
        <v>2481</v>
      </c>
      <c r="CR2485" s="18">
        <v>11.515309648251099</v>
      </c>
      <c r="CS2485" s="18" t="str">
        <v>Invest</v>
      </c>
      <c r="CU2485" s="45">
        <v>2481</v>
      </c>
      <c r="CV2485" s="18">
        <v>34.516240949668045</v>
      </c>
      <c r="CW2485" s="18" t="str">
        <v>Invest</v>
      </c>
      <c r="CY2485" s="45">
        <v>2481</v>
      </c>
      <c r="CZ2485" s="18">
        <v>0</v>
      </c>
      <c r="DA2485" s="18" t="str">
        <v>Nothing</v>
      </c>
    </row>
    <row r="2486" spans="95:105" ht="23.5">
      <c r="CQ2486" s="45">
        <v>2482</v>
      </c>
      <c r="CR2486" s="18">
        <v>5.1702835146696842</v>
      </c>
      <c r="CS2486" s="18" t="str">
        <v>Invest</v>
      </c>
      <c r="CU2486" s="45">
        <v>2482</v>
      </c>
      <c r="CV2486" s="18">
        <v>15.001478992659667</v>
      </c>
      <c r="CW2486" s="18" t="str">
        <v>Invest</v>
      </c>
      <c r="CY2486" s="45">
        <v>2482</v>
      </c>
      <c r="CZ2486" s="18">
        <v>21.807224913169897</v>
      </c>
      <c r="DA2486" s="18" t="str">
        <v>Invest</v>
      </c>
    </row>
    <row r="2487" spans="95:105" ht="23.5">
      <c r="CQ2487" s="45">
        <v>2483</v>
      </c>
      <c r="CR2487" s="18">
        <v>45.085137317277393</v>
      </c>
      <c r="CS2487" s="18" t="str">
        <v>Invest</v>
      </c>
      <c r="CU2487" s="45">
        <v>2483</v>
      </c>
      <c r="CV2487" s="18">
        <v>3.6679925839127216</v>
      </c>
      <c r="CW2487" s="18" t="str">
        <v>Invest</v>
      </c>
      <c r="CY2487" s="45">
        <v>2483</v>
      </c>
      <c r="CZ2487" s="18">
        <v>17.23188283472971</v>
      </c>
      <c r="DA2487" s="18" t="str">
        <v>Invest</v>
      </c>
    </row>
    <row r="2488" spans="95:105" ht="23.5">
      <c r="CQ2488" s="45">
        <v>2484</v>
      </c>
      <c r="CR2488" s="18">
        <v>0</v>
      </c>
      <c r="CS2488" s="18" t="str">
        <v>Nothing</v>
      </c>
      <c r="CU2488" s="45">
        <v>2484</v>
      </c>
      <c r="CV2488" s="18">
        <v>0</v>
      </c>
      <c r="CW2488" s="18" t="str">
        <v>Nothing</v>
      </c>
      <c r="CY2488" s="45">
        <v>2484</v>
      </c>
      <c r="CZ2488" s="18">
        <v>23.244046619859475</v>
      </c>
      <c r="DA2488" s="18" t="str">
        <v>Invest</v>
      </c>
    </row>
    <row r="2489" spans="95:105" ht="23.5">
      <c r="CQ2489" s="45">
        <v>2485</v>
      </c>
      <c r="CR2489" s="18">
        <v>42.3695032523514</v>
      </c>
      <c r="CS2489" s="18" t="str">
        <v>Invest</v>
      </c>
      <c r="CU2489" s="45">
        <v>2485</v>
      </c>
      <c r="CV2489" s="18">
        <v>23.739156387842328</v>
      </c>
      <c r="CW2489" s="18" t="str">
        <v>Invest</v>
      </c>
      <c r="CY2489" s="45">
        <v>2485</v>
      </c>
      <c r="CZ2489" s="18">
        <v>16.396636627394255</v>
      </c>
      <c r="DA2489" s="18" t="str">
        <v>Invest</v>
      </c>
    </row>
    <row r="2490" spans="95:105" ht="23.5">
      <c r="CQ2490" s="45">
        <v>2486</v>
      </c>
      <c r="CR2490" s="18">
        <v>29.483996511618685</v>
      </c>
      <c r="CS2490" s="18" t="str">
        <v>Invest</v>
      </c>
      <c r="CU2490" s="45">
        <v>2486</v>
      </c>
      <c r="CV2490" s="18">
        <v>0.97994239181524634</v>
      </c>
      <c r="CW2490" s="18" t="str">
        <v>Invest</v>
      </c>
      <c r="CY2490" s="45">
        <v>2486</v>
      </c>
      <c r="CZ2490" s="18">
        <v>30.112000312724973</v>
      </c>
      <c r="DA2490" s="18" t="str">
        <v>Invest</v>
      </c>
    </row>
    <row r="2491" spans="95:105" ht="23.5">
      <c r="CQ2491" s="45">
        <v>2487</v>
      </c>
      <c r="CR2491" s="18">
        <v>0</v>
      </c>
      <c r="CS2491" s="18" t="str">
        <v>Nothing</v>
      </c>
      <c r="CU2491" s="45">
        <v>2487</v>
      </c>
      <c r="CV2491" s="18">
        <v>27.411985667167286</v>
      </c>
      <c r="CW2491" s="18" t="str">
        <v>Invest</v>
      </c>
      <c r="CY2491" s="45">
        <v>2487</v>
      </c>
      <c r="CZ2491" s="18">
        <v>0</v>
      </c>
      <c r="DA2491" s="18" t="str">
        <v>Nothing</v>
      </c>
    </row>
    <row r="2492" spans="95:105" ht="23.5">
      <c r="CQ2492" s="45">
        <v>2488</v>
      </c>
      <c r="CR2492" s="18">
        <v>0</v>
      </c>
      <c r="CS2492" s="18" t="str">
        <v>Nothing</v>
      </c>
      <c r="CU2492" s="45">
        <v>2488</v>
      </c>
      <c r="CV2492" s="18">
        <v>31.286107211699619</v>
      </c>
      <c r="CW2492" s="18" t="str">
        <v>Invest</v>
      </c>
      <c r="CY2492" s="45">
        <v>2488</v>
      </c>
      <c r="CZ2492" s="18">
        <v>0</v>
      </c>
      <c r="DA2492" s="18" t="str">
        <v>Nothing</v>
      </c>
    </row>
    <row r="2493" spans="95:105" ht="23.5">
      <c r="CQ2493" s="45">
        <v>2489</v>
      </c>
      <c r="CR2493" s="18">
        <v>20.150578895519288</v>
      </c>
      <c r="CS2493" s="18" t="str">
        <v>Invest</v>
      </c>
      <c r="CU2493" s="45">
        <v>2489</v>
      </c>
      <c r="CV2493" s="18">
        <v>0</v>
      </c>
      <c r="CW2493" s="18" t="str">
        <v>Nothing</v>
      </c>
      <c r="CY2493" s="45">
        <v>2489</v>
      </c>
      <c r="CZ2493" s="18">
        <v>1.5600609632233979</v>
      </c>
      <c r="DA2493" s="18" t="str">
        <v>Invest</v>
      </c>
    </row>
    <row r="2494" spans="95:105" ht="23.5">
      <c r="CQ2494" s="45">
        <v>2490</v>
      </c>
      <c r="CR2494" s="18">
        <v>21.781894213289512</v>
      </c>
      <c r="CS2494" s="18" t="str">
        <v>Invest</v>
      </c>
      <c r="CU2494" s="45">
        <v>2490</v>
      </c>
      <c r="CV2494" s="18">
        <v>0</v>
      </c>
      <c r="CW2494" s="18" t="str">
        <v>Nothing</v>
      </c>
      <c r="CY2494" s="45">
        <v>2490</v>
      </c>
      <c r="CZ2494" s="18">
        <v>38.387652466929282</v>
      </c>
      <c r="DA2494" s="18" t="str">
        <v>Invest</v>
      </c>
    </row>
    <row r="2495" spans="95:105" ht="23.5">
      <c r="CQ2495" s="45">
        <v>2491</v>
      </c>
      <c r="CR2495" s="18">
        <v>20.183084594348234</v>
      </c>
      <c r="CS2495" s="18" t="str">
        <v>Invest</v>
      </c>
      <c r="CU2495" s="45">
        <v>2491</v>
      </c>
      <c r="CV2495" s="18">
        <v>56.371428354847943</v>
      </c>
      <c r="CW2495" s="18" t="str">
        <v>Invest</v>
      </c>
      <c r="CY2495" s="45">
        <v>2491</v>
      </c>
      <c r="CZ2495" s="18">
        <v>25.11408791567791</v>
      </c>
      <c r="DA2495" s="18" t="str">
        <v>Invest</v>
      </c>
    </row>
    <row r="2496" spans="95:105" ht="23.5">
      <c r="CQ2496" s="45">
        <v>2492</v>
      </c>
      <c r="CR2496" s="18">
        <v>20.660195453557126</v>
      </c>
      <c r="CS2496" s="18" t="str">
        <v>Invest</v>
      </c>
      <c r="CU2496" s="45">
        <v>2492</v>
      </c>
      <c r="CV2496" s="18">
        <v>14.837889140287949</v>
      </c>
      <c r="CW2496" s="18" t="str">
        <v>Invest</v>
      </c>
      <c r="CY2496" s="45">
        <v>2492</v>
      </c>
      <c r="CZ2496" s="18">
        <v>25.390174916103661</v>
      </c>
      <c r="DA2496" s="18" t="str">
        <v>Invest</v>
      </c>
    </row>
    <row r="2497" spans="95:105" ht="23.5">
      <c r="CQ2497" s="45">
        <v>2493</v>
      </c>
      <c r="CR2497" s="18">
        <v>21.809003241922667</v>
      </c>
      <c r="CS2497" s="18" t="str">
        <v>Invest</v>
      </c>
      <c r="CU2497" s="45">
        <v>2493</v>
      </c>
      <c r="CV2497" s="18">
        <v>0</v>
      </c>
      <c r="CW2497" s="18" t="str">
        <v>Nothing</v>
      </c>
      <c r="CY2497" s="45">
        <v>2493</v>
      </c>
      <c r="CZ2497" s="18">
        <v>46.507232545019335</v>
      </c>
      <c r="DA2497" s="18" t="str">
        <v>Invest</v>
      </c>
    </row>
    <row r="2498" spans="95:105" ht="23.5">
      <c r="CQ2498" s="45">
        <v>2494</v>
      </c>
      <c r="CR2498" s="18">
        <v>0</v>
      </c>
      <c r="CS2498" s="18" t="str">
        <v>Nothing</v>
      </c>
      <c r="CU2498" s="45">
        <v>2494</v>
      </c>
      <c r="CV2498" s="18">
        <v>4.132774033534151</v>
      </c>
      <c r="CW2498" s="18" t="str">
        <v>Invest</v>
      </c>
      <c r="CY2498" s="45">
        <v>2494</v>
      </c>
      <c r="CZ2498" s="18">
        <v>0</v>
      </c>
      <c r="DA2498" s="18" t="str">
        <v>Nothing</v>
      </c>
    </row>
    <row r="2499" spans="95:105" ht="23.5">
      <c r="CQ2499" s="45">
        <v>2495</v>
      </c>
      <c r="CR2499" s="18">
        <v>20.614863220351427</v>
      </c>
      <c r="CS2499" s="18" t="str">
        <v>Invest</v>
      </c>
      <c r="CU2499" s="45">
        <v>2495</v>
      </c>
      <c r="CV2499" s="18">
        <v>0</v>
      </c>
      <c r="CW2499" s="18" t="str">
        <v>Nothing</v>
      </c>
      <c r="CY2499" s="45">
        <v>2495</v>
      </c>
      <c r="CZ2499" s="18">
        <v>6.8975400212263853</v>
      </c>
      <c r="DA2499" s="18" t="str">
        <v>Invest</v>
      </c>
    </row>
    <row r="2500" spans="95:105" ht="23.5">
      <c r="CQ2500" s="45">
        <v>2496</v>
      </c>
      <c r="CR2500" s="18">
        <v>18.96042931479883</v>
      </c>
      <c r="CS2500" s="18" t="str">
        <v>Invest</v>
      </c>
      <c r="CU2500" s="45">
        <v>2496</v>
      </c>
      <c r="CV2500" s="18">
        <v>7.8381444589722307</v>
      </c>
      <c r="CW2500" s="18" t="str">
        <v>Invest</v>
      </c>
      <c r="CY2500" s="45">
        <v>2496</v>
      </c>
      <c r="CZ2500" s="18">
        <v>0</v>
      </c>
      <c r="DA2500" s="18" t="str">
        <v>Nothing</v>
      </c>
    </row>
    <row r="2501" spans="95:105" ht="23.5">
      <c r="CQ2501" s="45">
        <v>2497</v>
      </c>
      <c r="CR2501" s="18">
        <v>43.234142884052837</v>
      </c>
      <c r="CS2501" s="18" t="str">
        <v>Invest</v>
      </c>
      <c r="CU2501" s="45">
        <v>2497</v>
      </c>
      <c r="CV2501" s="18">
        <v>48.144661769320777</v>
      </c>
      <c r="CW2501" s="18" t="str">
        <v>Invest</v>
      </c>
      <c r="CY2501" s="45">
        <v>2497</v>
      </c>
      <c r="CZ2501" s="18">
        <v>4.4600702991904697</v>
      </c>
      <c r="DA2501" s="18" t="str">
        <v>Invest</v>
      </c>
    </row>
    <row r="2502" spans="95:105" ht="23.5">
      <c r="CQ2502" s="45">
        <v>2498</v>
      </c>
      <c r="CR2502" s="18">
        <v>0</v>
      </c>
      <c r="CS2502" s="18" t="str">
        <v>Nothing</v>
      </c>
      <c r="CU2502" s="45">
        <v>2498</v>
      </c>
      <c r="CV2502" s="18">
        <v>0</v>
      </c>
      <c r="CW2502" s="18" t="str">
        <v>Nothing</v>
      </c>
      <c r="CY2502" s="45">
        <v>2498</v>
      </c>
      <c r="CZ2502" s="18">
        <v>3.7980561871557619</v>
      </c>
      <c r="DA2502" s="18" t="str">
        <v>Invest</v>
      </c>
    </row>
    <row r="2503" spans="95:105" ht="23.5">
      <c r="CQ2503" s="45">
        <v>2499</v>
      </c>
      <c r="CR2503" s="18">
        <v>18.786355490307201</v>
      </c>
      <c r="CS2503" s="18" t="str">
        <v>Invest</v>
      </c>
      <c r="CU2503" s="45">
        <v>2499</v>
      </c>
      <c r="CV2503" s="18">
        <v>0</v>
      </c>
      <c r="CW2503" s="18" t="str">
        <v>Nothing</v>
      </c>
      <c r="CY2503" s="45">
        <v>2499</v>
      </c>
      <c r="CZ2503" s="18">
        <v>11.578440729531639</v>
      </c>
      <c r="DA2503" s="18" t="str">
        <v>Invest</v>
      </c>
    </row>
    <row r="2504" spans="95:105" ht="23.5">
      <c r="CQ2504" s="45">
        <v>2500</v>
      </c>
      <c r="CR2504" s="18">
        <v>0</v>
      </c>
      <c r="CS2504" s="18" t="str">
        <v>Nothing</v>
      </c>
      <c r="CU2504" s="45">
        <v>2500</v>
      </c>
      <c r="CV2504" s="18">
        <v>18.212630429127149</v>
      </c>
      <c r="CW2504" s="18" t="str">
        <v>Invest</v>
      </c>
      <c r="CY2504" s="45">
        <v>2500</v>
      </c>
      <c r="CZ2504" s="18">
        <v>0</v>
      </c>
      <c r="DA2504" s="18" t="str">
        <v>Nothing</v>
      </c>
    </row>
    <row r="2505" spans="95:105" ht="23.5">
      <c r="CQ2505" s="45">
        <v>2501</v>
      </c>
      <c r="CR2505" s="18">
        <v>0</v>
      </c>
      <c r="CS2505" s="18" t="str">
        <v>Nothing</v>
      </c>
      <c r="CU2505" s="45">
        <v>2501</v>
      </c>
      <c r="CV2505" s="18">
        <v>26.5714144119789</v>
      </c>
      <c r="CW2505" s="18" t="str">
        <v>Invest</v>
      </c>
      <c r="CY2505" s="45">
        <v>2501</v>
      </c>
      <c r="CZ2505" s="18">
        <v>13.676990609329749</v>
      </c>
      <c r="DA2505" s="18" t="str">
        <v>Invest</v>
      </c>
    </row>
    <row r="2506" spans="95:105" ht="23.5">
      <c r="CQ2506" s="45">
        <v>2502</v>
      </c>
      <c r="CR2506" s="18">
        <v>10.458235666435293</v>
      </c>
      <c r="CS2506" s="18" t="str">
        <v>Invest</v>
      </c>
      <c r="CU2506" s="45">
        <v>2502</v>
      </c>
      <c r="CV2506" s="18">
        <v>27.524965720421918</v>
      </c>
      <c r="CW2506" s="18" t="str">
        <v>Invest</v>
      </c>
      <c r="CY2506" s="45">
        <v>2502</v>
      </c>
      <c r="CZ2506" s="18">
        <v>40.4075877969034</v>
      </c>
      <c r="DA2506" s="18" t="str">
        <v>Invest</v>
      </c>
    </row>
    <row r="2507" spans="95:105" ht="23.5">
      <c r="CQ2507" s="45">
        <v>2503</v>
      </c>
      <c r="CR2507" s="18">
        <v>47.467170017299509</v>
      </c>
      <c r="CS2507" s="18" t="str">
        <v>Invest</v>
      </c>
      <c r="CU2507" s="45">
        <v>2503</v>
      </c>
      <c r="CV2507" s="18">
        <v>25.738681017338585</v>
      </c>
      <c r="CW2507" s="18" t="str">
        <v>Invest</v>
      </c>
      <c r="CY2507" s="45">
        <v>2503</v>
      </c>
      <c r="CZ2507" s="18">
        <v>10.054069881992838</v>
      </c>
      <c r="DA2507" s="18" t="str">
        <v>Invest</v>
      </c>
    </row>
    <row r="2508" spans="95:105" ht="23.5">
      <c r="CQ2508" s="45">
        <v>2504</v>
      </c>
      <c r="CR2508" s="18">
        <v>0</v>
      </c>
      <c r="CS2508" s="18" t="str">
        <v>Nothing</v>
      </c>
      <c r="CU2508" s="45">
        <v>2504</v>
      </c>
      <c r="CV2508" s="18">
        <v>6.3770575539937475</v>
      </c>
      <c r="CW2508" s="18" t="str">
        <v>Invest</v>
      </c>
      <c r="CY2508" s="45">
        <v>2504</v>
      </c>
      <c r="CZ2508" s="18">
        <v>0</v>
      </c>
      <c r="DA2508" s="18" t="str">
        <v>Nothing</v>
      </c>
    </row>
    <row r="2509" spans="95:105" ht="23.5">
      <c r="CQ2509" s="45">
        <v>2505</v>
      </c>
      <c r="CR2509" s="18">
        <v>32.594270882621025</v>
      </c>
      <c r="CS2509" s="18" t="str">
        <v>Invest</v>
      </c>
      <c r="CU2509" s="45">
        <v>2505</v>
      </c>
      <c r="CV2509" s="18">
        <v>43.84910175753496</v>
      </c>
      <c r="CW2509" s="18" t="str">
        <v>Invest</v>
      </c>
      <c r="CY2509" s="45">
        <v>2505</v>
      </c>
      <c r="CZ2509" s="18">
        <v>36.139424010604273</v>
      </c>
      <c r="DA2509" s="18" t="str">
        <v>Invest</v>
      </c>
    </row>
    <row r="2510" spans="95:105" ht="23.5">
      <c r="CQ2510" s="45">
        <v>2506</v>
      </c>
      <c r="CR2510" s="18">
        <v>29.176663600951574</v>
      </c>
      <c r="CS2510" s="18" t="str">
        <v>Invest</v>
      </c>
      <c r="CU2510" s="45">
        <v>2506</v>
      </c>
      <c r="CV2510" s="18">
        <v>47.52541849081409</v>
      </c>
      <c r="CW2510" s="18" t="str">
        <v>Invest</v>
      </c>
      <c r="CY2510" s="45">
        <v>2506</v>
      </c>
      <c r="CZ2510" s="18">
        <v>19.315317950966865</v>
      </c>
      <c r="DA2510" s="18" t="str">
        <v>Invest</v>
      </c>
    </row>
    <row r="2511" spans="95:105" ht="23.5">
      <c r="CQ2511" s="45">
        <v>2507</v>
      </c>
      <c r="CR2511" s="18">
        <v>33.128256436126989</v>
      </c>
      <c r="CS2511" s="18" t="str">
        <v>Invest</v>
      </c>
      <c r="CU2511" s="45">
        <v>2507</v>
      </c>
      <c r="CV2511" s="18">
        <v>59.129390343029641</v>
      </c>
      <c r="CW2511" s="18" t="str">
        <v>Invest</v>
      </c>
      <c r="CY2511" s="45">
        <v>2507</v>
      </c>
      <c r="CZ2511" s="18">
        <v>5.0657110406163994</v>
      </c>
      <c r="DA2511" s="18" t="str">
        <v>Invest</v>
      </c>
    </row>
    <row r="2512" spans="95:105" ht="23.5">
      <c r="CQ2512" s="45">
        <v>2508</v>
      </c>
      <c r="CR2512" s="18">
        <v>12.353369285040182</v>
      </c>
      <c r="CS2512" s="18" t="str">
        <v>Invest</v>
      </c>
      <c r="CU2512" s="45">
        <v>2508</v>
      </c>
      <c r="CV2512" s="18">
        <v>0</v>
      </c>
      <c r="CW2512" s="18" t="str">
        <v>Nothing</v>
      </c>
      <c r="CY2512" s="45">
        <v>2508</v>
      </c>
      <c r="CZ2512" s="18">
        <v>25.275533272488733</v>
      </c>
      <c r="DA2512" s="18" t="str">
        <v>Invest</v>
      </c>
    </row>
    <row r="2513" spans="95:105" ht="23.5">
      <c r="CQ2513" s="45">
        <v>2509</v>
      </c>
      <c r="CR2513" s="18">
        <v>0</v>
      </c>
      <c r="CS2513" s="18" t="str">
        <v>Nothing</v>
      </c>
      <c r="CU2513" s="45">
        <v>2509</v>
      </c>
      <c r="CV2513" s="18">
        <v>39.310312991317502</v>
      </c>
      <c r="CW2513" s="18" t="str">
        <v>Invest</v>
      </c>
      <c r="CY2513" s="45">
        <v>2509</v>
      </c>
      <c r="CZ2513" s="18">
        <v>18.398712360251665</v>
      </c>
      <c r="DA2513" s="18" t="str">
        <v>Invest</v>
      </c>
    </row>
    <row r="2514" spans="95:105" ht="23.5">
      <c r="CQ2514" s="45">
        <v>2510</v>
      </c>
      <c r="CR2514" s="18">
        <v>1.1193605119842465</v>
      </c>
      <c r="CS2514" s="18" t="str">
        <v>Invest</v>
      </c>
      <c r="CU2514" s="45">
        <v>2510</v>
      </c>
      <c r="CV2514" s="18">
        <v>23.385788303300483</v>
      </c>
      <c r="CW2514" s="18" t="str">
        <v>Invest</v>
      </c>
      <c r="CY2514" s="45">
        <v>2510</v>
      </c>
      <c r="CZ2514" s="18">
        <v>4.2956317502000445</v>
      </c>
      <c r="DA2514" s="18" t="str">
        <v>Invest</v>
      </c>
    </row>
    <row r="2515" spans="95:105" ht="23.5">
      <c r="CQ2515" s="45">
        <v>2511</v>
      </c>
      <c r="CR2515" s="18">
        <v>0</v>
      </c>
      <c r="CS2515" s="18" t="str">
        <v>Nothing</v>
      </c>
      <c r="CU2515" s="45">
        <v>2511</v>
      </c>
      <c r="CV2515" s="18">
        <v>3.1251064973262324</v>
      </c>
      <c r="CW2515" s="18" t="str">
        <v>Invest</v>
      </c>
      <c r="CY2515" s="45">
        <v>2511</v>
      </c>
      <c r="CZ2515" s="18">
        <v>28.679277941248586</v>
      </c>
      <c r="DA2515" s="18" t="str">
        <v>Invest</v>
      </c>
    </row>
    <row r="2516" spans="95:105" ht="23.5">
      <c r="CQ2516" s="45">
        <v>2512</v>
      </c>
      <c r="CR2516" s="18">
        <v>0</v>
      </c>
      <c r="CS2516" s="18" t="str">
        <v>Nothing</v>
      </c>
      <c r="CU2516" s="45">
        <v>2512</v>
      </c>
      <c r="CV2516" s="18">
        <v>0</v>
      </c>
      <c r="CW2516" s="18" t="str">
        <v>Nothing</v>
      </c>
      <c r="CY2516" s="45">
        <v>2512</v>
      </c>
      <c r="CZ2516" s="18">
        <v>0</v>
      </c>
      <c r="DA2516" s="18" t="str">
        <v>Nothing</v>
      </c>
    </row>
    <row r="2517" spans="95:105" ht="23.5">
      <c r="CQ2517" s="45">
        <v>2513</v>
      </c>
      <c r="CR2517" s="18">
        <v>18.079818272072515</v>
      </c>
      <c r="CS2517" s="18" t="str">
        <v>Invest</v>
      </c>
      <c r="CU2517" s="45">
        <v>2513</v>
      </c>
      <c r="CV2517" s="18">
        <v>28.184433317523499</v>
      </c>
      <c r="CW2517" s="18" t="str">
        <v>Invest</v>
      </c>
      <c r="CY2517" s="45">
        <v>2513</v>
      </c>
      <c r="CZ2517" s="18">
        <v>50.268356049623321</v>
      </c>
      <c r="DA2517" s="18" t="str">
        <v>Invest</v>
      </c>
    </row>
    <row r="2518" spans="95:105" ht="23.5">
      <c r="CQ2518" s="45">
        <v>2514</v>
      </c>
      <c r="CR2518" s="18">
        <v>0</v>
      </c>
      <c r="CS2518" s="18" t="str">
        <v>Nothing</v>
      </c>
      <c r="CU2518" s="45">
        <v>2514</v>
      </c>
      <c r="CV2518" s="18">
        <v>16.706891245513496</v>
      </c>
      <c r="CW2518" s="18" t="str">
        <v>Invest</v>
      </c>
      <c r="CY2518" s="45">
        <v>2514</v>
      </c>
      <c r="CZ2518" s="18">
        <v>28.275248660461187</v>
      </c>
      <c r="DA2518" s="18" t="str">
        <v>Invest</v>
      </c>
    </row>
    <row r="2519" spans="95:105" ht="23.5">
      <c r="CQ2519" s="45">
        <v>2515</v>
      </c>
      <c r="CR2519" s="18">
        <v>35.726118355856997</v>
      </c>
      <c r="CS2519" s="18" t="str">
        <v>Invest</v>
      </c>
      <c r="CU2519" s="45">
        <v>2515</v>
      </c>
      <c r="CV2519" s="18">
        <v>35.346105557066956</v>
      </c>
      <c r="CW2519" s="18" t="str">
        <v>Invest</v>
      </c>
      <c r="CY2519" s="45">
        <v>2515</v>
      </c>
      <c r="CZ2519" s="18">
        <v>63.662997641067484</v>
      </c>
      <c r="DA2519" s="18" t="str">
        <v>Invest</v>
      </c>
    </row>
    <row r="2520" spans="95:105" ht="23.5">
      <c r="CQ2520" s="45">
        <v>2516</v>
      </c>
      <c r="CR2520" s="18">
        <v>13.579690969078779</v>
      </c>
      <c r="CS2520" s="18" t="str">
        <v>Invest</v>
      </c>
      <c r="CU2520" s="45">
        <v>2516</v>
      </c>
      <c r="CV2520" s="18">
        <v>0</v>
      </c>
      <c r="CW2520" s="18" t="str">
        <v>Nothing</v>
      </c>
      <c r="CY2520" s="45">
        <v>2516</v>
      </c>
      <c r="CZ2520" s="18">
        <v>10.298672001019877</v>
      </c>
      <c r="DA2520" s="18" t="str">
        <v>Invest</v>
      </c>
    </row>
    <row r="2521" spans="95:105" ht="23.5">
      <c r="CQ2521" s="45">
        <v>2517</v>
      </c>
      <c r="CR2521" s="18">
        <v>9.6220842454434141</v>
      </c>
      <c r="CS2521" s="18" t="str">
        <v>Invest</v>
      </c>
      <c r="CU2521" s="45">
        <v>2517</v>
      </c>
      <c r="CV2521" s="18">
        <v>0</v>
      </c>
      <c r="CW2521" s="18" t="str">
        <v>Nothing</v>
      </c>
      <c r="CY2521" s="45">
        <v>2517</v>
      </c>
      <c r="CZ2521" s="18">
        <v>0</v>
      </c>
      <c r="DA2521" s="18" t="str">
        <v>Nothing</v>
      </c>
    </row>
    <row r="2522" spans="95:105" ht="23.5">
      <c r="CQ2522" s="45">
        <v>2518</v>
      </c>
      <c r="CR2522" s="18">
        <v>22.824530304416957</v>
      </c>
      <c r="CS2522" s="18" t="str">
        <v>Invest</v>
      </c>
      <c r="CU2522" s="45">
        <v>2518</v>
      </c>
      <c r="CV2522" s="18">
        <v>45.097240676429067</v>
      </c>
      <c r="CW2522" s="18" t="str">
        <v>Invest</v>
      </c>
      <c r="CY2522" s="45">
        <v>2518</v>
      </c>
      <c r="CZ2522" s="18">
        <v>0</v>
      </c>
      <c r="DA2522" s="18" t="str">
        <v>Nothing</v>
      </c>
    </row>
    <row r="2523" spans="95:105" ht="23.5">
      <c r="CQ2523" s="45">
        <v>2519</v>
      </c>
      <c r="CR2523" s="18">
        <v>36.881247830871757</v>
      </c>
      <c r="CS2523" s="18" t="str">
        <v>Invest</v>
      </c>
      <c r="CU2523" s="45">
        <v>2519</v>
      </c>
      <c r="CV2523" s="18">
        <v>0</v>
      </c>
      <c r="CW2523" s="18" t="str">
        <v>Nothing</v>
      </c>
      <c r="CY2523" s="45">
        <v>2519</v>
      </c>
      <c r="CZ2523" s="18">
        <v>2.6469097702211233</v>
      </c>
      <c r="DA2523" s="18" t="str">
        <v>Invest</v>
      </c>
    </row>
    <row r="2524" spans="95:105" ht="23.5">
      <c r="CQ2524" s="45">
        <v>2520</v>
      </c>
      <c r="CR2524" s="18">
        <v>0</v>
      </c>
      <c r="CS2524" s="18" t="str">
        <v>Nothing</v>
      </c>
      <c r="CU2524" s="45">
        <v>2520</v>
      </c>
      <c r="CV2524" s="18">
        <v>5.9517504180917413</v>
      </c>
      <c r="CW2524" s="18" t="str">
        <v>Invest</v>
      </c>
      <c r="CY2524" s="45">
        <v>2520</v>
      </c>
      <c r="CZ2524" s="18">
        <v>9.061024676574835</v>
      </c>
      <c r="DA2524" s="18" t="str">
        <v>Invest</v>
      </c>
    </row>
    <row r="2525" spans="95:105" ht="23.5">
      <c r="CQ2525" s="45">
        <v>2521</v>
      </c>
      <c r="CR2525" s="18">
        <v>9.2791500278167494</v>
      </c>
      <c r="CS2525" s="18" t="str">
        <v>Invest</v>
      </c>
      <c r="CU2525" s="45">
        <v>2521</v>
      </c>
      <c r="CV2525" s="18">
        <v>49.364410778997708</v>
      </c>
      <c r="CW2525" s="18" t="str">
        <v>Invest</v>
      </c>
      <c r="CY2525" s="45">
        <v>2521</v>
      </c>
      <c r="CZ2525" s="18">
        <v>0</v>
      </c>
      <c r="DA2525" s="18" t="str">
        <v>Nothing</v>
      </c>
    </row>
    <row r="2526" spans="95:105" ht="23.5">
      <c r="CQ2526" s="45">
        <v>2522</v>
      </c>
      <c r="CR2526" s="18">
        <v>0</v>
      </c>
      <c r="CS2526" s="18" t="str">
        <v>Nothing</v>
      </c>
      <c r="CU2526" s="45">
        <v>2522</v>
      </c>
      <c r="CV2526" s="18">
        <v>13.048797164918444</v>
      </c>
      <c r="CW2526" s="18" t="str">
        <v>Invest</v>
      </c>
      <c r="CY2526" s="45">
        <v>2522</v>
      </c>
      <c r="CZ2526" s="18">
        <v>12.50112659742457</v>
      </c>
      <c r="DA2526" s="18" t="str">
        <v>Invest</v>
      </c>
    </row>
    <row r="2527" spans="95:105" ht="23.5">
      <c r="CQ2527" s="45">
        <v>2523</v>
      </c>
      <c r="CR2527" s="18">
        <v>4.0206610717856774</v>
      </c>
      <c r="CS2527" s="18" t="str">
        <v>Invest</v>
      </c>
      <c r="CU2527" s="45">
        <v>2523</v>
      </c>
      <c r="CV2527" s="18">
        <v>0</v>
      </c>
      <c r="CW2527" s="18" t="str">
        <v>Nothing</v>
      </c>
      <c r="CY2527" s="45">
        <v>2523</v>
      </c>
      <c r="CZ2527" s="18">
        <v>32.630694404537664</v>
      </c>
      <c r="DA2527" s="18" t="str">
        <v>Invest</v>
      </c>
    </row>
    <row r="2528" spans="95:105" ht="23.5">
      <c r="CQ2528" s="45">
        <v>2524</v>
      </c>
      <c r="CR2528" s="18">
        <v>56.441031151302319</v>
      </c>
      <c r="CS2528" s="18" t="str">
        <v>Invest</v>
      </c>
      <c r="CU2528" s="45">
        <v>2524</v>
      </c>
      <c r="CV2528" s="18">
        <v>0</v>
      </c>
      <c r="CW2528" s="18" t="str">
        <v>Nothing</v>
      </c>
      <c r="CY2528" s="45">
        <v>2524</v>
      </c>
      <c r="CZ2528" s="18">
        <v>10.22508525721932</v>
      </c>
      <c r="DA2528" s="18" t="str">
        <v>Invest</v>
      </c>
    </row>
    <row r="2529" spans="95:105" ht="23.5">
      <c r="CQ2529" s="45">
        <v>2525</v>
      </c>
      <c r="CR2529" s="18">
        <v>0</v>
      </c>
      <c r="CS2529" s="18" t="str">
        <v>Nothing</v>
      </c>
      <c r="CU2529" s="45">
        <v>2525</v>
      </c>
      <c r="CV2529" s="18">
        <v>0</v>
      </c>
      <c r="CW2529" s="18" t="str">
        <v>Nothing</v>
      </c>
      <c r="CY2529" s="45">
        <v>2525</v>
      </c>
      <c r="CZ2529" s="18">
        <v>0</v>
      </c>
      <c r="DA2529" s="18" t="str">
        <v>Nothing</v>
      </c>
    </row>
    <row r="2530" spans="95:105" ht="23.5">
      <c r="CQ2530" s="45">
        <v>2526</v>
      </c>
      <c r="CR2530" s="18">
        <v>61.40848772114942</v>
      </c>
      <c r="CS2530" s="18" t="str">
        <v>Invest</v>
      </c>
      <c r="CU2530" s="45">
        <v>2526</v>
      </c>
      <c r="CV2530" s="18">
        <v>7.1237740646924363</v>
      </c>
      <c r="CW2530" s="18" t="str">
        <v>Invest</v>
      </c>
      <c r="CY2530" s="45">
        <v>2526</v>
      </c>
      <c r="CZ2530" s="18">
        <v>16.197696964403395</v>
      </c>
      <c r="DA2530" s="18" t="str">
        <v>Invest</v>
      </c>
    </row>
    <row r="2531" spans="95:105" ht="23.5">
      <c r="CQ2531" s="45">
        <v>2527</v>
      </c>
      <c r="CR2531" s="18">
        <v>20.177559433232105</v>
      </c>
      <c r="CS2531" s="18" t="str">
        <v>Invest</v>
      </c>
      <c r="CU2531" s="45">
        <v>2527</v>
      </c>
      <c r="CV2531" s="18">
        <v>51.755730906554533</v>
      </c>
      <c r="CW2531" s="18" t="str">
        <v>Invest</v>
      </c>
      <c r="CY2531" s="45">
        <v>2527</v>
      </c>
      <c r="CZ2531" s="18">
        <v>29.656010440880618</v>
      </c>
      <c r="DA2531" s="18" t="str">
        <v>Invest</v>
      </c>
    </row>
    <row r="2532" spans="95:105" ht="23.5">
      <c r="CQ2532" s="45">
        <v>2528</v>
      </c>
      <c r="CR2532" s="18">
        <v>52.701631209262118</v>
      </c>
      <c r="CS2532" s="18" t="str">
        <v>Invest</v>
      </c>
      <c r="CU2532" s="45">
        <v>2528</v>
      </c>
      <c r="CV2532" s="18">
        <v>0</v>
      </c>
      <c r="CW2532" s="18" t="str">
        <v>Nothing</v>
      </c>
      <c r="CY2532" s="45">
        <v>2528</v>
      </c>
      <c r="CZ2532" s="18">
        <v>27.17231115497033</v>
      </c>
      <c r="DA2532" s="18" t="str">
        <v>Invest</v>
      </c>
    </row>
    <row r="2533" spans="95:105" ht="23.5">
      <c r="CQ2533" s="45">
        <v>2529</v>
      </c>
      <c r="CR2533" s="18">
        <v>0.87804125252797949</v>
      </c>
      <c r="CS2533" s="18" t="str">
        <v>Invest</v>
      </c>
      <c r="CU2533" s="45">
        <v>2529</v>
      </c>
      <c r="CV2533" s="18">
        <v>25.698212343374315</v>
      </c>
      <c r="CW2533" s="18" t="str">
        <v>Invest</v>
      </c>
      <c r="CY2533" s="45">
        <v>2529</v>
      </c>
      <c r="CZ2533" s="18">
        <v>0</v>
      </c>
      <c r="DA2533" s="18" t="str">
        <v>Nothing</v>
      </c>
    </row>
    <row r="2534" spans="95:105" ht="23.5">
      <c r="CQ2534" s="45">
        <v>2530</v>
      </c>
      <c r="CR2534" s="18">
        <v>55.385330010063704</v>
      </c>
      <c r="CS2534" s="18" t="str">
        <v>Invest</v>
      </c>
      <c r="CU2534" s="45">
        <v>2530</v>
      </c>
      <c r="CV2534" s="18">
        <v>4.7365416987367475</v>
      </c>
      <c r="CW2534" s="18" t="str">
        <v>Invest</v>
      </c>
      <c r="CY2534" s="45">
        <v>2530</v>
      </c>
      <c r="CZ2534" s="18">
        <v>0</v>
      </c>
      <c r="DA2534" s="18" t="str">
        <v>Nothing</v>
      </c>
    </row>
    <row r="2535" spans="95:105" ht="23.5">
      <c r="CQ2535" s="45">
        <v>2531</v>
      </c>
      <c r="CR2535" s="18">
        <v>24.473449542126538</v>
      </c>
      <c r="CS2535" s="18" t="str">
        <v>Invest</v>
      </c>
      <c r="CU2535" s="45">
        <v>2531</v>
      </c>
      <c r="CV2535" s="18">
        <v>0</v>
      </c>
      <c r="CW2535" s="18" t="str">
        <v>Nothing</v>
      </c>
      <c r="CY2535" s="45">
        <v>2531</v>
      </c>
      <c r="CZ2535" s="18">
        <v>31.303654225526603</v>
      </c>
      <c r="DA2535" s="18" t="str">
        <v>Invest</v>
      </c>
    </row>
    <row r="2536" spans="95:105" ht="23.5">
      <c r="CQ2536" s="45">
        <v>2532</v>
      </c>
      <c r="CR2536" s="18">
        <v>0</v>
      </c>
      <c r="CS2536" s="18" t="str">
        <v>Nothing</v>
      </c>
      <c r="CU2536" s="45">
        <v>2532</v>
      </c>
      <c r="CV2536" s="18">
        <v>0</v>
      </c>
      <c r="CW2536" s="18" t="str">
        <v>Nothing</v>
      </c>
      <c r="CY2536" s="45">
        <v>2532</v>
      </c>
      <c r="CZ2536" s="18">
        <v>0</v>
      </c>
      <c r="DA2536" s="18" t="str">
        <v>Nothing</v>
      </c>
    </row>
    <row r="2537" spans="95:105" ht="23.5">
      <c r="CQ2537" s="45">
        <v>2533</v>
      </c>
      <c r="CR2537" s="18">
        <v>2.8243965581704931</v>
      </c>
      <c r="CS2537" s="18" t="str">
        <v>Invest</v>
      </c>
      <c r="CU2537" s="45">
        <v>2533</v>
      </c>
      <c r="CV2537" s="18">
        <v>21.352935718990675</v>
      </c>
      <c r="CW2537" s="18" t="str">
        <v>Invest</v>
      </c>
      <c r="CY2537" s="45">
        <v>2533</v>
      </c>
      <c r="CZ2537" s="18">
        <v>4.7715293036408113</v>
      </c>
      <c r="DA2537" s="18" t="str">
        <v>Invest</v>
      </c>
    </row>
    <row r="2538" spans="95:105" ht="23.5">
      <c r="CQ2538" s="45">
        <v>2534</v>
      </c>
      <c r="CR2538" s="18">
        <v>25.521870775369543</v>
      </c>
      <c r="CS2538" s="18" t="str">
        <v>Invest</v>
      </c>
      <c r="CU2538" s="45">
        <v>2534</v>
      </c>
      <c r="CV2538" s="18">
        <v>0</v>
      </c>
      <c r="CW2538" s="18" t="str">
        <v>Nothing</v>
      </c>
      <c r="CY2538" s="45">
        <v>2534</v>
      </c>
      <c r="CZ2538" s="18">
        <v>0</v>
      </c>
      <c r="DA2538" s="18" t="str">
        <v>Nothing</v>
      </c>
    </row>
    <row r="2539" spans="95:105" ht="23.5">
      <c r="CQ2539" s="45">
        <v>2535</v>
      </c>
      <c r="CR2539" s="18">
        <v>17.482626393921471</v>
      </c>
      <c r="CS2539" s="18" t="str">
        <v>Invest</v>
      </c>
      <c r="CU2539" s="45">
        <v>2535</v>
      </c>
      <c r="CV2539" s="18">
        <v>47.939999438388185</v>
      </c>
      <c r="CW2539" s="18" t="str">
        <v>Invest</v>
      </c>
      <c r="CY2539" s="45">
        <v>2535</v>
      </c>
      <c r="CZ2539" s="18">
        <v>28.640853048658546</v>
      </c>
      <c r="DA2539" s="18" t="str">
        <v>Invest</v>
      </c>
    </row>
    <row r="2540" spans="95:105" ht="23.5">
      <c r="CQ2540" s="45">
        <v>2536</v>
      </c>
      <c r="CR2540" s="18">
        <v>37.914222847624508</v>
      </c>
      <c r="CS2540" s="18" t="str">
        <v>Invest</v>
      </c>
      <c r="CU2540" s="45">
        <v>2536</v>
      </c>
      <c r="CV2540" s="18">
        <v>15.94067918715492</v>
      </c>
      <c r="CW2540" s="18" t="str">
        <v>Invest</v>
      </c>
      <c r="CY2540" s="45">
        <v>2536</v>
      </c>
      <c r="CZ2540" s="18">
        <v>25.174308826943225</v>
      </c>
      <c r="DA2540" s="18" t="str">
        <v>Invest</v>
      </c>
    </row>
    <row r="2541" spans="95:105" ht="23.5">
      <c r="CQ2541" s="45">
        <v>2537</v>
      </c>
      <c r="CR2541" s="18">
        <v>0</v>
      </c>
      <c r="CS2541" s="18" t="str">
        <v>Nothing</v>
      </c>
      <c r="CU2541" s="45">
        <v>2537</v>
      </c>
      <c r="CV2541" s="18">
        <v>2.8770007922592207</v>
      </c>
      <c r="CW2541" s="18" t="str">
        <v>Invest</v>
      </c>
      <c r="CY2541" s="45">
        <v>2537</v>
      </c>
      <c r="CZ2541" s="18">
        <v>20.777308884565656</v>
      </c>
      <c r="DA2541" s="18" t="str">
        <v>Invest</v>
      </c>
    </row>
    <row r="2542" spans="95:105" ht="23.5">
      <c r="CQ2542" s="45">
        <v>2538</v>
      </c>
      <c r="CR2542" s="18">
        <v>11.673592298684392</v>
      </c>
      <c r="CS2542" s="18" t="str">
        <v>Invest</v>
      </c>
      <c r="CU2542" s="45">
        <v>2538</v>
      </c>
      <c r="CV2542" s="18">
        <v>15.007225990314556</v>
      </c>
      <c r="CW2542" s="18" t="str">
        <v>Invest</v>
      </c>
      <c r="CY2542" s="45">
        <v>2538</v>
      </c>
      <c r="CZ2542" s="18">
        <v>0</v>
      </c>
      <c r="DA2542" s="18" t="str">
        <v>Nothing</v>
      </c>
    </row>
    <row r="2543" spans="95:105" ht="23.5">
      <c r="CQ2543" s="45">
        <v>2539</v>
      </c>
      <c r="CR2543" s="18">
        <v>30.146821278766001</v>
      </c>
      <c r="CS2543" s="18" t="str">
        <v>Invest</v>
      </c>
      <c r="CU2543" s="45">
        <v>2539</v>
      </c>
      <c r="CV2543" s="18">
        <v>0</v>
      </c>
      <c r="CW2543" s="18" t="str">
        <v>Nothing</v>
      </c>
      <c r="CY2543" s="45">
        <v>2539</v>
      </c>
      <c r="CZ2543" s="18">
        <v>0</v>
      </c>
      <c r="DA2543" s="18" t="str">
        <v>Nothing</v>
      </c>
    </row>
    <row r="2544" spans="95:105" ht="23.5">
      <c r="CQ2544" s="45">
        <v>2540</v>
      </c>
      <c r="CR2544" s="18">
        <v>33.863965628493574</v>
      </c>
      <c r="CS2544" s="18" t="str">
        <v>Invest</v>
      </c>
      <c r="CU2544" s="45">
        <v>2540</v>
      </c>
      <c r="CV2544" s="18">
        <v>55.850961400984239</v>
      </c>
      <c r="CW2544" s="18" t="str">
        <v>Invest</v>
      </c>
      <c r="CY2544" s="45">
        <v>2540</v>
      </c>
      <c r="CZ2544" s="18">
        <v>0</v>
      </c>
      <c r="DA2544" s="18" t="str">
        <v>Nothing</v>
      </c>
    </row>
    <row r="2545" spans="95:105" ht="23.5">
      <c r="CQ2545" s="45">
        <v>2541</v>
      </c>
      <c r="CR2545" s="18">
        <v>0</v>
      </c>
      <c r="CS2545" s="18" t="str">
        <v>Nothing</v>
      </c>
      <c r="CU2545" s="45">
        <v>2541</v>
      </c>
      <c r="CV2545" s="18">
        <v>0</v>
      </c>
      <c r="CW2545" s="18" t="str">
        <v>Nothing</v>
      </c>
      <c r="CY2545" s="45">
        <v>2541</v>
      </c>
      <c r="CZ2545" s="18">
        <v>5.5347463425012187</v>
      </c>
      <c r="DA2545" s="18" t="str">
        <v>Invest</v>
      </c>
    </row>
    <row r="2546" spans="95:105" ht="23.5">
      <c r="CQ2546" s="45">
        <v>2542</v>
      </c>
      <c r="CR2546" s="18">
        <v>21.846017697784745</v>
      </c>
      <c r="CS2546" s="18" t="str">
        <v>Invest</v>
      </c>
      <c r="CU2546" s="45">
        <v>2542</v>
      </c>
      <c r="CV2546" s="18">
        <v>5.7009239659618416</v>
      </c>
      <c r="CW2546" s="18" t="str">
        <v>Invest</v>
      </c>
      <c r="CY2546" s="45">
        <v>2542</v>
      </c>
      <c r="CZ2546" s="18">
        <v>0</v>
      </c>
      <c r="DA2546" s="18" t="str">
        <v>Nothing</v>
      </c>
    </row>
    <row r="2547" spans="95:105" ht="23.5">
      <c r="CQ2547" s="45">
        <v>2543</v>
      </c>
      <c r="CR2547" s="18">
        <v>49.940788776140955</v>
      </c>
      <c r="CS2547" s="18" t="str">
        <v>Invest</v>
      </c>
      <c r="CU2547" s="45">
        <v>2543</v>
      </c>
      <c r="CV2547" s="18">
        <v>0</v>
      </c>
      <c r="CW2547" s="18" t="str">
        <v>Nothing</v>
      </c>
      <c r="CY2547" s="45">
        <v>2543</v>
      </c>
      <c r="CZ2547" s="18">
        <v>7.798954811385876</v>
      </c>
      <c r="DA2547" s="18" t="str">
        <v>Invest</v>
      </c>
    </row>
    <row r="2548" spans="95:105" ht="23.5">
      <c r="CQ2548" s="45">
        <v>2544</v>
      </c>
      <c r="CR2548" s="18">
        <v>20.80712861900523</v>
      </c>
      <c r="CS2548" s="18" t="str">
        <v>Invest</v>
      </c>
      <c r="CU2548" s="45">
        <v>2544</v>
      </c>
      <c r="CV2548" s="18">
        <v>38.176083754822741</v>
      </c>
      <c r="CW2548" s="18" t="str">
        <v>Invest</v>
      </c>
      <c r="CY2548" s="45">
        <v>2544</v>
      </c>
      <c r="CZ2548" s="18">
        <v>0</v>
      </c>
      <c r="DA2548" s="18" t="str">
        <v>Nothing</v>
      </c>
    </row>
    <row r="2549" spans="95:105" ht="23.5">
      <c r="CQ2549" s="45">
        <v>2545</v>
      </c>
      <c r="CR2549" s="18">
        <v>2.4068217357559227</v>
      </c>
      <c r="CS2549" s="18" t="str">
        <v>Invest</v>
      </c>
      <c r="CU2549" s="45">
        <v>2545</v>
      </c>
      <c r="CV2549" s="18">
        <v>12.030780116159228</v>
      </c>
      <c r="CW2549" s="18" t="str">
        <v>Invest</v>
      </c>
      <c r="CY2549" s="45">
        <v>2545</v>
      </c>
      <c r="CZ2549" s="18">
        <v>44.473338940013463</v>
      </c>
      <c r="DA2549" s="18" t="str">
        <v>Invest</v>
      </c>
    </row>
    <row r="2550" spans="95:105" ht="23.5">
      <c r="CQ2550" s="45">
        <v>2546</v>
      </c>
      <c r="CR2550" s="18">
        <v>8.4569987151530555</v>
      </c>
      <c r="CS2550" s="18" t="str">
        <v>Invest</v>
      </c>
      <c r="CU2550" s="45">
        <v>2546</v>
      </c>
      <c r="CV2550" s="18">
        <v>0</v>
      </c>
      <c r="CW2550" s="18" t="str">
        <v>Nothing</v>
      </c>
      <c r="CY2550" s="45">
        <v>2546</v>
      </c>
      <c r="CZ2550" s="18">
        <v>21.699439568964628</v>
      </c>
      <c r="DA2550" s="18" t="str">
        <v>Invest</v>
      </c>
    </row>
    <row r="2551" spans="95:105" ht="23.5">
      <c r="CQ2551" s="45">
        <v>2547</v>
      </c>
      <c r="CR2551" s="18">
        <v>19.358935030719902</v>
      </c>
      <c r="CS2551" s="18" t="str">
        <v>Invest</v>
      </c>
      <c r="CU2551" s="45">
        <v>2547</v>
      </c>
      <c r="CV2551" s="18">
        <v>5.7875760531818399</v>
      </c>
      <c r="CW2551" s="18" t="str">
        <v>Invest</v>
      </c>
      <c r="CY2551" s="45">
        <v>2547</v>
      </c>
      <c r="CZ2551" s="18">
        <v>51.448115122803429</v>
      </c>
      <c r="DA2551" s="18" t="str">
        <v>Invest</v>
      </c>
    </row>
    <row r="2552" spans="95:105" ht="23.5">
      <c r="CQ2552" s="45">
        <v>2548</v>
      </c>
      <c r="CR2552" s="18">
        <v>9.5242428901105782</v>
      </c>
      <c r="CS2552" s="18" t="str">
        <v>Invest</v>
      </c>
      <c r="CU2552" s="45">
        <v>2548</v>
      </c>
      <c r="CV2552" s="18">
        <v>19.426460846464</v>
      </c>
      <c r="CW2552" s="18" t="str">
        <v>Invest</v>
      </c>
      <c r="CY2552" s="45">
        <v>2548</v>
      </c>
      <c r="CZ2552" s="18">
        <v>5.7939509034946735</v>
      </c>
      <c r="DA2552" s="18" t="str">
        <v>Invest</v>
      </c>
    </row>
    <row r="2553" spans="95:105" ht="23.5">
      <c r="CQ2553" s="45">
        <v>2549</v>
      </c>
      <c r="CR2553" s="18">
        <v>28.34516062287139</v>
      </c>
      <c r="CS2553" s="18" t="str">
        <v>Invest</v>
      </c>
      <c r="CU2553" s="45">
        <v>2549</v>
      </c>
      <c r="CV2553" s="18">
        <v>43.463558742924256</v>
      </c>
      <c r="CW2553" s="18" t="str">
        <v>Invest</v>
      </c>
      <c r="CY2553" s="45">
        <v>2549</v>
      </c>
      <c r="CZ2553" s="18">
        <v>11.41387872605489</v>
      </c>
      <c r="DA2553" s="18" t="str">
        <v>Invest</v>
      </c>
    </row>
    <row r="2554" spans="95:105" ht="23.5">
      <c r="CQ2554" s="45">
        <v>2550</v>
      </c>
      <c r="CR2554" s="18">
        <v>30.520526761260022</v>
      </c>
      <c r="CS2554" s="18" t="str">
        <v>Invest</v>
      </c>
      <c r="CU2554" s="45">
        <v>2550</v>
      </c>
      <c r="CV2554" s="18">
        <v>26.332607203346271</v>
      </c>
      <c r="CW2554" s="18" t="str">
        <v>Invest</v>
      </c>
      <c r="CY2554" s="45">
        <v>2550</v>
      </c>
      <c r="CZ2554" s="18">
        <v>0</v>
      </c>
      <c r="DA2554" s="18" t="str">
        <v>Nothing</v>
      </c>
    </row>
    <row r="2555" spans="95:105" ht="23.5">
      <c r="CQ2555" s="45">
        <v>2551</v>
      </c>
      <c r="CR2555" s="18">
        <v>0</v>
      </c>
      <c r="CS2555" s="18" t="str">
        <v>Nothing</v>
      </c>
      <c r="CU2555" s="45">
        <v>2551</v>
      </c>
      <c r="CV2555" s="18">
        <v>27.682536653783405</v>
      </c>
      <c r="CW2555" s="18" t="str">
        <v>Invest</v>
      </c>
      <c r="CY2555" s="45">
        <v>2551</v>
      </c>
      <c r="CZ2555" s="18">
        <v>20.892666073987037</v>
      </c>
      <c r="DA2555" s="18" t="str">
        <v>Invest</v>
      </c>
    </row>
    <row r="2556" spans="95:105" ht="23.5">
      <c r="CQ2556" s="45">
        <v>2552</v>
      </c>
      <c r="CR2556" s="18">
        <v>0</v>
      </c>
      <c r="CS2556" s="18" t="str">
        <v>Nothing</v>
      </c>
      <c r="CU2556" s="45">
        <v>2552</v>
      </c>
      <c r="CV2556" s="18">
        <v>20.705763414812683</v>
      </c>
      <c r="CW2556" s="18" t="str">
        <v>Invest</v>
      </c>
      <c r="CY2556" s="45">
        <v>2552</v>
      </c>
      <c r="CZ2556" s="18">
        <v>32.099523388644215</v>
      </c>
      <c r="DA2556" s="18" t="str">
        <v>Invest</v>
      </c>
    </row>
    <row r="2557" spans="95:105" ht="23.5">
      <c r="CQ2557" s="45">
        <v>2553</v>
      </c>
      <c r="CR2557" s="18">
        <v>0</v>
      </c>
      <c r="CS2557" s="18" t="str">
        <v>Nothing</v>
      </c>
      <c r="CU2557" s="45">
        <v>2553</v>
      </c>
      <c r="CV2557" s="18">
        <v>59.241396379915813</v>
      </c>
      <c r="CW2557" s="18" t="str">
        <v>Invest</v>
      </c>
      <c r="CY2557" s="45">
        <v>2553</v>
      </c>
      <c r="CZ2557" s="18">
        <v>38.019689912532506</v>
      </c>
      <c r="DA2557" s="18" t="str">
        <v>Invest</v>
      </c>
    </row>
    <row r="2558" spans="95:105" ht="23.5">
      <c r="CQ2558" s="45">
        <v>2554</v>
      </c>
      <c r="CR2558" s="18">
        <v>24.388438287097124</v>
      </c>
      <c r="CS2558" s="18" t="str">
        <v>Invest</v>
      </c>
      <c r="CU2558" s="45">
        <v>2554</v>
      </c>
      <c r="CV2558" s="18">
        <v>13.718260430758018</v>
      </c>
      <c r="CW2558" s="18" t="str">
        <v>Invest</v>
      </c>
      <c r="CY2558" s="45">
        <v>2554</v>
      </c>
      <c r="CZ2558" s="18">
        <v>0</v>
      </c>
      <c r="DA2558" s="18" t="str">
        <v>Nothing</v>
      </c>
    </row>
    <row r="2559" spans="95:105" ht="23.5">
      <c r="CQ2559" s="45">
        <v>2555</v>
      </c>
      <c r="CR2559" s="18">
        <v>1.9647689699951734</v>
      </c>
      <c r="CS2559" s="18" t="str">
        <v>Invest</v>
      </c>
      <c r="CU2559" s="45">
        <v>2555</v>
      </c>
      <c r="CV2559" s="18">
        <v>0</v>
      </c>
      <c r="CW2559" s="18" t="str">
        <v>Nothing</v>
      </c>
      <c r="CY2559" s="45">
        <v>2555</v>
      </c>
      <c r="CZ2559" s="18">
        <v>0</v>
      </c>
      <c r="DA2559" s="18" t="str">
        <v>Nothing</v>
      </c>
    </row>
    <row r="2560" spans="95:105" ht="23.5">
      <c r="CQ2560" s="45">
        <v>2556</v>
      </c>
      <c r="CR2560" s="18">
        <v>0</v>
      </c>
      <c r="CS2560" s="18" t="str">
        <v>Nothing</v>
      </c>
      <c r="CU2560" s="45">
        <v>2556</v>
      </c>
      <c r="CV2560" s="18">
        <v>18.40758430809144</v>
      </c>
      <c r="CW2560" s="18" t="str">
        <v>Invest</v>
      </c>
      <c r="CY2560" s="45">
        <v>2556</v>
      </c>
      <c r="CZ2560" s="18">
        <v>12.557074789232921</v>
      </c>
      <c r="DA2560" s="18" t="str">
        <v>Invest</v>
      </c>
    </row>
    <row r="2561" spans="95:105" ht="23.5">
      <c r="CQ2561" s="45">
        <v>2557</v>
      </c>
      <c r="CR2561" s="18">
        <v>2.0998746832255826</v>
      </c>
      <c r="CS2561" s="18" t="str">
        <v>Invest</v>
      </c>
      <c r="CU2561" s="45">
        <v>2557</v>
      </c>
      <c r="CV2561" s="18">
        <v>33.520786952604425</v>
      </c>
      <c r="CW2561" s="18" t="str">
        <v>Invest</v>
      </c>
      <c r="CY2561" s="45">
        <v>2557</v>
      </c>
      <c r="CZ2561" s="18">
        <v>3.7123145346144923</v>
      </c>
      <c r="DA2561" s="18" t="str">
        <v>Invest</v>
      </c>
    </row>
    <row r="2562" spans="95:105" ht="23.5">
      <c r="CQ2562" s="45">
        <v>2558</v>
      </c>
      <c r="CR2562" s="18">
        <v>39.182010203046012</v>
      </c>
      <c r="CS2562" s="18" t="str">
        <v>Invest</v>
      </c>
      <c r="CU2562" s="45">
        <v>2558</v>
      </c>
      <c r="CV2562" s="18">
        <v>24.926372847049421</v>
      </c>
      <c r="CW2562" s="18" t="str">
        <v>Invest</v>
      </c>
      <c r="CY2562" s="45">
        <v>2558</v>
      </c>
      <c r="CZ2562" s="18">
        <v>38.439549507778835</v>
      </c>
      <c r="DA2562" s="18" t="str">
        <v>Invest</v>
      </c>
    </row>
    <row r="2563" spans="95:105" ht="23.5">
      <c r="CQ2563" s="45">
        <v>2559</v>
      </c>
      <c r="CR2563" s="18">
        <v>0</v>
      </c>
      <c r="CS2563" s="18" t="str">
        <v>Nothing</v>
      </c>
      <c r="CU2563" s="45">
        <v>2559</v>
      </c>
      <c r="CV2563" s="18">
        <v>12.861015289422385</v>
      </c>
      <c r="CW2563" s="18" t="str">
        <v>Invest</v>
      </c>
      <c r="CY2563" s="45">
        <v>2559</v>
      </c>
      <c r="CZ2563" s="18">
        <v>26.119986833752836</v>
      </c>
      <c r="DA2563" s="18" t="str">
        <v>Invest</v>
      </c>
    </row>
    <row r="2564" spans="95:105" ht="23.5">
      <c r="CQ2564" s="45">
        <v>2560</v>
      </c>
      <c r="CR2564" s="18">
        <v>0</v>
      </c>
      <c r="CS2564" s="18" t="str">
        <v>Nothing</v>
      </c>
      <c r="CU2564" s="45">
        <v>2560</v>
      </c>
      <c r="CV2564" s="18">
        <v>0</v>
      </c>
      <c r="CW2564" s="18" t="str">
        <v>Nothing</v>
      </c>
      <c r="CY2564" s="45">
        <v>2560</v>
      </c>
      <c r="CZ2564" s="18">
        <v>16.937513578920203</v>
      </c>
      <c r="DA2564" s="18" t="str">
        <v>Invest</v>
      </c>
    </row>
    <row r="2565" spans="95:105" ht="23.5">
      <c r="CQ2565" s="45">
        <v>2561</v>
      </c>
      <c r="CR2565" s="18">
        <v>21.507428423471751</v>
      </c>
      <c r="CS2565" s="18" t="str">
        <v>Invest</v>
      </c>
      <c r="CU2565" s="45">
        <v>2561</v>
      </c>
      <c r="CV2565" s="18">
        <v>32.850141624282315</v>
      </c>
      <c r="CW2565" s="18" t="str">
        <v>Invest</v>
      </c>
      <c r="CY2565" s="45">
        <v>2561</v>
      </c>
      <c r="CZ2565" s="18">
        <v>30.850972991269956</v>
      </c>
      <c r="DA2565" s="18" t="str">
        <v>Invest</v>
      </c>
    </row>
    <row r="2566" spans="95:105" ht="23.5">
      <c r="CQ2566" s="45">
        <v>2562</v>
      </c>
      <c r="CR2566" s="18">
        <v>20.042960695682517</v>
      </c>
      <c r="CS2566" s="18" t="str">
        <v>Invest</v>
      </c>
      <c r="CU2566" s="45">
        <v>2562</v>
      </c>
      <c r="CV2566" s="18">
        <v>0</v>
      </c>
      <c r="CW2566" s="18" t="str">
        <v>Nothing</v>
      </c>
      <c r="CY2566" s="45">
        <v>2562</v>
      </c>
      <c r="CZ2566" s="18">
        <v>37.618609837430839</v>
      </c>
      <c r="DA2566" s="18" t="str">
        <v>Invest</v>
      </c>
    </row>
    <row r="2567" spans="95:105" ht="23.5">
      <c r="CQ2567" s="45">
        <v>2563</v>
      </c>
      <c r="CR2567" s="18">
        <v>56.744788493528766</v>
      </c>
      <c r="CS2567" s="18" t="str">
        <v>Invest</v>
      </c>
      <c r="CU2567" s="45">
        <v>2563</v>
      </c>
      <c r="CV2567" s="18">
        <v>47.079891282503652</v>
      </c>
      <c r="CW2567" s="18" t="str">
        <v>Invest</v>
      </c>
      <c r="CY2567" s="45">
        <v>2563</v>
      </c>
      <c r="CZ2567" s="18">
        <v>40.303014872373879</v>
      </c>
      <c r="DA2567" s="18" t="str">
        <v>Invest</v>
      </c>
    </row>
    <row r="2568" spans="95:105" ht="23.5">
      <c r="CQ2568" s="45">
        <v>2564</v>
      </c>
      <c r="CR2568" s="18">
        <v>2.5180721154392778</v>
      </c>
      <c r="CS2568" s="18" t="str">
        <v>Invest</v>
      </c>
      <c r="CU2568" s="45">
        <v>2564</v>
      </c>
      <c r="CV2568" s="18">
        <v>0</v>
      </c>
      <c r="CW2568" s="18" t="str">
        <v>Nothing</v>
      </c>
      <c r="CY2568" s="45">
        <v>2564</v>
      </c>
      <c r="CZ2568" s="18">
        <v>0</v>
      </c>
      <c r="DA2568" s="18" t="str">
        <v>Nothing</v>
      </c>
    </row>
    <row r="2569" spans="95:105" ht="23.5">
      <c r="CQ2569" s="45">
        <v>2565</v>
      </c>
      <c r="CR2569" s="18">
        <v>0</v>
      </c>
      <c r="CS2569" s="18" t="str">
        <v>Nothing</v>
      </c>
      <c r="CU2569" s="45">
        <v>2565</v>
      </c>
      <c r="CV2569" s="18">
        <v>13.602881495205072</v>
      </c>
      <c r="CW2569" s="18" t="str">
        <v>Invest</v>
      </c>
      <c r="CY2569" s="45">
        <v>2565</v>
      </c>
      <c r="CZ2569" s="18">
        <v>0</v>
      </c>
      <c r="DA2569" s="18" t="str">
        <v>Nothing</v>
      </c>
    </row>
    <row r="2570" spans="95:105" ht="23.5">
      <c r="CQ2570" s="45">
        <v>2566</v>
      </c>
      <c r="CR2570" s="18">
        <v>40.451101627458137</v>
      </c>
      <c r="CS2570" s="18" t="str">
        <v>Invest</v>
      </c>
      <c r="CU2570" s="45">
        <v>2566</v>
      </c>
      <c r="CV2570" s="18">
        <v>0.26082633712877978</v>
      </c>
      <c r="CW2570" s="18" t="str">
        <v>Invest</v>
      </c>
      <c r="CY2570" s="45">
        <v>2566</v>
      </c>
      <c r="CZ2570" s="18">
        <v>0</v>
      </c>
      <c r="DA2570" s="18" t="str">
        <v>Nothing</v>
      </c>
    </row>
    <row r="2571" spans="95:105" ht="23.5">
      <c r="CQ2571" s="45">
        <v>2567</v>
      </c>
      <c r="CR2571" s="18">
        <v>31.147838154729868</v>
      </c>
      <c r="CS2571" s="18" t="str">
        <v>Invest</v>
      </c>
      <c r="CU2571" s="45">
        <v>2567</v>
      </c>
      <c r="CV2571" s="18">
        <v>0</v>
      </c>
      <c r="CW2571" s="18" t="str">
        <v>Nothing</v>
      </c>
      <c r="CY2571" s="45">
        <v>2567</v>
      </c>
      <c r="CZ2571" s="18">
        <v>21.648563098817242</v>
      </c>
      <c r="DA2571" s="18" t="str">
        <v>Invest</v>
      </c>
    </row>
    <row r="2572" spans="95:105" ht="23.5">
      <c r="CQ2572" s="45">
        <v>2568</v>
      </c>
      <c r="CR2572" s="18">
        <v>0</v>
      </c>
      <c r="CS2572" s="18" t="str">
        <v>Nothing</v>
      </c>
      <c r="CU2572" s="45">
        <v>2568</v>
      </c>
      <c r="CV2572" s="18">
        <v>0</v>
      </c>
      <c r="CW2572" s="18" t="str">
        <v>Nothing</v>
      </c>
      <c r="CY2572" s="45">
        <v>2568</v>
      </c>
      <c r="CZ2572" s="18">
        <v>20.474881151255271</v>
      </c>
      <c r="DA2572" s="18" t="str">
        <v>Invest</v>
      </c>
    </row>
    <row r="2573" spans="95:105" ht="23.5">
      <c r="CQ2573" s="45">
        <v>2569</v>
      </c>
      <c r="CR2573" s="18">
        <v>13.014323613489054</v>
      </c>
      <c r="CS2573" s="18" t="str">
        <v>Invest</v>
      </c>
      <c r="CU2573" s="45">
        <v>2569</v>
      </c>
      <c r="CV2573" s="18">
        <v>14.998146746388164</v>
      </c>
      <c r="CW2573" s="18" t="str">
        <v>Invest</v>
      </c>
      <c r="CY2573" s="45">
        <v>2569</v>
      </c>
      <c r="CZ2573" s="18">
        <v>4.7410982740697989</v>
      </c>
      <c r="DA2573" s="18" t="str">
        <v>Invest</v>
      </c>
    </row>
    <row r="2574" spans="95:105" ht="23.5">
      <c r="CQ2574" s="45">
        <v>2570</v>
      </c>
      <c r="CR2574" s="18">
        <v>29.636618919334612</v>
      </c>
      <c r="CS2574" s="18" t="str">
        <v>Invest</v>
      </c>
      <c r="CU2574" s="45">
        <v>2570</v>
      </c>
      <c r="CV2574" s="18">
        <v>8.5064914709127741</v>
      </c>
      <c r="CW2574" s="18" t="str">
        <v>Invest</v>
      </c>
      <c r="CY2574" s="45">
        <v>2570</v>
      </c>
      <c r="CZ2574" s="18">
        <v>0</v>
      </c>
      <c r="DA2574" s="18" t="str">
        <v>Nothing</v>
      </c>
    </row>
    <row r="2575" spans="95:105" ht="23.5">
      <c r="CQ2575" s="45">
        <v>2571</v>
      </c>
      <c r="CR2575" s="18">
        <v>18.385508342048642</v>
      </c>
      <c r="CS2575" s="18" t="str">
        <v>Invest</v>
      </c>
      <c r="CU2575" s="45">
        <v>2571</v>
      </c>
      <c r="CV2575" s="18">
        <v>18.463470224761526</v>
      </c>
      <c r="CW2575" s="18" t="str">
        <v>Invest</v>
      </c>
      <c r="CY2575" s="45">
        <v>2571</v>
      </c>
      <c r="CZ2575" s="18">
        <v>0</v>
      </c>
      <c r="DA2575" s="18" t="str">
        <v>Nothing</v>
      </c>
    </row>
    <row r="2576" spans="95:105" ht="23.5">
      <c r="CQ2576" s="45">
        <v>2572</v>
      </c>
      <c r="CR2576" s="18">
        <v>9.2150733698870724</v>
      </c>
      <c r="CS2576" s="18" t="str">
        <v>Invest</v>
      </c>
      <c r="CU2576" s="45">
        <v>2572</v>
      </c>
      <c r="CV2576" s="18">
        <v>0</v>
      </c>
      <c r="CW2576" s="18" t="str">
        <v>Nothing</v>
      </c>
      <c r="CY2576" s="45">
        <v>2572</v>
      </c>
      <c r="CZ2576" s="18">
        <v>52.191923193430675</v>
      </c>
      <c r="DA2576" s="18" t="str">
        <v>Invest</v>
      </c>
    </row>
    <row r="2577" spans="95:105" ht="23.5">
      <c r="CQ2577" s="45">
        <v>2573</v>
      </c>
      <c r="CR2577" s="18">
        <v>53.768661265236155</v>
      </c>
      <c r="CS2577" s="18" t="str">
        <v>Invest</v>
      </c>
      <c r="CU2577" s="45">
        <v>2573</v>
      </c>
      <c r="CV2577" s="18">
        <v>34.391226365131885</v>
      </c>
      <c r="CW2577" s="18" t="str">
        <v>Invest</v>
      </c>
      <c r="CY2577" s="45">
        <v>2573</v>
      </c>
      <c r="CZ2577" s="18">
        <v>39.318617420753242</v>
      </c>
      <c r="DA2577" s="18" t="str">
        <v>Invest</v>
      </c>
    </row>
    <row r="2578" spans="95:105" ht="23.5">
      <c r="CQ2578" s="45">
        <v>2574</v>
      </c>
      <c r="CR2578" s="18">
        <v>8.6968767978822683</v>
      </c>
      <c r="CS2578" s="18" t="str">
        <v>Invest</v>
      </c>
      <c r="CU2578" s="45">
        <v>2574</v>
      </c>
      <c r="CV2578" s="18">
        <v>4.9235758065318977</v>
      </c>
      <c r="CW2578" s="18" t="str">
        <v>Invest</v>
      </c>
      <c r="CY2578" s="45">
        <v>2574</v>
      </c>
      <c r="CZ2578" s="18">
        <v>0</v>
      </c>
      <c r="DA2578" s="18" t="str">
        <v>Nothing</v>
      </c>
    </row>
    <row r="2579" spans="95:105" ht="23.5">
      <c r="CQ2579" s="45">
        <v>2575</v>
      </c>
      <c r="CR2579" s="18">
        <v>22.208075723752945</v>
      </c>
      <c r="CS2579" s="18" t="str">
        <v>Invest</v>
      </c>
      <c r="CU2579" s="45">
        <v>2575</v>
      </c>
      <c r="CV2579" s="18">
        <v>22.186147496480473</v>
      </c>
      <c r="CW2579" s="18" t="str">
        <v>Invest</v>
      </c>
      <c r="CY2579" s="45">
        <v>2575</v>
      </c>
      <c r="CZ2579" s="18">
        <v>16.572241410762018</v>
      </c>
      <c r="DA2579" s="18" t="str">
        <v>Invest</v>
      </c>
    </row>
    <row r="2580" spans="95:105" ht="23.5">
      <c r="CQ2580" s="45">
        <v>2576</v>
      </c>
      <c r="CR2580" s="18">
        <v>49.43340734336109</v>
      </c>
      <c r="CS2580" s="18" t="str">
        <v>Invest</v>
      </c>
      <c r="CU2580" s="45">
        <v>2576</v>
      </c>
      <c r="CV2580" s="18">
        <v>3.9114681292352316</v>
      </c>
      <c r="CW2580" s="18" t="str">
        <v>Invest</v>
      </c>
      <c r="CY2580" s="45">
        <v>2576</v>
      </c>
      <c r="CZ2580" s="18">
        <v>48.448740553268919</v>
      </c>
      <c r="DA2580" s="18" t="str">
        <v>Invest</v>
      </c>
    </row>
    <row r="2581" spans="95:105" ht="23.5">
      <c r="CQ2581" s="45">
        <v>2577</v>
      </c>
      <c r="CR2581" s="18">
        <v>56.114340579495256</v>
      </c>
      <c r="CS2581" s="18" t="str">
        <v>Invest</v>
      </c>
      <c r="CU2581" s="45">
        <v>2577</v>
      </c>
      <c r="CV2581" s="18">
        <v>2.2220961966492467</v>
      </c>
      <c r="CW2581" s="18" t="str">
        <v>Invest</v>
      </c>
      <c r="CY2581" s="45">
        <v>2577</v>
      </c>
      <c r="CZ2581" s="18">
        <v>0</v>
      </c>
      <c r="DA2581" s="18" t="str">
        <v>Nothing</v>
      </c>
    </row>
    <row r="2582" spans="95:105" ht="23.5">
      <c r="CQ2582" s="45">
        <v>2578</v>
      </c>
      <c r="CR2582" s="18">
        <v>0</v>
      </c>
      <c r="CS2582" s="18" t="str">
        <v>Nothing</v>
      </c>
      <c r="CU2582" s="45">
        <v>2578</v>
      </c>
      <c r="CV2582" s="18">
        <v>18.74501470204622</v>
      </c>
      <c r="CW2582" s="18" t="str">
        <v>Invest</v>
      </c>
      <c r="CY2582" s="45">
        <v>2578</v>
      </c>
      <c r="CZ2582" s="18">
        <v>46.819221110811654</v>
      </c>
      <c r="DA2582" s="18" t="str">
        <v>Invest</v>
      </c>
    </row>
    <row r="2583" spans="95:105" ht="23.5">
      <c r="CQ2583" s="45">
        <v>2579</v>
      </c>
      <c r="CR2583" s="18">
        <v>26.460101814551592</v>
      </c>
      <c r="CS2583" s="18" t="str">
        <v>Invest</v>
      </c>
      <c r="CU2583" s="45">
        <v>2579</v>
      </c>
      <c r="CV2583" s="18">
        <v>31.854285726600267</v>
      </c>
      <c r="CW2583" s="18" t="str">
        <v>Invest</v>
      </c>
      <c r="CY2583" s="45">
        <v>2579</v>
      </c>
      <c r="CZ2583" s="18">
        <v>33.156296978788028</v>
      </c>
      <c r="DA2583" s="18" t="str">
        <v>Invest</v>
      </c>
    </row>
    <row r="2584" spans="95:105" ht="23.5">
      <c r="CQ2584" s="45">
        <v>2580</v>
      </c>
      <c r="CR2584" s="18">
        <v>0</v>
      </c>
      <c r="CS2584" s="18" t="str">
        <v>Nothing</v>
      </c>
      <c r="CU2584" s="45">
        <v>2580</v>
      </c>
      <c r="CV2584" s="18">
        <v>7.8864969430112595</v>
      </c>
      <c r="CW2584" s="18" t="str">
        <v>Invest</v>
      </c>
      <c r="CY2584" s="45">
        <v>2580</v>
      </c>
      <c r="CZ2584" s="18">
        <v>6.8737549988180362</v>
      </c>
      <c r="DA2584" s="18" t="str">
        <v>Invest</v>
      </c>
    </row>
    <row r="2585" spans="95:105" ht="23.5">
      <c r="CQ2585" s="45">
        <v>2581</v>
      </c>
      <c r="CR2585" s="18">
        <v>0</v>
      </c>
      <c r="CS2585" s="18" t="str">
        <v>Nothing</v>
      </c>
      <c r="CU2585" s="45">
        <v>2581</v>
      </c>
      <c r="CV2585" s="18">
        <v>11.210658884137592</v>
      </c>
      <c r="CW2585" s="18" t="str">
        <v>Invest</v>
      </c>
      <c r="CY2585" s="45">
        <v>2581</v>
      </c>
      <c r="CZ2585" s="18">
        <v>11.315851607048856</v>
      </c>
      <c r="DA2585" s="18" t="str">
        <v>Invest</v>
      </c>
    </row>
    <row r="2586" spans="95:105" ht="23.5">
      <c r="CQ2586" s="45">
        <v>2582</v>
      </c>
      <c r="CR2586" s="18">
        <v>11.522999253938597</v>
      </c>
      <c r="CS2586" s="18" t="str">
        <v>Invest</v>
      </c>
      <c r="CU2586" s="45">
        <v>2582</v>
      </c>
      <c r="CV2586" s="18">
        <v>20.901369982515618</v>
      </c>
      <c r="CW2586" s="18" t="str">
        <v>Invest</v>
      </c>
      <c r="CY2586" s="45">
        <v>2582</v>
      </c>
      <c r="CZ2586" s="18">
        <v>8.3503069937655887</v>
      </c>
      <c r="DA2586" s="18" t="str">
        <v>Invest</v>
      </c>
    </row>
    <row r="2587" spans="95:105" ht="23.5">
      <c r="CQ2587" s="45">
        <v>2583</v>
      </c>
      <c r="CR2587" s="18">
        <v>32.104465611510939</v>
      </c>
      <c r="CS2587" s="18" t="str">
        <v>Invest</v>
      </c>
      <c r="CU2587" s="45">
        <v>2583</v>
      </c>
      <c r="CV2587" s="18">
        <v>2.4698166611574415</v>
      </c>
      <c r="CW2587" s="18" t="str">
        <v>Invest</v>
      </c>
      <c r="CY2587" s="45">
        <v>2583</v>
      </c>
      <c r="CZ2587" s="18">
        <v>0</v>
      </c>
      <c r="DA2587" s="18" t="str">
        <v>Nothing</v>
      </c>
    </row>
    <row r="2588" spans="95:105" ht="23.5">
      <c r="CQ2588" s="45">
        <v>2584</v>
      </c>
      <c r="CR2588" s="18">
        <v>22.178545928294458</v>
      </c>
      <c r="CS2588" s="18" t="str">
        <v>Invest</v>
      </c>
      <c r="CU2588" s="45">
        <v>2584</v>
      </c>
      <c r="CV2588" s="18">
        <v>17.27215979270516</v>
      </c>
      <c r="CW2588" s="18" t="str">
        <v>Invest</v>
      </c>
      <c r="CY2588" s="45">
        <v>2584</v>
      </c>
      <c r="CZ2588" s="18">
        <v>29.876029061171238</v>
      </c>
      <c r="DA2588" s="18" t="str">
        <v>Invest</v>
      </c>
    </row>
    <row r="2589" spans="95:105" ht="23.5">
      <c r="CQ2589" s="45">
        <v>2585</v>
      </c>
      <c r="CR2589" s="18">
        <v>6.3324662236689377</v>
      </c>
      <c r="CS2589" s="18" t="str">
        <v>Invest</v>
      </c>
      <c r="CU2589" s="45">
        <v>2585</v>
      </c>
      <c r="CV2589" s="18">
        <v>40.530676056990082</v>
      </c>
      <c r="CW2589" s="18" t="str">
        <v>Invest</v>
      </c>
      <c r="CY2589" s="45">
        <v>2585</v>
      </c>
      <c r="CZ2589" s="18">
        <v>37.012758739755228</v>
      </c>
      <c r="DA2589" s="18" t="str">
        <v>Invest</v>
      </c>
    </row>
    <row r="2590" spans="95:105" ht="23.5">
      <c r="CQ2590" s="45">
        <v>2586</v>
      </c>
      <c r="CR2590" s="18">
        <v>18.837652333902341</v>
      </c>
      <c r="CS2590" s="18" t="str">
        <v>Invest</v>
      </c>
      <c r="CU2590" s="45">
        <v>2586</v>
      </c>
      <c r="CV2590" s="18">
        <v>8.8812957643616954</v>
      </c>
      <c r="CW2590" s="18" t="str">
        <v>Invest</v>
      </c>
      <c r="CY2590" s="45">
        <v>2586</v>
      </c>
      <c r="CZ2590" s="18">
        <v>0</v>
      </c>
      <c r="DA2590" s="18" t="str">
        <v>Nothing</v>
      </c>
    </row>
    <row r="2591" spans="95:105" ht="23.5">
      <c r="CQ2591" s="45">
        <v>2587</v>
      </c>
      <c r="CR2591" s="18">
        <v>36.563110663406782</v>
      </c>
      <c r="CS2591" s="18" t="str">
        <v>Invest</v>
      </c>
      <c r="CU2591" s="45">
        <v>2587</v>
      </c>
      <c r="CV2591" s="18">
        <v>9.6376244502442034</v>
      </c>
      <c r="CW2591" s="18" t="str">
        <v>Invest</v>
      </c>
      <c r="CY2591" s="45">
        <v>2587</v>
      </c>
      <c r="CZ2591" s="18">
        <v>0</v>
      </c>
      <c r="DA2591" s="18" t="str">
        <v>Nothing</v>
      </c>
    </row>
    <row r="2592" spans="95:105" ht="23.5">
      <c r="CQ2592" s="45">
        <v>2588</v>
      </c>
      <c r="CR2592" s="18">
        <v>11.617563181628274</v>
      </c>
      <c r="CS2592" s="18" t="str">
        <v>Invest</v>
      </c>
      <c r="CU2592" s="45">
        <v>2588</v>
      </c>
      <c r="CV2592" s="18">
        <v>45.817395149174089</v>
      </c>
      <c r="CW2592" s="18" t="str">
        <v>Invest</v>
      </c>
      <c r="CY2592" s="45">
        <v>2588</v>
      </c>
      <c r="CZ2592" s="18">
        <v>0</v>
      </c>
      <c r="DA2592" s="18" t="str">
        <v>Nothing</v>
      </c>
    </row>
    <row r="2593" spans="95:105" ht="23.5">
      <c r="CQ2593" s="45">
        <v>2589</v>
      </c>
      <c r="CR2593" s="18">
        <v>0</v>
      </c>
      <c r="CS2593" s="18" t="str">
        <v>Nothing</v>
      </c>
      <c r="CU2593" s="45">
        <v>2589</v>
      </c>
      <c r="CV2593" s="18">
        <v>14.978363226189746</v>
      </c>
      <c r="CW2593" s="18" t="str">
        <v>Invest</v>
      </c>
      <c r="CY2593" s="45">
        <v>2589</v>
      </c>
      <c r="CZ2593" s="18">
        <v>25.742796885828746</v>
      </c>
      <c r="DA2593" s="18" t="str">
        <v>Invest</v>
      </c>
    </row>
    <row r="2594" spans="95:105" ht="23.5">
      <c r="CQ2594" s="45">
        <v>2590</v>
      </c>
      <c r="CR2594" s="18">
        <v>0</v>
      </c>
      <c r="CS2594" s="18" t="str">
        <v>Nothing</v>
      </c>
      <c r="CU2594" s="45">
        <v>2590</v>
      </c>
      <c r="CV2594" s="18">
        <v>33.746803569976294</v>
      </c>
      <c r="CW2594" s="18" t="str">
        <v>Invest</v>
      </c>
      <c r="CY2594" s="45">
        <v>2590</v>
      </c>
      <c r="CZ2594" s="18">
        <v>52.653199316341478</v>
      </c>
      <c r="DA2594" s="18" t="str">
        <v>Invest</v>
      </c>
    </row>
    <row r="2595" spans="95:105" ht="23.5">
      <c r="CQ2595" s="45">
        <v>2591</v>
      </c>
      <c r="CR2595" s="18">
        <v>6.8067313619287386</v>
      </c>
      <c r="CS2595" s="18" t="str">
        <v>Invest</v>
      </c>
      <c r="CU2595" s="45">
        <v>2591</v>
      </c>
      <c r="CV2595" s="18">
        <v>0</v>
      </c>
      <c r="CW2595" s="18" t="str">
        <v>Nothing</v>
      </c>
      <c r="CY2595" s="45">
        <v>2591</v>
      </c>
      <c r="CZ2595" s="18">
        <v>13.769128707754955</v>
      </c>
      <c r="DA2595" s="18" t="str">
        <v>Invest</v>
      </c>
    </row>
    <row r="2596" spans="95:105" ht="23.5">
      <c r="CQ2596" s="45">
        <v>2592</v>
      </c>
      <c r="CR2596" s="18">
        <v>27.060323260003535</v>
      </c>
      <c r="CS2596" s="18" t="str">
        <v>Invest</v>
      </c>
      <c r="CU2596" s="45">
        <v>2592</v>
      </c>
      <c r="CV2596" s="18">
        <v>36.009302069021537</v>
      </c>
      <c r="CW2596" s="18" t="str">
        <v>Invest</v>
      </c>
      <c r="CY2596" s="45">
        <v>2592</v>
      </c>
      <c r="CZ2596" s="18">
        <v>20.839868553287467</v>
      </c>
      <c r="DA2596" s="18" t="str">
        <v>Invest</v>
      </c>
    </row>
    <row r="2597" spans="95:105" ht="23.5">
      <c r="CQ2597" s="45">
        <v>2593</v>
      </c>
      <c r="CR2597" s="18">
        <v>16.614957442979126</v>
      </c>
      <c r="CS2597" s="18" t="str">
        <v>Invest</v>
      </c>
      <c r="CU2597" s="45">
        <v>2593</v>
      </c>
      <c r="CV2597" s="18">
        <v>24.146356408621457</v>
      </c>
      <c r="CW2597" s="18" t="str">
        <v>Invest</v>
      </c>
      <c r="CY2597" s="45">
        <v>2593</v>
      </c>
      <c r="CZ2597" s="18">
        <v>32.587380232549918</v>
      </c>
      <c r="DA2597" s="18" t="str">
        <v>Invest</v>
      </c>
    </row>
    <row r="2598" spans="95:105" ht="23.5">
      <c r="CQ2598" s="45">
        <v>2594</v>
      </c>
      <c r="CR2598" s="18">
        <v>20.757360324241738</v>
      </c>
      <c r="CS2598" s="18" t="str">
        <v>Invest</v>
      </c>
      <c r="CU2598" s="45">
        <v>2594</v>
      </c>
      <c r="CV2598" s="18">
        <v>22.041457178910573</v>
      </c>
      <c r="CW2598" s="18" t="str">
        <v>Invest</v>
      </c>
      <c r="CY2598" s="45">
        <v>2594</v>
      </c>
      <c r="CZ2598" s="18">
        <v>0</v>
      </c>
      <c r="DA2598" s="18" t="str">
        <v>Nothing</v>
      </c>
    </row>
    <row r="2599" spans="95:105" ht="23.5">
      <c r="CQ2599" s="45">
        <v>2595</v>
      </c>
      <c r="CR2599" s="18">
        <v>13.244128038187531</v>
      </c>
      <c r="CS2599" s="18" t="str">
        <v>Invest</v>
      </c>
      <c r="CU2599" s="45">
        <v>2595</v>
      </c>
      <c r="CV2599" s="18">
        <v>0</v>
      </c>
      <c r="CW2599" s="18" t="str">
        <v>Nothing</v>
      </c>
      <c r="CY2599" s="45">
        <v>2595</v>
      </c>
      <c r="CZ2599" s="18">
        <v>11.909103450468082</v>
      </c>
      <c r="DA2599" s="18" t="str">
        <v>Invest</v>
      </c>
    </row>
    <row r="2600" spans="95:105" ht="23.5">
      <c r="CQ2600" s="45">
        <v>2596</v>
      </c>
      <c r="CR2600" s="18">
        <v>0</v>
      </c>
      <c r="CS2600" s="18" t="str">
        <v>Nothing</v>
      </c>
      <c r="CU2600" s="45">
        <v>2596</v>
      </c>
      <c r="CV2600" s="18">
        <v>8.9071077928457107</v>
      </c>
      <c r="CW2600" s="18" t="str">
        <v>Invest</v>
      </c>
      <c r="CY2600" s="45">
        <v>2596</v>
      </c>
      <c r="CZ2600" s="18">
        <v>26.715145102794526</v>
      </c>
      <c r="DA2600" s="18" t="str">
        <v>Invest</v>
      </c>
    </row>
    <row r="2601" spans="95:105" ht="23.5">
      <c r="CQ2601" s="45">
        <v>2597</v>
      </c>
      <c r="CR2601" s="18">
        <v>21.482606133390568</v>
      </c>
      <c r="CS2601" s="18" t="str">
        <v>Invest</v>
      </c>
      <c r="CU2601" s="45">
        <v>2597</v>
      </c>
      <c r="CV2601" s="18">
        <v>14.498928716258831</v>
      </c>
      <c r="CW2601" s="18" t="str">
        <v>Invest</v>
      </c>
      <c r="CY2601" s="45">
        <v>2597</v>
      </c>
      <c r="CZ2601" s="18">
        <v>12.166626018861988</v>
      </c>
      <c r="DA2601" s="18" t="str">
        <v>Invest</v>
      </c>
    </row>
    <row r="2602" spans="95:105" ht="23.5">
      <c r="CQ2602" s="45">
        <v>2598</v>
      </c>
      <c r="CR2602" s="18">
        <v>36.105772501553474</v>
      </c>
      <c r="CS2602" s="18" t="str">
        <v>Invest</v>
      </c>
      <c r="CU2602" s="45">
        <v>2598</v>
      </c>
      <c r="CV2602" s="18">
        <v>27.240001342686401</v>
      </c>
      <c r="CW2602" s="18" t="str">
        <v>Invest</v>
      </c>
      <c r="CY2602" s="45">
        <v>2598</v>
      </c>
      <c r="CZ2602" s="18">
        <v>0</v>
      </c>
      <c r="DA2602" s="18" t="str">
        <v>Nothing</v>
      </c>
    </row>
    <row r="2603" spans="95:105" ht="23.5">
      <c r="CQ2603" s="45">
        <v>2599</v>
      </c>
      <c r="CR2603" s="18">
        <v>14.059757261568441</v>
      </c>
      <c r="CS2603" s="18" t="str">
        <v>Invest</v>
      </c>
      <c r="CU2603" s="45">
        <v>2599</v>
      </c>
      <c r="CV2603" s="18">
        <v>33.180259358914405</v>
      </c>
      <c r="CW2603" s="18" t="str">
        <v>Invest</v>
      </c>
      <c r="CY2603" s="45">
        <v>2599</v>
      </c>
      <c r="CZ2603" s="18">
        <v>0</v>
      </c>
      <c r="DA2603" s="18" t="str">
        <v>Nothing</v>
      </c>
    </row>
    <row r="2604" spans="95:105" ht="23.5">
      <c r="CQ2604" s="45">
        <v>2600</v>
      </c>
      <c r="CR2604" s="18">
        <v>44.987280094957747</v>
      </c>
      <c r="CS2604" s="18" t="str">
        <v>Invest</v>
      </c>
      <c r="CU2604" s="45">
        <v>2600</v>
      </c>
      <c r="CV2604" s="18">
        <v>12.2360365431019</v>
      </c>
      <c r="CW2604" s="18" t="str">
        <v>Invest</v>
      </c>
      <c r="CY2604" s="45">
        <v>2600</v>
      </c>
      <c r="CZ2604" s="18">
        <v>20.494184932098907</v>
      </c>
      <c r="DA2604" s="18" t="str">
        <v>Invest</v>
      </c>
    </row>
    <row r="2605" spans="95:105" ht="23.5">
      <c r="CQ2605" s="45">
        <v>2601</v>
      </c>
      <c r="CR2605" s="18">
        <v>21.188903749161092</v>
      </c>
      <c r="CS2605" s="18" t="str">
        <v>Invest</v>
      </c>
      <c r="CU2605" s="45">
        <v>2601</v>
      </c>
      <c r="CV2605" s="18">
        <v>0</v>
      </c>
      <c r="CW2605" s="18" t="str">
        <v>Nothing</v>
      </c>
      <c r="CY2605" s="45">
        <v>2601</v>
      </c>
      <c r="CZ2605" s="18">
        <v>40.852958955711614</v>
      </c>
      <c r="DA2605" s="18" t="str">
        <v>Invest</v>
      </c>
    </row>
    <row r="2606" spans="95:105" ht="23.5">
      <c r="CQ2606" s="45">
        <v>2602</v>
      </c>
      <c r="CR2606" s="18">
        <v>23.583534443898348</v>
      </c>
      <c r="CS2606" s="18" t="str">
        <v>Invest</v>
      </c>
      <c r="CU2606" s="45">
        <v>2602</v>
      </c>
      <c r="CV2606" s="18">
        <v>47.99374832224408</v>
      </c>
      <c r="CW2606" s="18" t="str">
        <v>Invest</v>
      </c>
      <c r="CY2606" s="45">
        <v>2602</v>
      </c>
      <c r="CZ2606" s="18">
        <v>28.897930345278304</v>
      </c>
      <c r="DA2606" s="18" t="str">
        <v>Invest</v>
      </c>
    </row>
    <row r="2607" spans="95:105" ht="23.5">
      <c r="CQ2607" s="45">
        <v>2603</v>
      </c>
      <c r="CR2607" s="18">
        <v>3.9437297874188566</v>
      </c>
      <c r="CS2607" s="18" t="str">
        <v>Invest</v>
      </c>
      <c r="CU2607" s="45">
        <v>2603</v>
      </c>
      <c r="CV2607" s="18">
        <v>0</v>
      </c>
      <c r="CW2607" s="18" t="str">
        <v>Nothing</v>
      </c>
      <c r="CY2607" s="45">
        <v>2603</v>
      </c>
      <c r="CZ2607" s="18">
        <v>0</v>
      </c>
      <c r="DA2607" s="18" t="str">
        <v>Nothing</v>
      </c>
    </row>
    <row r="2608" spans="95:105" ht="23.5">
      <c r="CQ2608" s="45">
        <v>2604</v>
      </c>
      <c r="CR2608" s="18">
        <v>0</v>
      </c>
      <c r="CS2608" s="18" t="str">
        <v>Nothing</v>
      </c>
      <c r="CU2608" s="45">
        <v>2604</v>
      </c>
      <c r="CV2608" s="18">
        <v>13.582830862941314</v>
      </c>
      <c r="CW2608" s="18" t="str">
        <v>Invest</v>
      </c>
      <c r="CY2608" s="45">
        <v>2604</v>
      </c>
      <c r="CZ2608" s="18">
        <v>41.257220595888569</v>
      </c>
      <c r="DA2608" s="18" t="str">
        <v>Invest</v>
      </c>
    </row>
    <row r="2609" spans="95:105" ht="23.5">
      <c r="CQ2609" s="45">
        <v>2605</v>
      </c>
      <c r="CR2609" s="18">
        <v>39.366538352420633</v>
      </c>
      <c r="CS2609" s="18" t="str">
        <v>Invest</v>
      </c>
      <c r="CU2609" s="45">
        <v>2605</v>
      </c>
      <c r="CV2609" s="18">
        <v>0</v>
      </c>
      <c r="CW2609" s="18" t="str">
        <v>Nothing</v>
      </c>
      <c r="CY2609" s="45">
        <v>2605</v>
      </c>
      <c r="CZ2609" s="18">
        <v>14.997798148956967</v>
      </c>
      <c r="DA2609" s="18" t="str">
        <v>Invest</v>
      </c>
    </row>
    <row r="2610" spans="95:105" ht="23.5">
      <c r="CQ2610" s="45">
        <v>2606</v>
      </c>
      <c r="CR2610" s="18">
        <v>0</v>
      </c>
      <c r="CS2610" s="18" t="str">
        <v>Nothing</v>
      </c>
      <c r="CU2610" s="45">
        <v>2606</v>
      </c>
      <c r="CV2610" s="18">
        <v>0</v>
      </c>
      <c r="CW2610" s="18" t="str">
        <v>Nothing</v>
      </c>
      <c r="CY2610" s="45">
        <v>2606</v>
      </c>
      <c r="CZ2610" s="18">
        <v>0</v>
      </c>
      <c r="DA2610" s="18" t="str">
        <v>Nothing</v>
      </c>
    </row>
    <row r="2611" spans="95:105" ht="23.5">
      <c r="CQ2611" s="45">
        <v>2607</v>
      </c>
      <c r="CR2611" s="18">
        <v>55.740404635604925</v>
      </c>
      <c r="CS2611" s="18" t="str">
        <v>Invest</v>
      </c>
      <c r="CU2611" s="45">
        <v>2607</v>
      </c>
      <c r="CV2611" s="18">
        <v>19.890140319675584</v>
      </c>
      <c r="CW2611" s="18" t="str">
        <v>Invest</v>
      </c>
      <c r="CY2611" s="45">
        <v>2607</v>
      </c>
      <c r="CZ2611" s="18">
        <v>39.962008783812308</v>
      </c>
      <c r="DA2611" s="18" t="str">
        <v>Invest</v>
      </c>
    </row>
    <row r="2612" spans="95:105" ht="23.5">
      <c r="CQ2612" s="45">
        <v>2608</v>
      </c>
      <c r="CR2612" s="18">
        <v>4.8122920469457533</v>
      </c>
      <c r="CS2612" s="18" t="str">
        <v>Invest</v>
      </c>
      <c r="CU2612" s="45">
        <v>2608</v>
      </c>
      <c r="CV2612" s="18">
        <v>0</v>
      </c>
      <c r="CW2612" s="18" t="str">
        <v>Nothing</v>
      </c>
      <c r="CY2612" s="45">
        <v>2608</v>
      </c>
      <c r="CZ2612" s="18">
        <v>42.769360161977865</v>
      </c>
      <c r="DA2612" s="18" t="str">
        <v>Invest</v>
      </c>
    </row>
    <row r="2613" spans="95:105" ht="23.5">
      <c r="CQ2613" s="45">
        <v>2609</v>
      </c>
      <c r="CR2613" s="18">
        <v>25.902931925451707</v>
      </c>
      <c r="CS2613" s="18" t="str">
        <v>Invest</v>
      </c>
      <c r="CU2613" s="45">
        <v>2609</v>
      </c>
      <c r="CV2613" s="18">
        <v>0</v>
      </c>
      <c r="CW2613" s="18" t="str">
        <v>Nothing</v>
      </c>
      <c r="CY2613" s="45">
        <v>2609</v>
      </c>
      <c r="CZ2613" s="18">
        <v>9.9820664695436783</v>
      </c>
      <c r="DA2613" s="18" t="str">
        <v>Invest</v>
      </c>
    </row>
    <row r="2614" spans="95:105" ht="23.5">
      <c r="CQ2614" s="45">
        <v>2610</v>
      </c>
      <c r="CR2614" s="18">
        <v>11.693683088143974</v>
      </c>
      <c r="CS2614" s="18" t="str">
        <v>Invest</v>
      </c>
      <c r="CU2614" s="45">
        <v>2610</v>
      </c>
      <c r="CV2614" s="18">
        <v>10.10749242909711</v>
      </c>
      <c r="CW2614" s="18" t="str">
        <v>Invest</v>
      </c>
      <c r="CY2614" s="45">
        <v>2610</v>
      </c>
      <c r="CZ2614" s="18">
        <v>20.203215334089798</v>
      </c>
      <c r="DA2614" s="18" t="str">
        <v>Invest</v>
      </c>
    </row>
    <row r="2615" spans="95:105" ht="23.5">
      <c r="CQ2615" s="45">
        <v>2611</v>
      </c>
      <c r="CR2615" s="18">
        <v>16.101598421596997</v>
      </c>
      <c r="CS2615" s="18" t="str">
        <v>Invest</v>
      </c>
      <c r="CU2615" s="45">
        <v>2611</v>
      </c>
      <c r="CV2615" s="18">
        <v>35.47542736440333</v>
      </c>
      <c r="CW2615" s="18" t="str">
        <v>Invest</v>
      </c>
      <c r="CY2615" s="45">
        <v>2611</v>
      </c>
      <c r="CZ2615" s="18">
        <v>14.274897140807658</v>
      </c>
      <c r="DA2615" s="18" t="str">
        <v>Invest</v>
      </c>
    </row>
    <row r="2616" spans="95:105" ht="23.5">
      <c r="CQ2616" s="45">
        <v>2612</v>
      </c>
      <c r="CR2616" s="18">
        <v>3.554260122808369</v>
      </c>
      <c r="CS2616" s="18" t="str">
        <v>Invest</v>
      </c>
      <c r="CU2616" s="45">
        <v>2612</v>
      </c>
      <c r="CV2616" s="18">
        <v>6.1195857485753784</v>
      </c>
      <c r="CW2616" s="18" t="str">
        <v>Invest</v>
      </c>
      <c r="CY2616" s="45">
        <v>2612</v>
      </c>
      <c r="CZ2616" s="18">
        <v>50.098330880542676</v>
      </c>
      <c r="DA2616" s="18" t="str">
        <v>Invest</v>
      </c>
    </row>
    <row r="2617" spans="95:105" ht="23.5">
      <c r="CQ2617" s="45">
        <v>2613</v>
      </c>
      <c r="CR2617" s="18">
        <v>0</v>
      </c>
      <c r="CS2617" s="18" t="str">
        <v>Nothing</v>
      </c>
      <c r="CU2617" s="45">
        <v>2613</v>
      </c>
      <c r="CV2617" s="18">
        <v>0</v>
      </c>
      <c r="CW2617" s="18" t="str">
        <v>Nothing</v>
      </c>
      <c r="CY2617" s="45">
        <v>2613</v>
      </c>
      <c r="CZ2617" s="18">
        <v>19.912898143222577</v>
      </c>
      <c r="DA2617" s="18" t="str">
        <v>Invest</v>
      </c>
    </row>
    <row r="2618" spans="95:105" ht="23.5">
      <c r="CQ2618" s="45">
        <v>2614</v>
      </c>
      <c r="CR2618" s="18">
        <v>0</v>
      </c>
      <c r="CS2618" s="18" t="str">
        <v>Nothing</v>
      </c>
      <c r="CU2618" s="45">
        <v>2614</v>
      </c>
      <c r="CV2618" s="18">
        <v>0</v>
      </c>
      <c r="CW2618" s="18" t="str">
        <v>Nothing</v>
      </c>
      <c r="CY2618" s="45">
        <v>2614</v>
      </c>
      <c r="CZ2618" s="18">
        <v>8.4379979911839467</v>
      </c>
      <c r="DA2618" s="18" t="str">
        <v>Invest</v>
      </c>
    </row>
    <row r="2619" spans="95:105" ht="23.5">
      <c r="CQ2619" s="45">
        <v>2615</v>
      </c>
      <c r="CR2619" s="18">
        <v>2.3650216038485157</v>
      </c>
      <c r="CS2619" s="18" t="str">
        <v>Invest</v>
      </c>
      <c r="CU2619" s="45">
        <v>2615</v>
      </c>
      <c r="CV2619" s="18">
        <v>30.46221058174444</v>
      </c>
      <c r="CW2619" s="18" t="str">
        <v>Invest</v>
      </c>
      <c r="CY2619" s="45">
        <v>2615</v>
      </c>
      <c r="CZ2619" s="18">
        <v>27.187427049916771</v>
      </c>
      <c r="DA2619" s="18" t="str">
        <v>Invest</v>
      </c>
    </row>
    <row r="2620" spans="95:105" ht="23.5">
      <c r="CQ2620" s="45">
        <v>2616</v>
      </c>
      <c r="CR2620" s="18">
        <v>0</v>
      </c>
      <c r="CS2620" s="18" t="str">
        <v>Nothing</v>
      </c>
      <c r="CU2620" s="45">
        <v>2616</v>
      </c>
      <c r="CV2620" s="18">
        <v>31.076715061594587</v>
      </c>
      <c r="CW2620" s="18" t="str">
        <v>Invest</v>
      </c>
      <c r="CY2620" s="45">
        <v>2616</v>
      </c>
      <c r="CZ2620" s="18">
        <v>45.098025029920294</v>
      </c>
      <c r="DA2620" s="18" t="str">
        <v>Invest</v>
      </c>
    </row>
    <row r="2621" spans="95:105" ht="23.5">
      <c r="CQ2621" s="45">
        <v>2617</v>
      </c>
      <c r="CR2621" s="18">
        <v>33.000395754465103</v>
      </c>
      <c r="CS2621" s="18" t="str">
        <v>Invest</v>
      </c>
      <c r="CU2621" s="45">
        <v>2617</v>
      </c>
      <c r="CV2621" s="18">
        <v>2.923811594985505</v>
      </c>
      <c r="CW2621" s="18" t="str">
        <v>Invest</v>
      </c>
      <c r="CY2621" s="45">
        <v>2617</v>
      </c>
      <c r="CZ2621" s="18">
        <v>0</v>
      </c>
      <c r="DA2621" s="18" t="str">
        <v>Nothing</v>
      </c>
    </row>
    <row r="2622" spans="95:105" ht="23.5">
      <c r="CQ2622" s="45">
        <v>2618</v>
      </c>
      <c r="CR2622" s="18">
        <v>22.473265336188177</v>
      </c>
      <c r="CS2622" s="18" t="str">
        <v>Invest</v>
      </c>
      <c r="CU2622" s="45">
        <v>2618</v>
      </c>
      <c r="CV2622" s="18">
        <v>44.507373911264636</v>
      </c>
      <c r="CW2622" s="18" t="str">
        <v>Invest</v>
      </c>
      <c r="CY2622" s="45">
        <v>2618</v>
      </c>
      <c r="CZ2622" s="18">
        <v>0</v>
      </c>
      <c r="DA2622" s="18" t="str">
        <v>Nothing</v>
      </c>
    </row>
    <row r="2623" spans="95:105" ht="23.5">
      <c r="CQ2623" s="45">
        <v>2619</v>
      </c>
      <c r="CR2623" s="18">
        <v>3.9397478434573188</v>
      </c>
      <c r="CS2623" s="18" t="str">
        <v>Invest</v>
      </c>
      <c r="CU2623" s="45">
        <v>2619</v>
      </c>
      <c r="CV2623" s="18">
        <v>32.122590449755293</v>
      </c>
      <c r="CW2623" s="18" t="str">
        <v>Invest</v>
      </c>
      <c r="CY2623" s="45">
        <v>2619</v>
      </c>
      <c r="CZ2623" s="18">
        <v>48.011217106489511</v>
      </c>
      <c r="DA2623" s="18" t="str">
        <v>Invest</v>
      </c>
    </row>
    <row r="2624" spans="95:105" ht="23.5">
      <c r="CQ2624" s="45">
        <v>2620</v>
      </c>
      <c r="CR2624" s="18">
        <v>0</v>
      </c>
      <c r="CS2624" s="18" t="str">
        <v>Nothing</v>
      </c>
      <c r="CU2624" s="45">
        <v>2620</v>
      </c>
      <c r="CV2624" s="18">
        <v>18.574446946544789</v>
      </c>
      <c r="CW2624" s="18" t="str">
        <v>Invest</v>
      </c>
      <c r="CY2624" s="45">
        <v>2620</v>
      </c>
      <c r="CZ2624" s="18">
        <v>0</v>
      </c>
      <c r="DA2624" s="18" t="str">
        <v>Nothing</v>
      </c>
    </row>
    <row r="2625" spans="95:105" ht="23.5">
      <c r="CQ2625" s="45">
        <v>2621</v>
      </c>
      <c r="CR2625" s="18">
        <v>30.546210187511782</v>
      </c>
      <c r="CS2625" s="18" t="str">
        <v>Invest</v>
      </c>
      <c r="CU2625" s="45">
        <v>2621</v>
      </c>
      <c r="CV2625" s="18">
        <v>2.9332495770473574</v>
      </c>
      <c r="CW2625" s="18" t="str">
        <v>Invest</v>
      </c>
      <c r="CY2625" s="45">
        <v>2621</v>
      </c>
      <c r="CZ2625" s="18">
        <v>2.3817343606137165</v>
      </c>
      <c r="DA2625" s="18" t="str">
        <v>Invest</v>
      </c>
    </row>
    <row r="2626" spans="95:105" ht="23.5">
      <c r="CQ2626" s="45">
        <v>2622</v>
      </c>
      <c r="CR2626" s="18">
        <v>0</v>
      </c>
      <c r="CS2626" s="18" t="str">
        <v>Nothing</v>
      </c>
      <c r="CU2626" s="45">
        <v>2622</v>
      </c>
      <c r="CV2626" s="18">
        <v>35.5086302787115</v>
      </c>
      <c r="CW2626" s="18" t="str">
        <v>Invest</v>
      </c>
      <c r="CY2626" s="45">
        <v>2622</v>
      </c>
      <c r="CZ2626" s="18">
        <v>54.461596178437219</v>
      </c>
      <c r="DA2626" s="18" t="str">
        <v>Invest</v>
      </c>
    </row>
    <row r="2627" spans="95:105" ht="23.5">
      <c r="CQ2627" s="45">
        <v>2623</v>
      </c>
      <c r="CR2627" s="18">
        <v>16.858094371778105</v>
      </c>
      <c r="CS2627" s="18" t="str">
        <v>Invest</v>
      </c>
      <c r="CU2627" s="45">
        <v>2623</v>
      </c>
      <c r="CV2627" s="18">
        <v>16.226494829171575</v>
      </c>
      <c r="CW2627" s="18" t="str">
        <v>Invest</v>
      </c>
      <c r="CY2627" s="45">
        <v>2623</v>
      </c>
      <c r="CZ2627" s="18">
        <v>25.830579368418213</v>
      </c>
      <c r="DA2627" s="18" t="str">
        <v>Invest</v>
      </c>
    </row>
    <row r="2628" spans="95:105" ht="23.5">
      <c r="CQ2628" s="45">
        <v>2624</v>
      </c>
      <c r="CR2628" s="18">
        <v>0</v>
      </c>
      <c r="CS2628" s="18" t="str">
        <v>Nothing</v>
      </c>
      <c r="CU2628" s="45">
        <v>2624</v>
      </c>
      <c r="CV2628" s="18">
        <v>12.807318995687819</v>
      </c>
      <c r="CW2628" s="18" t="str">
        <v>Invest</v>
      </c>
      <c r="CY2628" s="45">
        <v>2624</v>
      </c>
      <c r="CZ2628" s="18">
        <v>19.140449677000575</v>
      </c>
      <c r="DA2628" s="18" t="str">
        <v>Invest</v>
      </c>
    </row>
    <row r="2629" spans="95:105" ht="23.5">
      <c r="CQ2629" s="45">
        <v>2625</v>
      </c>
      <c r="CR2629" s="18">
        <v>0</v>
      </c>
      <c r="CS2629" s="18" t="str">
        <v>Nothing</v>
      </c>
      <c r="CU2629" s="45">
        <v>2625</v>
      </c>
      <c r="CV2629" s="18">
        <v>2.1556048969531147</v>
      </c>
      <c r="CW2629" s="18" t="str">
        <v>Invest</v>
      </c>
      <c r="CY2629" s="45">
        <v>2625</v>
      </c>
      <c r="CZ2629" s="18">
        <v>0</v>
      </c>
      <c r="DA2629" s="18" t="str">
        <v>Nothing</v>
      </c>
    </row>
    <row r="2630" spans="95:105" ht="23.5">
      <c r="CQ2630" s="45">
        <v>2626</v>
      </c>
      <c r="CR2630" s="18">
        <v>0</v>
      </c>
      <c r="CS2630" s="18" t="str">
        <v>Nothing</v>
      </c>
      <c r="CU2630" s="45">
        <v>2626</v>
      </c>
      <c r="CV2630" s="18">
        <v>21.586032359087177</v>
      </c>
      <c r="CW2630" s="18" t="str">
        <v>Invest</v>
      </c>
      <c r="CY2630" s="45">
        <v>2626</v>
      </c>
      <c r="CZ2630" s="18">
        <v>8.4504907725238141</v>
      </c>
      <c r="DA2630" s="18" t="str">
        <v>Invest</v>
      </c>
    </row>
    <row r="2631" spans="95:105" ht="23.5">
      <c r="CQ2631" s="45">
        <v>2627</v>
      </c>
      <c r="CR2631" s="18">
        <v>0</v>
      </c>
      <c r="CS2631" s="18" t="str">
        <v>Nothing</v>
      </c>
      <c r="CU2631" s="45">
        <v>2627</v>
      </c>
      <c r="CV2631" s="18">
        <v>57.029989982728225</v>
      </c>
      <c r="CW2631" s="18" t="str">
        <v>Invest</v>
      </c>
      <c r="CY2631" s="45">
        <v>2627</v>
      </c>
      <c r="CZ2631" s="18">
        <v>33.872949248103481</v>
      </c>
      <c r="DA2631" s="18" t="str">
        <v>Invest</v>
      </c>
    </row>
    <row r="2632" spans="95:105" ht="23.5">
      <c r="CQ2632" s="45">
        <v>2628</v>
      </c>
      <c r="CR2632" s="18">
        <v>14.970912099498896</v>
      </c>
      <c r="CS2632" s="18" t="str">
        <v>Invest</v>
      </c>
      <c r="CU2632" s="45">
        <v>2628</v>
      </c>
      <c r="CV2632" s="18">
        <v>26.517112987120562</v>
      </c>
      <c r="CW2632" s="18" t="str">
        <v>Invest</v>
      </c>
      <c r="CY2632" s="45">
        <v>2628</v>
      </c>
      <c r="CZ2632" s="18">
        <v>9.3739422479155756</v>
      </c>
      <c r="DA2632" s="18" t="str">
        <v>Invest</v>
      </c>
    </row>
    <row r="2633" spans="95:105" ht="23.5">
      <c r="CQ2633" s="45">
        <v>2629</v>
      </c>
      <c r="CR2633" s="18">
        <v>14.884947503663852</v>
      </c>
      <c r="CS2633" s="18" t="str">
        <v>Invest</v>
      </c>
      <c r="CU2633" s="45">
        <v>2629</v>
      </c>
      <c r="CV2633" s="18">
        <v>41.076723345288116</v>
      </c>
      <c r="CW2633" s="18" t="str">
        <v>Invest</v>
      </c>
      <c r="CY2633" s="45">
        <v>2629</v>
      </c>
      <c r="CZ2633" s="18">
        <v>31.363877969175462</v>
      </c>
      <c r="DA2633" s="18" t="str">
        <v>Invest</v>
      </c>
    </row>
    <row r="2634" spans="95:105" ht="23.5">
      <c r="CQ2634" s="45">
        <v>2630</v>
      </c>
      <c r="CR2634" s="18">
        <v>4.006904344029703</v>
      </c>
      <c r="CS2634" s="18" t="str">
        <v>Invest</v>
      </c>
      <c r="CU2634" s="45">
        <v>2630</v>
      </c>
      <c r="CV2634" s="18">
        <v>24.835148647685088</v>
      </c>
      <c r="CW2634" s="18" t="str">
        <v>Invest</v>
      </c>
      <c r="CY2634" s="45">
        <v>2630</v>
      </c>
      <c r="CZ2634" s="18">
        <v>33.533746665261631</v>
      </c>
      <c r="DA2634" s="18" t="str">
        <v>Invest</v>
      </c>
    </row>
    <row r="2635" spans="95:105" ht="23.5">
      <c r="CQ2635" s="45">
        <v>2631</v>
      </c>
      <c r="CR2635" s="18">
        <v>20.231972320388294</v>
      </c>
      <c r="CS2635" s="18" t="str">
        <v>Invest</v>
      </c>
      <c r="CU2635" s="45">
        <v>2631</v>
      </c>
      <c r="CV2635" s="18">
        <v>17.926625916113718</v>
      </c>
      <c r="CW2635" s="18" t="str">
        <v>Invest</v>
      </c>
      <c r="CY2635" s="45">
        <v>2631</v>
      </c>
      <c r="CZ2635" s="18">
        <v>9.9308165937301087</v>
      </c>
      <c r="DA2635" s="18" t="str">
        <v>Invest</v>
      </c>
    </row>
    <row r="2636" spans="95:105" ht="23.5">
      <c r="CQ2636" s="45">
        <v>2632</v>
      </c>
      <c r="CR2636" s="18">
        <v>14.659197642107944</v>
      </c>
      <c r="CS2636" s="18" t="str">
        <v>Invest</v>
      </c>
      <c r="CU2636" s="45">
        <v>2632</v>
      </c>
      <c r="CV2636" s="18">
        <v>0</v>
      </c>
      <c r="CW2636" s="18" t="str">
        <v>Nothing</v>
      </c>
      <c r="CY2636" s="45">
        <v>2632</v>
      </c>
      <c r="CZ2636" s="18">
        <v>1.1301990195190514</v>
      </c>
      <c r="DA2636" s="18" t="str">
        <v>Invest</v>
      </c>
    </row>
    <row r="2637" spans="95:105" ht="23.5">
      <c r="CQ2637" s="45">
        <v>2633</v>
      </c>
      <c r="CR2637" s="18">
        <v>3.8903163930070441</v>
      </c>
      <c r="CS2637" s="18" t="str">
        <v>Invest</v>
      </c>
      <c r="CU2637" s="45">
        <v>2633</v>
      </c>
      <c r="CV2637" s="18">
        <v>0</v>
      </c>
      <c r="CW2637" s="18" t="str">
        <v>Nothing</v>
      </c>
      <c r="CY2637" s="45">
        <v>2633</v>
      </c>
      <c r="CZ2637" s="18">
        <v>7.6740932384991964</v>
      </c>
      <c r="DA2637" s="18" t="str">
        <v>Invest</v>
      </c>
    </row>
    <row r="2638" spans="95:105" ht="23.5">
      <c r="CQ2638" s="45">
        <v>2634</v>
      </c>
      <c r="CR2638" s="18">
        <v>61.323914989861009</v>
      </c>
      <c r="CS2638" s="18" t="str">
        <v>Invest</v>
      </c>
      <c r="CU2638" s="45">
        <v>2634</v>
      </c>
      <c r="CV2638" s="18">
        <v>38.304224649295598</v>
      </c>
      <c r="CW2638" s="18" t="str">
        <v>Invest</v>
      </c>
      <c r="CY2638" s="45">
        <v>2634</v>
      </c>
      <c r="CZ2638" s="18">
        <v>0</v>
      </c>
      <c r="DA2638" s="18" t="str">
        <v>Nothing</v>
      </c>
    </row>
    <row r="2639" spans="95:105" ht="23.5">
      <c r="CQ2639" s="45">
        <v>2635</v>
      </c>
      <c r="CR2639" s="18">
        <v>23.00878160682079</v>
      </c>
      <c r="CS2639" s="18" t="str">
        <v>Invest</v>
      </c>
      <c r="CU2639" s="45">
        <v>2635</v>
      </c>
      <c r="CV2639" s="18">
        <v>4.7210139351063525</v>
      </c>
      <c r="CW2639" s="18" t="str">
        <v>Invest</v>
      </c>
      <c r="CY2639" s="45">
        <v>2635</v>
      </c>
      <c r="CZ2639" s="18">
        <v>0</v>
      </c>
      <c r="DA2639" s="18" t="str">
        <v>Nothing</v>
      </c>
    </row>
    <row r="2640" spans="95:105" ht="23.5">
      <c r="CQ2640" s="45">
        <v>2636</v>
      </c>
      <c r="CR2640" s="18">
        <v>3.9710473469810665</v>
      </c>
      <c r="CS2640" s="18" t="str">
        <v>Invest</v>
      </c>
      <c r="CU2640" s="45">
        <v>2636</v>
      </c>
      <c r="CV2640" s="18">
        <v>30.380874386393316</v>
      </c>
      <c r="CW2640" s="18" t="str">
        <v>Invest</v>
      </c>
      <c r="CY2640" s="45">
        <v>2636</v>
      </c>
      <c r="CZ2640" s="18">
        <v>0</v>
      </c>
      <c r="DA2640" s="18" t="str">
        <v>Nothing</v>
      </c>
    </row>
    <row r="2641" spans="95:105" ht="23.5">
      <c r="CQ2641" s="45">
        <v>2637</v>
      </c>
      <c r="CR2641" s="18">
        <v>29.050747810044179</v>
      </c>
      <c r="CS2641" s="18" t="str">
        <v>Invest</v>
      </c>
      <c r="CU2641" s="45">
        <v>2637</v>
      </c>
      <c r="CV2641" s="18">
        <v>1.9817274719851365</v>
      </c>
      <c r="CW2641" s="18" t="str">
        <v>Invest</v>
      </c>
      <c r="CY2641" s="45">
        <v>2637</v>
      </c>
      <c r="CZ2641" s="18">
        <v>0</v>
      </c>
      <c r="DA2641" s="18" t="str">
        <v>Nothing</v>
      </c>
    </row>
    <row r="2642" spans="95:105" ht="23.5">
      <c r="CQ2642" s="45">
        <v>2638</v>
      </c>
      <c r="CR2642" s="18">
        <v>20.448094459476138</v>
      </c>
      <c r="CS2642" s="18" t="str">
        <v>Invest</v>
      </c>
      <c r="CU2642" s="45">
        <v>2638</v>
      </c>
      <c r="CV2642" s="18">
        <v>40.8389578225555</v>
      </c>
      <c r="CW2642" s="18" t="str">
        <v>Invest</v>
      </c>
      <c r="CY2642" s="45">
        <v>2638</v>
      </c>
      <c r="CZ2642" s="18">
        <v>13.21509634684635</v>
      </c>
      <c r="DA2642" s="18" t="str">
        <v>Invest</v>
      </c>
    </row>
    <row r="2643" spans="95:105" ht="23.5">
      <c r="CQ2643" s="45">
        <v>2639</v>
      </c>
      <c r="CR2643" s="18">
        <v>43.612554484178133</v>
      </c>
      <c r="CS2643" s="18" t="str">
        <v>Invest</v>
      </c>
      <c r="CU2643" s="45">
        <v>2639</v>
      </c>
      <c r="CV2643" s="18">
        <v>0</v>
      </c>
      <c r="CW2643" s="18" t="str">
        <v>Nothing</v>
      </c>
      <c r="CY2643" s="45">
        <v>2639</v>
      </c>
      <c r="CZ2643" s="18">
        <v>18.218404792183033</v>
      </c>
      <c r="DA2643" s="18" t="str">
        <v>Invest</v>
      </c>
    </row>
    <row r="2644" spans="95:105" ht="23.5">
      <c r="CQ2644" s="45">
        <v>2640</v>
      </c>
      <c r="CR2644" s="18">
        <v>48.995683777205777</v>
      </c>
      <c r="CS2644" s="18" t="str">
        <v>Invest</v>
      </c>
      <c r="CU2644" s="45">
        <v>2640</v>
      </c>
      <c r="CV2644" s="18">
        <v>0</v>
      </c>
      <c r="CW2644" s="18" t="str">
        <v>Nothing</v>
      </c>
      <c r="CY2644" s="45">
        <v>2640</v>
      </c>
      <c r="CZ2644" s="18">
        <v>56.307446394398355</v>
      </c>
      <c r="DA2644" s="18" t="str">
        <v>Invest</v>
      </c>
    </row>
    <row r="2645" spans="95:105" ht="23.5">
      <c r="CQ2645" s="45">
        <v>2641</v>
      </c>
      <c r="CR2645" s="18">
        <v>28.392931878083324</v>
      </c>
      <c r="CS2645" s="18" t="str">
        <v>Invest</v>
      </c>
      <c r="CU2645" s="45">
        <v>2641</v>
      </c>
      <c r="CV2645" s="18">
        <v>38.306283372479548</v>
      </c>
      <c r="CW2645" s="18" t="str">
        <v>Invest</v>
      </c>
      <c r="CY2645" s="45">
        <v>2641</v>
      </c>
      <c r="CZ2645" s="18">
        <v>23.361427169203417</v>
      </c>
      <c r="DA2645" s="18" t="str">
        <v>Invest</v>
      </c>
    </row>
    <row r="2646" spans="95:105" ht="23.5">
      <c r="CQ2646" s="45">
        <v>2642</v>
      </c>
      <c r="CR2646" s="18">
        <v>18.400618534896921</v>
      </c>
      <c r="CS2646" s="18" t="str">
        <v>Invest</v>
      </c>
      <c r="CU2646" s="45">
        <v>2642</v>
      </c>
      <c r="CV2646" s="18">
        <v>0</v>
      </c>
      <c r="CW2646" s="18" t="str">
        <v>Nothing</v>
      </c>
      <c r="CY2646" s="45">
        <v>2642</v>
      </c>
      <c r="CZ2646" s="18">
        <v>9.853602491555538</v>
      </c>
      <c r="DA2646" s="18" t="str">
        <v>Invest</v>
      </c>
    </row>
    <row r="2647" spans="95:105" ht="23.5">
      <c r="CQ2647" s="45">
        <v>2643</v>
      </c>
      <c r="CR2647" s="18">
        <v>22.351286344565601</v>
      </c>
      <c r="CS2647" s="18" t="str">
        <v>Invest</v>
      </c>
      <c r="CU2647" s="45">
        <v>2643</v>
      </c>
      <c r="CV2647" s="18">
        <v>7.4435559596908085</v>
      </c>
      <c r="CW2647" s="18" t="str">
        <v>Invest</v>
      </c>
      <c r="CY2647" s="45">
        <v>2643</v>
      </c>
      <c r="CZ2647" s="18">
        <v>12.710995879983544</v>
      </c>
      <c r="DA2647" s="18" t="str">
        <v>Invest</v>
      </c>
    </row>
    <row r="2648" spans="95:105" ht="23.5">
      <c r="CQ2648" s="45">
        <v>2644</v>
      </c>
      <c r="CR2648" s="18">
        <v>19.8305062679974</v>
      </c>
      <c r="CS2648" s="18" t="str">
        <v>Invest</v>
      </c>
      <c r="CU2648" s="45">
        <v>2644</v>
      </c>
      <c r="CV2648" s="18">
        <v>9.0792284383652166</v>
      </c>
      <c r="CW2648" s="18" t="str">
        <v>Invest</v>
      </c>
      <c r="CY2648" s="45">
        <v>2644</v>
      </c>
      <c r="CZ2648" s="18">
        <v>0</v>
      </c>
      <c r="DA2648" s="18" t="str">
        <v>Nothing</v>
      </c>
    </row>
    <row r="2649" spans="95:105" ht="23.5">
      <c r="CQ2649" s="45">
        <v>2645</v>
      </c>
      <c r="CR2649" s="18">
        <v>21.531145006043786</v>
      </c>
      <c r="CS2649" s="18" t="str">
        <v>Invest</v>
      </c>
      <c r="CU2649" s="45">
        <v>2645</v>
      </c>
      <c r="CV2649" s="18">
        <v>0</v>
      </c>
      <c r="CW2649" s="18" t="str">
        <v>Nothing</v>
      </c>
      <c r="CY2649" s="45">
        <v>2645</v>
      </c>
      <c r="CZ2649" s="18">
        <v>23.801826491084377</v>
      </c>
      <c r="DA2649" s="18" t="str">
        <v>Invest</v>
      </c>
    </row>
    <row r="2650" spans="95:105" ht="23.5">
      <c r="CQ2650" s="45">
        <v>2646</v>
      </c>
      <c r="CR2650" s="18">
        <v>24.508678600125474</v>
      </c>
      <c r="CS2650" s="18" t="str">
        <v>Invest</v>
      </c>
      <c r="CU2650" s="45">
        <v>2646</v>
      </c>
      <c r="CV2650" s="18">
        <v>19.05204468956434</v>
      </c>
      <c r="CW2650" s="18" t="str">
        <v>Invest</v>
      </c>
      <c r="CY2650" s="45">
        <v>2646</v>
      </c>
      <c r="CZ2650" s="18">
        <v>0</v>
      </c>
      <c r="DA2650" s="18" t="str">
        <v>Nothing</v>
      </c>
    </row>
    <row r="2651" spans="95:105" ht="23.5">
      <c r="CQ2651" s="45">
        <v>2647</v>
      </c>
      <c r="CR2651" s="18">
        <v>59.324168013287647</v>
      </c>
      <c r="CS2651" s="18" t="str">
        <v>Invest</v>
      </c>
      <c r="CU2651" s="45">
        <v>2647</v>
      </c>
      <c r="CV2651" s="18">
        <v>19.46929362727581</v>
      </c>
      <c r="CW2651" s="18" t="str">
        <v>Invest</v>
      </c>
      <c r="CY2651" s="45">
        <v>2647</v>
      </c>
      <c r="CZ2651" s="18">
        <v>0</v>
      </c>
      <c r="DA2651" s="18" t="str">
        <v>Nothing</v>
      </c>
    </row>
    <row r="2652" spans="95:105" ht="23.5">
      <c r="CQ2652" s="45">
        <v>2648</v>
      </c>
      <c r="CR2652" s="18">
        <v>0</v>
      </c>
      <c r="CS2652" s="18" t="str">
        <v>Nothing</v>
      </c>
      <c r="CU2652" s="45">
        <v>2648</v>
      </c>
      <c r="CV2652" s="18">
        <v>2.2522356864758173</v>
      </c>
      <c r="CW2652" s="18" t="str">
        <v>Invest</v>
      </c>
      <c r="CY2652" s="45">
        <v>2648</v>
      </c>
      <c r="CZ2652" s="18">
        <v>0</v>
      </c>
      <c r="DA2652" s="18" t="str">
        <v>Nothing</v>
      </c>
    </row>
    <row r="2653" spans="95:105" ht="23.5">
      <c r="CQ2653" s="45">
        <v>2649</v>
      </c>
      <c r="CR2653" s="18">
        <v>3.5243127815472413</v>
      </c>
      <c r="CS2653" s="18" t="str">
        <v>Invest</v>
      </c>
      <c r="CU2653" s="45">
        <v>2649</v>
      </c>
      <c r="CV2653" s="18">
        <v>0</v>
      </c>
      <c r="CW2653" s="18" t="str">
        <v>Nothing</v>
      </c>
      <c r="CY2653" s="45">
        <v>2649</v>
      </c>
      <c r="CZ2653" s="18">
        <v>21.542272035300481</v>
      </c>
      <c r="DA2653" s="18" t="str">
        <v>Invest</v>
      </c>
    </row>
    <row r="2654" spans="95:105" ht="23.5">
      <c r="CQ2654" s="45">
        <v>2650</v>
      </c>
      <c r="CR2654" s="18">
        <v>0</v>
      </c>
      <c r="CS2654" s="18" t="str">
        <v>Nothing</v>
      </c>
      <c r="CU2654" s="45">
        <v>2650</v>
      </c>
      <c r="CV2654" s="18">
        <v>0</v>
      </c>
      <c r="CW2654" s="18" t="str">
        <v>Nothing</v>
      </c>
      <c r="CY2654" s="45">
        <v>2650</v>
      </c>
      <c r="CZ2654" s="18">
        <v>42.440434886824754</v>
      </c>
      <c r="DA2654" s="18" t="str">
        <v>Invest</v>
      </c>
    </row>
    <row r="2655" spans="95:105" ht="23.5">
      <c r="CQ2655" s="45">
        <v>2651</v>
      </c>
      <c r="CR2655" s="18">
        <v>0</v>
      </c>
      <c r="CS2655" s="18" t="str">
        <v>Nothing</v>
      </c>
      <c r="CU2655" s="45">
        <v>2651</v>
      </c>
      <c r="CV2655" s="18">
        <v>0</v>
      </c>
      <c r="CW2655" s="18" t="str">
        <v>Nothing</v>
      </c>
      <c r="CY2655" s="45">
        <v>2651</v>
      </c>
      <c r="CZ2655" s="18">
        <v>4.8022642871885832</v>
      </c>
      <c r="DA2655" s="18" t="str">
        <v>Invest</v>
      </c>
    </row>
    <row r="2656" spans="95:105" ht="23.5">
      <c r="CQ2656" s="45">
        <v>2652</v>
      </c>
      <c r="CR2656" s="18">
        <v>18.154506119549325</v>
      </c>
      <c r="CS2656" s="18" t="str">
        <v>Invest</v>
      </c>
      <c r="CU2656" s="45">
        <v>2652</v>
      </c>
      <c r="CV2656" s="18">
        <v>0</v>
      </c>
      <c r="CW2656" s="18" t="str">
        <v>Nothing</v>
      </c>
      <c r="CY2656" s="45">
        <v>2652</v>
      </c>
      <c r="CZ2656" s="18">
        <v>6.9675744102156489</v>
      </c>
      <c r="DA2656" s="18" t="str">
        <v>Invest</v>
      </c>
    </row>
    <row r="2657" spans="95:105" ht="23.5">
      <c r="CQ2657" s="45">
        <v>2653</v>
      </c>
      <c r="CR2657" s="18">
        <v>14.348695519261071</v>
      </c>
      <c r="CS2657" s="18" t="str">
        <v>Invest</v>
      </c>
      <c r="CU2657" s="45">
        <v>2653</v>
      </c>
      <c r="CV2657" s="18">
        <v>57.508889418015421</v>
      </c>
      <c r="CW2657" s="18" t="str">
        <v>Invest</v>
      </c>
      <c r="CY2657" s="45">
        <v>2653</v>
      </c>
      <c r="CZ2657" s="18">
        <v>0</v>
      </c>
      <c r="DA2657" s="18" t="str">
        <v>Nothing</v>
      </c>
    </row>
    <row r="2658" spans="95:105" ht="23.5">
      <c r="CQ2658" s="45">
        <v>2654</v>
      </c>
      <c r="CR2658" s="18">
        <v>38.106559584040177</v>
      </c>
      <c r="CS2658" s="18" t="str">
        <v>Invest</v>
      </c>
      <c r="CU2658" s="45">
        <v>2654</v>
      </c>
      <c r="CV2658" s="18">
        <v>5.7404177904782667</v>
      </c>
      <c r="CW2658" s="18" t="str">
        <v>Invest</v>
      </c>
      <c r="CY2658" s="45">
        <v>2654</v>
      </c>
      <c r="CZ2658" s="18">
        <v>0</v>
      </c>
      <c r="DA2658" s="18" t="str">
        <v>Nothing</v>
      </c>
    </row>
    <row r="2659" spans="95:105" ht="23.5">
      <c r="CQ2659" s="45">
        <v>2655</v>
      </c>
      <c r="CR2659" s="18">
        <v>12.499007476785433</v>
      </c>
      <c r="CS2659" s="18" t="str">
        <v>Invest</v>
      </c>
      <c r="CU2659" s="45">
        <v>2655</v>
      </c>
      <c r="CV2659" s="18">
        <v>16.974104260365035</v>
      </c>
      <c r="CW2659" s="18" t="str">
        <v>Invest</v>
      </c>
      <c r="CY2659" s="45">
        <v>2655</v>
      </c>
      <c r="CZ2659" s="18">
        <v>0</v>
      </c>
      <c r="DA2659" s="18" t="str">
        <v>Nothing</v>
      </c>
    </row>
    <row r="2660" spans="95:105" ht="23.5">
      <c r="CQ2660" s="45">
        <v>2656</v>
      </c>
      <c r="CR2660" s="18">
        <v>13.957169883425163</v>
      </c>
      <c r="CS2660" s="18" t="str">
        <v>Invest</v>
      </c>
      <c r="CU2660" s="45">
        <v>2656</v>
      </c>
      <c r="CV2660" s="18">
        <v>25.186369236556182</v>
      </c>
      <c r="CW2660" s="18" t="str">
        <v>Invest</v>
      </c>
      <c r="CY2660" s="45">
        <v>2656</v>
      </c>
      <c r="CZ2660" s="18">
        <v>0</v>
      </c>
      <c r="DA2660" s="18" t="str">
        <v>Nothing</v>
      </c>
    </row>
    <row r="2661" spans="95:105" ht="23.5">
      <c r="CQ2661" s="45">
        <v>2657</v>
      </c>
      <c r="CR2661" s="18">
        <v>23.233789348992413</v>
      </c>
      <c r="CS2661" s="18" t="str">
        <v>Invest</v>
      </c>
      <c r="CU2661" s="45">
        <v>2657</v>
      </c>
      <c r="CV2661" s="18">
        <v>0</v>
      </c>
      <c r="CW2661" s="18" t="str">
        <v>Nothing</v>
      </c>
      <c r="CY2661" s="45">
        <v>2657</v>
      </c>
      <c r="CZ2661" s="18">
        <v>0</v>
      </c>
      <c r="DA2661" s="18" t="str">
        <v>Nothing</v>
      </c>
    </row>
    <row r="2662" spans="95:105" ht="23.5">
      <c r="CQ2662" s="45">
        <v>2658</v>
      </c>
      <c r="CR2662" s="18">
        <v>11.305138840994589</v>
      </c>
      <c r="CS2662" s="18" t="str">
        <v>Invest</v>
      </c>
      <c r="CU2662" s="45">
        <v>2658</v>
      </c>
      <c r="CV2662" s="18">
        <v>11.210151038306636</v>
      </c>
      <c r="CW2662" s="18" t="str">
        <v>Invest</v>
      </c>
      <c r="CY2662" s="45">
        <v>2658</v>
      </c>
      <c r="CZ2662" s="18">
        <v>0</v>
      </c>
      <c r="DA2662" s="18" t="str">
        <v>Nothing</v>
      </c>
    </row>
    <row r="2663" spans="95:105" ht="23.5">
      <c r="CQ2663" s="45">
        <v>2659</v>
      </c>
      <c r="CR2663" s="18">
        <v>48.633242681498452</v>
      </c>
      <c r="CS2663" s="18" t="str">
        <v>Invest</v>
      </c>
      <c r="CU2663" s="45">
        <v>2659</v>
      </c>
      <c r="CV2663" s="18">
        <v>11.199622647430829</v>
      </c>
      <c r="CW2663" s="18" t="str">
        <v>Invest</v>
      </c>
      <c r="CY2663" s="45">
        <v>2659</v>
      </c>
      <c r="CZ2663" s="18">
        <v>59.132359122773686</v>
      </c>
      <c r="DA2663" s="18" t="str">
        <v>Invest</v>
      </c>
    </row>
    <row r="2664" spans="95:105" ht="23.5">
      <c r="CQ2664" s="45">
        <v>2660</v>
      </c>
      <c r="CR2664" s="18">
        <v>0</v>
      </c>
      <c r="CS2664" s="18" t="str">
        <v>Nothing</v>
      </c>
      <c r="CU2664" s="45">
        <v>2660</v>
      </c>
      <c r="CV2664" s="18">
        <v>39.117437166366933</v>
      </c>
      <c r="CW2664" s="18" t="str">
        <v>Invest</v>
      </c>
      <c r="CY2664" s="45">
        <v>2660</v>
      </c>
      <c r="CZ2664" s="18">
        <v>0</v>
      </c>
      <c r="DA2664" s="18" t="str">
        <v>Nothing</v>
      </c>
    </row>
    <row r="2665" spans="95:105" ht="23.5">
      <c r="CQ2665" s="45">
        <v>2661</v>
      </c>
      <c r="CR2665" s="18">
        <v>17.038077788169804</v>
      </c>
      <c r="CS2665" s="18" t="str">
        <v>Invest</v>
      </c>
      <c r="CU2665" s="45">
        <v>2661</v>
      </c>
      <c r="CV2665" s="18">
        <v>59.551924067381911</v>
      </c>
      <c r="CW2665" s="18" t="str">
        <v>Invest</v>
      </c>
      <c r="CY2665" s="45">
        <v>2661</v>
      </c>
      <c r="CZ2665" s="18">
        <v>8.9208275210783796</v>
      </c>
      <c r="DA2665" s="18" t="str">
        <v>Invest</v>
      </c>
    </row>
    <row r="2666" spans="95:105" ht="23.5">
      <c r="CQ2666" s="45">
        <v>2662</v>
      </c>
      <c r="CR2666" s="18">
        <v>20.673265921205228</v>
      </c>
      <c r="CS2666" s="18" t="str">
        <v>Invest</v>
      </c>
      <c r="CU2666" s="45">
        <v>2662</v>
      </c>
      <c r="CV2666" s="18">
        <v>23.739404612987006</v>
      </c>
      <c r="CW2666" s="18" t="str">
        <v>Invest</v>
      </c>
      <c r="CY2666" s="45">
        <v>2662</v>
      </c>
      <c r="CZ2666" s="18">
        <v>0</v>
      </c>
      <c r="DA2666" s="18" t="str">
        <v>Nothing</v>
      </c>
    </row>
    <row r="2667" spans="95:105" ht="23.5">
      <c r="CQ2667" s="45">
        <v>2663</v>
      </c>
      <c r="CR2667" s="18">
        <v>17.614255940990535</v>
      </c>
      <c r="CS2667" s="18" t="str">
        <v>Invest</v>
      </c>
      <c r="CU2667" s="45">
        <v>2663</v>
      </c>
      <c r="CV2667" s="18">
        <v>4.1205868640254559</v>
      </c>
      <c r="CW2667" s="18" t="str">
        <v>Invest</v>
      </c>
      <c r="CY2667" s="45">
        <v>2663</v>
      </c>
      <c r="CZ2667" s="18">
        <v>13.982247689352011</v>
      </c>
      <c r="DA2667" s="18" t="str">
        <v>Invest</v>
      </c>
    </row>
    <row r="2668" spans="95:105" ht="23.5">
      <c r="CQ2668" s="45">
        <v>2664</v>
      </c>
      <c r="CR2668" s="18">
        <v>23.142690141776384</v>
      </c>
      <c r="CS2668" s="18" t="str">
        <v>Invest</v>
      </c>
      <c r="CU2668" s="45">
        <v>2664</v>
      </c>
      <c r="CV2668" s="18">
        <v>26.426699333036233</v>
      </c>
      <c r="CW2668" s="18" t="str">
        <v>Invest</v>
      </c>
      <c r="CY2668" s="45">
        <v>2664</v>
      </c>
      <c r="CZ2668" s="18">
        <v>0</v>
      </c>
      <c r="DA2668" s="18" t="str">
        <v>Nothing</v>
      </c>
    </row>
    <row r="2669" spans="95:105" ht="23.5">
      <c r="CQ2669" s="45">
        <v>2665</v>
      </c>
      <c r="CR2669" s="18">
        <v>40.420489178777963</v>
      </c>
      <c r="CS2669" s="18" t="str">
        <v>Invest</v>
      </c>
      <c r="CU2669" s="45">
        <v>2665</v>
      </c>
      <c r="CV2669" s="18">
        <v>0</v>
      </c>
      <c r="CW2669" s="18" t="str">
        <v>Nothing</v>
      </c>
      <c r="CY2669" s="45">
        <v>2665</v>
      </c>
      <c r="CZ2669" s="18">
        <v>8.6118484330532326</v>
      </c>
      <c r="DA2669" s="18" t="str">
        <v>Invest</v>
      </c>
    </row>
    <row r="2670" spans="95:105" ht="23.5">
      <c r="CQ2670" s="45">
        <v>2666</v>
      </c>
      <c r="CR2670" s="18">
        <v>0</v>
      </c>
      <c r="CS2670" s="18" t="str">
        <v>Nothing</v>
      </c>
      <c r="CU2670" s="45">
        <v>2666</v>
      </c>
      <c r="CV2670" s="18">
        <v>29.755917422737213</v>
      </c>
      <c r="CW2670" s="18" t="str">
        <v>Invest</v>
      </c>
      <c r="CY2670" s="45">
        <v>2666</v>
      </c>
      <c r="CZ2670" s="18">
        <v>19.089172621286245</v>
      </c>
      <c r="DA2670" s="18" t="str">
        <v>Invest</v>
      </c>
    </row>
    <row r="2671" spans="95:105" ht="23.5">
      <c r="CQ2671" s="45">
        <v>2667</v>
      </c>
      <c r="CR2671" s="18">
        <v>6.2851418926080207</v>
      </c>
      <c r="CS2671" s="18" t="str">
        <v>Invest</v>
      </c>
      <c r="CU2671" s="45">
        <v>2667</v>
      </c>
      <c r="CV2671" s="18">
        <v>11.164415931957482</v>
      </c>
      <c r="CW2671" s="18" t="str">
        <v>Invest</v>
      </c>
      <c r="CY2671" s="45">
        <v>2667</v>
      </c>
      <c r="CZ2671" s="18">
        <v>0</v>
      </c>
      <c r="DA2671" s="18" t="str">
        <v>Nothing</v>
      </c>
    </row>
    <row r="2672" spans="95:105" ht="23.5">
      <c r="CQ2672" s="45">
        <v>2668</v>
      </c>
      <c r="CR2672" s="18">
        <v>15.425129348169008</v>
      </c>
      <c r="CS2672" s="18" t="str">
        <v>Invest</v>
      </c>
      <c r="CU2672" s="45">
        <v>2668</v>
      </c>
      <c r="CV2672" s="18">
        <v>0</v>
      </c>
      <c r="CW2672" s="18" t="str">
        <v>Nothing</v>
      </c>
      <c r="CY2672" s="45">
        <v>2668</v>
      </c>
      <c r="CZ2672" s="18">
        <v>7.9923844623030362</v>
      </c>
      <c r="DA2672" s="18" t="str">
        <v>Invest</v>
      </c>
    </row>
    <row r="2673" spans="95:105" ht="23.5">
      <c r="CQ2673" s="45">
        <v>2669</v>
      </c>
      <c r="CR2673" s="18">
        <v>0.71058913763537035</v>
      </c>
      <c r="CS2673" s="18" t="str">
        <v>Invest</v>
      </c>
      <c r="CU2673" s="45">
        <v>2669</v>
      </c>
      <c r="CV2673" s="18">
        <v>37.896569699300159</v>
      </c>
      <c r="CW2673" s="18" t="str">
        <v>Invest</v>
      </c>
      <c r="CY2673" s="45">
        <v>2669</v>
      </c>
      <c r="CZ2673" s="18">
        <v>2.6269759223357516</v>
      </c>
      <c r="DA2673" s="18" t="str">
        <v>Invest</v>
      </c>
    </row>
    <row r="2674" spans="95:105" ht="23.5">
      <c r="CQ2674" s="45">
        <v>2670</v>
      </c>
      <c r="CR2674" s="18">
        <v>9.3492685293697022</v>
      </c>
      <c r="CS2674" s="18" t="str">
        <v>Invest</v>
      </c>
      <c r="CU2674" s="45">
        <v>2670</v>
      </c>
      <c r="CV2674" s="18">
        <v>33.570440686536017</v>
      </c>
      <c r="CW2674" s="18" t="str">
        <v>Invest</v>
      </c>
      <c r="CY2674" s="45">
        <v>2670</v>
      </c>
      <c r="CZ2674" s="18">
        <v>0</v>
      </c>
      <c r="DA2674" s="18" t="str">
        <v>Nothing</v>
      </c>
    </row>
    <row r="2675" spans="95:105" ht="23.5">
      <c r="CQ2675" s="45">
        <v>2671</v>
      </c>
      <c r="CR2675" s="18">
        <v>0</v>
      </c>
      <c r="CS2675" s="18" t="str">
        <v>Nothing</v>
      </c>
      <c r="CU2675" s="45">
        <v>2671</v>
      </c>
      <c r="CV2675" s="18">
        <v>0</v>
      </c>
      <c r="CW2675" s="18" t="str">
        <v>Nothing</v>
      </c>
      <c r="CY2675" s="45">
        <v>2671</v>
      </c>
      <c r="CZ2675" s="18">
        <v>0</v>
      </c>
      <c r="DA2675" s="18" t="str">
        <v>Nothing</v>
      </c>
    </row>
    <row r="2676" spans="95:105" ht="23.5">
      <c r="CQ2676" s="45">
        <v>2672</v>
      </c>
      <c r="CR2676" s="18">
        <v>0</v>
      </c>
      <c r="CS2676" s="18" t="str">
        <v>Nothing</v>
      </c>
      <c r="CU2676" s="45">
        <v>2672</v>
      </c>
      <c r="CV2676" s="18">
        <v>28.990730301346726</v>
      </c>
      <c r="CW2676" s="18" t="str">
        <v>Invest</v>
      </c>
      <c r="CY2676" s="45">
        <v>2672</v>
      </c>
      <c r="CZ2676" s="18">
        <v>3.0394550542780294</v>
      </c>
      <c r="DA2676" s="18" t="str">
        <v>Invest</v>
      </c>
    </row>
    <row r="2677" spans="95:105" ht="23.5">
      <c r="CQ2677" s="45">
        <v>2673</v>
      </c>
      <c r="CR2677" s="18">
        <v>38.53939988487712</v>
      </c>
      <c r="CS2677" s="18" t="str">
        <v>Invest</v>
      </c>
      <c r="CU2677" s="45">
        <v>2673</v>
      </c>
      <c r="CV2677" s="18">
        <v>15.155507402573257</v>
      </c>
      <c r="CW2677" s="18" t="str">
        <v>Invest</v>
      </c>
      <c r="CY2677" s="45">
        <v>2673</v>
      </c>
      <c r="CZ2677" s="18">
        <v>60.074180877847212</v>
      </c>
      <c r="DA2677" s="18" t="str">
        <v>Invest</v>
      </c>
    </row>
    <row r="2678" spans="95:105" ht="23.5">
      <c r="CQ2678" s="45">
        <v>2674</v>
      </c>
      <c r="CR2678" s="18">
        <v>23.33077757108002</v>
      </c>
      <c r="CS2678" s="18" t="str">
        <v>Invest</v>
      </c>
      <c r="CU2678" s="45">
        <v>2674</v>
      </c>
      <c r="CV2678" s="18">
        <v>24.27896115117467</v>
      </c>
      <c r="CW2678" s="18" t="str">
        <v>Invest</v>
      </c>
      <c r="CY2678" s="45">
        <v>2674</v>
      </c>
      <c r="CZ2678" s="18">
        <v>35.827570858948405</v>
      </c>
      <c r="DA2678" s="18" t="str">
        <v>Invest</v>
      </c>
    </row>
    <row r="2679" spans="95:105" ht="23.5">
      <c r="CQ2679" s="45">
        <v>2675</v>
      </c>
      <c r="CR2679" s="18">
        <v>13.732643308580471</v>
      </c>
      <c r="CS2679" s="18" t="str">
        <v>Invest</v>
      </c>
      <c r="CU2679" s="45">
        <v>2675</v>
      </c>
      <c r="CV2679" s="18">
        <v>1.7233801796758765</v>
      </c>
      <c r="CW2679" s="18" t="str">
        <v>Invest</v>
      </c>
      <c r="CY2679" s="45">
        <v>2675</v>
      </c>
      <c r="CZ2679" s="18">
        <v>0</v>
      </c>
      <c r="DA2679" s="18" t="str">
        <v>Nothing</v>
      </c>
    </row>
    <row r="2680" spans="95:105" ht="23.5">
      <c r="CQ2680" s="45">
        <v>2676</v>
      </c>
      <c r="CR2680" s="18">
        <v>1.9766263312454164</v>
      </c>
      <c r="CS2680" s="18" t="str">
        <v>Invest</v>
      </c>
      <c r="CU2680" s="45">
        <v>2676</v>
      </c>
      <c r="CV2680" s="18">
        <v>39.577707116512471</v>
      </c>
      <c r="CW2680" s="18" t="str">
        <v>Invest</v>
      </c>
      <c r="CY2680" s="45">
        <v>2676</v>
      </c>
      <c r="CZ2680" s="18">
        <v>43.447243957113159</v>
      </c>
      <c r="DA2680" s="18" t="str">
        <v>Invest</v>
      </c>
    </row>
    <row r="2681" spans="95:105" ht="23.5">
      <c r="CQ2681" s="45">
        <v>2677</v>
      </c>
      <c r="CR2681" s="18">
        <v>56.51005396366962</v>
      </c>
      <c r="CS2681" s="18" t="str">
        <v>Invest</v>
      </c>
      <c r="CU2681" s="45">
        <v>2677</v>
      </c>
      <c r="CV2681" s="18">
        <v>0</v>
      </c>
      <c r="CW2681" s="18" t="str">
        <v>Nothing</v>
      </c>
      <c r="CY2681" s="45">
        <v>2677</v>
      </c>
      <c r="CZ2681" s="18">
        <v>0</v>
      </c>
      <c r="DA2681" s="18" t="str">
        <v>Nothing</v>
      </c>
    </row>
    <row r="2682" spans="95:105" ht="23.5">
      <c r="CQ2682" s="45">
        <v>2678</v>
      </c>
      <c r="CR2682" s="18">
        <v>36.782693200076807</v>
      </c>
      <c r="CS2682" s="18" t="str">
        <v>Invest</v>
      </c>
      <c r="CU2682" s="45">
        <v>2678</v>
      </c>
      <c r="CV2682" s="18">
        <v>26.596925123838464</v>
      </c>
      <c r="CW2682" s="18" t="str">
        <v>Invest</v>
      </c>
      <c r="CY2682" s="45">
        <v>2678</v>
      </c>
      <c r="CZ2682" s="18">
        <v>18.184199385052672</v>
      </c>
      <c r="DA2682" s="18" t="str">
        <v>Invest</v>
      </c>
    </row>
    <row r="2683" spans="95:105" ht="23.5">
      <c r="CQ2683" s="45">
        <v>2679</v>
      </c>
      <c r="CR2683" s="18">
        <v>0</v>
      </c>
      <c r="CS2683" s="18" t="str">
        <v>Nothing</v>
      </c>
      <c r="CU2683" s="45">
        <v>2679</v>
      </c>
      <c r="CV2683" s="18">
        <v>0</v>
      </c>
      <c r="CW2683" s="18" t="str">
        <v>Nothing</v>
      </c>
      <c r="CY2683" s="45">
        <v>2679</v>
      </c>
      <c r="CZ2683" s="18">
        <v>3.84090221319072</v>
      </c>
      <c r="DA2683" s="18" t="str">
        <v>Invest</v>
      </c>
    </row>
    <row r="2684" spans="95:105" ht="23.5">
      <c r="CQ2684" s="45">
        <v>2680</v>
      </c>
      <c r="CR2684" s="18">
        <v>0</v>
      </c>
      <c r="CS2684" s="18" t="str">
        <v>Nothing</v>
      </c>
      <c r="CU2684" s="45">
        <v>2680</v>
      </c>
      <c r="CV2684" s="18">
        <v>35.294625384063124</v>
      </c>
      <c r="CW2684" s="18" t="str">
        <v>Invest</v>
      </c>
      <c r="CY2684" s="45">
        <v>2680</v>
      </c>
      <c r="CZ2684" s="18">
        <v>0</v>
      </c>
      <c r="DA2684" s="18" t="str">
        <v>Nothing</v>
      </c>
    </row>
    <row r="2685" spans="95:105" ht="23.5">
      <c r="CQ2685" s="45">
        <v>2681</v>
      </c>
      <c r="CR2685" s="18">
        <v>0</v>
      </c>
      <c r="CS2685" s="18" t="str">
        <v>Nothing</v>
      </c>
      <c r="CU2685" s="45">
        <v>2681</v>
      </c>
      <c r="CV2685" s="18">
        <v>19.137419114890527</v>
      </c>
      <c r="CW2685" s="18" t="str">
        <v>Invest</v>
      </c>
      <c r="CY2685" s="45">
        <v>2681</v>
      </c>
      <c r="CZ2685" s="18">
        <v>10.874831308598655</v>
      </c>
      <c r="DA2685" s="18" t="str">
        <v>Invest</v>
      </c>
    </row>
    <row r="2686" spans="95:105" ht="23.5">
      <c r="CQ2686" s="45">
        <v>2682</v>
      </c>
      <c r="CR2686" s="18">
        <v>28.530091691798305</v>
      </c>
      <c r="CS2686" s="18" t="str">
        <v>Invest</v>
      </c>
      <c r="CU2686" s="45">
        <v>2682</v>
      </c>
      <c r="CV2686" s="18">
        <v>0</v>
      </c>
      <c r="CW2686" s="18" t="str">
        <v>Nothing</v>
      </c>
      <c r="CY2686" s="45">
        <v>2682</v>
      </c>
      <c r="CZ2686" s="18">
        <v>21.525495593419418</v>
      </c>
      <c r="DA2686" s="18" t="str">
        <v>Invest</v>
      </c>
    </row>
    <row r="2687" spans="95:105" ht="23.5">
      <c r="CQ2687" s="45">
        <v>2683</v>
      </c>
      <c r="CR2687" s="18">
        <v>20.996546681470555</v>
      </c>
      <c r="CS2687" s="18" t="str">
        <v>Invest</v>
      </c>
      <c r="CU2687" s="45">
        <v>2683</v>
      </c>
      <c r="CV2687" s="18">
        <v>28.245854744929566</v>
      </c>
      <c r="CW2687" s="18" t="str">
        <v>Invest</v>
      </c>
      <c r="CY2687" s="45">
        <v>2683</v>
      </c>
      <c r="CZ2687" s="18">
        <v>8.9334707662873356</v>
      </c>
      <c r="DA2687" s="18" t="str">
        <v>Invest</v>
      </c>
    </row>
    <row r="2688" spans="95:105" ht="23.5">
      <c r="CQ2688" s="45">
        <v>2684</v>
      </c>
      <c r="CR2688" s="18">
        <v>34.230609014580047</v>
      </c>
      <c r="CS2688" s="18" t="str">
        <v>Invest</v>
      </c>
      <c r="CU2688" s="45">
        <v>2684</v>
      </c>
      <c r="CV2688" s="18">
        <v>0</v>
      </c>
      <c r="CW2688" s="18" t="str">
        <v>Nothing</v>
      </c>
      <c r="CY2688" s="45">
        <v>2684</v>
      </c>
      <c r="CZ2688" s="18">
        <v>0</v>
      </c>
      <c r="DA2688" s="18" t="str">
        <v>Nothing</v>
      </c>
    </row>
    <row r="2689" spans="95:105" ht="23.5">
      <c r="CQ2689" s="45">
        <v>2685</v>
      </c>
      <c r="CR2689" s="18">
        <v>22.759991419658924</v>
      </c>
      <c r="CS2689" s="18" t="str">
        <v>Invest</v>
      </c>
      <c r="CU2689" s="45">
        <v>2685</v>
      </c>
      <c r="CV2689" s="18">
        <v>0</v>
      </c>
      <c r="CW2689" s="18" t="str">
        <v>Nothing</v>
      </c>
      <c r="CY2689" s="45">
        <v>2685</v>
      </c>
      <c r="CZ2689" s="18">
        <v>54.736798844214356</v>
      </c>
      <c r="DA2689" s="18" t="str">
        <v>Invest</v>
      </c>
    </row>
    <row r="2690" spans="95:105" ht="23.5">
      <c r="CQ2690" s="45">
        <v>2686</v>
      </c>
      <c r="CR2690" s="18">
        <v>0</v>
      </c>
      <c r="CS2690" s="18" t="str">
        <v>Nothing</v>
      </c>
      <c r="CU2690" s="45">
        <v>2686</v>
      </c>
      <c r="CV2690" s="18">
        <v>20.429762472424926</v>
      </c>
      <c r="CW2690" s="18" t="str">
        <v>Invest</v>
      </c>
      <c r="CY2690" s="45">
        <v>2686</v>
      </c>
      <c r="CZ2690" s="18">
        <v>26.458894723540862</v>
      </c>
      <c r="DA2690" s="18" t="str">
        <v>Invest</v>
      </c>
    </row>
    <row r="2691" spans="95:105" ht="23.5">
      <c r="CQ2691" s="45">
        <v>2687</v>
      </c>
      <c r="CR2691" s="18">
        <v>36.650074695437219</v>
      </c>
      <c r="CS2691" s="18" t="str">
        <v>Invest</v>
      </c>
      <c r="CU2691" s="45">
        <v>2687</v>
      </c>
      <c r="CV2691" s="18">
        <v>0</v>
      </c>
      <c r="CW2691" s="18" t="str">
        <v>Nothing</v>
      </c>
      <c r="CY2691" s="45">
        <v>2687</v>
      </c>
      <c r="CZ2691" s="18">
        <v>0</v>
      </c>
      <c r="DA2691" s="18" t="str">
        <v>Nothing</v>
      </c>
    </row>
    <row r="2692" spans="95:105" ht="23.5">
      <c r="CQ2692" s="45">
        <v>2688</v>
      </c>
      <c r="CR2692" s="18">
        <v>0</v>
      </c>
      <c r="CS2692" s="18" t="str">
        <v>Nothing</v>
      </c>
      <c r="CU2692" s="45">
        <v>2688</v>
      </c>
      <c r="CV2692" s="18">
        <v>63.081845123618848</v>
      </c>
      <c r="CW2692" s="18" t="str">
        <v>Invest</v>
      </c>
      <c r="CY2692" s="45">
        <v>2688</v>
      </c>
      <c r="CZ2692" s="18">
        <v>0</v>
      </c>
      <c r="DA2692" s="18" t="str">
        <v>Nothing</v>
      </c>
    </row>
    <row r="2693" spans="95:105" ht="23.5">
      <c r="CQ2693" s="45">
        <v>2689</v>
      </c>
      <c r="CR2693" s="18">
        <v>21.124398879125941</v>
      </c>
      <c r="CS2693" s="18" t="str">
        <v>Invest</v>
      </c>
      <c r="CU2693" s="45">
        <v>2689</v>
      </c>
      <c r="CV2693" s="18">
        <v>0</v>
      </c>
      <c r="CW2693" s="18" t="str">
        <v>Nothing</v>
      </c>
      <c r="CY2693" s="45">
        <v>2689</v>
      </c>
      <c r="CZ2693" s="18">
        <v>22.520149491160801</v>
      </c>
      <c r="DA2693" s="18" t="str">
        <v>Invest</v>
      </c>
    </row>
    <row r="2694" spans="95:105" ht="23.5">
      <c r="CQ2694" s="45">
        <v>2690</v>
      </c>
      <c r="CR2694" s="18">
        <v>1.3648292836447045</v>
      </c>
      <c r="CS2694" s="18" t="str">
        <v>Invest</v>
      </c>
      <c r="CU2694" s="45">
        <v>2690</v>
      </c>
      <c r="CV2694" s="18">
        <v>14.480838822879765</v>
      </c>
      <c r="CW2694" s="18" t="str">
        <v>Invest</v>
      </c>
      <c r="CY2694" s="45">
        <v>2690</v>
      </c>
      <c r="CZ2694" s="18">
        <v>30.904703190238038</v>
      </c>
      <c r="DA2694" s="18" t="str">
        <v>Invest</v>
      </c>
    </row>
    <row r="2695" spans="95:105" ht="23.5">
      <c r="CQ2695" s="45">
        <v>2691</v>
      </c>
      <c r="CR2695" s="18">
        <v>37.0187171659583</v>
      </c>
      <c r="CS2695" s="18" t="str">
        <v>Invest</v>
      </c>
      <c r="CU2695" s="45">
        <v>2691</v>
      </c>
      <c r="CV2695" s="18">
        <v>22.228974259761536</v>
      </c>
      <c r="CW2695" s="18" t="str">
        <v>Invest</v>
      </c>
      <c r="CY2695" s="45">
        <v>2691</v>
      </c>
      <c r="CZ2695" s="18">
        <v>27.971259681196649</v>
      </c>
      <c r="DA2695" s="18" t="str">
        <v>Invest</v>
      </c>
    </row>
    <row r="2696" spans="95:105" ht="23.5">
      <c r="CQ2696" s="45">
        <v>2692</v>
      </c>
      <c r="CR2696" s="18">
        <v>54.763339217768078</v>
      </c>
      <c r="CS2696" s="18" t="str">
        <v>Invest</v>
      </c>
      <c r="CU2696" s="45">
        <v>2692</v>
      </c>
      <c r="CV2696" s="18">
        <v>20.83309226804036</v>
      </c>
      <c r="CW2696" s="18" t="str">
        <v>Invest</v>
      </c>
      <c r="CY2696" s="45">
        <v>2692</v>
      </c>
      <c r="CZ2696" s="18">
        <v>29.286778335314217</v>
      </c>
      <c r="DA2696" s="18" t="str">
        <v>Invest</v>
      </c>
    </row>
    <row r="2697" spans="95:105" ht="23.5">
      <c r="CQ2697" s="45">
        <v>2693</v>
      </c>
      <c r="CR2697" s="18">
        <v>4.3366740401002239</v>
      </c>
      <c r="CS2697" s="18" t="str">
        <v>Invest</v>
      </c>
      <c r="CU2697" s="45">
        <v>2693</v>
      </c>
      <c r="CV2697" s="18">
        <v>48.709779990956861</v>
      </c>
      <c r="CW2697" s="18" t="str">
        <v>Invest</v>
      </c>
      <c r="CY2697" s="45">
        <v>2693</v>
      </c>
      <c r="CZ2697" s="18">
        <v>14.306672492441315</v>
      </c>
      <c r="DA2697" s="18" t="str">
        <v>Invest</v>
      </c>
    </row>
    <row r="2698" spans="95:105" ht="23.5">
      <c r="CQ2698" s="45">
        <v>2694</v>
      </c>
      <c r="CR2698" s="18">
        <v>29.194319655268359</v>
      </c>
      <c r="CS2698" s="18" t="str">
        <v>Invest</v>
      </c>
      <c r="CU2698" s="45">
        <v>2694</v>
      </c>
      <c r="CV2698" s="18">
        <v>47.884071445251529</v>
      </c>
      <c r="CW2698" s="18" t="str">
        <v>Invest</v>
      </c>
      <c r="CY2698" s="45">
        <v>2694</v>
      </c>
      <c r="CZ2698" s="18">
        <v>2.064657329723822</v>
      </c>
      <c r="DA2698" s="18" t="str">
        <v>Invest</v>
      </c>
    </row>
    <row r="2699" spans="95:105" ht="23.5">
      <c r="CQ2699" s="45">
        <v>2695</v>
      </c>
      <c r="CR2699" s="18">
        <v>52.635868262572771</v>
      </c>
      <c r="CS2699" s="18" t="str">
        <v>Invest</v>
      </c>
      <c r="CU2699" s="45">
        <v>2695</v>
      </c>
      <c r="CV2699" s="18">
        <v>21.303637924570992</v>
      </c>
      <c r="CW2699" s="18" t="str">
        <v>Invest</v>
      </c>
      <c r="CY2699" s="45">
        <v>2695</v>
      </c>
      <c r="CZ2699" s="18">
        <v>0.42357929228696367</v>
      </c>
      <c r="DA2699" s="18" t="str">
        <v>Invest</v>
      </c>
    </row>
    <row r="2700" spans="95:105" ht="23.5">
      <c r="CQ2700" s="45">
        <v>2696</v>
      </c>
      <c r="CR2700" s="18">
        <v>8.7441424831611343</v>
      </c>
      <c r="CS2700" s="18" t="str">
        <v>Invest</v>
      </c>
      <c r="CU2700" s="45">
        <v>2696</v>
      </c>
      <c r="CV2700" s="18">
        <v>15.660184452254452</v>
      </c>
      <c r="CW2700" s="18" t="str">
        <v>Invest</v>
      </c>
      <c r="CY2700" s="45">
        <v>2696</v>
      </c>
      <c r="CZ2700" s="18">
        <v>0</v>
      </c>
      <c r="DA2700" s="18" t="str">
        <v>Nothing</v>
      </c>
    </row>
    <row r="2701" spans="95:105" ht="23.5">
      <c r="CQ2701" s="45">
        <v>2697</v>
      </c>
      <c r="CR2701" s="18">
        <v>6.1540590339386441</v>
      </c>
      <c r="CS2701" s="18" t="str">
        <v>Invest</v>
      </c>
      <c r="CU2701" s="45">
        <v>2697</v>
      </c>
      <c r="CV2701" s="18">
        <v>17.342216621507433</v>
      </c>
      <c r="CW2701" s="18" t="str">
        <v>Invest</v>
      </c>
      <c r="CY2701" s="45">
        <v>2697</v>
      </c>
      <c r="CZ2701" s="18">
        <v>25.595149507797736</v>
      </c>
      <c r="DA2701" s="18" t="str">
        <v>Invest</v>
      </c>
    </row>
    <row r="2702" spans="95:105" ht="23.5">
      <c r="CQ2702" s="45">
        <v>2698</v>
      </c>
      <c r="CR2702" s="18">
        <v>29.191148419279152</v>
      </c>
      <c r="CS2702" s="18" t="str">
        <v>Invest</v>
      </c>
      <c r="CU2702" s="45">
        <v>2698</v>
      </c>
      <c r="CV2702" s="18">
        <v>9.2661781943663151</v>
      </c>
      <c r="CW2702" s="18" t="str">
        <v>Invest</v>
      </c>
      <c r="CY2702" s="45">
        <v>2698</v>
      </c>
      <c r="CZ2702" s="18">
        <v>0</v>
      </c>
      <c r="DA2702" s="18" t="str">
        <v>Nothing</v>
      </c>
    </row>
    <row r="2703" spans="95:105" ht="23.5">
      <c r="CQ2703" s="45">
        <v>2699</v>
      </c>
      <c r="CR2703" s="18">
        <v>22.355710271072525</v>
      </c>
      <c r="CS2703" s="18" t="str">
        <v>Invest</v>
      </c>
      <c r="CU2703" s="45">
        <v>2699</v>
      </c>
      <c r="CV2703" s="18">
        <v>8.4172060318301476</v>
      </c>
      <c r="CW2703" s="18" t="str">
        <v>Invest</v>
      </c>
      <c r="CY2703" s="45">
        <v>2699</v>
      </c>
      <c r="CZ2703" s="18">
        <v>45.830031019264219</v>
      </c>
      <c r="DA2703" s="18" t="str">
        <v>Invest</v>
      </c>
    </row>
    <row r="2704" spans="95:105" ht="23.5">
      <c r="CQ2704" s="45">
        <v>2700</v>
      </c>
      <c r="CR2704" s="18">
        <v>33.762002692793153</v>
      </c>
      <c r="CS2704" s="18" t="str">
        <v>Invest</v>
      </c>
      <c r="CU2704" s="45">
        <v>2700</v>
      </c>
      <c r="CV2704" s="18">
        <v>13.157856221266943</v>
      </c>
      <c r="CW2704" s="18" t="str">
        <v>Invest</v>
      </c>
      <c r="CY2704" s="45">
        <v>2700</v>
      </c>
      <c r="CZ2704" s="18">
        <v>38.240878815159014</v>
      </c>
      <c r="DA2704" s="18" t="str">
        <v>Invest</v>
      </c>
    </row>
    <row r="2705" spans="95:105" ht="23.5">
      <c r="CQ2705" s="45">
        <v>2701</v>
      </c>
      <c r="CR2705" s="18">
        <v>19.511035671112495</v>
      </c>
      <c r="CS2705" s="18" t="str">
        <v>Invest</v>
      </c>
      <c r="CU2705" s="45">
        <v>2701</v>
      </c>
      <c r="CV2705" s="18">
        <v>11.840155034453083</v>
      </c>
      <c r="CW2705" s="18" t="str">
        <v>Invest</v>
      </c>
      <c r="CY2705" s="45">
        <v>2701</v>
      </c>
      <c r="CZ2705" s="18">
        <v>2.9022595903415045</v>
      </c>
      <c r="DA2705" s="18" t="str">
        <v>Invest</v>
      </c>
    </row>
    <row r="2706" spans="95:105" ht="23.5">
      <c r="CQ2706" s="45">
        <v>2702</v>
      </c>
      <c r="CR2706" s="18">
        <v>1.9731400189031345</v>
      </c>
      <c r="CS2706" s="18" t="str">
        <v>Invest</v>
      </c>
      <c r="CU2706" s="45">
        <v>2702</v>
      </c>
      <c r="CV2706" s="18">
        <v>10.887778027206522</v>
      </c>
      <c r="CW2706" s="18" t="str">
        <v>Invest</v>
      </c>
      <c r="CY2706" s="45">
        <v>2702</v>
      </c>
      <c r="CZ2706" s="18">
        <v>0</v>
      </c>
      <c r="DA2706" s="18" t="str">
        <v>Nothing</v>
      </c>
    </row>
    <row r="2707" spans="95:105" ht="23.5">
      <c r="CQ2707" s="45">
        <v>2703</v>
      </c>
      <c r="CR2707" s="18">
        <v>0</v>
      </c>
      <c r="CS2707" s="18" t="str">
        <v>Nothing</v>
      </c>
      <c r="CU2707" s="45">
        <v>2703</v>
      </c>
      <c r="CV2707" s="18">
        <v>25.045774127642865</v>
      </c>
      <c r="CW2707" s="18" t="str">
        <v>Invest</v>
      </c>
      <c r="CY2707" s="45">
        <v>2703</v>
      </c>
      <c r="CZ2707" s="18">
        <v>0</v>
      </c>
      <c r="DA2707" s="18" t="str">
        <v>Nothing</v>
      </c>
    </row>
    <row r="2708" spans="95:105" ht="23.5">
      <c r="CQ2708" s="45">
        <v>2704</v>
      </c>
      <c r="CR2708" s="18">
        <v>0</v>
      </c>
      <c r="CS2708" s="18" t="str">
        <v>Nothing</v>
      </c>
      <c r="CU2708" s="45">
        <v>2704</v>
      </c>
      <c r="CV2708" s="18">
        <v>0</v>
      </c>
      <c r="CW2708" s="18" t="str">
        <v>Nothing</v>
      </c>
      <c r="CY2708" s="45">
        <v>2704</v>
      </c>
      <c r="CZ2708" s="18">
        <v>37.11086376552057</v>
      </c>
      <c r="DA2708" s="18" t="str">
        <v>Invest</v>
      </c>
    </row>
    <row r="2709" spans="95:105" ht="23.5">
      <c r="CQ2709" s="45">
        <v>2705</v>
      </c>
      <c r="CR2709" s="18">
        <v>4.8743428545415899</v>
      </c>
      <c r="CS2709" s="18" t="str">
        <v>Invest</v>
      </c>
      <c r="CU2709" s="45">
        <v>2705</v>
      </c>
      <c r="CV2709" s="18">
        <v>0</v>
      </c>
      <c r="CW2709" s="18" t="str">
        <v>Nothing</v>
      </c>
      <c r="CY2709" s="45">
        <v>2705</v>
      </c>
      <c r="CZ2709" s="18">
        <v>0</v>
      </c>
      <c r="DA2709" s="18" t="str">
        <v>Nothing</v>
      </c>
    </row>
    <row r="2710" spans="95:105" ht="23.5">
      <c r="CQ2710" s="45">
        <v>2706</v>
      </c>
      <c r="CR2710" s="18">
        <v>23.682448817128609</v>
      </c>
      <c r="CS2710" s="18" t="str">
        <v>Invest</v>
      </c>
      <c r="CU2710" s="45">
        <v>2706</v>
      </c>
      <c r="CV2710" s="18">
        <v>14.737974296778479</v>
      </c>
      <c r="CW2710" s="18" t="str">
        <v>Invest</v>
      </c>
      <c r="CY2710" s="45">
        <v>2706</v>
      </c>
      <c r="CZ2710" s="18">
        <v>6.4350521839995123</v>
      </c>
      <c r="DA2710" s="18" t="str">
        <v>Invest</v>
      </c>
    </row>
    <row r="2711" spans="95:105" ht="23.5">
      <c r="CQ2711" s="45">
        <v>2707</v>
      </c>
      <c r="CR2711" s="18">
        <v>33.189177075596838</v>
      </c>
      <c r="CS2711" s="18" t="str">
        <v>Invest</v>
      </c>
      <c r="CU2711" s="45">
        <v>2707</v>
      </c>
      <c r="CV2711" s="18">
        <v>9.1951742445656386</v>
      </c>
      <c r="CW2711" s="18" t="str">
        <v>Invest</v>
      </c>
      <c r="CY2711" s="45">
        <v>2707</v>
      </c>
      <c r="CZ2711" s="18">
        <v>6.968080232159112</v>
      </c>
      <c r="DA2711" s="18" t="str">
        <v>Invest</v>
      </c>
    </row>
    <row r="2712" spans="95:105" ht="23.5">
      <c r="CQ2712" s="45">
        <v>2708</v>
      </c>
      <c r="CR2712" s="18">
        <v>55.64728712439873</v>
      </c>
      <c r="CS2712" s="18" t="str">
        <v>Invest</v>
      </c>
      <c r="CU2712" s="45">
        <v>2708</v>
      </c>
      <c r="CV2712" s="18">
        <v>23.977448936424381</v>
      </c>
      <c r="CW2712" s="18" t="str">
        <v>Invest</v>
      </c>
      <c r="CY2712" s="45">
        <v>2708</v>
      </c>
      <c r="CZ2712" s="18">
        <v>8.683371721725722</v>
      </c>
      <c r="DA2712" s="18" t="str">
        <v>Invest</v>
      </c>
    </row>
    <row r="2713" spans="95:105" ht="23.5">
      <c r="CQ2713" s="45">
        <v>2709</v>
      </c>
      <c r="CR2713" s="18">
        <v>42.591215069823413</v>
      </c>
      <c r="CS2713" s="18" t="str">
        <v>Invest</v>
      </c>
      <c r="CU2713" s="45">
        <v>2709</v>
      </c>
      <c r="CV2713" s="18">
        <v>2.7614307067115504</v>
      </c>
      <c r="CW2713" s="18" t="str">
        <v>Invest</v>
      </c>
      <c r="CY2713" s="45">
        <v>2709</v>
      </c>
      <c r="CZ2713" s="18">
        <v>0</v>
      </c>
      <c r="DA2713" s="18" t="str">
        <v>Nothing</v>
      </c>
    </row>
    <row r="2714" spans="95:105" ht="23.5">
      <c r="CQ2714" s="45">
        <v>2710</v>
      </c>
      <c r="CR2714" s="18">
        <v>0</v>
      </c>
      <c r="CS2714" s="18" t="str">
        <v>Nothing</v>
      </c>
      <c r="CU2714" s="45">
        <v>2710</v>
      </c>
      <c r="CV2714" s="18">
        <v>50.466698474340973</v>
      </c>
      <c r="CW2714" s="18" t="str">
        <v>Invest</v>
      </c>
      <c r="CY2714" s="45">
        <v>2710</v>
      </c>
      <c r="CZ2714" s="18">
        <v>29.004553741231717</v>
      </c>
      <c r="DA2714" s="18" t="str">
        <v>Invest</v>
      </c>
    </row>
    <row r="2715" spans="95:105" ht="23.5">
      <c r="CQ2715" s="45">
        <v>2711</v>
      </c>
      <c r="CR2715" s="18">
        <v>2.486060906805843</v>
      </c>
      <c r="CS2715" s="18" t="str">
        <v>Invest</v>
      </c>
      <c r="CU2715" s="45">
        <v>2711</v>
      </c>
      <c r="CV2715" s="18">
        <v>39.534735925776715</v>
      </c>
      <c r="CW2715" s="18" t="str">
        <v>Invest</v>
      </c>
      <c r="CY2715" s="45">
        <v>2711</v>
      </c>
      <c r="CZ2715" s="18">
        <v>0</v>
      </c>
      <c r="DA2715" s="18" t="str">
        <v>Nothing</v>
      </c>
    </row>
    <row r="2716" spans="95:105" ht="23.5">
      <c r="CQ2716" s="45">
        <v>2712</v>
      </c>
      <c r="CR2716" s="18">
        <v>14.092969617634028</v>
      </c>
      <c r="CS2716" s="18" t="str">
        <v>Invest</v>
      </c>
      <c r="CU2716" s="45">
        <v>2712</v>
      </c>
      <c r="CV2716" s="18">
        <v>0</v>
      </c>
      <c r="CW2716" s="18" t="str">
        <v>Nothing</v>
      </c>
      <c r="CY2716" s="45">
        <v>2712</v>
      </c>
      <c r="CZ2716" s="18">
        <v>0</v>
      </c>
      <c r="DA2716" s="18" t="str">
        <v>Nothing</v>
      </c>
    </row>
    <row r="2717" spans="95:105" ht="23.5">
      <c r="CQ2717" s="45">
        <v>2713</v>
      </c>
      <c r="CR2717" s="18">
        <v>56.049264995400215</v>
      </c>
      <c r="CS2717" s="18" t="str">
        <v>Invest</v>
      </c>
      <c r="CU2717" s="45">
        <v>2713</v>
      </c>
      <c r="CV2717" s="18">
        <v>0</v>
      </c>
      <c r="CW2717" s="18" t="str">
        <v>Nothing</v>
      </c>
      <c r="CY2717" s="45">
        <v>2713</v>
      </c>
      <c r="CZ2717" s="18">
        <v>26.491497640506847</v>
      </c>
      <c r="DA2717" s="18" t="str">
        <v>Invest</v>
      </c>
    </row>
    <row r="2718" spans="95:105" ht="23.5">
      <c r="CQ2718" s="45">
        <v>2714</v>
      </c>
      <c r="CR2718" s="18">
        <v>36.209971767418864</v>
      </c>
      <c r="CS2718" s="18" t="str">
        <v>Invest</v>
      </c>
      <c r="CU2718" s="45">
        <v>2714</v>
      </c>
      <c r="CV2718" s="18">
        <v>0</v>
      </c>
      <c r="CW2718" s="18" t="str">
        <v>Nothing</v>
      </c>
      <c r="CY2718" s="45">
        <v>2714</v>
      </c>
      <c r="CZ2718" s="18">
        <v>1.7789249340627151</v>
      </c>
      <c r="DA2718" s="18" t="str">
        <v>Invest</v>
      </c>
    </row>
    <row r="2719" spans="95:105" ht="23.5">
      <c r="CQ2719" s="45">
        <v>2715</v>
      </c>
      <c r="CR2719" s="18">
        <v>22.298360552500895</v>
      </c>
      <c r="CS2719" s="18" t="str">
        <v>Invest</v>
      </c>
      <c r="CU2719" s="45">
        <v>2715</v>
      </c>
      <c r="CV2719" s="18">
        <v>65.524745007119989</v>
      </c>
      <c r="CW2719" s="18" t="str">
        <v>Invest</v>
      </c>
      <c r="CY2719" s="45">
        <v>2715</v>
      </c>
      <c r="CZ2719" s="18">
        <v>11.449346181863511</v>
      </c>
      <c r="DA2719" s="18" t="str">
        <v>Invest</v>
      </c>
    </row>
    <row r="2720" spans="95:105" ht="23.5">
      <c r="CQ2720" s="45">
        <v>2716</v>
      </c>
      <c r="CR2720" s="18">
        <v>14.445508915811871</v>
      </c>
      <c r="CS2720" s="18" t="str">
        <v>Invest</v>
      </c>
      <c r="CU2720" s="45">
        <v>2716</v>
      </c>
      <c r="CV2720" s="18">
        <v>0</v>
      </c>
      <c r="CW2720" s="18" t="str">
        <v>Nothing</v>
      </c>
      <c r="CY2720" s="45">
        <v>2716</v>
      </c>
      <c r="CZ2720" s="18">
        <v>15.476641243784179</v>
      </c>
      <c r="DA2720" s="18" t="str">
        <v>Invest</v>
      </c>
    </row>
    <row r="2721" spans="95:105" ht="23.5">
      <c r="CQ2721" s="45">
        <v>2717</v>
      </c>
      <c r="CR2721" s="18">
        <v>0</v>
      </c>
      <c r="CS2721" s="18" t="str">
        <v>Nothing</v>
      </c>
      <c r="CU2721" s="45">
        <v>2717</v>
      </c>
      <c r="CV2721" s="18">
        <v>8.0035099043353597</v>
      </c>
      <c r="CW2721" s="18" t="str">
        <v>Invest</v>
      </c>
      <c r="CY2721" s="45">
        <v>2717</v>
      </c>
      <c r="CZ2721" s="18">
        <v>35.568152246737299</v>
      </c>
      <c r="DA2721" s="18" t="str">
        <v>Invest</v>
      </c>
    </row>
    <row r="2722" spans="95:105" ht="23.5">
      <c r="CQ2722" s="45">
        <v>2718</v>
      </c>
      <c r="CR2722" s="18">
        <v>16.859954452608012</v>
      </c>
      <c r="CS2722" s="18" t="str">
        <v>Invest</v>
      </c>
      <c r="CU2722" s="45">
        <v>2718</v>
      </c>
      <c r="CV2722" s="18">
        <v>33.691890424274575</v>
      </c>
      <c r="CW2722" s="18" t="str">
        <v>Invest</v>
      </c>
      <c r="CY2722" s="45">
        <v>2718</v>
      </c>
      <c r="CZ2722" s="18">
        <v>30.766261594705036</v>
      </c>
      <c r="DA2722" s="18" t="str">
        <v>Invest</v>
      </c>
    </row>
    <row r="2723" spans="95:105" ht="23.5">
      <c r="CQ2723" s="45">
        <v>2719</v>
      </c>
      <c r="CR2723" s="18">
        <v>2.9403403509802253</v>
      </c>
      <c r="CS2723" s="18" t="str">
        <v>Invest</v>
      </c>
      <c r="CU2723" s="45">
        <v>2719</v>
      </c>
      <c r="CV2723" s="18">
        <v>0</v>
      </c>
      <c r="CW2723" s="18" t="str">
        <v>Nothing</v>
      </c>
      <c r="CY2723" s="45">
        <v>2719</v>
      </c>
      <c r="CZ2723" s="18">
        <v>0</v>
      </c>
      <c r="DA2723" s="18" t="str">
        <v>Nothing</v>
      </c>
    </row>
    <row r="2724" spans="95:105" ht="23.5">
      <c r="CQ2724" s="45">
        <v>2720</v>
      </c>
      <c r="CR2724" s="18">
        <v>20.375612129505125</v>
      </c>
      <c r="CS2724" s="18" t="str">
        <v>Invest</v>
      </c>
      <c r="CU2724" s="45">
        <v>2720</v>
      </c>
      <c r="CV2724" s="18">
        <v>41.756908617933178</v>
      </c>
      <c r="CW2724" s="18" t="str">
        <v>Invest</v>
      </c>
      <c r="CY2724" s="45">
        <v>2720</v>
      </c>
      <c r="CZ2724" s="18">
        <v>1.2343270148790602</v>
      </c>
      <c r="DA2724" s="18" t="str">
        <v>Invest</v>
      </c>
    </row>
    <row r="2725" spans="95:105" ht="23.5">
      <c r="CQ2725" s="45">
        <v>2721</v>
      </c>
      <c r="CR2725" s="18">
        <v>0</v>
      </c>
      <c r="CS2725" s="18" t="str">
        <v>Nothing</v>
      </c>
      <c r="CU2725" s="45">
        <v>2721</v>
      </c>
      <c r="CV2725" s="18">
        <v>44.930162163300082</v>
      </c>
      <c r="CW2725" s="18" t="str">
        <v>Invest</v>
      </c>
      <c r="CY2725" s="45">
        <v>2721</v>
      </c>
      <c r="CZ2725" s="18">
        <v>29.901171428269048</v>
      </c>
      <c r="DA2725" s="18" t="str">
        <v>Invest</v>
      </c>
    </row>
    <row r="2726" spans="95:105" ht="23.5">
      <c r="CQ2726" s="45">
        <v>2722</v>
      </c>
      <c r="CR2726" s="18">
        <v>34.091320807168138</v>
      </c>
      <c r="CS2726" s="18" t="str">
        <v>Invest</v>
      </c>
      <c r="CU2726" s="45">
        <v>2722</v>
      </c>
      <c r="CV2726" s="18">
        <v>1.173138890819164</v>
      </c>
      <c r="CW2726" s="18" t="str">
        <v>Invest</v>
      </c>
      <c r="CY2726" s="45">
        <v>2722</v>
      </c>
      <c r="CZ2726" s="18">
        <v>0</v>
      </c>
      <c r="DA2726" s="18" t="str">
        <v>Nothing</v>
      </c>
    </row>
    <row r="2727" spans="95:105" ht="23.5">
      <c r="CQ2727" s="45">
        <v>2723</v>
      </c>
      <c r="CR2727" s="18">
        <v>14.503836197440771</v>
      </c>
      <c r="CS2727" s="18" t="str">
        <v>Invest</v>
      </c>
      <c r="CU2727" s="45">
        <v>2723</v>
      </c>
      <c r="CV2727" s="18">
        <v>2.8456276934006368</v>
      </c>
      <c r="CW2727" s="18" t="str">
        <v>Invest</v>
      </c>
      <c r="CY2727" s="45">
        <v>2723</v>
      </c>
      <c r="CZ2727" s="18">
        <v>12.532227127853311</v>
      </c>
      <c r="DA2727" s="18" t="str">
        <v>Invest</v>
      </c>
    </row>
    <row r="2728" spans="95:105" ht="23.5">
      <c r="CQ2728" s="45">
        <v>2724</v>
      </c>
      <c r="CR2728" s="18">
        <v>0</v>
      </c>
      <c r="CS2728" s="18" t="str">
        <v>Nothing</v>
      </c>
      <c r="CU2728" s="45">
        <v>2724</v>
      </c>
      <c r="CV2728" s="18">
        <v>0</v>
      </c>
      <c r="CW2728" s="18" t="str">
        <v>Nothing</v>
      </c>
      <c r="CY2728" s="45">
        <v>2724</v>
      </c>
      <c r="CZ2728" s="18">
        <v>5.3387459960271109</v>
      </c>
      <c r="DA2728" s="18" t="str">
        <v>Invest</v>
      </c>
    </row>
    <row r="2729" spans="95:105" ht="23.5">
      <c r="CQ2729" s="45">
        <v>2725</v>
      </c>
      <c r="CR2729" s="18">
        <v>40.60024795255493</v>
      </c>
      <c r="CS2729" s="18" t="str">
        <v>Invest</v>
      </c>
      <c r="CU2729" s="45">
        <v>2725</v>
      </c>
      <c r="CV2729" s="18">
        <v>2.9698604739352863</v>
      </c>
      <c r="CW2729" s="18" t="str">
        <v>Invest</v>
      </c>
      <c r="CY2729" s="45">
        <v>2725</v>
      </c>
      <c r="CZ2729" s="18">
        <v>0</v>
      </c>
      <c r="DA2729" s="18" t="str">
        <v>Nothing</v>
      </c>
    </row>
    <row r="2730" spans="95:105" ht="23.5">
      <c r="CQ2730" s="45">
        <v>2726</v>
      </c>
      <c r="CR2730" s="18">
        <v>16.999263729744531</v>
      </c>
      <c r="CS2730" s="18" t="str">
        <v>Invest</v>
      </c>
      <c r="CU2730" s="45">
        <v>2726</v>
      </c>
      <c r="CV2730" s="18">
        <v>9.4698306272466013</v>
      </c>
      <c r="CW2730" s="18" t="str">
        <v>Invest</v>
      </c>
      <c r="CY2730" s="45">
        <v>2726</v>
      </c>
      <c r="CZ2730" s="18">
        <v>8.6553239027875826</v>
      </c>
      <c r="DA2730" s="18" t="str">
        <v>Invest</v>
      </c>
    </row>
    <row r="2731" spans="95:105" ht="23.5">
      <c r="CQ2731" s="45">
        <v>2727</v>
      </c>
      <c r="CR2731" s="18">
        <v>13.080801875911929</v>
      </c>
      <c r="CS2731" s="18" t="str">
        <v>Invest</v>
      </c>
      <c r="CU2731" s="45">
        <v>2727</v>
      </c>
      <c r="CV2731" s="18">
        <v>40.413346236753661</v>
      </c>
      <c r="CW2731" s="18" t="str">
        <v>Invest</v>
      </c>
      <c r="CY2731" s="45">
        <v>2727</v>
      </c>
      <c r="CZ2731" s="18">
        <v>33.685708850005774</v>
      </c>
      <c r="DA2731" s="18" t="str">
        <v>Invest</v>
      </c>
    </row>
    <row r="2732" spans="95:105" ht="23.5">
      <c r="CQ2732" s="45">
        <v>2728</v>
      </c>
      <c r="CR2732" s="18">
        <v>0</v>
      </c>
      <c r="CS2732" s="18" t="str">
        <v>Nothing</v>
      </c>
      <c r="CU2732" s="45">
        <v>2728</v>
      </c>
      <c r="CV2732" s="18">
        <v>0</v>
      </c>
      <c r="CW2732" s="18" t="str">
        <v>Nothing</v>
      </c>
      <c r="CY2732" s="45">
        <v>2728</v>
      </c>
      <c r="CZ2732" s="18">
        <v>3.5012606260132806</v>
      </c>
      <c r="DA2732" s="18" t="str">
        <v>Invest</v>
      </c>
    </row>
    <row r="2733" spans="95:105" ht="23.5">
      <c r="CQ2733" s="45">
        <v>2729</v>
      </c>
      <c r="CR2733" s="18">
        <v>0.26484225369929604</v>
      </c>
      <c r="CS2733" s="18" t="str">
        <v>Invest</v>
      </c>
      <c r="CU2733" s="45">
        <v>2729</v>
      </c>
      <c r="CV2733" s="18">
        <v>21.617604656708313</v>
      </c>
      <c r="CW2733" s="18" t="str">
        <v>Invest</v>
      </c>
      <c r="CY2733" s="45">
        <v>2729</v>
      </c>
      <c r="CZ2733" s="18">
        <v>4.3556918496967327</v>
      </c>
      <c r="DA2733" s="18" t="str">
        <v>Invest</v>
      </c>
    </row>
    <row r="2734" spans="95:105" ht="23.5">
      <c r="CQ2734" s="45">
        <v>2730</v>
      </c>
      <c r="CR2734" s="18">
        <v>1.7014786004421527</v>
      </c>
      <c r="CS2734" s="18" t="str">
        <v>Invest</v>
      </c>
      <c r="CU2734" s="45">
        <v>2730</v>
      </c>
      <c r="CV2734" s="18">
        <v>18.88963001577504</v>
      </c>
      <c r="CW2734" s="18" t="str">
        <v>Invest</v>
      </c>
      <c r="CY2734" s="45">
        <v>2730</v>
      </c>
      <c r="CZ2734" s="18">
        <v>57.274900119727228</v>
      </c>
      <c r="DA2734" s="18" t="str">
        <v>Invest</v>
      </c>
    </row>
    <row r="2735" spans="95:105" ht="23.5">
      <c r="CQ2735" s="45">
        <v>2731</v>
      </c>
      <c r="CR2735" s="18">
        <v>0.25899491273512432</v>
      </c>
      <c r="CS2735" s="18" t="str">
        <v>Invest</v>
      </c>
      <c r="CU2735" s="45">
        <v>2731</v>
      </c>
      <c r="CV2735" s="18">
        <v>0</v>
      </c>
      <c r="CW2735" s="18" t="str">
        <v>Nothing</v>
      </c>
      <c r="CY2735" s="45">
        <v>2731</v>
      </c>
      <c r="CZ2735" s="18">
        <v>0</v>
      </c>
      <c r="DA2735" s="18" t="str">
        <v>Nothing</v>
      </c>
    </row>
    <row r="2736" spans="95:105" ht="23.5">
      <c r="CQ2736" s="45">
        <v>2732</v>
      </c>
      <c r="CR2736" s="18">
        <v>12.637401032237511</v>
      </c>
      <c r="CS2736" s="18" t="str">
        <v>Invest</v>
      </c>
      <c r="CU2736" s="45">
        <v>2732</v>
      </c>
      <c r="CV2736" s="18">
        <v>47.546194921592544</v>
      </c>
      <c r="CW2736" s="18" t="str">
        <v>Invest</v>
      </c>
      <c r="CY2736" s="45">
        <v>2732</v>
      </c>
      <c r="CZ2736" s="18">
        <v>53.359466955013559</v>
      </c>
      <c r="DA2736" s="18" t="str">
        <v>Invest</v>
      </c>
    </row>
    <row r="2737" spans="95:105" ht="23.5">
      <c r="CQ2737" s="45">
        <v>2733</v>
      </c>
      <c r="CR2737" s="18">
        <v>20.508757440791669</v>
      </c>
      <c r="CS2737" s="18" t="str">
        <v>Invest</v>
      </c>
      <c r="CU2737" s="45">
        <v>2733</v>
      </c>
      <c r="CV2737" s="18">
        <v>11.918400432891783</v>
      </c>
      <c r="CW2737" s="18" t="str">
        <v>Invest</v>
      </c>
      <c r="CY2737" s="45">
        <v>2733</v>
      </c>
      <c r="CZ2737" s="18">
        <v>0</v>
      </c>
      <c r="DA2737" s="18" t="str">
        <v>Nothing</v>
      </c>
    </row>
    <row r="2738" spans="95:105" ht="23.5">
      <c r="CQ2738" s="45">
        <v>2734</v>
      </c>
      <c r="CR2738" s="18">
        <v>3.9176550421512673</v>
      </c>
      <c r="CS2738" s="18" t="str">
        <v>Invest</v>
      </c>
      <c r="CU2738" s="45">
        <v>2734</v>
      </c>
      <c r="CV2738" s="18">
        <v>12.647211280998977</v>
      </c>
      <c r="CW2738" s="18" t="str">
        <v>Invest</v>
      </c>
      <c r="CY2738" s="45">
        <v>2734</v>
      </c>
      <c r="CZ2738" s="18">
        <v>13.543426744276395</v>
      </c>
      <c r="DA2738" s="18" t="str">
        <v>Invest</v>
      </c>
    </row>
    <row r="2739" spans="95:105" ht="23.5">
      <c r="CQ2739" s="45">
        <v>2735</v>
      </c>
      <c r="CR2739" s="18">
        <v>12.679700342883024</v>
      </c>
      <c r="CS2739" s="18" t="str">
        <v>Invest</v>
      </c>
      <c r="CU2739" s="45">
        <v>2735</v>
      </c>
      <c r="CV2739" s="18">
        <v>9.4907971529691491</v>
      </c>
      <c r="CW2739" s="18" t="str">
        <v>Invest</v>
      </c>
      <c r="CY2739" s="45">
        <v>2735</v>
      </c>
      <c r="CZ2739" s="18">
        <v>16.089530440466621</v>
      </c>
      <c r="DA2739" s="18" t="str">
        <v>Invest</v>
      </c>
    </row>
    <row r="2740" spans="95:105" ht="23.5">
      <c r="CQ2740" s="45">
        <v>2736</v>
      </c>
      <c r="CR2740" s="18">
        <v>10.424109065963911</v>
      </c>
      <c r="CS2740" s="18" t="str">
        <v>Invest</v>
      </c>
      <c r="CU2740" s="45">
        <v>2736</v>
      </c>
      <c r="CV2740" s="18">
        <v>3.7021191058888032</v>
      </c>
      <c r="CW2740" s="18" t="str">
        <v>Invest</v>
      </c>
      <c r="CY2740" s="45">
        <v>2736</v>
      </c>
      <c r="CZ2740" s="18">
        <v>16.88220943785678</v>
      </c>
      <c r="DA2740" s="18" t="str">
        <v>Invest</v>
      </c>
    </row>
    <row r="2741" spans="95:105" ht="23.5">
      <c r="CQ2741" s="45">
        <v>2737</v>
      </c>
      <c r="CR2741" s="18">
        <v>0</v>
      </c>
      <c r="CS2741" s="18" t="str">
        <v>Nothing</v>
      </c>
      <c r="CU2741" s="45">
        <v>2737</v>
      </c>
      <c r="CV2741" s="18">
        <v>22.50944189084025</v>
      </c>
      <c r="CW2741" s="18" t="str">
        <v>Invest</v>
      </c>
      <c r="CY2741" s="45">
        <v>2737</v>
      </c>
      <c r="CZ2741" s="18">
        <v>17.432730887215165</v>
      </c>
      <c r="DA2741" s="18" t="str">
        <v>Invest</v>
      </c>
    </row>
    <row r="2742" spans="95:105" ht="23.5">
      <c r="CQ2742" s="45">
        <v>2738</v>
      </c>
      <c r="CR2742" s="18">
        <v>0</v>
      </c>
      <c r="CS2742" s="18" t="str">
        <v>Nothing</v>
      </c>
      <c r="CU2742" s="45">
        <v>2738</v>
      </c>
      <c r="CV2742" s="18">
        <v>59.220065062847013</v>
      </c>
      <c r="CW2742" s="18" t="str">
        <v>Invest</v>
      </c>
      <c r="CY2742" s="45">
        <v>2738</v>
      </c>
      <c r="CZ2742" s="18">
        <v>36.352375804791208</v>
      </c>
      <c r="DA2742" s="18" t="str">
        <v>Invest</v>
      </c>
    </row>
    <row r="2743" spans="95:105" ht="23.5">
      <c r="CQ2743" s="45">
        <v>2739</v>
      </c>
      <c r="CR2743" s="18">
        <v>0</v>
      </c>
      <c r="CS2743" s="18" t="str">
        <v>Nothing</v>
      </c>
      <c r="CU2743" s="45">
        <v>2739</v>
      </c>
      <c r="CV2743" s="18">
        <v>16.315122660241208</v>
      </c>
      <c r="CW2743" s="18" t="str">
        <v>Invest</v>
      </c>
      <c r="CY2743" s="45">
        <v>2739</v>
      </c>
      <c r="CZ2743" s="18">
        <v>0</v>
      </c>
      <c r="DA2743" s="18" t="str">
        <v>Nothing</v>
      </c>
    </row>
    <row r="2744" spans="95:105" ht="23.5">
      <c r="CQ2744" s="45">
        <v>2740</v>
      </c>
      <c r="CR2744" s="18">
        <v>18.004891142116918</v>
      </c>
      <c r="CS2744" s="18" t="str">
        <v>Invest</v>
      </c>
      <c r="CU2744" s="45">
        <v>2740</v>
      </c>
      <c r="CV2744" s="18">
        <v>25.152153409574172</v>
      </c>
      <c r="CW2744" s="18" t="str">
        <v>Invest</v>
      </c>
      <c r="CY2744" s="45">
        <v>2740</v>
      </c>
      <c r="CZ2744" s="18">
        <v>42.90695512325459</v>
      </c>
      <c r="DA2744" s="18" t="str">
        <v>Invest</v>
      </c>
    </row>
    <row r="2745" spans="95:105" ht="23.5">
      <c r="CQ2745" s="45">
        <v>2741</v>
      </c>
      <c r="CR2745" s="18">
        <v>36.932640275659267</v>
      </c>
      <c r="CS2745" s="18" t="str">
        <v>Invest</v>
      </c>
      <c r="CU2745" s="45">
        <v>2741</v>
      </c>
      <c r="CV2745" s="18">
        <v>4.8676352851541846</v>
      </c>
      <c r="CW2745" s="18" t="str">
        <v>Invest</v>
      </c>
      <c r="CY2745" s="45">
        <v>2741</v>
      </c>
      <c r="CZ2745" s="18">
        <v>0</v>
      </c>
      <c r="DA2745" s="18" t="str">
        <v>Nothing</v>
      </c>
    </row>
    <row r="2746" spans="95:105" ht="23.5">
      <c r="CQ2746" s="45">
        <v>2742</v>
      </c>
      <c r="CR2746" s="18">
        <v>29.52990454078197</v>
      </c>
      <c r="CS2746" s="18" t="str">
        <v>Invest</v>
      </c>
      <c r="CU2746" s="45">
        <v>2742</v>
      </c>
      <c r="CV2746" s="18">
        <v>0</v>
      </c>
      <c r="CW2746" s="18" t="str">
        <v>Nothing</v>
      </c>
      <c r="CY2746" s="45">
        <v>2742</v>
      </c>
      <c r="CZ2746" s="18">
        <v>23.31315439908656</v>
      </c>
      <c r="DA2746" s="18" t="str">
        <v>Invest</v>
      </c>
    </row>
    <row r="2747" spans="95:105" ht="23.5">
      <c r="CQ2747" s="45">
        <v>2743</v>
      </c>
      <c r="CR2747" s="18">
        <v>0.7868021274065633</v>
      </c>
      <c r="CS2747" s="18" t="str">
        <v>Invest</v>
      </c>
      <c r="CU2747" s="45">
        <v>2743</v>
      </c>
      <c r="CV2747" s="18">
        <v>10.794853724808608</v>
      </c>
      <c r="CW2747" s="18" t="str">
        <v>Invest</v>
      </c>
      <c r="CY2747" s="45">
        <v>2743</v>
      </c>
      <c r="CZ2747" s="18">
        <v>0</v>
      </c>
      <c r="DA2747" s="18" t="str">
        <v>Nothing</v>
      </c>
    </row>
    <row r="2748" spans="95:105" ht="23.5">
      <c r="CQ2748" s="45">
        <v>2744</v>
      </c>
      <c r="CR2748" s="18">
        <v>10.682592223313844</v>
      </c>
      <c r="CS2748" s="18" t="str">
        <v>Invest</v>
      </c>
      <c r="CU2748" s="45">
        <v>2744</v>
      </c>
      <c r="CV2748" s="18">
        <v>21.038403563669732</v>
      </c>
      <c r="CW2748" s="18" t="str">
        <v>Invest</v>
      </c>
      <c r="CY2748" s="45">
        <v>2744</v>
      </c>
      <c r="CZ2748" s="18">
        <v>0</v>
      </c>
      <c r="DA2748" s="18" t="str">
        <v>Nothing</v>
      </c>
    </row>
    <row r="2749" spans="95:105" ht="23.5">
      <c r="CQ2749" s="45">
        <v>2745</v>
      </c>
      <c r="CR2749" s="18">
        <v>40.962390243164585</v>
      </c>
      <c r="CS2749" s="18" t="str">
        <v>Invest</v>
      </c>
      <c r="CU2749" s="45">
        <v>2745</v>
      </c>
      <c r="CV2749" s="18">
        <v>0</v>
      </c>
      <c r="CW2749" s="18" t="str">
        <v>Nothing</v>
      </c>
      <c r="CY2749" s="45">
        <v>2745</v>
      </c>
      <c r="CZ2749" s="18">
        <v>0</v>
      </c>
      <c r="DA2749" s="18" t="str">
        <v>Nothing</v>
      </c>
    </row>
    <row r="2750" spans="95:105" ht="23.5">
      <c r="CQ2750" s="45">
        <v>2746</v>
      </c>
      <c r="CR2750" s="18">
        <v>0</v>
      </c>
      <c r="CS2750" s="18" t="str">
        <v>Nothing</v>
      </c>
      <c r="CU2750" s="45">
        <v>2746</v>
      </c>
      <c r="CV2750" s="18">
        <v>20.673376730680587</v>
      </c>
      <c r="CW2750" s="18" t="str">
        <v>Invest</v>
      </c>
      <c r="CY2750" s="45">
        <v>2746</v>
      </c>
      <c r="CZ2750" s="18">
        <v>17.456685161153853</v>
      </c>
      <c r="DA2750" s="18" t="str">
        <v>Invest</v>
      </c>
    </row>
    <row r="2751" spans="95:105" ht="23.5">
      <c r="CQ2751" s="45">
        <v>2747</v>
      </c>
      <c r="CR2751" s="18">
        <v>0.19812007106189</v>
      </c>
      <c r="CS2751" s="18" t="str">
        <v>Invest</v>
      </c>
      <c r="CU2751" s="45">
        <v>2747</v>
      </c>
      <c r="CV2751" s="18">
        <v>1.7867245470209667</v>
      </c>
      <c r="CW2751" s="18" t="str">
        <v>Invest</v>
      </c>
      <c r="CY2751" s="45">
        <v>2747</v>
      </c>
      <c r="CZ2751" s="18">
        <v>0</v>
      </c>
      <c r="DA2751" s="18" t="str">
        <v>Nothing</v>
      </c>
    </row>
    <row r="2752" spans="95:105" ht="23.5">
      <c r="CQ2752" s="45">
        <v>2748</v>
      </c>
      <c r="CR2752" s="18">
        <v>12.641400561291409</v>
      </c>
      <c r="CS2752" s="18" t="str">
        <v>Invest</v>
      </c>
      <c r="CU2752" s="45">
        <v>2748</v>
      </c>
      <c r="CV2752" s="18">
        <v>11.394208402313598</v>
      </c>
      <c r="CW2752" s="18" t="str">
        <v>Invest</v>
      </c>
      <c r="CY2752" s="45">
        <v>2748</v>
      </c>
      <c r="CZ2752" s="18">
        <v>18.547692309086734</v>
      </c>
      <c r="DA2752" s="18" t="str">
        <v>Invest</v>
      </c>
    </row>
    <row r="2753" spans="95:105" ht="23.5">
      <c r="CQ2753" s="45">
        <v>2749</v>
      </c>
      <c r="CR2753" s="18">
        <v>32.364177871315569</v>
      </c>
      <c r="CS2753" s="18" t="str">
        <v>Invest</v>
      </c>
      <c r="CU2753" s="45">
        <v>2749</v>
      </c>
      <c r="CV2753" s="18">
        <v>0</v>
      </c>
      <c r="CW2753" s="18" t="str">
        <v>Nothing</v>
      </c>
      <c r="CY2753" s="45">
        <v>2749</v>
      </c>
      <c r="CZ2753" s="18">
        <v>51.603091829108905</v>
      </c>
      <c r="DA2753" s="18" t="str">
        <v>Invest</v>
      </c>
    </row>
    <row r="2754" spans="95:105" ht="23.5">
      <c r="CQ2754" s="45">
        <v>2750</v>
      </c>
      <c r="CR2754" s="18">
        <v>37.707693573813124</v>
      </c>
      <c r="CS2754" s="18" t="str">
        <v>Invest</v>
      </c>
      <c r="CU2754" s="45">
        <v>2750</v>
      </c>
      <c r="CV2754" s="18">
        <v>38.673807616917735</v>
      </c>
      <c r="CW2754" s="18" t="str">
        <v>Invest</v>
      </c>
      <c r="CY2754" s="45">
        <v>2750</v>
      </c>
      <c r="CZ2754" s="18">
        <v>40.514928751190922</v>
      </c>
      <c r="DA2754" s="18" t="str">
        <v>Invest</v>
      </c>
    </row>
    <row r="2755" spans="95:105" ht="23.5">
      <c r="CQ2755" s="45">
        <v>2751</v>
      </c>
      <c r="CR2755" s="18">
        <v>19.934514746655545</v>
      </c>
      <c r="CS2755" s="18" t="str">
        <v>Invest</v>
      </c>
      <c r="CU2755" s="45">
        <v>2751</v>
      </c>
      <c r="CV2755" s="18">
        <v>0</v>
      </c>
      <c r="CW2755" s="18" t="str">
        <v>Nothing</v>
      </c>
      <c r="CY2755" s="45">
        <v>2751</v>
      </c>
      <c r="CZ2755" s="18">
        <v>9.4295630014621299</v>
      </c>
      <c r="DA2755" s="18" t="str">
        <v>Invest</v>
      </c>
    </row>
    <row r="2756" spans="95:105" ht="23.5">
      <c r="CQ2756" s="45">
        <v>2752</v>
      </c>
      <c r="CR2756" s="18">
        <v>26.554864576013543</v>
      </c>
      <c r="CS2756" s="18" t="str">
        <v>Invest</v>
      </c>
      <c r="CU2756" s="45">
        <v>2752</v>
      </c>
      <c r="CV2756" s="18">
        <v>0</v>
      </c>
      <c r="CW2756" s="18" t="str">
        <v>Nothing</v>
      </c>
      <c r="CY2756" s="45">
        <v>2752</v>
      </c>
      <c r="CZ2756" s="18">
        <v>40.585007541646689</v>
      </c>
      <c r="DA2756" s="18" t="str">
        <v>Invest</v>
      </c>
    </row>
    <row r="2757" spans="95:105" ht="23.5">
      <c r="CQ2757" s="45">
        <v>2753</v>
      </c>
      <c r="CR2757" s="18">
        <v>20.769326801420192</v>
      </c>
      <c r="CS2757" s="18" t="str">
        <v>Invest</v>
      </c>
      <c r="CU2757" s="45">
        <v>2753</v>
      </c>
      <c r="CV2757" s="18">
        <v>25.747912748298845</v>
      </c>
      <c r="CW2757" s="18" t="str">
        <v>Invest</v>
      </c>
      <c r="CY2757" s="45">
        <v>2753</v>
      </c>
      <c r="CZ2757" s="18">
        <v>45.369735094813585</v>
      </c>
      <c r="DA2757" s="18" t="str">
        <v>Invest</v>
      </c>
    </row>
    <row r="2758" spans="95:105" ht="23.5">
      <c r="CQ2758" s="45">
        <v>2754</v>
      </c>
      <c r="CR2758" s="18">
        <v>0</v>
      </c>
      <c r="CS2758" s="18" t="str">
        <v>Nothing</v>
      </c>
      <c r="CU2758" s="45">
        <v>2754</v>
      </c>
      <c r="CV2758" s="18">
        <v>19.608461897191354</v>
      </c>
      <c r="CW2758" s="18" t="str">
        <v>Invest</v>
      </c>
      <c r="CY2758" s="45">
        <v>2754</v>
      </c>
      <c r="CZ2758" s="18">
        <v>20.908556155125019</v>
      </c>
      <c r="DA2758" s="18" t="str">
        <v>Invest</v>
      </c>
    </row>
    <row r="2759" spans="95:105" ht="23.5">
      <c r="CQ2759" s="45">
        <v>2755</v>
      </c>
      <c r="CR2759" s="18">
        <v>20.629838660250361</v>
      </c>
      <c r="CS2759" s="18" t="str">
        <v>Invest</v>
      </c>
      <c r="CU2759" s="45">
        <v>2755</v>
      </c>
      <c r="CV2759" s="18">
        <v>0</v>
      </c>
      <c r="CW2759" s="18" t="str">
        <v>Nothing</v>
      </c>
      <c r="CY2759" s="45">
        <v>2755</v>
      </c>
      <c r="CZ2759" s="18">
        <v>22.176866415470194</v>
      </c>
      <c r="DA2759" s="18" t="str">
        <v>Invest</v>
      </c>
    </row>
    <row r="2760" spans="95:105" ht="23.5">
      <c r="CQ2760" s="45">
        <v>2756</v>
      </c>
      <c r="CR2760" s="18">
        <v>8.1029888014374816</v>
      </c>
      <c r="CS2760" s="18" t="str">
        <v>Invest</v>
      </c>
      <c r="CU2760" s="45">
        <v>2756</v>
      </c>
      <c r="CV2760" s="18">
        <v>0</v>
      </c>
      <c r="CW2760" s="18" t="str">
        <v>Nothing</v>
      </c>
      <c r="CY2760" s="45">
        <v>2756</v>
      </c>
      <c r="CZ2760" s="18">
        <v>9.335634742181437</v>
      </c>
      <c r="DA2760" s="18" t="str">
        <v>Invest</v>
      </c>
    </row>
    <row r="2761" spans="95:105" ht="23.5">
      <c r="CQ2761" s="45">
        <v>2757</v>
      </c>
      <c r="CR2761" s="18">
        <v>13.312541825705168</v>
      </c>
      <c r="CS2761" s="18" t="str">
        <v>Invest</v>
      </c>
      <c r="CU2761" s="45">
        <v>2757</v>
      </c>
      <c r="CV2761" s="18">
        <v>29.597710432473146</v>
      </c>
      <c r="CW2761" s="18" t="str">
        <v>Invest</v>
      </c>
      <c r="CY2761" s="45">
        <v>2757</v>
      </c>
      <c r="CZ2761" s="18">
        <v>6.2616496961253407</v>
      </c>
      <c r="DA2761" s="18" t="str">
        <v>Invest</v>
      </c>
    </row>
    <row r="2762" spans="95:105" ht="23.5">
      <c r="CQ2762" s="45">
        <v>2758</v>
      </c>
      <c r="CR2762" s="18">
        <v>33.330135169782409</v>
      </c>
      <c r="CS2762" s="18" t="str">
        <v>Invest</v>
      </c>
      <c r="CU2762" s="45">
        <v>2758</v>
      </c>
      <c r="CV2762" s="18">
        <v>0</v>
      </c>
      <c r="CW2762" s="18" t="str">
        <v>Nothing</v>
      </c>
      <c r="CY2762" s="45">
        <v>2758</v>
      </c>
      <c r="CZ2762" s="18">
        <v>55.309757178735076</v>
      </c>
      <c r="DA2762" s="18" t="str">
        <v>Invest</v>
      </c>
    </row>
    <row r="2763" spans="95:105" ht="23.5">
      <c r="CQ2763" s="45">
        <v>2759</v>
      </c>
      <c r="CR2763" s="18">
        <v>13.440249161567323</v>
      </c>
      <c r="CS2763" s="18" t="str">
        <v>Invest</v>
      </c>
      <c r="CU2763" s="45">
        <v>2759</v>
      </c>
      <c r="CV2763" s="18">
        <v>39.205941492926428</v>
      </c>
      <c r="CW2763" s="18" t="str">
        <v>Invest</v>
      </c>
      <c r="CY2763" s="45">
        <v>2759</v>
      </c>
      <c r="CZ2763" s="18">
        <v>8.8202532658581561</v>
      </c>
      <c r="DA2763" s="18" t="str">
        <v>Invest</v>
      </c>
    </row>
    <row r="2764" spans="95:105" ht="23.5">
      <c r="CQ2764" s="45">
        <v>2760</v>
      </c>
      <c r="CR2764" s="18">
        <v>17.362435402220576</v>
      </c>
      <c r="CS2764" s="18" t="str">
        <v>Invest</v>
      </c>
      <c r="CU2764" s="45">
        <v>2760</v>
      </c>
      <c r="CV2764" s="18">
        <v>0.4020448088693982</v>
      </c>
      <c r="CW2764" s="18" t="str">
        <v>Invest</v>
      </c>
      <c r="CY2764" s="45">
        <v>2760</v>
      </c>
      <c r="CZ2764" s="18">
        <v>4.6528354559730829</v>
      </c>
      <c r="DA2764" s="18" t="str">
        <v>Invest</v>
      </c>
    </row>
    <row r="2765" spans="95:105" ht="23.5">
      <c r="CQ2765" s="45">
        <v>2761</v>
      </c>
      <c r="CR2765" s="18">
        <v>2.1113798751543236</v>
      </c>
      <c r="CS2765" s="18" t="str">
        <v>Invest</v>
      </c>
      <c r="CU2765" s="45">
        <v>2761</v>
      </c>
      <c r="CV2765" s="18">
        <v>19.908116795943194</v>
      </c>
      <c r="CW2765" s="18" t="str">
        <v>Invest</v>
      </c>
      <c r="CY2765" s="45">
        <v>2761</v>
      </c>
      <c r="CZ2765" s="18">
        <v>37.271759613060027</v>
      </c>
      <c r="DA2765" s="18" t="str">
        <v>Invest</v>
      </c>
    </row>
    <row r="2766" spans="95:105" ht="23.5">
      <c r="CQ2766" s="45">
        <v>2762</v>
      </c>
      <c r="CR2766" s="18">
        <v>56.741199168749034</v>
      </c>
      <c r="CS2766" s="18" t="str">
        <v>Invest</v>
      </c>
      <c r="CU2766" s="45">
        <v>2762</v>
      </c>
      <c r="CV2766" s="18">
        <v>0</v>
      </c>
      <c r="CW2766" s="18" t="str">
        <v>Nothing</v>
      </c>
      <c r="CY2766" s="45">
        <v>2762</v>
      </c>
      <c r="CZ2766" s="18">
        <v>17.985862902308376</v>
      </c>
      <c r="DA2766" s="18" t="str">
        <v>Invest</v>
      </c>
    </row>
    <row r="2767" spans="95:105" ht="23.5">
      <c r="CQ2767" s="45">
        <v>2763</v>
      </c>
      <c r="CR2767" s="18">
        <v>0</v>
      </c>
      <c r="CS2767" s="18" t="str">
        <v>Nothing</v>
      </c>
      <c r="CU2767" s="45">
        <v>2763</v>
      </c>
      <c r="CV2767" s="18">
        <v>7.3408363961953098</v>
      </c>
      <c r="CW2767" s="18" t="str">
        <v>Invest</v>
      </c>
      <c r="CY2767" s="45">
        <v>2763</v>
      </c>
      <c r="CZ2767" s="18">
        <v>2.8570827111036152</v>
      </c>
      <c r="DA2767" s="18" t="str">
        <v>Invest</v>
      </c>
    </row>
    <row r="2768" spans="95:105" ht="23.5">
      <c r="CQ2768" s="45">
        <v>2764</v>
      </c>
      <c r="CR2768" s="18">
        <v>25.328044015384691</v>
      </c>
      <c r="CS2768" s="18" t="str">
        <v>Invest</v>
      </c>
      <c r="CU2768" s="45">
        <v>2764</v>
      </c>
      <c r="CV2768" s="18">
        <v>15.627612529788443</v>
      </c>
      <c r="CW2768" s="18" t="str">
        <v>Invest</v>
      </c>
      <c r="CY2768" s="45">
        <v>2764</v>
      </c>
      <c r="CZ2768" s="18">
        <v>0</v>
      </c>
      <c r="DA2768" s="18" t="str">
        <v>Nothing</v>
      </c>
    </row>
    <row r="2769" spans="95:105" ht="23.5">
      <c r="CQ2769" s="45">
        <v>2765</v>
      </c>
      <c r="CR2769" s="18">
        <v>35.596273744362023</v>
      </c>
      <c r="CS2769" s="18" t="str">
        <v>Invest</v>
      </c>
      <c r="CU2769" s="45">
        <v>2765</v>
      </c>
      <c r="CV2769" s="18">
        <v>41.025155467501158</v>
      </c>
      <c r="CW2769" s="18" t="str">
        <v>Invest</v>
      </c>
      <c r="CY2769" s="45">
        <v>2765</v>
      </c>
      <c r="CZ2769" s="18">
        <v>11.696933197317687</v>
      </c>
      <c r="DA2769" s="18" t="str">
        <v>Invest</v>
      </c>
    </row>
    <row r="2770" spans="95:105" ht="23.5">
      <c r="CQ2770" s="45">
        <v>2766</v>
      </c>
      <c r="CR2770" s="18">
        <v>52.956182023562938</v>
      </c>
      <c r="CS2770" s="18" t="str">
        <v>Invest</v>
      </c>
      <c r="CU2770" s="45">
        <v>2766</v>
      </c>
      <c r="CV2770" s="18">
        <v>42.487000791541519</v>
      </c>
      <c r="CW2770" s="18" t="str">
        <v>Invest</v>
      </c>
      <c r="CY2770" s="45">
        <v>2766</v>
      </c>
      <c r="CZ2770" s="18">
        <v>43.754616128413168</v>
      </c>
      <c r="DA2770" s="18" t="str">
        <v>Invest</v>
      </c>
    </row>
    <row r="2771" spans="95:105" ht="23.5">
      <c r="CQ2771" s="45">
        <v>2767</v>
      </c>
      <c r="CR2771" s="18">
        <v>21.303357134551881</v>
      </c>
      <c r="CS2771" s="18" t="str">
        <v>Invest</v>
      </c>
      <c r="CU2771" s="45">
        <v>2767</v>
      </c>
      <c r="CV2771" s="18">
        <v>12.886584039102953</v>
      </c>
      <c r="CW2771" s="18" t="str">
        <v>Invest</v>
      </c>
      <c r="CY2771" s="45">
        <v>2767</v>
      </c>
      <c r="CZ2771" s="18">
        <v>21.339775984708162</v>
      </c>
      <c r="DA2771" s="18" t="str">
        <v>Invest</v>
      </c>
    </row>
    <row r="2772" spans="95:105" ht="23.5">
      <c r="CQ2772" s="45">
        <v>2768</v>
      </c>
      <c r="CR2772" s="18">
        <v>0</v>
      </c>
      <c r="CS2772" s="18" t="str">
        <v>Nothing</v>
      </c>
      <c r="CU2772" s="45">
        <v>2768</v>
      </c>
      <c r="CV2772" s="18">
        <v>23.985053866770393</v>
      </c>
      <c r="CW2772" s="18" t="str">
        <v>Invest</v>
      </c>
      <c r="CY2772" s="45">
        <v>2768</v>
      </c>
      <c r="CZ2772" s="18">
        <v>10.357278380562263</v>
      </c>
      <c r="DA2772" s="18" t="str">
        <v>Invest</v>
      </c>
    </row>
    <row r="2773" spans="95:105" ht="23.5">
      <c r="CQ2773" s="45">
        <v>2769</v>
      </c>
      <c r="CR2773" s="18">
        <v>2.4903223801436916</v>
      </c>
      <c r="CS2773" s="18" t="str">
        <v>Invest</v>
      </c>
      <c r="CU2773" s="45">
        <v>2769</v>
      </c>
      <c r="CV2773" s="18">
        <v>12.162563233192097</v>
      </c>
      <c r="CW2773" s="18" t="str">
        <v>Invest</v>
      </c>
      <c r="CY2773" s="45">
        <v>2769</v>
      </c>
      <c r="CZ2773" s="18">
        <v>0</v>
      </c>
      <c r="DA2773" s="18" t="str">
        <v>Nothing</v>
      </c>
    </row>
    <row r="2774" spans="95:105" ht="23.5">
      <c r="CQ2774" s="45">
        <v>2770</v>
      </c>
      <c r="CR2774" s="18">
        <v>40.603462719932814</v>
      </c>
      <c r="CS2774" s="18" t="str">
        <v>Invest</v>
      </c>
      <c r="CU2774" s="45">
        <v>2770</v>
      </c>
      <c r="CV2774" s="18">
        <v>20.050220163952751</v>
      </c>
      <c r="CW2774" s="18" t="str">
        <v>Invest</v>
      </c>
      <c r="CY2774" s="45">
        <v>2770</v>
      </c>
      <c r="CZ2774" s="18">
        <v>9.2151830401605253</v>
      </c>
      <c r="DA2774" s="18" t="str">
        <v>Invest</v>
      </c>
    </row>
    <row r="2775" spans="95:105" ht="23.5">
      <c r="CQ2775" s="45">
        <v>2771</v>
      </c>
      <c r="CR2775" s="18">
        <v>37.476751414437729</v>
      </c>
      <c r="CS2775" s="18" t="str">
        <v>Invest</v>
      </c>
      <c r="CU2775" s="45">
        <v>2771</v>
      </c>
      <c r="CV2775" s="18">
        <v>17.805289921623704</v>
      </c>
      <c r="CW2775" s="18" t="str">
        <v>Invest</v>
      </c>
      <c r="CY2775" s="45">
        <v>2771</v>
      </c>
      <c r="CZ2775" s="18">
        <v>0</v>
      </c>
      <c r="DA2775" s="18" t="str">
        <v>Nothing</v>
      </c>
    </row>
    <row r="2776" spans="95:105" ht="23.5">
      <c r="CQ2776" s="45">
        <v>2772</v>
      </c>
      <c r="CR2776" s="18">
        <v>12.254176613271891</v>
      </c>
      <c r="CS2776" s="18" t="str">
        <v>Invest</v>
      </c>
      <c r="CU2776" s="45">
        <v>2772</v>
      </c>
      <c r="CV2776" s="18">
        <v>21.383902161040179</v>
      </c>
      <c r="CW2776" s="18" t="str">
        <v>Invest</v>
      </c>
      <c r="CY2776" s="45">
        <v>2772</v>
      </c>
      <c r="CZ2776" s="18">
        <v>56.850750056103287</v>
      </c>
      <c r="DA2776" s="18" t="str">
        <v>Invest</v>
      </c>
    </row>
    <row r="2777" spans="95:105" ht="23.5">
      <c r="CQ2777" s="45">
        <v>2773</v>
      </c>
      <c r="CR2777" s="18">
        <v>0</v>
      </c>
      <c r="CS2777" s="18" t="str">
        <v>Nothing</v>
      </c>
      <c r="CU2777" s="45">
        <v>2773</v>
      </c>
      <c r="CV2777" s="18">
        <v>3.7171622357843077</v>
      </c>
      <c r="CW2777" s="18" t="str">
        <v>Invest</v>
      </c>
      <c r="CY2777" s="45">
        <v>2773</v>
      </c>
      <c r="CZ2777" s="18">
        <v>34.738000176692424</v>
      </c>
      <c r="DA2777" s="18" t="str">
        <v>Invest</v>
      </c>
    </row>
    <row r="2778" spans="95:105" ht="23.5">
      <c r="CQ2778" s="45">
        <v>2774</v>
      </c>
      <c r="CR2778" s="18">
        <v>0</v>
      </c>
      <c r="CS2778" s="18" t="str">
        <v>Nothing</v>
      </c>
      <c r="CU2778" s="45">
        <v>2774</v>
      </c>
      <c r="CV2778" s="18">
        <v>5.8122099650488384</v>
      </c>
      <c r="CW2778" s="18" t="str">
        <v>Invest</v>
      </c>
      <c r="CY2778" s="45">
        <v>2774</v>
      </c>
      <c r="CZ2778" s="18">
        <v>1.4677515147898177</v>
      </c>
      <c r="DA2778" s="18" t="str">
        <v>Invest</v>
      </c>
    </row>
    <row r="2779" spans="95:105" ht="23.5">
      <c r="CQ2779" s="45">
        <v>2775</v>
      </c>
      <c r="CR2779" s="18">
        <v>6.5800015913055887</v>
      </c>
      <c r="CS2779" s="18" t="str">
        <v>Invest</v>
      </c>
      <c r="CU2779" s="45">
        <v>2775</v>
      </c>
      <c r="CV2779" s="18">
        <v>12.020833570818361</v>
      </c>
      <c r="CW2779" s="18" t="str">
        <v>Invest</v>
      </c>
      <c r="CY2779" s="45">
        <v>2775</v>
      </c>
      <c r="CZ2779" s="18">
        <v>47.877490412362199</v>
      </c>
      <c r="DA2779" s="18" t="str">
        <v>Invest</v>
      </c>
    </row>
    <row r="2780" spans="95:105" ht="23.5">
      <c r="CQ2780" s="45">
        <v>2776</v>
      </c>
      <c r="CR2780" s="18">
        <v>8.5280055032182815</v>
      </c>
      <c r="CS2780" s="18" t="str">
        <v>Invest</v>
      </c>
      <c r="CU2780" s="45">
        <v>2776</v>
      </c>
      <c r="CV2780" s="18">
        <v>0</v>
      </c>
      <c r="CW2780" s="18" t="str">
        <v>Nothing</v>
      </c>
      <c r="CY2780" s="45">
        <v>2776</v>
      </c>
      <c r="CZ2780" s="18">
        <v>25.59677633623474</v>
      </c>
      <c r="DA2780" s="18" t="str">
        <v>Invest</v>
      </c>
    </row>
    <row r="2781" spans="95:105" ht="23.5">
      <c r="CQ2781" s="45">
        <v>2777</v>
      </c>
      <c r="CR2781" s="18">
        <v>15.784070727352681</v>
      </c>
      <c r="CS2781" s="18" t="str">
        <v>Invest</v>
      </c>
      <c r="CU2781" s="45">
        <v>2777</v>
      </c>
      <c r="CV2781" s="18">
        <v>9.3588311633991133</v>
      </c>
      <c r="CW2781" s="18" t="str">
        <v>Invest</v>
      </c>
      <c r="CY2781" s="45">
        <v>2777</v>
      </c>
      <c r="CZ2781" s="18">
        <v>0</v>
      </c>
      <c r="DA2781" s="18" t="str">
        <v>Nothing</v>
      </c>
    </row>
    <row r="2782" spans="95:105" ht="23.5">
      <c r="CQ2782" s="45">
        <v>2778</v>
      </c>
      <c r="CR2782" s="18">
        <v>11.854671831350256</v>
      </c>
      <c r="CS2782" s="18" t="str">
        <v>Invest</v>
      </c>
      <c r="CU2782" s="45">
        <v>2778</v>
      </c>
      <c r="CV2782" s="18">
        <v>47.398849417257082</v>
      </c>
      <c r="CW2782" s="18" t="str">
        <v>Invest</v>
      </c>
      <c r="CY2782" s="45">
        <v>2778</v>
      </c>
      <c r="CZ2782" s="18">
        <v>40.724280623620039</v>
      </c>
      <c r="DA2782" s="18" t="str">
        <v>Invest</v>
      </c>
    </row>
    <row r="2783" spans="95:105" ht="23.5">
      <c r="CQ2783" s="45">
        <v>2779</v>
      </c>
      <c r="CR2783" s="18">
        <v>19.159748827197802</v>
      </c>
      <c r="CS2783" s="18" t="str">
        <v>Invest</v>
      </c>
      <c r="CU2783" s="45">
        <v>2779</v>
      </c>
      <c r="CV2783" s="18">
        <v>43.790179795932218</v>
      </c>
      <c r="CW2783" s="18" t="str">
        <v>Invest</v>
      </c>
      <c r="CY2783" s="45">
        <v>2779</v>
      </c>
      <c r="CZ2783" s="18">
        <v>16.583854654763009</v>
      </c>
      <c r="DA2783" s="18" t="str">
        <v>Invest</v>
      </c>
    </row>
    <row r="2784" spans="95:105" ht="23.5">
      <c r="CQ2784" s="45">
        <v>2780</v>
      </c>
      <c r="CR2784" s="18">
        <v>7.6065303636146613</v>
      </c>
      <c r="CS2784" s="18" t="str">
        <v>Invest</v>
      </c>
      <c r="CU2784" s="45">
        <v>2780</v>
      </c>
      <c r="CV2784" s="18">
        <v>0</v>
      </c>
      <c r="CW2784" s="18" t="str">
        <v>Nothing</v>
      </c>
      <c r="CY2784" s="45">
        <v>2780</v>
      </c>
      <c r="CZ2784" s="18">
        <v>24.348725846630138</v>
      </c>
      <c r="DA2784" s="18" t="str">
        <v>Invest</v>
      </c>
    </row>
    <row r="2785" spans="95:105" ht="23.5">
      <c r="CQ2785" s="45">
        <v>2781</v>
      </c>
      <c r="CR2785" s="18">
        <v>0</v>
      </c>
      <c r="CS2785" s="18" t="str">
        <v>Nothing</v>
      </c>
      <c r="CU2785" s="45">
        <v>2781</v>
      </c>
      <c r="CV2785" s="18">
        <v>25.13472751286637</v>
      </c>
      <c r="CW2785" s="18" t="str">
        <v>Invest</v>
      </c>
      <c r="CY2785" s="45">
        <v>2781</v>
      </c>
      <c r="CZ2785" s="18">
        <v>48.066494976525355</v>
      </c>
      <c r="DA2785" s="18" t="str">
        <v>Invest</v>
      </c>
    </row>
    <row r="2786" spans="95:105" ht="23.5">
      <c r="CQ2786" s="45">
        <v>2782</v>
      </c>
      <c r="CR2786" s="18">
        <v>7.0267371278325079</v>
      </c>
      <c r="CS2786" s="18" t="str">
        <v>Invest</v>
      </c>
      <c r="CU2786" s="45">
        <v>2782</v>
      </c>
      <c r="CV2786" s="18">
        <v>22.101338331754281</v>
      </c>
      <c r="CW2786" s="18" t="str">
        <v>Invest</v>
      </c>
      <c r="CY2786" s="45">
        <v>2782</v>
      </c>
      <c r="CZ2786" s="18">
        <v>57.355093629379532</v>
      </c>
      <c r="DA2786" s="18" t="str">
        <v>Invest</v>
      </c>
    </row>
    <row r="2787" spans="95:105" ht="23.5">
      <c r="CQ2787" s="45">
        <v>2783</v>
      </c>
      <c r="CR2787" s="18">
        <v>0</v>
      </c>
      <c r="CS2787" s="18" t="str">
        <v>Nothing</v>
      </c>
      <c r="CU2787" s="45">
        <v>2783</v>
      </c>
      <c r="CV2787" s="18">
        <v>5.9033298626982571</v>
      </c>
      <c r="CW2787" s="18" t="str">
        <v>Invest</v>
      </c>
      <c r="CY2787" s="45">
        <v>2783</v>
      </c>
      <c r="CZ2787" s="18">
        <v>15.907740724351926</v>
      </c>
      <c r="DA2787" s="18" t="str">
        <v>Invest</v>
      </c>
    </row>
    <row r="2788" spans="95:105" ht="23.5">
      <c r="CQ2788" s="45">
        <v>2784</v>
      </c>
      <c r="CR2788" s="18">
        <v>12.400864176520191</v>
      </c>
      <c r="CS2788" s="18" t="str">
        <v>Invest</v>
      </c>
      <c r="CU2788" s="45">
        <v>2784</v>
      </c>
      <c r="CV2788" s="18">
        <v>39.73241384984528</v>
      </c>
      <c r="CW2788" s="18" t="str">
        <v>Invest</v>
      </c>
      <c r="CY2788" s="45">
        <v>2784</v>
      </c>
      <c r="CZ2788" s="18">
        <v>5.8196968113818501</v>
      </c>
      <c r="DA2788" s="18" t="str">
        <v>Invest</v>
      </c>
    </row>
    <row r="2789" spans="95:105" ht="23.5">
      <c r="CQ2789" s="45">
        <v>2785</v>
      </c>
      <c r="CR2789" s="18">
        <v>32.720365437601004</v>
      </c>
      <c r="CS2789" s="18" t="str">
        <v>Invest</v>
      </c>
      <c r="CU2789" s="45">
        <v>2785</v>
      </c>
      <c r="CV2789" s="18">
        <v>18.929548694791105</v>
      </c>
      <c r="CW2789" s="18" t="str">
        <v>Invest</v>
      </c>
      <c r="CY2789" s="45">
        <v>2785</v>
      </c>
      <c r="CZ2789" s="18">
        <v>13.699646617487279</v>
      </c>
      <c r="DA2789" s="18" t="str">
        <v>Invest</v>
      </c>
    </row>
    <row r="2790" spans="95:105" ht="23.5">
      <c r="CQ2790" s="45">
        <v>2786</v>
      </c>
      <c r="CR2790" s="18">
        <v>31.85900279588623</v>
      </c>
      <c r="CS2790" s="18" t="str">
        <v>Invest</v>
      </c>
      <c r="CU2790" s="45">
        <v>2786</v>
      </c>
      <c r="CV2790" s="18">
        <v>40.93979838012558</v>
      </c>
      <c r="CW2790" s="18" t="str">
        <v>Invest</v>
      </c>
      <c r="CY2790" s="45">
        <v>2786</v>
      </c>
      <c r="CZ2790" s="18">
        <v>43.054886318915344</v>
      </c>
      <c r="DA2790" s="18" t="str">
        <v>Invest</v>
      </c>
    </row>
    <row r="2791" spans="95:105" ht="23.5">
      <c r="CQ2791" s="45">
        <v>2787</v>
      </c>
      <c r="CR2791" s="18">
        <v>0</v>
      </c>
      <c r="CS2791" s="18" t="str">
        <v>Nothing</v>
      </c>
      <c r="CU2791" s="45">
        <v>2787</v>
      </c>
      <c r="CV2791" s="18">
        <v>26.695506874338982</v>
      </c>
      <c r="CW2791" s="18" t="str">
        <v>Invest</v>
      </c>
      <c r="CY2791" s="45">
        <v>2787</v>
      </c>
      <c r="CZ2791" s="18">
        <v>15.891404472558545</v>
      </c>
      <c r="DA2791" s="18" t="str">
        <v>Invest</v>
      </c>
    </row>
    <row r="2792" spans="95:105" ht="23.5">
      <c r="CQ2792" s="45">
        <v>2788</v>
      </c>
      <c r="CR2792" s="18">
        <v>7.388519634980689</v>
      </c>
      <c r="CS2792" s="18" t="str">
        <v>Invest</v>
      </c>
      <c r="CU2792" s="45">
        <v>2788</v>
      </c>
      <c r="CV2792" s="18">
        <v>20.021246052533805</v>
      </c>
      <c r="CW2792" s="18" t="str">
        <v>Invest</v>
      </c>
      <c r="CY2792" s="45">
        <v>2788</v>
      </c>
      <c r="CZ2792" s="18">
        <v>20.386632316775088</v>
      </c>
      <c r="DA2792" s="18" t="str">
        <v>Invest</v>
      </c>
    </row>
    <row r="2793" spans="95:105" ht="23.5">
      <c r="CQ2793" s="45">
        <v>2789</v>
      </c>
      <c r="CR2793" s="18">
        <v>0</v>
      </c>
      <c r="CS2793" s="18" t="str">
        <v>Nothing</v>
      </c>
      <c r="CU2793" s="45">
        <v>2789</v>
      </c>
      <c r="CV2793" s="18">
        <v>0</v>
      </c>
      <c r="CW2793" s="18" t="str">
        <v>Nothing</v>
      </c>
      <c r="CY2793" s="45">
        <v>2789</v>
      </c>
      <c r="CZ2793" s="18">
        <v>0</v>
      </c>
      <c r="DA2793" s="18" t="str">
        <v>Nothing</v>
      </c>
    </row>
    <row r="2794" spans="95:105" ht="23.5">
      <c r="CQ2794" s="45">
        <v>2790</v>
      </c>
      <c r="CR2794" s="18">
        <v>32.357251885117911</v>
      </c>
      <c r="CS2794" s="18" t="str">
        <v>Invest</v>
      </c>
      <c r="CU2794" s="45">
        <v>2790</v>
      </c>
      <c r="CV2794" s="18">
        <v>29.540209441954275</v>
      </c>
      <c r="CW2794" s="18" t="str">
        <v>Invest</v>
      </c>
      <c r="CY2794" s="45">
        <v>2790</v>
      </c>
      <c r="CZ2794" s="18">
        <v>12.156458094253454</v>
      </c>
      <c r="DA2794" s="18" t="str">
        <v>Invest</v>
      </c>
    </row>
    <row r="2795" spans="95:105" ht="23.5">
      <c r="CQ2795" s="45">
        <v>2791</v>
      </c>
      <c r="CR2795" s="18">
        <v>0</v>
      </c>
      <c r="CS2795" s="18" t="str">
        <v>Nothing</v>
      </c>
      <c r="CU2795" s="45">
        <v>2791</v>
      </c>
      <c r="CV2795" s="18">
        <v>36.700138374979289</v>
      </c>
      <c r="CW2795" s="18" t="str">
        <v>Invest</v>
      </c>
      <c r="CY2795" s="45">
        <v>2791</v>
      </c>
      <c r="CZ2795" s="18">
        <v>0</v>
      </c>
      <c r="DA2795" s="18" t="str">
        <v>Nothing</v>
      </c>
    </row>
    <row r="2796" spans="95:105" ht="23.5">
      <c r="CQ2796" s="45">
        <v>2792</v>
      </c>
      <c r="CR2796" s="18">
        <v>8.0409037889311481</v>
      </c>
      <c r="CS2796" s="18" t="str">
        <v>Invest</v>
      </c>
      <c r="CU2796" s="45">
        <v>2792</v>
      </c>
      <c r="CV2796" s="18">
        <v>3.9984013716614477</v>
      </c>
      <c r="CW2796" s="18" t="str">
        <v>Invest</v>
      </c>
      <c r="CY2796" s="45">
        <v>2792</v>
      </c>
      <c r="CZ2796" s="18">
        <v>4.8314168206098742</v>
      </c>
      <c r="DA2796" s="18" t="str">
        <v>Invest</v>
      </c>
    </row>
    <row r="2797" spans="95:105" ht="23.5">
      <c r="CQ2797" s="45">
        <v>2793</v>
      </c>
      <c r="CR2797" s="18">
        <v>9.833524773181054</v>
      </c>
      <c r="CS2797" s="18" t="str">
        <v>Invest</v>
      </c>
      <c r="CU2797" s="45">
        <v>2793</v>
      </c>
      <c r="CV2797" s="18">
        <v>0</v>
      </c>
      <c r="CW2797" s="18" t="str">
        <v>Nothing</v>
      </c>
      <c r="CY2797" s="45">
        <v>2793</v>
      </c>
      <c r="CZ2797" s="18">
        <v>21.571545962447384</v>
      </c>
      <c r="DA2797" s="18" t="str">
        <v>Invest</v>
      </c>
    </row>
    <row r="2798" spans="95:105" ht="23.5">
      <c r="CQ2798" s="45">
        <v>2794</v>
      </c>
      <c r="CR2798" s="18">
        <v>38.234785052126789</v>
      </c>
      <c r="CS2798" s="18" t="str">
        <v>Invest</v>
      </c>
      <c r="CU2798" s="45">
        <v>2794</v>
      </c>
      <c r="CV2798" s="18">
        <v>0</v>
      </c>
      <c r="CW2798" s="18" t="str">
        <v>Nothing</v>
      </c>
      <c r="CY2798" s="45">
        <v>2794</v>
      </c>
      <c r="CZ2798" s="18">
        <v>9.0558181990828253</v>
      </c>
      <c r="DA2798" s="18" t="str">
        <v>Invest</v>
      </c>
    </row>
    <row r="2799" spans="95:105" ht="23.5">
      <c r="CQ2799" s="45">
        <v>2795</v>
      </c>
      <c r="CR2799" s="18">
        <v>40.095729847618081</v>
      </c>
      <c r="CS2799" s="18" t="str">
        <v>Invest</v>
      </c>
      <c r="CU2799" s="45">
        <v>2795</v>
      </c>
      <c r="CV2799" s="18">
        <v>0</v>
      </c>
      <c r="CW2799" s="18" t="str">
        <v>Nothing</v>
      </c>
      <c r="CY2799" s="45">
        <v>2795</v>
      </c>
      <c r="CZ2799" s="18">
        <v>5.9343977544302895</v>
      </c>
      <c r="DA2799" s="18" t="str">
        <v>Invest</v>
      </c>
    </row>
    <row r="2800" spans="95:105" ht="23.5">
      <c r="CQ2800" s="45">
        <v>2796</v>
      </c>
      <c r="CR2800" s="18">
        <v>42.764967094234002</v>
      </c>
      <c r="CS2800" s="18" t="str">
        <v>Invest</v>
      </c>
      <c r="CU2800" s="45">
        <v>2796</v>
      </c>
      <c r="CV2800" s="18">
        <v>0</v>
      </c>
      <c r="CW2800" s="18" t="str">
        <v>Nothing</v>
      </c>
      <c r="CY2800" s="45">
        <v>2796</v>
      </c>
      <c r="CZ2800" s="18">
        <v>45.445573205304733</v>
      </c>
      <c r="DA2800" s="18" t="str">
        <v>Invest</v>
      </c>
    </row>
    <row r="2801" spans="95:105" ht="23.5">
      <c r="CQ2801" s="45">
        <v>2797</v>
      </c>
      <c r="CR2801" s="18">
        <v>35.540114250902221</v>
      </c>
      <c r="CS2801" s="18" t="str">
        <v>Invest</v>
      </c>
      <c r="CU2801" s="45">
        <v>2797</v>
      </c>
      <c r="CV2801" s="18">
        <v>2.9680954976793856</v>
      </c>
      <c r="CW2801" s="18" t="str">
        <v>Invest</v>
      </c>
      <c r="CY2801" s="45">
        <v>2797</v>
      </c>
      <c r="CZ2801" s="18">
        <v>0</v>
      </c>
      <c r="DA2801" s="18" t="str">
        <v>Nothing</v>
      </c>
    </row>
    <row r="2802" spans="95:105" ht="23.5">
      <c r="CQ2802" s="45">
        <v>2798</v>
      </c>
      <c r="CR2802" s="18">
        <v>0</v>
      </c>
      <c r="CS2802" s="18" t="str">
        <v>Nothing</v>
      </c>
      <c r="CU2802" s="45">
        <v>2798</v>
      </c>
      <c r="CV2802" s="18">
        <v>34.70462166720818</v>
      </c>
      <c r="CW2802" s="18" t="str">
        <v>Invest</v>
      </c>
      <c r="CY2802" s="45">
        <v>2798</v>
      </c>
      <c r="CZ2802" s="18">
        <v>0</v>
      </c>
      <c r="DA2802" s="18" t="str">
        <v>Nothing</v>
      </c>
    </row>
    <row r="2803" spans="95:105" ht="23.5">
      <c r="CQ2803" s="45">
        <v>2799</v>
      </c>
      <c r="CR2803" s="18">
        <v>9.6176414579519776</v>
      </c>
      <c r="CS2803" s="18" t="str">
        <v>Invest</v>
      </c>
      <c r="CU2803" s="45">
        <v>2799</v>
      </c>
      <c r="CV2803" s="18">
        <v>0</v>
      </c>
      <c r="CW2803" s="18" t="str">
        <v>Nothing</v>
      </c>
      <c r="CY2803" s="45">
        <v>2799</v>
      </c>
      <c r="CZ2803" s="18">
        <v>0</v>
      </c>
      <c r="DA2803" s="18" t="str">
        <v>Nothing</v>
      </c>
    </row>
    <row r="2804" spans="95:105" ht="23.5">
      <c r="CQ2804" s="45">
        <v>2800</v>
      </c>
      <c r="CR2804" s="18">
        <v>26.736499769610639</v>
      </c>
      <c r="CS2804" s="18" t="str">
        <v>Invest</v>
      </c>
      <c r="CU2804" s="45">
        <v>2800</v>
      </c>
      <c r="CV2804" s="18">
        <v>21.003779266585475</v>
      </c>
      <c r="CW2804" s="18" t="str">
        <v>Invest</v>
      </c>
      <c r="CY2804" s="45">
        <v>2800</v>
      </c>
      <c r="CZ2804" s="18">
        <v>5.5797469003178399</v>
      </c>
      <c r="DA2804" s="18" t="str">
        <v>Invest</v>
      </c>
    </row>
    <row r="2805" spans="95:105" ht="23.5">
      <c r="CQ2805" s="45">
        <v>2801</v>
      </c>
      <c r="CR2805" s="18">
        <v>35.382426953417905</v>
      </c>
      <c r="CS2805" s="18" t="str">
        <v>Invest</v>
      </c>
      <c r="CU2805" s="45">
        <v>2801</v>
      </c>
      <c r="CV2805" s="18">
        <v>19.394088769744016</v>
      </c>
      <c r="CW2805" s="18" t="str">
        <v>Invest</v>
      </c>
      <c r="CY2805" s="45">
        <v>2801</v>
      </c>
      <c r="CZ2805" s="18">
        <v>28.522365877652131</v>
      </c>
      <c r="DA2805" s="18" t="str">
        <v>Invest</v>
      </c>
    </row>
    <row r="2806" spans="95:105" ht="23.5">
      <c r="CQ2806" s="45">
        <v>2802</v>
      </c>
      <c r="CR2806" s="18">
        <v>61.602316390862882</v>
      </c>
      <c r="CS2806" s="18" t="str">
        <v>Invest</v>
      </c>
      <c r="CU2806" s="45">
        <v>2802</v>
      </c>
      <c r="CV2806" s="18">
        <v>21.006678607533107</v>
      </c>
      <c r="CW2806" s="18" t="str">
        <v>Invest</v>
      </c>
      <c r="CY2806" s="45">
        <v>2802</v>
      </c>
      <c r="CZ2806" s="18">
        <v>14.784935267028374</v>
      </c>
      <c r="DA2806" s="18" t="str">
        <v>Invest</v>
      </c>
    </row>
    <row r="2807" spans="95:105" ht="23.5">
      <c r="CQ2807" s="45">
        <v>2803</v>
      </c>
      <c r="CR2807" s="18">
        <v>23.022559971455244</v>
      </c>
      <c r="CS2807" s="18" t="str">
        <v>Invest</v>
      </c>
      <c r="CU2807" s="45">
        <v>2803</v>
      </c>
      <c r="CV2807" s="18">
        <v>18.946182998456738</v>
      </c>
      <c r="CW2807" s="18" t="str">
        <v>Invest</v>
      </c>
      <c r="CY2807" s="45">
        <v>2803</v>
      </c>
      <c r="CZ2807" s="18">
        <v>0</v>
      </c>
      <c r="DA2807" s="18" t="str">
        <v>Nothing</v>
      </c>
    </row>
    <row r="2808" spans="95:105" ht="23.5">
      <c r="CQ2808" s="45">
        <v>2804</v>
      </c>
      <c r="CR2808" s="18">
        <v>34.729593499770253</v>
      </c>
      <c r="CS2808" s="18" t="str">
        <v>Invest</v>
      </c>
      <c r="CU2808" s="45">
        <v>2804</v>
      </c>
      <c r="CV2808" s="18">
        <v>0</v>
      </c>
      <c r="CW2808" s="18" t="str">
        <v>Nothing</v>
      </c>
      <c r="CY2808" s="45">
        <v>2804</v>
      </c>
      <c r="CZ2808" s="18">
        <v>5.8544455029550591</v>
      </c>
      <c r="DA2808" s="18" t="str">
        <v>Invest</v>
      </c>
    </row>
    <row r="2809" spans="95:105" ht="23.5">
      <c r="CQ2809" s="45">
        <v>2805</v>
      </c>
      <c r="CR2809" s="18">
        <v>0</v>
      </c>
      <c r="CS2809" s="18" t="str">
        <v>Nothing</v>
      </c>
      <c r="CU2809" s="45">
        <v>2805</v>
      </c>
      <c r="CV2809" s="18">
        <v>12.274864088208444</v>
      </c>
      <c r="CW2809" s="18" t="str">
        <v>Invest</v>
      </c>
      <c r="CY2809" s="45">
        <v>2805</v>
      </c>
      <c r="CZ2809" s="18">
        <v>23.212722882731978</v>
      </c>
      <c r="DA2809" s="18" t="str">
        <v>Invest</v>
      </c>
    </row>
    <row r="2810" spans="95:105" ht="23.5">
      <c r="CQ2810" s="45">
        <v>2806</v>
      </c>
      <c r="CR2810" s="18">
        <v>12.588134594377983</v>
      </c>
      <c r="CS2810" s="18" t="str">
        <v>Invest</v>
      </c>
      <c r="CU2810" s="45">
        <v>2806</v>
      </c>
      <c r="CV2810" s="18">
        <v>22.126071894669213</v>
      </c>
      <c r="CW2810" s="18" t="str">
        <v>Invest</v>
      </c>
      <c r="CY2810" s="45">
        <v>2806</v>
      </c>
      <c r="CZ2810" s="18">
        <v>36.49172388222825</v>
      </c>
      <c r="DA2810" s="18" t="str">
        <v>Invest</v>
      </c>
    </row>
    <row r="2811" spans="95:105" ht="23.5">
      <c r="CQ2811" s="45">
        <v>2807</v>
      </c>
      <c r="CR2811" s="18">
        <v>39.6604679093399</v>
      </c>
      <c r="CS2811" s="18" t="str">
        <v>Invest</v>
      </c>
      <c r="CU2811" s="45">
        <v>2807</v>
      </c>
      <c r="CV2811" s="18">
        <v>22.806979293065535</v>
      </c>
      <c r="CW2811" s="18" t="str">
        <v>Invest</v>
      </c>
      <c r="CY2811" s="45">
        <v>2807</v>
      </c>
      <c r="CZ2811" s="18">
        <v>20.331544372022098</v>
      </c>
      <c r="DA2811" s="18" t="str">
        <v>Invest</v>
      </c>
    </row>
    <row r="2812" spans="95:105" ht="23.5">
      <c r="CQ2812" s="45">
        <v>2808</v>
      </c>
      <c r="CR2812" s="18">
        <v>15.511265181460164</v>
      </c>
      <c r="CS2812" s="18" t="str">
        <v>Invest</v>
      </c>
      <c r="CU2812" s="45">
        <v>2808</v>
      </c>
      <c r="CV2812" s="18">
        <v>1.4173792469721711</v>
      </c>
      <c r="CW2812" s="18" t="str">
        <v>Invest</v>
      </c>
      <c r="CY2812" s="45">
        <v>2808</v>
      </c>
      <c r="CZ2812" s="18">
        <v>20.018304018799224</v>
      </c>
      <c r="DA2812" s="18" t="str">
        <v>Invest</v>
      </c>
    </row>
    <row r="2813" spans="95:105" ht="23.5">
      <c r="CQ2813" s="45">
        <v>2809</v>
      </c>
      <c r="CR2813" s="18">
        <v>29.393054642883463</v>
      </c>
      <c r="CS2813" s="18" t="str">
        <v>Invest</v>
      </c>
      <c r="CU2813" s="45">
        <v>2809</v>
      </c>
      <c r="CV2813" s="18">
        <v>54.648366334970177</v>
      </c>
      <c r="CW2813" s="18" t="str">
        <v>Invest</v>
      </c>
      <c r="CY2813" s="45">
        <v>2809</v>
      </c>
      <c r="CZ2813" s="18">
        <v>47.157469554124766</v>
      </c>
      <c r="DA2813" s="18" t="str">
        <v>Invest</v>
      </c>
    </row>
    <row r="2814" spans="95:105" ht="23.5">
      <c r="CQ2814" s="45">
        <v>2810</v>
      </c>
      <c r="CR2814" s="18">
        <v>51.395102988938476</v>
      </c>
      <c r="CS2814" s="18" t="str">
        <v>Invest</v>
      </c>
      <c r="CU2814" s="45">
        <v>2810</v>
      </c>
      <c r="CV2814" s="18">
        <v>15.945344346375093</v>
      </c>
      <c r="CW2814" s="18" t="str">
        <v>Invest</v>
      </c>
      <c r="CY2814" s="45">
        <v>2810</v>
      </c>
      <c r="CZ2814" s="18">
        <v>11.006917427513002</v>
      </c>
      <c r="DA2814" s="18" t="str">
        <v>Invest</v>
      </c>
    </row>
    <row r="2815" spans="95:105" ht="23.5">
      <c r="CQ2815" s="45">
        <v>2811</v>
      </c>
      <c r="CR2815" s="18">
        <v>39.415619359655793</v>
      </c>
      <c r="CS2815" s="18" t="str">
        <v>Invest</v>
      </c>
      <c r="CU2815" s="45">
        <v>2811</v>
      </c>
      <c r="CV2815" s="18">
        <v>47.571193513391869</v>
      </c>
      <c r="CW2815" s="18" t="str">
        <v>Invest</v>
      </c>
      <c r="CY2815" s="45">
        <v>2811</v>
      </c>
      <c r="CZ2815" s="18">
        <v>0</v>
      </c>
      <c r="DA2815" s="18" t="str">
        <v>Nothing</v>
      </c>
    </row>
    <row r="2816" spans="95:105" ht="23.5">
      <c r="CQ2816" s="45">
        <v>2812</v>
      </c>
      <c r="CR2816" s="18">
        <v>0</v>
      </c>
      <c r="CS2816" s="18" t="str">
        <v>Nothing</v>
      </c>
      <c r="CU2816" s="45">
        <v>2812</v>
      </c>
      <c r="CV2816" s="18">
        <v>23.965329681078984</v>
      </c>
      <c r="CW2816" s="18" t="str">
        <v>Invest</v>
      </c>
      <c r="CY2816" s="45">
        <v>2812</v>
      </c>
      <c r="CZ2816" s="18">
        <v>36.150278215182958</v>
      </c>
      <c r="DA2816" s="18" t="str">
        <v>Invest</v>
      </c>
    </row>
    <row r="2817" spans="95:105" ht="23.5">
      <c r="CQ2817" s="45">
        <v>2813</v>
      </c>
      <c r="CR2817" s="18">
        <v>48.858295906694998</v>
      </c>
      <c r="CS2817" s="18" t="str">
        <v>Invest</v>
      </c>
      <c r="CU2817" s="45">
        <v>2813</v>
      </c>
      <c r="CV2817" s="18">
        <v>26.853165736448403</v>
      </c>
      <c r="CW2817" s="18" t="str">
        <v>Invest</v>
      </c>
      <c r="CY2817" s="45">
        <v>2813</v>
      </c>
      <c r="CZ2817" s="18">
        <v>3.047133357527926</v>
      </c>
      <c r="DA2817" s="18" t="str">
        <v>Invest</v>
      </c>
    </row>
    <row r="2818" spans="95:105" ht="23.5">
      <c r="CQ2818" s="45">
        <v>2814</v>
      </c>
      <c r="CR2818" s="18">
        <v>48.148132332696697</v>
      </c>
      <c r="CS2818" s="18" t="str">
        <v>Invest</v>
      </c>
      <c r="CU2818" s="45">
        <v>2814</v>
      </c>
      <c r="CV2818" s="18">
        <v>8.1159613654624998</v>
      </c>
      <c r="CW2818" s="18" t="str">
        <v>Invest</v>
      </c>
      <c r="CY2818" s="45">
        <v>2814</v>
      </c>
      <c r="CZ2818" s="18">
        <v>0</v>
      </c>
      <c r="DA2818" s="18" t="str">
        <v>Nothing</v>
      </c>
    </row>
    <row r="2819" spans="95:105" ht="23.5">
      <c r="CQ2819" s="45">
        <v>2815</v>
      </c>
      <c r="CR2819" s="18">
        <v>20.434408211185662</v>
      </c>
      <c r="CS2819" s="18" t="str">
        <v>Invest</v>
      </c>
      <c r="CU2819" s="45">
        <v>2815</v>
      </c>
      <c r="CV2819" s="18">
        <v>0.1770394183794437</v>
      </c>
      <c r="CW2819" s="18" t="str">
        <v>Invest</v>
      </c>
      <c r="CY2819" s="45">
        <v>2815</v>
      </c>
      <c r="CZ2819" s="18">
        <v>20.641976654974457</v>
      </c>
      <c r="DA2819" s="18" t="str">
        <v>Invest</v>
      </c>
    </row>
    <row r="2820" spans="95:105" ht="23.5">
      <c r="CQ2820" s="45">
        <v>2816</v>
      </c>
      <c r="CR2820" s="18">
        <v>31.240976534666643</v>
      </c>
      <c r="CS2820" s="18" t="str">
        <v>Invest</v>
      </c>
      <c r="CU2820" s="45">
        <v>2816</v>
      </c>
      <c r="CV2820" s="18">
        <v>26.053117469109942</v>
      </c>
      <c r="CW2820" s="18" t="str">
        <v>Invest</v>
      </c>
      <c r="CY2820" s="45">
        <v>2816</v>
      </c>
      <c r="CZ2820" s="18">
        <v>0</v>
      </c>
      <c r="DA2820" s="18" t="str">
        <v>Nothing</v>
      </c>
    </row>
    <row r="2821" spans="95:105" ht="23.5">
      <c r="CQ2821" s="45">
        <v>2817</v>
      </c>
      <c r="CR2821" s="18">
        <v>6.741886740178197</v>
      </c>
      <c r="CS2821" s="18" t="str">
        <v>Invest</v>
      </c>
      <c r="CU2821" s="45">
        <v>2817</v>
      </c>
      <c r="CV2821" s="18">
        <v>0.85754487539072954</v>
      </c>
      <c r="CW2821" s="18" t="str">
        <v>Invest</v>
      </c>
      <c r="CY2821" s="45">
        <v>2817</v>
      </c>
      <c r="CZ2821" s="18">
        <v>32.197337738292113</v>
      </c>
      <c r="DA2821" s="18" t="str">
        <v>Invest</v>
      </c>
    </row>
    <row r="2822" spans="95:105" ht="23.5">
      <c r="CQ2822" s="45">
        <v>2818</v>
      </c>
      <c r="CR2822" s="18">
        <v>5.9884206618366713</v>
      </c>
      <c r="CS2822" s="18" t="str">
        <v>Invest</v>
      </c>
      <c r="CU2822" s="45">
        <v>2818</v>
      </c>
      <c r="CV2822" s="18">
        <v>0.58297451650100651</v>
      </c>
      <c r="CW2822" s="18" t="str">
        <v>Invest</v>
      </c>
      <c r="CY2822" s="45">
        <v>2818</v>
      </c>
      <c r="CZ2822" s="18">
        <v>35.645328439778432</v>
      </c>
      <c r="DA2822" s="18" t="str">
        <v>Invest</v>
      </c>
    </row>
    <row r="2823" spans="95:105" ht="23.5">
      <c r="CQ2823" s="45">
        <v>2819</v>
      </c>
      <c r="CR2823" s="18">
        <v>50.051490705376459</v>
      </c>
      <c r="CS2823" s="18" t="str">
        <v>Invest</v>
      </c>
      <c r="CU2823" s="45">
        <v>2819</v>
      </c>
      <c r="CV2823" s="18">
        <v>28.193673365172799</v>
      </c>
      <c r="CW2823" s="18" t="str">
        <v>Invest</v>
      </c>
      <c r="CY2823" s="45">
        <v>2819</v>
      </c>
      <c r="CZ2823" s="18">
        <v>0</v>
      </c>
      <c r="DA2823" s="18" t="str">
        <v>Nothing</v>
      </c>
    </row>
    <row r="2824" spans="95:105" ht="23.5">
      <c r="CQ2824" s="45">
        <v>2820</v>
      </c>
      <c r="CR2824" s="18">
        <v>14.789194723427684</v>
      </c>
      <c r="CS2824" s="18" t="str">
        <v>Invest</v>
      </c>
      <c r="CU2824" s="45">
        <v>2820</v>
      </c>
      <c r="CV2824" s="18">
        <v>23.849340418387342</v>
      </c>
      <c r="CW2824" s="18" t="str">
        <v>Invest</v>
      </c>
      <c r="CY2824" s="45">
        <v>2820</v>
      </c>
      <c r="CZ2824" s="18">
        <v>40.695581243488782</v>
      </c>
      <c r="DA2824" s="18" t="str">
        <v>Invest</v>
      </c>
    </row>
    <row r="2825" spans="95:105" ht="23.5">
      <c r="CQ2825" s="45">
        <v>2821</v>
      </c>
      <c r="CR2825" s="18">
        <v>42.161729747857329</v>
      </c>
      <c r="CS2825" s="18" t="str">
        <v>Invest</v>
      </c>
      <c r="CU2825" s="45">
        <v>2821</v>
      </c>
      <c r="CV2825" s="18">
        <v>29.862849857690591</v>
      </c>
      <c r="CW2825" s="18" t="str">
        <v>Invest</v>
      </c>
      <c r="CY2825" s="45">
        <v>2821</v>
      </c>
      <c r="CZ2825" s="18">
        <v>19.323833178327696</v>
      </c>
      <c r="DA2825" s="18" t="str">
        <v>Invest</v>
      </c>
    </row>
    <row r="2826" spans="95:105" ht="23.5">
      <c r="CQ2826" s="45">
        <v>2822</v>
      </c>
      <c r="CR2826" s="18">
        <v>18.986409788902503</v>
      </c>
      <c r="CS2826" s="18" t="str">
        <v>Invest</v>
      </c>
      <c r="CU2826" s="45">
        <v>2822</v>
      </c>
      <c r="CV2826" s="18">
        <v>0</v>
      </c>
      <c r="CW2826" s="18" t="str">
        <v>Nothing</v>
      </c>
      <c r="CY2826" s="45">
        <v>2822</v>
      </c>
      <c r="CZ2826" s="18">
        <v>20.671230050795209</v>
      </c>
      <c r="DA2826" s="18" t="str">
        <v>Invest</v>
      </c>
    </row>
    <row r="2827" spans="95:105" ht="23.5">
      <c r="CQ2827" s="45">
        <v>2823</v>
      </c>
      <c r="CR2827" s="18">
        <v>0</v>
      </c>
      <c r="CS2827" s="18" t="str">
        <v>Nothing</v>
      </c>
      <c r="CU2827" s="45">
        <v>2823</v>
      </c>
      <c r="CV2827" s="18">
        <v>48.486075120991373</v>
      </c>
      <c r="CW2827" s="18" t="str">
        <v>Invest</v>
      </c>
      <c r="CY2827" s="45">
        <v>2823</v>
      </c>
      <c r="CZ2827" s="18">
        <v>8.3564857722506716</v>
      </c>
      <c r="DA2827" s="18" t="str">
        <v>Invest</v>
      </c>
    </row>
    <row r="2828" spans="95:105" ht="23.5">
      <c r="CQ2828" s="45">
        <v>2824</v>
      </c>
      <c r="CR2828" s="18">
        <v>0</v>
      </c>
      <c r="CS2828" s="18" t="str">
        <v>Nothing</v>
      </c>
      <c r="CU2828" s="45">
        <v>2824</v>
      </c>
      <c r="CV2828" s="18">
        <v>19.62998133514721</v>
      </c>
      <c r="CW2828" s="18" t="str">
        <v>Invest</v>
      </c>
      <c r="CY2828" s="45">
        <v>2824</v>
      </c>
      <c r="CZ2828" s="18">
        <v>0</v>
      </c>
      <c r="DA2828" s="18" t="str">
        <v>Nothing</v>
      </c>
    </row>
    <row r="2829" spans="95:105" ht="23.5">
      <c r="CQ2829" s="45">
        <v>2825</v>
      </c>
      <c r="CR2829" s="18">
        <v>25.380985318319119</v>
      </c>
      <c r="CS2829" s="18" t="str">
        <v>Invest</v>
      </c>
      <c r="CU2829" s="45">
        <v>2825</v>
      </c>
      <c r="CV2829" s="18">
        <v>7.4030687093901619</v>
      </c>
      <c r="CW2829" s="18" t="str">
        <v>Invest</v>
      </c>
      <c r="CY2829" s="45">
        <v>2825</v>
      </c>
      <c r="CZ2829" s="18">
        <v>18.446592318384283</v>
      </c>
      <c r="DA2829" s="18" t="str">
        <v>Invest</v>
      </c>
    </row>
    <row r="2830" spans="95:105" ht="23.5">
      <c r="CQ2830" s="45">
        <v>2826</v>
      </c>
      <c r="CR2830" s="18">
        <v>17.80160312046506</v>
      </c>
      <c r="CS2830" s="18" t="str">
        <v>Invest</v>
      </c>
      <c r="CU2830" s="45">
        <v>2826</v>
      </c>
      <c r="CV2830" s="18">
        <v>33.027098565162106</v>
      </c>
      <c r="CW2830" s="18" t="str">
        <v>Invest</v>
      </c>
      <c r="CY2830" s="45">
        <v>2826</v>
      </c>
      <c r="CZ2830" s="18">
        <v>12.09899405647346</v>
      </c>
      <c r="DA2830" s="18" t="str">
        <v>Invest</v>
      </c>
    </row>
    <row r="2831" spans="95:105" ht="23.5">
      <c r="CQ2831" s="45">
        <v>2827</v>
      </c>
      <c r="CR2831" s="18">
        <v>22.09566639778015</v>
      </c>
      <c r="CS2831" s="18" t="str">
        <v>Invest</v>
      </c>
      <c r="CU2831" s="45">
        <v>2827</v>
      </c>
      <c r="CV2831" s="18">
        <v>18.692416107318543</v>
      </c>
      <c r="CW2831" s="18" t="str">
        <v>Invest</v>
      </c>
      <c r="CY2831" s="45">
        <v>2827</v>
      </c>
      <c r="CZ2831" s="18">
        <v>17.906327536062726</v>
      </c>
      <c r="DA2831" s="18" t="str">
        <v>Invest</v>
      </c>
    </row>
    <row r="2832" spans="95:105" ht="23.5">
      <c r="CQ2832" s="45">
        <v>2828</v>
      </c>
      <c r="CR2832" s="18">
        <v>28.70849935290093</v>
      </c>
      <c r="CS2832" s="18" t="str">
        <v>Invest</v>
      </c>
      <c r="CU2832" s="45">
        <v>2828</v>
      </c>
      <c r="CV2832" s="18">
        <v>21.847717926796207</v>
      </c>
      <c r="CW2832" s="18" t="str">
        <v>Invest</v>
      </c>
      <c r="CY2832" s="45">
        <v>2828</v>
      </c>
      <c r="CZ2832" s="18">
        <v>9.1203560287674676</v>
      </c>
      <c r="DA2832" s="18" t="str">
        <v>Invest</v>
      </c>
    </row>
    <row r="2833" spans="95:105" ht="23.5">
      <c r="CQ2833" s="45">
        <v>2829</v>
      </c>
      <c r="CR2833" s="18">
        <v>30.342267125522898</v>
      </c>
      <c r="CS2833" s="18" t="str">
        <v>Invest</v>
      </c>
      <c r="CU2833" s="45">
        <v>2829</v>
      </c>
      <c r="CV2833" s="18">
        <v>0</v>
      </c>
      <c r="CW2833" s="18" t="str">
        <v>Nothing</v>
      </c>
      <c r="CY2833" s="45">
        <v>2829</v>
      </c>
      <c r="CZ2833" s="18">
        <v>40.471059698027275</v>
      </c>
      <c r="DA2833" s="18" t="str">
        <v>Invest</v>
      </c>
    </row>
    <row r="2834" spans="95:105" ht="23.5">
      <c r="CQ2834" s="45">
        <v>2830</v>
      </c>
      <c r="CR2834" s="18">
        <v>5.0579729579745258</v>
      </c>
      <c r="CS2834" s="18" t="str">
        <v>Invest</v>
      </c>
      <c r="CU2834" s="45">
        <v>2830</v>
      </c>
      <c r="CV2834" s="18">
        <v>19.164126092343597</v>
      </c>
      <c r="CW2834" s="18" t="str">
        <v>Invest</v>
      </c>
      <c r="CY2834" s="45">
        <v>2830</v>
      </c>
      <c r="CZ2834" s="18">
        <v>12.907664122810139</v>
      </c>
      <c r="DA2834" s="18" t="str">
        <v>Invest</v>
      </c>
    </row>
    <row r="2835" spans="95:105" ht="23.5">
      <c r="CQ2835" s="45">
        <v>2831</v>
      </c>
      <c r="CR2835" s="18">
        <v>14.753598200232585</v>
      </c>
      <c r="CS2835" s="18" t="str">
        <v>Invest</v>
      </c>
      <c r="CU2835" s="45">
        <v>2831</v>
      </c>
      <c r="CV2835" s="18">
        <v>6.0913542378187309</v>
      </c>
      <c r="CW2835" s="18" t="str">
        <v>Invest</v>
      </c>
      <c r="CY2835" s="45">
        <v>2831</v>
      </c>
      <c r="CZ2835" s="18">
        <v>0</v>
      </c>
      <c r="DA2835" s="18" t="str">
        <v>Nothing</v>
      </c>
    </row>
    <row r="2836" spans="95:105" ht="23.5">
      <c r="CQ2836" s="45">
        <v>2832</v>
      </c>
      <c r="CR2836" s="18">
        <v>13.578670980990641</v>
      </c>
      <c r="CS2836" s="18" t="str">
        <v>Invest</v>
      </c>
      <c r="CU2836" s="45">
        <v>2832</v>
      </c>
      <c r="CV2836" s="18">
        <v>31.859555366958283</v>
      </c>
      <c r="CW2836" s="18" t="str">
        <v>Invest</v>
      </c>
      <c r="CY2836" s="45">
        <v>2832</v>
      </c>
      <c r="CZ2836" s="18">
        <v>0</v>
      </c>
      <c r="DA2836" s="18" t="str">
        <v>Nothing</v>
      </c>
    </row>
    <row r="2837" spans="95:105" ht="23.5">
      <c r="CQ2837" s="45">
        <v>2833</v>
      </c>
      <c r="CR2837" s="18">
        <v>1.6261802122415272</v>
      </c>
      <c r="CS2837" s="18" t="str">
        <v>Invest</v>
      </c>
      <c r="CU2837" s="45">
        <v>2833</v>
      </c>
      <c r="CV2837" s="18">
        <v>2.609612815053886</v>
      </c>
      <c r="CW2837" s="18" t="str">
        <v>Invest</v>
      </c>
      <c r="CY2837" s="45">
        <v>2833</v>
      </c>
      <c r="CZ2837" s="18">
        <v>8.3221706768154213</v>
      </c>
      <c r="DA2837" s="18" t="str">
        <v>Invest</v>
      </c>
    </row>
    <row r="2838" spans="95:105" ht="23.5">
      <c r="CQ2838" s="45">
        <v>2834</v>
      </c>
      <c r="CR2838" s="18">
        <v>9.6464483178299592</v>
      </c>
      <c r="CS2838" s="18" t="str">
        <v>Invest</v>
      </c>
      <c r="CU2838" s="45">
        <v>2834</v>
      </c>
      <c r="CV2838" s="18">
        <v>12.247399676086355</v>
      </c>
      <c r="CW2838" s="18" t="str">
        <v>Invest</v>
      </c>
      <c r="CY2838" s="45">
        <v>2834</v>
      </c>
      <c r="CZ2838" s="18">
        <v>24.115062663087041</v>
      </c>
      <c r="DA2838" s="18" t="str">
        <v>Invest</v>
      </c>
    </row>
    <row r="2839" spans="95:105" ht="23.5">
      <c r="CQ2839" s="45">
        <v>2835</v>
      </c>
      <c r="CR2839" s="18">
        <v>0</v>
      </c>
      <c r="CS2839" s="18" t="str">
        <v>Nothing</v>
      </c>
      <c r="CU2839" s="45">
        <v>2835</v>
      </c>
      <c r="CV2839" s="18">
        <v>8.3938217255314651</v>
      </c>
      <c r="CW2839" s="18" t="str">
        <v>Invest</v>
      </c>
      <c r="CY2839" s="45">
        <v>2835</v>
      </c>
      <c r="CZ2839" s="18">
        <v>0</v>
      </c>
      <c r="DA2839" s="18" t="str">
        <v>Nothing</v>
      </c>
    </row>
    <row r="2840" spans="95:105" ht="23.5">
      <c r="CQ2840" s="45">
        <v>2836</v>
      </c>
      <c r="CR2840" s="18">
        <v>22.653959454163491</v>
      </c>
      <c r="CS2840" s="18" t="str">
        <v>Invest</v>
      </c>
      <c r="CU2840" s="45">
        <v>2836</v>
      </c>
      <c r="CV2840" s="18">
        <v>23.966146614374104</v>
      </c>
      <c r="CW2840" s="18" t="str">
        <v>Invest</v>
      </c>
      <c r="CY2840" s="45">
        <v>2836</v>
      </c>
      <c r="CZ2840" s="18">
        <v>0</v>
      </c>
      <c r="DA2840" s="18" t="str">
        <v>Nothing</v>
      </c>
    </row>
    <row r="2841" spans="95:105" ht="23.5">
      <c r="CQ2841" s="45">
        <v>2837</v>
      </c>
      <c r="CR2841" s="18">
        <v>1.4780814735215611</v>
      </c>
      <c r="CS2841" s="18" t="str">
        <v>Invest</v>
      </c>
      <c r="CU2841" s="45">
        <v>2837</v>
      </c>
      <c r="CV2841" s="18">
        <v>41.616565416715581</v>
      </c>
      <c r="CW2841" s="18" t="str">
        <v>Invest</v>
      </c>
      <c r="CY2841" s="45">
        <v>2837</v>
      </c>
      <c r="CZ2841" s="18">
        <v>0</v>
      </c>
      <c r="DA2841" s="18" t="str">
        <v>Nothing</v>
      </c>
    </row>
    <row r="2842" spans="95:105" ht="23.5">
      <c r="CQ2842" s="45">
        <v>2838</v>
      </c>
      <c r="CR2842" s="18">
        <v>0.23827336819782019</v>
      </c>
      <c r="CS2842" s="18" t="str">
        <v>Invest</v>
      </c>
      <c r="CU2842" s="45">
        <v>2838</v>
      </c>
      <c r="CV2842" s="18">
        <v>11.652518314833046</v>
      </c>
      <c r="CW2842" s="18" t="str">
        <v>Invest</v>
      </c>
      <c r="CY2842" s="45">
        <v>2838</v>
      </c>
      <c r="CZ2842" s="18">
        <v>3.0889463887539472</v>
      </c>
      <c r="DA2842" s="18" t="str">
        <v>Invest</v>
      </c>
    </row>
    <row r="2843" spans="95:105" ht="23.5">
      <c r="CQ2843" s="45">
        <v>2839</v>
      </c>
      <c r="CR2843" s="18">
        <v>0</v>
      </c>
      <c r="CS2843" s="18" t="str">
        <v>Nothing</v>
      </c>
      <c r="CU2843" s="45">
        <v>2839</v>
      </c>
      <c r="CV2843" s="18">
        <v>19.489007625402117</v>
      </c>
      <c r="CW2843" s="18" t="str">
        <v>Invest</v>
      </c>
      <c r="CY2843" s="45">
        <v>2839</v>
      </c>
      <c r="CZ2843" s="18">
        <v>0</v>
      </c>
      <c r="DA2843" s="18" t="str">
        <v>Nothing</v>
      </c>
    </row>
    <row r="2844" spans="95:105" ht="23.5">
      <c r="CQ2844" s="45">
        <v>2840</v>
      </c>
      <c r="CR2844" s="18">
        <v>6.8070573909269338</v>
      </c>
      <c r="CS2844" s="18" t="str">
        <v>Invest</v>
      </c>
      <c r="CU2844" s="45">
        <v>2840</v>
      </c>
      <c r="CV2844" s="18">
        <v>51.02017278833776</v>
      </c>
      <c r="CW2844" s="18" t="str">
        <v>Invest</v>
      </c>
      <c r="CY2844" s="45">
        <v>2840</v>
      </c>
      <c r="CZ2844" s="18">
        <v>4.1232225922238381</v>
      </c>
      <c r="DA2844" s="18" t="str">
        <v>Invest</v>
      </c>
    </row>
    <row r="2845" spans="95:105" ht="23.5">
      <c r="CQ2845" s="45">
        <v>2841</v>
      </c>
      <c r="CR2845" s="18">
        <v>19.792895018588453</v>
      </c>
      <c r="CS2845" s="18" t="str">
        <v>Invest</v>
      </c>
      <c r="CU2845" s="45">
        <v>2841</v>
      </c>
      <c r="CV2845" s="18">
        <v>16.413392857972777</v>
      </c>
      <c r="CW2845" s="18" t="str">
        <v>Invest</v>
      </c>
      <c r="CY2845" s="45">
        <v>2841</v>
      </c>
      <c r="CZ2845" s="18">
        <v>35.947140899732972</v>
      </c>
      <c r="DA2845" s="18" t="str">
        <v>Invest</v>
      </c>
    </row>
    <row r="2846" spans="95:105" ht="23.5">
      <c r="CQ2846" s="45">
        <v>2842</v>
      </c>
      <c r="CR2846" s="18">
        <v>26.279719620642823</v>
      </c>
      <c r="CS2846" s="18" t="str">
        <v>Invest</v>
      </c>
      <c r="CU2846" s="45">
        <v>2842</v>
      </c>
      <c r="CV2846" s="18">
        <v>13.913047876927795</v>
      </c>
      <c r="CW2846" s="18" t="str">
        <v>Invest</v>
      </c>
      <c r="CY2846" s="45">
        <v>2842</v>
      </c>
      <c r="CZ2846" s="18">
        <v>8.3220348907902491</v>
      </c>
      <c r="DA2846" s="18" t="str">
        <v>Invest</v>
      </c>
    </row>
    <row r="2847" spans="95:105" ht="23.5">
      <c r="CQ2847" s="45">
        <v>2843</v>
      </c>
      <c r="CR2847" s="18">
        <v>0</v>
      </c>
      <c r="CS2847" s="18" t="str">
        <v>Nothing</v>
      </c>
      <c r="CU2847" s="45">
        <v>2843</v>
      </c>
      <c r="CV2847" s="18">
        <v>12.461539712660901</v>
      </c>
      <c r="CW2847" s="18" t="str">
        <v>Invest</v>
      </c>
      <c r="CY2847" s="45">
        <v>2843</v>
      </c>
      <c r="CZ2847" s="18">
        <v>0</v>
      </c>
      <c r="DA2847" s="18" t="str">
        <v>Nothing</v>
      </c>
    </row>
    <row r="2848" spans="95:105" ht="23.5">
      <c r="CQ2848" s="45">
        <v>2844</v>
      </c>
      <c r="CR2848" s="18">
        <v>0</v>
      </c>
      <c r="CS2848" s="18" t="str">
        <v>Nothing</v>
      </c>
      <c r="CU2848" s="45">
        <v>2844</v>
      </c>
      <c r="CV2848" s="18">
        <v>1.884570417717212</v>
      </c>
      <c r="CW2848" s="18" t="str">
        <v>Invest</v>
      </c>
      <c r="CY2848" s="45">
        <v>2844</v>
      </c>
      <c r="CZ2848" s="18">
        <v>26.095737023442592</v>
      </c>
      <c r="DA2848" s="18" t="str">
        <v>Invest</v>
      </c>
    </row>
    <row r="2849" spans="95:105" ht="23.5">
      <c r="CQ2849" s="45">
        <v>2845</v>
      </c>
      <c r="CR2849" s="18">
        <v>2.6728149048531371</v>
      </c>
      <c r="CS2849" s="18" t="str">
        <v>Invest</v>
      </c>
      <c r="CU2849" s="45">
        <v>2845</v>
      </c>
      <c r="CV2849" s="18">
        <v>1.0969757413080625</v>
      </c>
      <c r="CW2849" s="18" t="str">
        <v>Invest</v>
      </c>
      <c r="CY2849" s="45">
        <v>2845</v>
      </c>
      <c r="CZ2849" s="18">
        <v>13.667092193455311</v>
      </c>
      <c r="DA2849" s="18" t="str">
        <v>Invest</v>
      </c>
    </row>
    <row r="2850" spans="95:105" ht="23.5">
      <c r="CQ2850" s="45">
        <v>2846</v>
      </c>
      <c r="CR2850" s="18">
        <v>11.799909261262838</v>
      </c>
      <c r="CS2850" s="18" t="str">
        <v>Invest</v>
      </c>
      <c r="CU2850" s="45">
        <v>2846</v>
      </c>
      <c r="CV2850" s="18">
        <v>7.9179621245236618</v>
      </c>
      <c r="CW2850" s="18" t="str">
        <v>Invest</v>
      </c>
      <c r="CY2850" s="45">
        <v>2846</v>
      </c>
      <c r="CZ2850" s="18">
        <v>30.427054820735535</v>
      </c>
      <c r="DA2850" s="18" t="str">
        <v>Invest</v>
      </c>
    </row>
    <row r="2851" spans="95:105" ht="23.5">
      <c r="CQ2851" s="45">
        <v>2847</v>
      </c>
      <c r="CR2851" s="18">
        <v>26.809114952725999</v>
      </c>
      <c r="CS2851" s="18" t="str">
        <v>Invest</v>
      </c>
      <c r="CU2851" s="45">
        <v>2847</v>
      </c>
      <c r="CV2851" s="18">
        <v>27.456474182529071</v>
      </c>
      <c r="CW2851" s="18" t="str">
        <v>Invest</v>
      </c>
      <c r="CY2851" s="45">
        <v>2847</v>
      </c>
      <c r="CZ2851" s="18">
        <v>0</v>
      </c>
      <c r="DA2851" s="18" t="str">
        <v>Nothing</v>
      </c>
    </row>
    <row r="2852" spans="95:105" ht="23.5">
      <c r="CQ2852" s="45">
        <v>2848</v>
      </c>
      <c r="CR2852" s="18">
        <v>37.997504855657006</v>
      </c>
      <c r="CS2852" s="18" t="str">
        <v>Invest</v>
      </c>
      <c r="CU2852" s="45">
        <v>2848</v>
      </c>
      <c r="CV2852" s="18">
        <v>14.128204158498242</v>
      </c>
      <c r="CW2852" s="18" t="str">
        <v>Invest</v>
      </c>
      <c r="CY2852" s="45">
        <v>2848</v>
      </c>
      <c r="CZ2852" s="18">
        <v>17.006987511956844</v>
      </c>
      <c r="DA2852" s="18" t="str">
        <v>Invest</v>
      </c>
    </row>
    <row r="2853" spans="95:105" ht="23.5">
      <c r="CQ2853" s="45">
        <v>2849</v>
      </c>
      <c r="CR2853" s="18">
        <v>19.152302687939656</v>
      </c>
      <c r="CS2853" s="18" t="str">
        <v>Invest</v>
      </c>
      <c r="CU2853" s="45">
        <v>2849</v>
      </c>
      <c r="CV2853" s="18">
        <v>27.726483358806313</v>
      </c>
      <c r="CW2853" s="18" t="str">
        <v>Invest</v>
      </c>
      <c r="CY2853" s="45">
        <v>2849</v>
      </c>
      <c r="CZ2853" s="18">
        <v>12.087889244568153</v>
      </c>
      <c r="DA2853" s="18" t="str">
        <v>Invest</v>
      </c>
    </row>
    <row r="2854" spans="95:105" ht="23.5">
      <c r="CQ2854" s="45">
        <v>2850</v>
      </c>
      <c r="CR2854" s="18">
        <v>2.6400325810595806</v>
      </c>
      <c r="CS2854" s="18" t="str">
        <v>Invest</v>
      </c>
      <c r="CU2854" s="45">
        <v>2850</v>
      </c>
      <c r="CV2854" s="18">
        <v>0</v>
      </c>
      <c r="CW2854" s="18" t="str">
        <v>Nothing</v>
      </c>
      <c r="CY2854" s="45">
        <v>2850</v>
      </c>
      <c r="CZ2854" s="18">
        <v>22.00957263844203</v>
      </c>
      <c r="DA2854" s="18" t="str">
        <v>Invest</v>
      </c>
    </row>
    <row r="2855" spans="95:105" ht="23.5">
      <c r="CQ2855" s="45">
        <v>2851</v>
      </c>
      <c r="CR2855" s="18">
        <v>21.565027973844838</v>
      </c>
      <c r="CS2855" s="18" t="str">
        <v>Invest</v>
      </c>
      <c r="CU2855" s="45">
        <v>2851</v>
      </c>
      <c r="CV2855" s="18">
        <v>17.372700837730697</v>
      </c>
      <c r="CW2855" s="18" t="str">
        <v>Invest</v>
      </c>
      <c r="CY2855" s="45">
        <v>2851</v>
      </c>
      <c r="CZ2855" s="18">
        <v>52.00463177935692</v>
      </c>
      <c r="DA2855" s="18" t="str">
        <v>Invest</v>
      </c>
    </row>
    <row r="2856" spans="95:105" ht="23.5">
      <c r="CQ2856" s="45">
        <v>2852</v>
      </c>
      <c r="CR2856" s="18">
        <v>0</v>
      </c>
      <c r="CS2856" s="18" t="str">
        <v>Nothing</v>
      </c>
      <c r="CU2856" s="45">
        <v>2852</v>
      </c>
      <c r="CV2856" s="18">
        <v>36.178528739429858</v>
      </c>
      <c r="CW2856" s="18" t="str">
        <v>Invest</v>
      </c>
      <c r="CY2856" s="45">
        <v>2852</v>
      </c>
      <c r="CZ2856" s="18">
        <v>0</v>
      </c>
      <c r="DA2856" s="18" t="str">
        <v>Nothing</v>
      </c>
    </row>
    <row r="2857" spans="95:105" ht="23.5">
      <c r="CQ2857" s="45">
        <v>2853</v>
      </c>
      <c r="CR2857" s="18">
        <v>11.031509626753934</v>
      </c>
      <c r="CS2857" s="18" t="str">
        <v>Invest</v>
      </c>
      <c r="CU2857" s="45">
        <v>2853</v>
      </c>
      <c r="CV2857" s="18">
        <v>16.27300641437995</v>
      </c>
      <c r="CW2857" s="18" t="str">
        <v>Invest</v>
      </c>
      <c r="CY2857" s="45">
        <v>2853</v>
      </c>
      <c r="CZ2857" s="18">
        <v>38.480105370527369</v>
      </c>
      <c r="DA2857" s="18" t="str">
        <v>Invest</v>
      </c>
    </row>
    <row r="2858" spans="95:105" ht="23.5">
      <c r="CQ2858" s="45">
        <v>2854</v>
      </c>
      <c r="CR2858" s="18">
        <v>21.666134364422966</v>
      </c>
      <c r="CS2858" s="18" t="str">
        <v>Invest</v>
      </c>
      <c r="CU2858" s="45">
        <v>2854</v>
      </c>
      <c r="CV2858" s="18">
        <v>6.8335745097273737</v>
      </c>
      <c r="CW2858" s="18" t="str">
        <v>Invest</v>
      </c>
      <c r="CY2858" s="45">
        <v>2854</v>
      </c>
      <c r="CZ2858" s="18">
        <v>0</v>
      </c>
      <c r="DA2858" s="18" t="str">
        <v>Nothing</v>
      </c>
    </row>
    <row r="2859" spans="95:105" ht="23.5">
      <c r="CQ2859" s="45">
        <v>2855</v>
      </c>
      <c r="CR2859" s="18">
        <v>4.8612949667152989</v>
      </c>
      <c r="CS2859" s="18" t="str">
        <v>Invest</v>
      </c>
      <c r="CU2859" s="45">
        <v>2855</v>
      </c>
      <c r="CV2859" s="18">
        <v>12.988173731581664</v>
      </c>
      <c r="CW2859" s="18" t="str">
        <v>Invest</v>
      </c>
      <c r="CY2859" s="45">
        <v>2855</v>
      </c>
      <c r="CZ2859" s="18">
        <v>8.9783846152314162</v>
      </c>
      <c r="DA2859" s="18" t="str">
        <v>Invest</v>
      </c>
    </row>
    <row r="2860" spans="95:105" ht="23.5">
      <c r="CQ2860" s="45">
        <v>2856</v>
      </c>
      <c r="CR2860" s="18">
        <v>5.4214818132504377</v>
      </c>
      <c r="CS2860" s="18" t="str">
        <v>Invest</v>
      </c>
      <c r="CU2860" s="45">
        <v>2856</v>
      </c>
      <c r="CV2860" s="18">
        <v>0</v>
      </c>
      <c r="CW2860" s="18" t="str">
        <v>Nothing</v>
      </c>
      <c r="CY2860" s="45">
        <v>2856</v>
      </c>
      <c r="CZ2860" s="18">
        <v>2.961859596350946</v>
      </c>
      <c r="DA2860" s="18" t="str">
        <v>Invest</v>
      </c>
    </row>
    <row r="2861" spans="95:105" ht="23.5">
      <c r="CQ2861" s="45">
        <v>2857</v>
      </c>
      <c r="CR2861" s="18">
        <v>0</v>
      </c>
      <c r="CS2861" s="18" t="str">
        <v>Nothing</v>
      </c>
      <c r="CU2861" s="45">
        <v>2857</v>
      </c>
      <c r="CV2861" s="18">
        <v>5.7639030196670333</v>
      </c>
      <c r="CW2861" s="18" t="str">
        <v>Invest</v>
      </c>
      <c r="CY2861" s="45">
        <v>2857</v>
      </c>
      <c r="CZ2861" s="18">
        <v>35.387542693509907</v>
      </c>
      <c r="DA2861" s="18" t="str">
        <v>Invest</v>
      </c>
    </row>
    <row r="2862" spans="95:105" ht="23.5">
      <c r="CQ2862" s="45">
        <v>2858</v>
      </c>
      <c r="CR2862" s="18">
        <v>1.836198652499931</v>
      </c>
      <c r="CS2862" s="18" t="str">
        <v>Invest</v>
      </c>
      <c r="CU2862" s="45">
        <v>2858</v>
      </c>
      <c r="CV2862" s="18">
        <v>0</v>
      </c>
      <c r="CW2862" s="18" t="str">
        <v>Nothing</v>
      </c>
      <c r="CY2862" s="45">
        <v>2858</v>
      </c>
      <c r="CZ2862" s="18">
        <v>11.524109602732295</v>
      </c>
      <c r="DA2862" s="18" t="str">
        <v>Invest</v>
      </c>
    </row>
    <row r="2863" spans="95:105" ht="23.5">
      <c r="CQ2863" s="45">
        <v>2859</v>
      </c>
      <c r="CR2863" s="18">
        <v>0.26801208889122918</v>
      </c>
      <c r="CS2863" s="18" t="str">
        <v>Invest</v>
      </c>
      <c r="CU2863" s="45">
        <v>2859</v>
      </c>
      <c r="CV2863" s="18">
        <v>6.1842989608301338</v>
      </c>
      <c r="CW2863" s="18" t="str">
        <v>Invest</v>
      </c>
      <c r="CY2863" s="45">
        <v>2859</v>
      </c>
      <c r="CZ2863" s="18">
        <v>5.3989781851015302</v>
      </c>
      <c r="DA2863" s="18" t="str">
        <v>Invest</v>
      </c>
    </row>
    <row r="2864" spans="95:105" ht="23.5">
      <c r="CQ2864" s="45">
        <v>2860</v>
      </c>
      <c r="CR2864" s="18">
        <v>49.365692330515131</v>
      </c>
      <c r="CS2864" s="18" t="str">
        <v>Invest</v>
      </c>
      <c r="CU2864" s="45">
        <v>2860</v>
      </c>
      <c r="CV2864" s="18">
        <v>14.906938255236504</v>
      </c>
      <c r="CW2864" s="18" t="str">
        <v>Invest</v>
      </c>
      <c r="CY2864" s="45">
        <v>2860</v>
      </c>
      <c r="CZ2864" s="18">
        <v>33.559696061440391</v>
      </c>
      <c r="DA2864" s="18" t="str">
        <v>Invest</v>
      </c>
    </row>
    <row r="2865" spans="95:105" ht="23.5">
      <c r="CQ2865" s="45">
        <v>2861</v>
      </c>
      <c r="CR2865" s="18">
        <v>42.827865065988462</v>
      </c>
      <c r="CS2865" s="18" t="str">
        <v>Invest</v>
      </c>
      <c r="CU2865" s="45">
        <v>2861</v>
      </c>
      <c r="CV2865" s="18">
        <v>9.7604757393465249</v>
      </c>
      <c r="CW2865" s="18" t="str">
        <v>Invest</v>
      </c>
      <c r="CY2865" s="45">
        <v>2861</v>
      </c>
      <c r="CZ2865" s="18">
        <v>1.111367944458717</v>
      </c>
      <c r="DA2865" s="18" t="str">
        <v>Invest</v>
      </c>
    </row>
    <row r="2866" spans="95:105" ht="23.5">
      <c r="CQ2866" s="45">
        <v>2862</v>
      </c>
      <c r="CR2866" s="18">
        <v>0</v>
      </c>
      <c r="CS2866" s="18" t="str">
        <v>Nothing</v>
      </c>
      <c r="CU2866" s="45">
        <v>2862</v>
      </c>
      <c r="CV2866" s="18">
        <v>8.6715646553766028</v>
      </c>
      <c r="CW2866" s="18" t="str">
        <v>Invest</v>
      </c>
      <c r="CY2866" s="45">
        <v>2862</v>
      </c>
      <c r="CZ2866" s="18">
        <v>14.453570066667709</v>
      </c>
      <c r="DA2866" s="18" t="str">
        <v>Invest</v>
      </c>
    </row>
    <row r="2867" spans="95:105" ht="23.5">
      <c r="CQ2867" s="45">
        <v>2863</v>
      </c>
      <c r="CR2867" s="18">
        <v>3.5261696406763257</v>
      </c>
      <c r="CS2867" s="18" t="str">
        <v>Invest</v>
      </c>
      <c r="CU2867" s="45">
        <v>2863</v>
      </c>
      <c r="CV2867" s="18">
        <v>0</v>
      </c>
      <c r="CW2867" s="18" t="str">
        <v>Nothing</v>
      </c>
      <c r="CY2867" s="45">
        <v>2863</v>
      </c>
      <c r="CZ2867" s="18">
        <v>0</v>
      </c>
      <c r="DA2867" s="18" t="str">
        <v>Nothing</v>
      </c>
    </row>
    <row r="2868" spans="95:105" ht="23.5">
      <c r="CQ2868" s="45">
        <v>2864</v>
      </c>
      <c r="CR2868" s="18">
        <v>15.740476950934484</v>
      </c>
      <c r="CS2868" s="18" t="str">
        <v>Invest</v>
      </c>
      <c r="CU2868" s="45">
        <v>2864</v>
      </c>
      <c r="CV2868" s="18">
        <v>48.836293534682198</v>
      </c>
      <c r="CW2868" s="18" t="str">
        <v>Invest</v>
      </c>
      <c r="CY2868" s="45">
        <v>2864</v>
      </c>
      <c r="CZ2868" s="18">
        <v>24.139330645227737</v>
      </c>
      <c r="DA2868" s="18" t="str">
        <v>Invest</v>
      </c>
    </row>
    <row r="2869" spans="95:105" ht="23.5">
      <c r="CQ2869" s="45">
        <v>2865</v>
      </c>
      <c r="CR2869" s="18">
        <v>54.247150041077006</v>
      </c>
      <c r="CS2869" s="18" t="str">
        <v>Invest</v>
      </c>
      <c r="CU2869" s="45">
        <v>2865</v>
      </c>
      <c r="CV2869" s="18">
        <v>0</v>
      </c>
      <c r="CW2869" s="18" t="str">
        <v>Nothing</v>
      </c>
      <c r="CY2869" s="45">
        <v>2865</v>
      </c>
      <c r="CZ2869" s="18">
        <v>24.794820419825541</v>
      </c>
      <c r="DA2869" s="18" t="str">
        <v>Invest</v>
      </c>
    </row>
    <row r="2870" spans="95:105" ht="23.5">
      <c r="CQ2870" s="45">
        <v>2866</v>
      </c>
      <c r="CR2870" s="18">
        <v>20.489754138222121</v>
      </c>
      <c r="CS2870" s="18" t="str">
        <v>Invest</v>
      </c>
      <c r="CU2870" s="45">
        <v>2866</v>
      </c>
      <c r="CV2870" s="18">
        <v>0</v>
      </c>
      <c r="CW2870" s="18" t="str">
        <v>Nothing</v>
      </c>
      <c r="CY2870" s="45">
        <v>2866</v>
      </c>
      <c r="CZ2870" s="18">
        <v>21.220733847678183</v>
      </c>
      <c r="DA2870" s="18" t="str">
        <v>Invest</v>
      </c>
    </row>
    <row r="2871" spans="95:105" ht="23.5">
      <c r="CQ2871" s="45">
        <v>2867</v>
      </c>
      <c r="CR2871" s="18">
        <v>23.252045269202561</v>
      </c>
      <c r="CS2871" s="18" t="str">
        <v>Invest</v>
      </c>
      <c r="CU2871" s="45">
        <v>2867</v>
      </c>
      <c r="CV2871" s="18">
        <v>44.80273355382981</v>
      </c>
      <c r="CW2871" s="18" t="str">
        <v>Invest</v>
      </c>
      <c r="CY2871" s="45">
        <v>2867</v>
      </c>
      <c r="CZ2871" s="18">
        <v>18.856630114120904</v>
      </c>
      <c r="DA2871" s="18" t="str">
        <v>Invest</v>
      </c>
    </row>
    <row r="2872" spans="95:105" ht="23.5">
      <c r="CQ2872" s="45">
        <v>2868</v>
      </c>
      <c r="CR2872" s="18">
        <v>11.341770955438024</v>
      </c>
      <c r="CS2872" s="18" t="str">
        <v>Invest</v>
      </c>
      <c r="CU2872" s="45">
        <v>2868</v>
      </c>
      <c r="CV2872" s="18">
        <v>0</v>
      </c>
      <c r="CW2872" s="18" t="str">
        <v>Nothing</v>
      </c>
      <c r="CY2872" s="45">
        <v>2868</v>
      </c>
      <c r="CZ2872" s="18">
        <v>0</v>
      </c>
      <c r="DA2872" s="18" t="str">
        <v>Nothing</v>
      </c>
    </row>
    <row r="2873" spans="95:105" ht="23.5">
      <c r="CQ2873" s="45">
        <v>2869</v>
      </c>
      <c r="CR2873" s="18">
        <v>36.625588119450228</v>
      </c>
      <c r="CS2873" s="18" t="str">
        <v>Invest</v>
      </c>
      <c r="CU2873" s="45">
        <v>2869</v>
      </c>
      <c r="CV2873" s="18">
        <v>18.594342661960802</v>
      </c>
      <c r="CW2873" s="18" t="str">
        <v>Invest</v>
      </c>
      <c r="CY2873" s="45">
        <v>2869</v>
      </c>
      <c r="CZ2873" s="18">
        <v>4.200621194894067</v>
      </c>
      <c r="DA2873" s="18" t="str">
        <v>Invest</v>
      </c>
    </row>
    <row r="2874" spans="95:105" ht="23.5">
      <c r="CQ2874" s="45">
        <v>2870</v>
      </c>
      <c r="CR2874" s="18">
        <v>45.602582584336851</v>
      </c>
      <c r="CS2874" s="18" t="str">
        <v>Invest</v>
      </c>
      <c r="CU2874" s="45">
        <v>2870</v>
      </c>
      <c r="CV2874" s="18">
        <v>0</v>
      </c>
      <c r="CW2874" s="18" t="str">
        <v>Nothing</v>
      </c>
      <c r="CY2874" s="45">
        <v>2870</v>
      </c>
      <c r="CZ2874" s="18">
        <v>31.773506902966247</v>
      </c>
      <c r="DA2874" s="18" t="str">
        <v>Invest</v>
      </c>
    </row>
    <row r="2875" spans="95:105" ht="23.5">
      <c r="CQ2875" s="45">
        <v>2871</v>
      </c>
      <c r="CR2875" s="18">
        <v>9.0689690223726132</v>
      </c>
      <c r="CS2875" s="18" t="str">
        <v>Invest</v>
      </c>
      <c r="CU2875" s="45">
        <v>2871</v>
      </c>
      <c r="CV2875" s="18">
        <v>38.512463850671452</v>
      </c>
      <c r="CW2875" s="18" t="str">
        <v>Invest</v>
      </c>
      <c r="CY2875" s="45">
        <v>2871</v>
      </c>
      <c r="CZ2875" s="18">
        <v>29.589847851140579</v>
      </c>
      <c r="DA2875" s="18" t="str">
        <v>Invest</v>
      </c>
    </row>
    <row r="2876" spans="95:105" ht="23.5">
      <c r="CQ2876" s="45">
        <v>2872</v>
      </c>
      <c r="CR2876" s="18">
        <v>0</v>
      </c>
      <c r="CS2876" s="18" t="str">
        <v>Nothing</v>
      </c>
      <c r="CU2876" s="45">
        <v>2872</v>
      </c>
      <c r="CV2876" s="18">
        <v>18.123947612120908</v>
      </c>
      <c r="CW2876" s="18" t="str">
        <v>Invest</v>
      </c>
      <c r="CY2876" s="45">
        <v>2872</v>
      </c>
      <c r="CZ2876" s="18">
        <v>33.210284230974572</v>
      </c>
      <c r="DA2876" s="18" t="str">
        <v>Invest</v>
      </c>
    </row>
    <row r="2877" spans="95:105" ht="23.5">
      <c r="CQ2877" s="45">
        <v>2873</v>
      </c>
      <c r="CR2877" s="18">
        <v>12.474063315274124</v>
      </c>
      <c r="CS2877" s="18" t="str">
        <v>Invest</v>
      </c>
      <c r="CU2877" s="45">
        <v>2873</v>
      </c>
      <c r="CV2877" s="18">
        <v>2.0511618337552688</v>
      </c>
      <c r="CW2877" s="18" t="str">
        <v>Invest</v>
      </c>
      <c r="CY2877" s="45">
        <v>2873</v>
      </c>
      <c r="CZ2877" s="18">
        <v>26.65649057835487</v>
      </c>
      <c r="DA2877" s="18" t="str">
        <v>Invest</v>
      </c>
    </row>
    <row r="2878" spans="95:105" ht="23.5">
      <c r="CQ2878" s="45">
        <v>2874</v>
      </c>
      <c r="CR2878" s="18">
        <v>51.706781647088206</v>
      </c>
      <c r="CS2878" s="18" t="str">
        <v>Invest</v>
      </c>
      <c r="CU2878" s="45">
        <v>2874</v>
      </c>
      <c r="CV2878" s="18">
        <v>20.249349328552267</v>
      </c>
      <c r="CW2878" s="18" t="str">
        <v>Invest</v>
      </c>
      <c r="CY2878" s="45">
        <v>2874</v>
      </c>
      <c r="CZ2878" s="18">
        <v>9.2956830361321661</v>
      </c>
      <c r="DA2878" s="18" t="str">
        <v>Invest</v>
      </c>
    </row>
    <row r="2879" spans="95:105" ht="23.5">
      <c r="CQ2879" s="45">
        <v>2875</v>
      </c>
      <c r="CR2879" s="18">
        <v>36.500837556870259</v>
      </c>
      <c r="CS2879" s="18" t="str">
        <v>Invest</v>
      </c>
      <c r="CU2879" s="45">
        <v>2875</v>
      </c>
      <c r="CV2879" s="18">
        <v>6.2767234506601683</v>
      </c>
      <c r="CW2879" s="18" t="str">
        <v>Invest</v>
      </c>
      <c r="CY2879" s="45">
        <v>2875</v>
      </c>
      <c r="CZ2879" s="18">
        <v>0</v>
      </c>
      <c r="DA2879" s="18" t="str">
        <v>Nothing</v>
      </c>
    </row>
    <row r="2880" spans="95:105" ht="23.5">
      <c r="CQ2880" s="45">
        <v>2876</v>
      </c>
      <c r="CR2880" s="18">
        <v>0</v>
      </c>
      <c r="CS2880" s="18" t="str">
        <v>Nothing</v>
      </c>
      <c r="CU2880" s="45">
        <v>2876</v>
      </c>
      <c r="CV2880" s="18">
        <v>0</v>
      </c>
      <c r="CW2880" s="18" t="str">
        <v>Nothing</v>
      </c>
      <c r="CY2880" s="45">
        <v>2876</v>
      </c>
      <c r="CZ2880" s="18">
        <v>31.245394481026601</v>
      </c>
      <c r="DA2880" s="18" t="str">
        <v>Invest</v>
      </c>
    </row>
    <row r="2881" spans="95:105" ht="23.5">
      <c r="CQ2881" s="45">
        <v>2877</v>
      </c>
      <c r="CR2881" s="18">
        <v>44.104731792116709</v>
      </c>
      <c r="CS2881" s="18" t="str">
        <v>Invest</v>
      </c>
      <c r="CU2881" s="45">
        <v>2877</v>
      </c>
      <c r="CV2881" s="18">
        <v>0</v>
      </c>
      <c r="CW2881" s="18" t="str">
        <v>Nothing</v>
      </c>
      <c r="CY2881" s="45">
        <v>2877</v>
      </c>
      <c r="CZ2881" s="18">
        <v>7.3824435628559435</v>
      </c>
      <c r="DA2881" s="18" t="str">
        <v>Invest</v>
      </c>
    </row>
    <row r="2882" spans="95:105" ht="23.5">
      <c r="CQ2882" s="45">
        <v>2878</v>
      </c>
      <c r="CR2882" s="18">
        <v>12.406922275776088</v>
      </c>
      <c r="CS2882" s="18" t="str">
        <v>Invest</v>
      </c>
      <c r="CU2882" s="45">
        <v>2878</v>
      </c>
      <c r="CV2882" s="18">
        <v>15.679992602920452</v>
      </c>
      <c r="CW2882" s="18" t="str">
        <v>Invest</v>
      </c>
      <c r="CY2882" s="45">
        <v>2878</v>
      </c>
      <c r="CZ2882" s="18">
        <v>19.915701265533706</v>
      </c>
      <c r="DA2882" s="18" t="str">
        <v>Invest</v>
      </c>
    </row>
    <row r="2883" spans="95:105" ht="23.5">
      <c r="CQ2883" s="45">
        <v>2879</v>
      </c>
      <c r="CR2883" s="18">
        <v>1.0013728327752212</v>
      </c>
      <c r="CS2883" s="18" t="str">
        <v>Invest</v>
      </c>
      <c r="CU2883" s="45">
        <v>2879</v>
      </c>
      <c r="CV2883" s="18">
        <v>0</v>
      </c>
      <c r="CW2883" s="18" t="str">
        <v>Nothing</v>
      </c>
      <c r="CY2883" s="45">
        <v>2879</v>
      </c>
      <c r="CZ2883" s="18">
        <v>23.286262650253835</v>
      </c>
      <c r="DA2883" s="18" t="str">
        <v>Invest</v>
      </c>
    </row>
    <row r="2884" spans="95:105" ht="23.5">
      <c r="CQ2884" s="45">
        <v>2880</v>
      </c>
      <c r="CR2884" s="18">
        <v>0</v>
      </c>
      <c r="CS2884" s="18" t="str">
        <v>Nothing</v>
      </c>
      <c r="CU2884" s="45">
        <v>2880</v>
      </c>
      <c r="CV2884" s="18">
        <v>0</v>
      </c>
      <c r="CW2884" s="18" t="str">
        <v>Nothing</v>
      </c>
      <c r="CY2884" s="45">
        <v>2880</v>
      </c>
      <c r="CZ2884" s="18">
        <v>27.719691528232698</v>
      </c>
      <c r="DA2884" s="18" t="str">
        <v>Invest</v>
      </c>
    </row>
    <row r="2885" spans="95:105" ht="23.5">
      <c r="CQ2885" s="45">
        <v>2881</v>
      </c>
      <c r="CR2885" s="18">
        <v>6.0254085845345635</v>
      </c>
      <c r="CS2885" s="18" t="str">
        <v>Invest</v>
      </c>
      <c r="CU2885" s="45">
        <v>2881</v>
      </c>
      <c r="CV2885" s="18">
        <v>29.863101721442284</v>
      </c>
      <c r="CW2885" s="18" t="str">
        <v>Invest</v>
      </c>
      <c r="CY2885" s="45">
        <v>2881</v>
      </c>
      <c r="CZ2885" s="18">
        <v>17.970692277476907</v>
      </c>
      <c r="DA2885" s="18" t="str">
        <v>Invest</v>
      </c>
    </row>
    <row r="2886" spans="95:105" ht="23.5">
      <c r="CQ2886" s="45">
        <v>2882</v>
      </c>
      <c r="CR2886" s="18">
        <v>0</v>
      </c>
      <c r="CS2886" s="18" t="str">
        <v>Nothing</v>
      </c>
      <c r="CU2886" s="45">
        <v>2882</v>
      </c>
      <c r="CV2886" s="18">
        <v>0</v>
      </c>
      <c r="CW2886" s="18" t="str">
        <v>Nothing</v>
      </c>
      <c r="CY2886" s="45">
        <v>2882</v>
      </c>
      <c r="CZ2886" s="18">
        <v>7.1367751175403171</v>
      </c>
      <c r="DA2886" s="18" t="str">
        <v>Invest</v>
      </c>
    </row>
    <row r="2887" spans="95:105" ht="23.5">
      <c r="CQ2887" s="45">
        <v>2883</v>
      </c>
      <c r="CR2887" s="18">
        <v>9.6724356669985472</v>
      </c>
      <c r="CS2887" s="18" t="str">
        <v>Invest</v>
      </c>
      <c r="CU2887" s="45">
        <v>2883</v>
      </c>
      <c r="CV2887" s="18">
        <v>27.079219182031167</v>
      </c>
      <c r="CW2887" s="18" t="str">
        <v>Invest</v>
      </c>
      <c r="CY2887" s="45">
        <v>2883</v>
      </c>
      <c r="CZ2887" s="18">
        <v>39.450139236809484</v>
      </c>
      <c r="DA2887" s="18" t="str">
        <v>Invest</v>
      </c>
    </row>
    <row r="2888" spans="95:105" ht="23.5">
      <c r="CQ2888" s="45">
        <v>2884</v>
      </c>
      <c r="CR2888" s="18">
        <v>11.944241098268172</v>
      </c>
      <c r="CS2888" s="18" t="str">
        <v>Invest</v>
      </c>
      <c r="CU2888" s="45">
        <v>2884</v>
      </c>
      <c r="CV2888" s="18">
        <v>0</v>
      </c>
      <c r="CW2888" s="18" t="str">
        <v>Nothing</v>
      </c>
      <c r="CY2888" s="45">
        <v>2884</v>
      </c>
      <c r="CZ2888" s="18">
        <v>0</v>
      </c>
      <c r="DA2888" s="18" t="str">
        <v>Nothing</v>
      </c>
    </row>
    <row r="2889" spans="95:105" ht="23.5">
      <c r="CQ2889" s="45">
        <v>2885</v>
      </c>
      <c r="CR2889" s="18">
        <v>43.120564078032459</v>
      </c>
      <c r="CS2889" s="18" t="str">
        <v>Invest</v>
      </c>
      <c r="CU2889" s="45">
        <v>2885</v>
      </c>
      <c r="CV2889" s="18">
        <v>9.7305629414650756</v>
      </c>
      <c r="CW2889" s="18" t="str">
        <v>Invest</v>
      </c>
      <c r="CY2889" s="45">
        <v>2885</v>
      </c>
      <c r="CZ2889" s="18">
        <v>0</v>
      </c>
      <c r="DA2889" s="18" t="str">
        <v>Nothing</v>
      </c>
    </row>
    <row r="2890" spans="95:105" ht="23.5">
      <c r="CQ2890" s="45">
        <v>2886</v>
      </c>
      <c r="CR2890" s="18">
        <v>0</v>
      </c>
      <c r="CS2890" s="18" t="str">
        <v>Nothing</v>
      </c>
      <c r="CU2890" s="45">
        <v>2886</v>
      </c>
      <c r="CV2890" s="18">
        <v>39.390438400562374</v>
      </c>
      <c r="CW2890" s="18" t="str">
        <v>Invest</v>
      </c>
      <c r="CY2890" s="45">
        <v>2886</v>
      </c>
      <c r="CZ2890" s="18">
        <v>25.901750002422947</v>
      </c>
      <c r="DA2890" s="18" t="str">
        <v>Invest</v>
      </c>
    </row>
    <row r="2891" spans="95:105" ht="23.5">
      <c r="CQ2891" s="45">
        <v>2887</v>
      </c>
      <c r="CR2891" s="18">
        <v>34.811623673501423</v>
      </c>
      <c r="CS2891" s="18" t="str">
        <v>Invest</v>
      </c>
      <c r="CU2891" s="45">
        <v>2887</v>
      </c>
      <c r="CV2891" s="18">
        <v>0</v>
      </c>
      <c r="CW2891" s="18" t="str">
        <v>Nothing</v>
      </c>
      <c r="CY2891" s="45">
        <v>2887</v>
      </c>
      <c r="CZ2891" s="18">
        <v>4.828528850685883</v>
      </c>
      <c r="DA2891" s="18" t="str">
        <v>Invest</v>
      </c>
    </row>
    <row r="2892" spans="95:105" ht="23.5">
      <c r="CQ2892" s="45">
        <v>2888</v>
      </c>
      <c r="CR2892" s="18">
        <v>14.745822715785017</v>
      </c>
      <c r="CS2892" s="18" t="str">
        <v>Invest</v>
      </c>
      <c r="CU2892" s="45">
        <v>2888</v>
      </c>
      <c r="CV2892" s="18">
        <v>0</v>
      </c>
      <c r="CW2892" s="18" t="str">
        <v>Nothing</v>
      </c>
      <c r="CY2892" s="45">
        <v>2888</v>
      </c>
      <c r="CZ2892" s="18">
        <v>38.58847370526658</v>
      </c>
      <c r="DA2892" s="18" t="str">
        <v>Invest</v>
      </c>
    </row>
    <row r="2893" spans="95:105" ht="23.5">
      <c r="CQ2893" s="45">
        <v>2889</v>
      </c>
      <c r="CR2893" s="18">
        <v>0</v>
      </c>
      <c r="CS2893" s="18" t="str">
        <v>Nothing</v>
      </c>
      <c r="CU2893" s="45">
        <v>2889</v>
      </c>
      <c r="CV2893" s="18">
        <v>5.0806343316718516</v>
      </c>
      <c r="CW2893" s="18" t="str">
        <v>Invest</v>
      </c>
      <c r="CY2893" s="45">
        <v>2889</v>
      </c>
      <c r="CZ2893" s="18">
        <v>13.204160461414553</v>
      </c>
      <c r="DA2893" s="18" t="str">
        <v>Invest</v>
      </c>
    </row>
    <row r="2894" spans="95:105" ht="23.5">
      <c r="CQ2894" s="45">
        <v>2890</v>
      </c>
      <c r="CR2894" s="18">
        <v>12.373836759015692</v>
      </c>
      <c r="CS2894" s="18" t="str">
        <v>Invest</v>
      </c>
      <c r="CU2894" s="45">
        <v>2890</v>
      </c>
      <c r="CV2894" s="18">
        <v>0</v>
      </c>
      <c r="CW2894" s="18" t="str">
        <v>Nothing</v>
      </c>
      <c r="CY2894" s="45">
        <v>2890</v>
      </c>
      <c r="CZ2894" s="18">
        <v>40.913358074809359</v>
      </c>
      <c r="DA2894" s="18" t="str">
        <v>Invest</v>
      </c>
    </row>
    <row r="2895" spans="95:105" ht="23.5">
      <c r="CQ2895" s="45">
        <v>2891</v>
      </c>
      <c r="CR2895" s="18">
        <v>29.423991882737557</v>
      </c>
      <c r="CS2895" s="18" t="str">
        <v>Invest</v>
      </c>
      <c r="CU2895" s="45">
        <v>2891</v>
      </c>
      <c r="CV2895" s="18">
        <v>4.5090474068805513</v>
      </c>
      <c r="CW2895" s="18" t="str">
        <v>Invest</v>
      </c>
      <c r="CY2895" s="45">
        <v>2891</v>
      </c>
      <c r="CZ2895" s="18">
        <v>0</v>
      </c>
      <c r="DA2895" s="18" t="str">
        <v>Nothing</v>
      </c>
    </row>
    <row r="2896" spans="95:105" ht="23.5">
      <c r="CQ2896" s="45">
        <v>2892</v>
      </c>
      <c r="CR2896" s="18">
        <v>16.929839341286872</v>
      </c>
      <c r="CS2896" s="18" t="str">
        <v>Invest</v>
      </c>
      <c r="CU2896" s="45">
        <v>2892</v>
      </c>
      <c r="CV2896" s="18">
        <v>0.27498916428939424</v>
      </c>
      <c r="CW2896" s="18" t="str">
        <v>Invest</v>
      </c>
      <c r="CY2896" s="45">
        <v>2892</v>
      </c>
      <c r="CZ2896" s="18">
        <v>0</v>
      </c>
      <c r="DA2896" s="18" t="str">
        <v>Nothing</v>
      </c>
    </row>
    <row r="2897" spans="95:105" ht="23.5">
      <c r="CQ2897" s="45">
        <v>2893</v>
      </c>
      <c r="CR2897" s="18">
        <v>51.352058418362049</v>
      </c>
      <c r="CS2897" s="18" t="str">
        <v>Invest</v>
      </c>
      <c r="CU2897" s="45">
        <v>2893</v>
      </c>
      <c r="CV2897" s="18">
        <v>17.073851477996961</v>
      </c>
      <c r="CW2897" s="18" t="str">
        <v>Invest</v>
      </c>
      <c r="CY2897" s="45">
        <v>2893</v>
      </c>
      <c r="CZ2897" s="18">
        <v>44.363829515071217</v>
      </c>
      <c r="DA2897" s="18" t="str">
        <v>Invest</v>
      </c>
    </row>
    <row r="2898" spans="95:105" ht="23.5">
      <c r="CQ2898" s="45">
        <v>2894</v>
      </c>
      <c r="CR2898" s="18">
        <v>27.85665700446771</v>
      </c>
      <c r="CS2898" s="18" t="str">
        <v>Invest</v>
      </c>
      <c r="CU2898" s="45">
        <v>2894</v>
      </c>
      <c r="CV2898" s="18">
        <v>10.239234716957045</v>
      </c>
      <c r="CW2898" s="18" t="str">
        <v>Invest</v>
      </c>
      <c r="CY2898" s="45">
        <v>2894</v>
      </c>
      <c r="CZ2898" s="18">
        <v>34.809509336892191</v>
      </c>
      <c r="DA2898" s="18" t="str">
        <v>Invest</v>
      </c>
    </row>
    <row r="2899" spans="95:105" ht="23.5">
      <c r="CQ2899" s="45">
        <v>2895</v>
      </c>
      <c r="CR2899" s="18">
        <v>19.923650164943311</v>
      </c>
      <c r="CS2899" s="18" t="str">
        <v>Invest</v>
      </c>
      <c r="CU2899" s="45">
        <v>2895</v>
      </c>
      <c r="CV2899" s="18">
        <v>0</v>
      </c>
      <c r="CW2899" s="18" t="str">
        <v>Nothing</v>
      </c>
      <c r="CY2899" s="45">
        <v>2895</v>
      </c>
      <c r="CZ2899" s="18">
        <v>60.488801683898004</v>
      </c>
      <c r="DA2899" s="18" t="str">
        <v>Invest</v>
      </c>
    </row>
    <row r="2900" spans="95:105" ht="23.5">
      <c r="CQ2900" s="45">
        <v>2896</v>
      </c>
      <c r="CR2900" s="18">
        <v>18.934622347194832</v>
      </c>
      <c r="CS2900" s="18" t="str">
        <v>Invest</v>
      </c>
      <c r="CU2900" s="45">
        <v>2896</v>
      </c>
      <c r="CV2900" s="18">
        <v>0</v>
      </c>
      <c r="CW2900" s="18" t="str">
        <v>Nothing</v>
      </c>
      <c r="CY2900" s="45">
        <v>2896</v>
      </c>
      <c r="CZ2900" s="18">
        <v>11.302021951396796</v>
      </c>
      <c r="DA2900" s="18" t="str">
        <v>Invest</v>
      </c>
    </row>
    <row r="2901" spans="95:105" ht="23.5">
      <c r="CQ2901" s="45">
        <v>2897</v>
      </c>
      <c r="CR2901" s="18">
        <v>36.036411006993269</v>
      </c>
      <c r="CS2901" s="18" t="str">
        <v>Invest</v>
      </c>
      <c r="CU2901" s="45">
        <v>2897</v>
      </c>
      <c r="CV2901" s="18">
        <v>20.326361267600017</v>
      </c>
      <c r="CW2901" s="18" t="str">
        <v>Invest</v>
      </c>
      <c r="CY2901" s="45">
        <v>2897</v>
      </c>
      <c r="CZ2901" s="18">
        <v>24.349305013053986</v>
      </c>
      <c r="DA2901" s="18" t="str">
        <v>Invest</v>
      </c>
    </row>
    <row r="2902" spans="95:105" ht="23.5">
      <c r="CQ2902" s="45">
        <v>2898</v>
      </c>
      <c r="CR2902" s="18">
        <v>0</v>
      </c>
      <c r="CS2902" s="18" t="str">
        <v>Nothing</v>
      </c>
      <c r="CU2902" s="45">
        <v>2898</v>
      </c>
      <c r="CV2902" s="18">
        <v>33.099400260762522</v>
      </c>
      <c r="CW2902" s="18" t="str">
        <v>Invest</v>
      </c>
      <c r="CY2902" s="45">
        <v>2898</v>
      </c>
      <c r="CZ2902" s="18">
        <v>38.812080615678447</v>
      </c>
      <c r="DA2902" s="18" t="str">
        <v>Invest</v>
      </c>
    </row>
    <row r="2903" spans="95:105" ht="23.5">
      <c r="CQ2903" s="45">
        <v>2899</v>
      </c>
      <c r="CR2903" s="18">
        <v>36.515851655257521</v>
      </c>
      <c r="CS2903" s="18" t="str">
        <v>Invest</v>
      </c>
      <c r="CU2903" s="45">
        <v>2899</v>
      </c>
      <c r="CV2903" s="18">
        <v>42.002258053756819</v>
      </c>
      <c r="CW2903" s="18" t="str">
        <v>Invest</v>
      </c>
      <c r="CY2903" s="45">
        <v>2899</v>
      </c>
      <c r="CZ2903" s="18">
        <v>13.475472411389262</v>
      </c>
      <c r="DA2903" s="18" t="str">
        <v>Invest</v>
      </c>
    </row>
    <row r="2904" spans="95:105" ht="23.5">
      <c r="CQ2904" s="45">
        <v>2900</v>
      </c>
      <c r="CR2904" s="18">
        <v>48.165297359509466</v>
      </c>
      <c r="CS2904" s="18" t="str">
        <v>Invest</v>
      </c>
      <c r="CU2904" s="45">
        <v>2900</v>
      </c>
      <c r="CV2904" s="18">
        <v>11.593870087857972</v>
      </c>
      <c r="CW2904" s="18" t="str">
        <v>Invest</v>
      </c>
      <c r="CY2904" s="45">
        <v>2900</v>
      </c>
      <c r="CZ2904" s="18">
        <v>0</v>
      </c>
      <c r="DA2904" s="18" t="str">
        <v>Nothing</v>
      </c>
    </row>
    <row r="2905" spans="95:105" ht="23.5">
      <c r="CQ2905" s="45">
        <v>2901</v>
      </c>
      <c r="CR2905" s="18">
        <v>1.7815541693506791</v>
      </c>
      <c r="CS2905" s="18" t="str">
        <v>Invest</v>
      </c>
      <c r="CU2905" s="45">
        <v>2901</v>
      </c>
      <c r="CV2905" s="18">
        <v>3.2064967640873645</v>
      </c>
      <c r="CW2905" s="18" t="str">
        <v>Invest</v>
      </c>
      <c r="CY2905" s="45">
        <v>2901</v>
      </c>
      <c r="CZ2905" s="18">
        <v>54.592227921592283</v>
      </c>
      <c r="DA2905" s="18" t="str">
        <v>Invest</v>
      </c>
    </row>
    <row r="2906" spans="95:105" ht="23.5">
      <c r="CQ2906" s="45">
        <v>2902</v>
      </c>
      <c r="CR2906" s="18">
        <v>0</v>
      </c>
      <c r="CS2906" s="18" t="str">
        <v>Nothing</v>
      </c>
      <c r="CU2906" s="45">
        <v>2902</v>
      </c>
      <c r="CV2906" s="18">
        <v>4.9438969303564946</v>
      </c>
      <c r="CW2906" s="18" t="str">
        <v>Invest</v>
      </c>
      <c r="CY2906" s="45">
        <v>2902</v>
      </c>
      <c r="CZ2906" s="18">
        <v>23.66486866790305</v>
      </c>
      <c r="DA2906" s="18" t="str">
        <v>Invest</v>
      </c>
    </row>
    <row r="2907" spans="95:105" ht="23.5">
      <c r="CQ2907" s="45">
        <v>2903</v>
      </c>
      <c r="CR2907" s="18">
        <v>7.9818989639432001</v>
      </c>
      <c r="CS2907" s="18" t="str">
        <v>Invest</v>
      </c>
      <c r="CU2907" s="45">
        <v>2903</v>
      </c>
      <c r="CV2907" s="18">
        <v>10.968594009297441</v>
      </c>
      <c r="CW2907" s="18" t="str">
        <v>Invest</v>
      </c>
      <c r="CY2907" s="45">
        <v>2903</v>
      </c>
      <c r="CZ2907" s="18">
        <v>0</v>
      </c>
      <c r="DA2907" s="18" t="str">
        <v>Nothing</v>
      </c>
    </row>
    <row r="2908" spans="95:105" ht="23.5">
      <c r="CQ2908" s="45">
        <v>2904</v>
      </c>
      <c r="CR2908" s="18">
        <v>21.323678389314381</v>
      </c>
      <c r="CS2908" s="18" t="str">
        <v>Invest</v>
      </c>
      <c r="CU2908" s="45">
        <v>2904</v>
      </c>
      <c r="CV2908" s="18">
        <v>23.779859301828061</v>
      </c>
      <c r="CW2908" s="18" t="str">
        <v>Invest</v>
      </c>
      <c r="CY2908" s="45">
        <v>2904</v>
      </c>
      <c r="CZ2908" s="18">
        <v>24.459491889717992</v>
      </c>
      <c r="DA2908" s="18" t="str">
        <v>Invest</v>
      </c>
    </row>
    <row r="2909" spans="95:105" ht="23.5">
      <c r="CQ2909" s="45">
        <v>2905</v>
      </c>
      <c r="CR2909" s="18">
        <v>13.545098679469035</v>
      </c>
      <c r="CS2909" s="18" t="str">
        <v>Invest</v>
      </c>
      <c r="CU2909" s="45">
        <v>2905</v>
      </c>
      <c r="CV2909" s="18">
        <v>10.242533050805886</v>
      </c>
      <c r="CW2909" s="18" t="str">
        <v>Invest</v>
      </c>
      <c r="CY2909" s="45">
        <v>2905</v>
      </c>
      <c r="CZ2909" s="18">
        <v>7.1692758393140057</v>
      </c>
      <c r="DA2909" s="18" t="str">
        <v>Invest</v>
      </c>
    </row>
    <row r="2910" spans="95:105" ht="23.5">
      <c r="CQ2910" s="45">
        <v>2906</v>
      </c>
      <c r="CR2910" s="18">
        <v>0</v>
      </c>
      <c r="CS2910" s="18" t="str">
        <v>Nothing</v>
      </c>
      <c r="CU2910" s="45">
        <v>2906</v>
      </c>
      <c r="CV2910" s="18">
        <v>22.257744354525457</v>
      </c>
      <c r="CW2910" s="18" t="str">
        <v>Invest</v>
      </c>
      <c r="CY2910" s="45">
        <v>2906</v>
      </c>
      <c r="CZ2910" s="18">
        <v>11.843088491708547</v>
      </c>
      <c r="DA2910" s="18" t="str">
        <v>Invest</v>
      </c>
    </row>
    <row r="2911" spans="95:105" ht="23.5">
      <c r="CQ2911" s="45">
        <v>2907</v>
      </c>
      <c r="CR2911" s="18">
        <v>49.490368432605749</v>
      </c>
      <c r="CS2911" s="18" t="str">
        <v>Invest</v>
      </c>
      <c r="CU2911" s="45">
        <v>2907</v>
      </c>
      <c r="CV2911" s="18">
        <v>23.583674748131582</v>
      </c>
      <c r="CW2911" s="18" t="str">
        <v>Invest</v>
      </c>
      <c r="CY2911" s="45">
        <v>2907</v>
      </c>
      <c r="CZ2911" s="18">
        <v>36.940229351969563</v>
      </c>
      <c r="DA2911" s="18" t="str">
        <v>Invest</v>
      </c>
    </row>
    <row r="2912" spans="95:105" ht="23.5">
      <c r="CQ2912" s="45">
        <v>2908</v>
      </c>
      <c r="CR2912" s="18">
        <v>0</v>
      </c>
      <c r="CS2912" s="18" t="str">
        <v>Nothing</v>
      </c>
      <c r="CU2912" s="45">
        <v>2908</v>
      </c>
      <c r="CV2912" s="18">
        <v>41.266102459458224</v>
      </c>
      <c r="CW2912" s="18" t="str">
        <v>Invest</v>
      </c>
      <c r="CY2912" s="45">
        <v>2908</v>
      </c>
      <c r="CZ2912" s="18">
        <v>8.9353223501042933</v>
      </c>
      <c r="DA2912" s="18" t="str">
        <v>Invest</v>
      </c>
    </row>
    <row r="2913" spans="95:105" ht="23.5">
      <c r="CQ2913" s="45">
        <v>2909</v>
      </c>
      <c r="CR2913" s="18">
        <v>14.392591571397933</v>
      </c>
      <c r="CS2913" s="18" t="str">
        <v>Invest</v>
      </c>
      <c r="CU2913" s="45">
        <v>2909</v>
      </c>
      <c r="CV2913" s="18">
        <v>16.687065942708614</v>
      </c>
      <c r="CW2913" s="18" t="str">
        <v>Invest</v>
      </c>
      <c r="CY2913" s="45">
        <v>2909</v>
      </c>
      <c r="CZ2913" s="18">
        <v>57.657795926153455</v>
      </c>
      <c r="DA2913" s="18" t="str">
        <v>Invest</v>
      </c>
    </row>
    <row r="2914" spans="95:105" ht="23.5">
      <c r="CQ2914" s="45">
        <v>2910</v>
      </c>
      <c r="CR2914" s="18">
        <v>0</v>
      </c>
      <c r="CS2914" s="18" t="str">
        <v>Nothing</v>
      </c>
      <c r="CU2914" s="45">
        <v>2910</v>
      </c>
      <c r="CV2914" s="18">
        <v>0</v>
      </c>
      <c r="CW2914" s="18" t="str">
        <v>Nothing</v>
      </c>
      <c r="CY2914" s="45">
        <v>2910</v>
      </c>
      <c r="CZ2914" s="18">
        <v>56.29914217194375</v>
      </c>
      <c r="DA2914" s="18" t="str">
        <v>Invest</v>
      </c>
    </row>
    <row r="2915" spans="95:105" ht="23.5">
      <c r="CQ2915" s="45">
        <v>2911</v>
      </c>
      <c r="CR2915" s="18">
        <v>21.246957886858993</v>
      </c>
      <c r="CS2915" s="18" t="str">
        <v>Invest</v>
      </c>
      <c r="CU2915" s="45">
        <v>2911</v>
      </c>
      <c r="CV2915" s="18">
        <v>7.9212400557736284</v>
      </c>
      <c r="CW2915" s="18" t="str">
        <v>Invest</v>
      </c>
      <c r="CY2915" s="45">
        <v>2911</v>
      </c>
      <c r="CZ2915" s="18">
        <v>31.163645766029518</v>
      </c>
      <c r="DA2915" s="18" t="str">
        <v>Invest</v>
      </c>
    </row>
    <row r="2916" spans="95:105" ht="23.5">
      <c r="CQ2916" s="45">
        <v>2912</v>
      </c>
      <c r="CR2916" s="18">
        <v>33.414285553756272</v>
      </c>
      <c r="CS2916" s="18" t="str">
        <v>Invest</v>
      </c>
      <c r="CU2916" s="45">
        <v>2912</v>
      </c>
      <c r="CV2916" s="18">
        <v>50.820278019119023</v>
      </c>
      <c r="CW2916" s="18" t="str">
        <v>Invest</v>
      </c>
      <c r="CY2916" s="45">
        <v>2912</v>
      </c>
      <c r="CZ2916" s="18">
        <v>18.170621612729505</v>
      </c>
      <c r="DA2916" s="18" t="str">
        <v>Invest</v>
      </c>
    </row>
    <row r="2917" spans="95:105" ht="23.5">
      <c r="CQ2917" s="45">
        <v>2913</v>
      </c>
      <c r="CR2917" s="18">
        <v>0</v>
      </c>
      <c r="CS2917" s="18" t="str">
        <v>Nothing</v>
      </c>
      <c r="CU2917" s="45">
        <v>2913</v>
      </c>
      <c r="CV2917" s="18">
        <v>3.2996740460753342</v>
      </c>
      <c r="CW2917" s="18" t="str">
        <v>Invest</v>
      </c>
      <c r="CY2917" s="45">
        <v>2913</v>
      </c>
      <c r="CZ2917" s="18">
        <v>0</v>
      </c>
      <c r="DA2917" s="18" t="str">
        <v>Nothing</v>
      </c>
    </row>
    <row r="2918" spans="95:105" ht="23.5">
      <c r="CQ2918" s="45">
        <v>2914</v>
      </c>
      <c r="CR2918" s="18">
        <v>20.699136571608612</v>
      </c>
      <c r="CS2918" s="18" t="str">
        <v>Invest</v>
      </c>
      <c r="CU2918" s="45">
        <v>2914</v>
      </c>
      <c r="CV2918" s="18">
        <v>11.496854688133325</v>
      </c>
      <c r="CW2918" s="18" t="str">
        <v>Invest</v>
      </c>
      <c r="CY2918" s="45">
        <v>2914</v>
      </c>
      <c r="CZ2918" s="18">
        <v>16.473598298524088</v>
      </c>
      <c r="DA2918" s="18" t="str">
        <v>Invest</v>
      </c>
    </row>
    <row r="2919" spans="95:105" ht="23.5">
      <c r="CQ2919" s="45">
        <v>2915</v>
      </c>
      <c r="CR2919" s="18">
        <v>39.735270702384675</v>
      </c>
      <c r="CS2919" s="18" t="str">
        <v>Invest</v>
      </c>
      <c r="CU2919" s="45">
        <v>2915</v>
      </c>
      <c r="CV2919" s="18">
        <v>0</v>
      </c>
      <c r="CW2919" s="18" t="str">
        <v>Nothing</v>
      </c>
      <c r="CY2919" s="45">
        <v>2915</v>
      </c>
      <c r="CZ2919" s="18">
        <v>0</v>
      </c>
      <c r="DA2919" s="18" t="str">
        <v>Nothing</v>
      </c>
    </row>
    <row r="2920" spans="95:105" ht="23.5">
      <c r="CQ2920" s="45">
        <v>2916</v>
      </c>
      <c r="CR2920" s="18">
        <v>45.816674767377137</v>
      </c>
      <c r="CS2920" s="18" t="str">
        <v>Invest</v>
      </c>
      <c r="CU2920" s="45">
        <v>2916</v>
      </c>
      <c r="CV2920" s="18">
        <v>0</v>
      </c>
      <c r="CW2920" s="18" t="str">
        <v>Nothing</v>
      </c>
      <c r="CY2920" s="45">
        <v>2916</v>
      </c>
      <c r="CZ2920" s="18">
        <v>0</v>
      </c>
      <c r="DA2920" s="18" t="str">
        <v>Nothing</v>
      </c>
    </row>
    <row r="2921" spans="95:105" ht="23.5">
      <c r="CQ2921" s="45">
        <v>2917</v>
      </c>
      <c r="CR2921" s="18">
        <v>25.306627878357848</v>
      </c>
      <c r="CS2921" s="18" t="str">
        <v>Invest</v>
      </c>
      <c r="CU2921" s="45">
        <v>2917</v>
      </c>
      <c r="CV2921" s="18">
        <v>0</v>
      </c>
      <c r="CW2921" s="18" t="str">
        <v>Nothing</v>
      </c>
      <c r="CY2921" s="45">
        <v>2917</v>
      </c>
      <c r="CZ2921" s="18">
        <v>42.602918417655729</v>
      </c>
      <c r="DA2921" s="18" t="str">
        <v>Invest</v>
      </c>
    </row>
    <row r="2922" spans="95:105" ht="23.5">
      <c r="CQ2922" s="45">
        <v>2918</v>
      </c>
      <c r="CR2922" s="18">
        <v>14.85269230882394</v>
      </c>
      <c r="CS2922" s="18" t="str">
        <v>Invest</v>
      </c>
      <c r="CU2922" s="45">
        <v>2918</v>
      </c>
      <c r="CV2922" s="18">
        <v>0</v>
      </c>
      <c r="CW2922" s="18" t="str">
        <v>Nothing</v>
      </c>
      <c r="CY2922" s="45">
        <v>2918</v>
      </c>
      <c r="CZ2922" s="18">
        <v>9.8281251185100693</v>
      </c>
      <c r="DA2922" s="18" t="str">
        <v>Invest</v>
      </c>
    </row>
    <row r="2923" spans="95:105" ht="23.5">
      <c r="CQ2923" s="45">
        <v>2919</v>
      </c>
      <c r="CR2923" s="18">
        <v>0</v>
      </c>
      <c r="CS2923" s="18" t="str">
        <v>Nothing</v>
      </c>
      <c r="CU2923" s="45">
        <v>2919</v>
      </c>
      <c r="CV2923" s="18">
        <v>15.175557492177022</v>
      </c>
      <c r="CW2923" s="18" t="str">
        <v>Invest</v>
      </c>
      <c r="CY2923" s="45">
        <v>2919</v>
      </c>
      <c r="CZ2923" s="18">
        <v>0</v>
      </c>
      <c r="DA2923" s="18" t="str">
        <v>Nothing</v>
      </c>
    </row>
    <row r="2924" spans="95:105" ht="23.5">
      <c r="CQ2924" s="45">
        <v>2920</v>
      </c>
      <c r="CR2924" s="18">
        <v>0</v>
      </c>
      <c r="CS2924" s="18" t="str">
        <v>Nothing</v>
      </c>
      <c r="CU2924" s="45">
        <v>2920</v>
      </c>
      <c r="CV2924" s="18">
        <v>36.059653990678932</v>
      </c>
      <c r="CW2924" s="18" t="str">
        <v>Invest</v>
      </c>
      <c r="CY2924" s="45">
        <v>2920</v>
      </c>
      <c r="CZ2924" s="18">
        <v>9.371513771539405</v>
      </c>
      <c r="DA2924" s="18" t="str">
        <v>Invest</v>
      </c>
    </row>
    <row r="2925" spans="95:105" ht="23.5">
      <c r="CQ2925" s="45">
        <v>2921</v>
      </c>
      <c r="CR2925" s="18">
        <v>13.414401188345172</v>
      </c>
      <c r="CS2925" s="18" t="str">
        <v>Invest</v>
      </c>
      <c r="CU2925" s="45">
        <v>2921</v>
      </c>
      <c r="CV2925" s="18">
        <v>27.4649252880522</v>
      </c>
      <c r="CW2925" s="18" t="str">
        <v>Invest</v>
      </c>
      <c r="CY2925" s="45">
        <v>2921</v>
      </c>
      <c r="CZ2925" s="18">
        <v>0</v>
      </c>
      <c r="DA2925" s="18" t="str">
        <v>Nothing</v>
      </c>
    </row>
    <row r="2926" spans="95:105" ht="23.5">
      <c r="CQ2926" s="45">
        <v>2922</v>
      </c>
      <c r="CR2926" s="18">
        <v>0</v>
      </c>
      <c r="CS2926" s="18" t="str">
        <v>Nothing</v>
      </c>
      <c r="CU2926" s="45">
        <v>2922</v>
      </c>
      <c r="CV2926" s="18">
        <v>7.9626793248160563</v>
      </c>
      <c r="CW2926" s="18" t="str">
        <v>Invest</v>
      </c>
      <c r="CY2926" s="45">
        <v>2922</v>
      </c>
      <c r="CZ2926" s="18">
        <v>16.313559080319799</v>
      </c>
      <c r="DA2926" s="18" t="str">
        <v>Invest</v>
      </c>
    </row>
    <row r="2927" spans="95:105" ht="23.5">
      <c r="CQ2927" s="45">
        <v>2923</v>
      </c>
      <c r="CR2927" s="18">
        <v>0</v>
      </c>
      <c r="CS2927" s="18" t="str">
        <v>Nothing</v>
      </c>
      <c r="CU2927" s="45">
        <v>2923</v>
      </c>
      <c r="CV2927" s="18">
        <v>4.6629343274665587</v>
      </c>
      <c r="CW2927" s="18" t="str">
        <v>Invest</v>
      </c>
      <c r="CY2927" s="45">
        <v>2923</v>
      </c>
      <c r="CZ2927" s="18">
        <v>20.539192115256178</v>
      </c>
      <c r="DA2927" s="18" t="str">
        <v>Invest</v>
      </c>
    </row>
    <row r="2928" spans="95:105" ht="23.5">
      <c r="CQ2928" s="45">
        <v>2924</v>
      </c>
      <c r="CR2928" s="18">
        <v>11.029944831040641</v>
      </c>
      <c r="CS2928" s="18" t="str">
        <v>Invest</v>
      </c>
      <c r="CU2928" s="45">
        <v>2924</v>
      </c>
      <c r="CV2928" s="18">
        <v>8.3314611616320562</v>
      </c>
      <c r="CW2928" s="18" t="str">
        <v>Invest</v>
      </c>
      <c r="CY2928" s="45">
        <v>2924</v>
      </c>
      <c r="CZ2928" s="18">
        <v>0</v>
      </c>
      <c r="DA2928" s="18" t="str">
        <v>Nothing</v>
      </c>
    </row>
    <row r="2929" spans="95:105" ht="23.5">
      <c r="CQ2929" s="45">
        <v>2925</v>
      </c>
      <c r="CR2929" s="18">
        <v>11.353221864593706</v>
      </c>
      <c r="CS2929" s="18" t="str">
        <v>Invest</v>
      </c>
      <c r="CU2929" s="45">
        <v>2925</v>
      </c>
      <c r="CV2929" s="18">
        <v>0</v>
      </c>
      <c r="CW2929" s="18" t="str">
        <v>Nothing</v>
      </c>
      <c r="CY2929" s="45">
        <v>2925</v>
      </c>
      <c r="CZ2929" s="18">
        <v>0</v>
      </c>
      <c r="DA2929" s="18" t="str">
        <v>Nothing</v>
      </c>
    </row>
    <row r="2930" spans="95:105" ht="23.5">
      <c r="CQ2930" s="45">
        <v>2926</v>
      </c>
      <c r="CR2930" s="18">
        <v>4.1311591316762346</v>
      </c>
      <c r="CS2930" s="18" t="str">
        <v>Invest</v>
      </c>
      <c r="CU2930" s="45">
        <v>2926</v>
      </c>
      <c r="CV2930" s="18">
        <v>25.959794553619162</v>
      </c>
      <c r="CW2930" s="18" t="str">
        <v>Invest</v>
      </c>
      <c r="CY2930" s="45">
        <v>2926</v>
      </c>
      <c r="CZ2930" s="18">
        <v>7.4468575442235085</v>
      </c>
      <c r="DA2930" s="18" t="str">
        <v>Invest</v>
      </c>
    </row>
    <row r="2931" spans="95:105" ht="23.5">
      <c r="CQ2931" s="45">
        <v>2927</v>
      </c>
      <c r="CR2931" s="18">
        <v>30.718900219663386</v>
      </c>
      <c r="CS2931" s="18" t="str">
        <v>Invest</v>
      </c>
      <c r="CU2931" s="45">
        <v>2927</v>
      </c>
      <c r="CV2931" s="18">
        <v>38.627343188812382</v>
      </c>
      <c r="CW2931" s="18" t="str">
        <v>Invest</v>
      </c>
      <c r="CY2931" s="45">
        <v>2927</v>
      </c>
      <c r="CZ2931" s="18">
        <v>33.620810928324474</v>
      </c>
      <c r="DA2931" s="18" t="str">
        <v>Invest</v>
      </c>
    </row>
    <row r="2932" spans="95:105" ht="23.5">
      <c r="CQ2932" s="45">
        <v>2928</v>
      </c>
      <c r="CR2932" s="18">
        <v>9.7435649934009287</v>
      </c>
      <c r="CS2932" s="18" t="str">
        <v>Invest</v>
      </c>
      <c r="CU2932" s="45">
        <v>2928</v>
      </c>
      <c r="CV2932" s="18">
        <v>22.224228982385938</v>
      </c>
      <c r="CW2932" s="18" t="str">
        <v>Invest</v>
      </c>
      <c r="CY2932" s="45">
        <v>2928</v>
      </c>
      <c r="CZ2932" s="18">
        <v>0</v>
      </c>
      <c r="DA2932" s="18" t="str">
        <v>Nothing</v>
      </c>
    </row>
    <row r="2933" spans="95:105" ht="23.5">
      <c r="CQ2933" s="45">
        <v>2929</v>
      </c>
      <c r="CR2933" s="18">
        <v>14.273155438975195</v>
      </c>
      <c r="CS2933" s="18" t="str">
        <v>Invest</v>
      </c>
      <c r="CU2933" s="45">
        <v>2929</v>
      </c>
      <c r="CV2933" s="18">
        <v>38.059765319329806</v>
      </c>
      <c r="CW2933" s="18" t="str">
        <v>Invest</v>
      </c>
      <c r="CY2933" s="45">
        <v>2929</v>
      </c>
      <c r="CZ2933" s="18">
        <v>39.720970277030723</v>
      </c>
      <c r="DA2933" s="18" t="str">
        <v>Invest</v>
      </c>
    </row>
    <row r="2934" spans="95:105" ht="23.5">
      <c r="CQ2934" s="45">
        <v>2930</v>
      </c>
      <c r="CR2934" s="18">
        <v>28.049580413581133</v>
      </c>
      <c r="CS2934" s="18" t="str">
        <v>Invest</v>
      </c>
      <c r="CU2934" s="45">
        <v>2930</v>
      </c>
      <c r="CV2934" s="18">
        <v>10.141598372770748</v>
      </c>
      <c r="CW2934" s="18" t="str">
        <v>Invest</v>
      </c>
      <c r="CY2934" s="45">
        <v>2930</v>
      </c>
      <c r="CZ2934" s="18">
        <v>11.160951656206297</v>
      </c>
      <c r="DA2934" s="18" t="str">
        <v>Invest</v>
      </c>
    </row>
    <row r="2935" spans="95:105" ht="23.5">
      <c r="CQ2935" s="45">
        <v>2931</v>
      </c>
      <c r="CR2935" s="18">
        <v>0.2763825030952507</v>
      </c>
      <c r="CS2935" s="18" t="str">
        <v>Invest</v>
      </c>
      <c r="CU2935" s="45">
        <v>2931</v>
      </c>
      <c r="CV2935" s="18">
        <v>22.418315120405921</v>
      </c>
      <c r="CW2935" s="18" t="str">
        <v>Invest</v>
      </c>
      <c r="CY2935" s="45">
        <v>2931</v>
      </c>
      <c r="CZ2935" s="18">
        <v>15.29547150932212</v>
      </c>
      <c r="DA2935" s="18" t="str">
        <v>Invest</v>
      </c>
    </row>
    <row r="2936" spans="95:105" ht="23.5">
      <c r="CQ2936" s="45">
        <v>2932</v>
      </c>
      <c r="CR2936" s="18">
        <v>23.64549907956426</v>
      </c>
      <c r="CS2936" s="18" t="str">
        <v>Invest</v>
      </c>
      <c r="CU2936" s="45">
        <v>2932</v>
      </c>
      <c r="CV2936" s="18">
        <v>13.886798515663408</v>
      </c>
      <c r="CW2936" s="18" t="str">
        <v>Invest</v>
      </c>
      <c r="CY2936" s="45">
        <v>2932</v>
      </c>
      <c r="CZ2936" s="18">
        <v>31.161636867006425</v>
      </c>
      <c r="DA2936" s="18" t="str">
        <v>Invest</v>
      </c>
    </row>
    <row r="2937" spans="95:105" ht="23.5">
      <c r="CQ2937" s="45">
        <v>2933</v>
      </c>
      <c r="CR2937" s="18">
        <v>0</v>
      </c>
      <c r="CS2937" s="18" t="str">
        <v>Nothing</v>
      </c>
      <c r="CU2937" s="45">
        <v>2933</v>
      </c>
      <c r="CV2937" s="18">
        <v>54.013109167381273</v>
      </c>
      <c r="CW2937" s="18" t="str">
        <v>Invest</v>
      </c>
      <c r="CY2937" s="45">
        <v>2933</v>
      </c>
      <c r="CZ2937" s="18">
        <v>60.674583783415287</v>
      </c>
      <c r="DA2937" s="18" t="str">
        <v>Invest</v>
      </c>
    </row>
    <row r="2938" spans="95:105" ht="23.5">
      <c r="CQ2938" s="45">
        <v>2934</v>
      </c>
      <c r="CR2938" s="18">
        <v>8.0118903050735781</v>
      </c>
      <c r="CS2938" s="18" t="str">
        <v>Invest</v>
      </c>
      <c r="CU2938" s="45">
        <v>2934</v>
      </c>
      <c r="CV2938" s="18">
        <v>32.822892799667841</v>
      </c>
      <c r="CW2938" s="18" t="str">
        <v>Invest</v>
      </c>
      <c r="CY2938" s="45">
        <v>2934</v>
      </c>
      <c r="CZ2938" s="18">
        <v>19.871186316697553</v>
      </c>
      <c r="DA2938" s="18" t="str">
        <v>Invest</v>
      </c>
    </row>
    <row r="2939" spans="95:105" ht="23.5">
      <c r="CQ2939" s="45">
        <v>2935</v>
      </c>
      <c r="CR2939" s="18">
        <v>37.375135187208215</v>
      </c>
      <c r="CS2939" s="18" t="str">
        <v>Invest</v>
      </c>
      <c r="CU2939" s="45">
        <v>2935</v>
      </c>
      <c r="CV2939" s="18">
        <v>0</v>
      </c>
      <c r="CW2939" s="18" t="str">
        <v>Nothing</v>
      </c>
      <c r="CY2939" s="45">
        <v>2935</v>
      </c>
      <c r="CZ2939" s="18">
        <v>14.273619250124339</v>
      </c>
      <c r="DA2939" s="18" t="str">
        <v>Invest</v>
      </c>
    </row>
    <row r="2940" spans="95:105" ht="23.5">
      <c r="CQ2940" s="45">
        <v>2936</v>
      </c>
      <c r="CR2940" s="18">
        <v>11.682056793631713</v>
      </c>
      <c r="CS2940" s="18" t="str">
        <v>Invest</v>
      </c>
      <c r="CU2940" s="45">
        <v>2936</v>
      </c>
      <c r="CV2940" s="18">
        <v>16.37890623008234</v>
      </c>
      <c r="CW2940" s="18" t="str">
        <v>Invest</v>
      </c>
      <c r="CY2940" s="45">
        <v>2936</v>
      </c>
      <c r="CZ2940" s="18">
        <v>21.56142591667102</v>
      </c>
      <c r="DA2940" s="18" t="str">
        <v>Invest</v>
      </c>
    </row>
    <row r="2941" spans="95:105" ht="23.5">
      <c r="CQ2941" s="45">
        <v>2937</v>
      </c>
      <c r="CR2941" s="18">
        <v>61.383382017121122</v>
      </c>
      <c r="CS2941" s="18" t="str">
        <v>Invest</v>
      </c>
      <c r="CU2941" s="45">
        <v>2937</v>
      </c>
      <c r="CV2941" s="18">
        <v>0</v>
      </c>
      <c r="CW2941" s="18" t="str">
        <v>Nothing</v>
      </c>
      <c r="CY2941" s="45">
        <v>2937</v>
      </c>
      <c r="CZ2941" s="18">
        <v>0</v>
      </c>
      <c r="DA2941" s="18" t="str">
        <v>Nothing</v>
      </c>
    </row>
    <row r="2942" spans="95:105" ht="23.5">
      <c r="CQ2942" s="45">
        <v>2938</v>
      </c>
      <c r="CR2942" s="18">
        <v>44.870238128001319</v>
      </c>
      <c r="CS2942" s="18" t="str">
        <v>Invest</v>
      </c>
      <c r="CU2942" s="45">
        <v>2938</v>
      </c>
      <c r="CV2942" s="18">
        <v>15.305594909431251</v>
      </c>
      <c r="CW2942" s="18" t="str">
        <v>Invest</v>
      </c>
      <c r="CY2942" s="45">
        <v>2938</v>
      </c>
      <c r="CZ2942" s="18">
        <v>12.580154935191441</v>
      </c>
      <c r="DA2942" s="18" t="str">
        <v>Invest</v>
      </c>
    </row>
    <row r="2943" spans="95:105" ht="23.5">
      <c r="CQ2943" s="45">
        <v>2939</v>
      </c>
      <c r="CR2943" s="18">
        <v>9.5732593035054805</v>
      </c>
      <c r="CS2943" s="18" t="str">
        <v>Invest</v>
      </c>
      <c r="CU2943" s="45">
        <v>2939</v>
      </c>
      <c r="CV2943" s="18">
        <v>20.333678420475756</v>
      </c>
      <c r="CW2943" s="18" t="str">
        <v>Invest</v>
      </c>
      <c r="CY2943" s="45">
        <v>2939</v>
      </c>
      <c r="CZ2943" s="18">
        <v>40.274935193666188</v>
      </c>
      <c r="DA2943" s="18" t="str">
        <v>Invest</v>
      </c>
    </row>
    <row r="2944" spans="95:105" ht="23.5">
      <c r="CQ2944" s="45">
        <v>2940</v>
      </c>
      <c r="CR2944" s="18">
        <v>2.5296170004299103</v>
      </c>
      <c r="CS2944" s="18" t="str">
        <v>Invest</v>
      </c>
      <c r="CU2944" s="45">
        <v>2940</v>
      </c>
      <c r="CV2944" s="18">
        <v>6.6142444381012844</v>
      </c>
      <c r="CW2944" s="18" t="str">
        <v>Invest</v>
      </c>
      <c r="CY2944" s="45">
        <v>2940</v>
      </c>
      <c r="CZ2944" s="18">
        <v>30.32346628731219</v>
      </c>
      <c r="DA2944" s="18" t="str">
        <v>Invest</v>
      </c>
    </row>
    <row r="2945" spans="95:105" ht="23.5">
      <c r="CQ2945" s="45">
        <v>2941</v>
      </c>
      <c r="CR2945" s="18">
        <v>0.3021728538442563</v>
      </c>
      <c r="CS2945" s="18" t="str">
        <v>Invest</v>
      </c>
      <c r="CU2945" s="45">
        <v>2941</v>
      </c>
      <c r="CV2945" s="18">
        <v>38.537989427308283</v>
      </c>
      <c r="CW2945" s="18" t="str">
        <v>Invest</v>
      </c>
      <c r="CY2945" s="45">
        <v>2941</v>
      </c>
      <c r="CZ2945" s="18">
        <v>36.131747572037334</v>
      </c>
      <c r="DA2945" s="18" t="str">
        <v>Invest</v>
      </c>
    </row>
    <row r="2946" spans="95:105" ht="23.5">
      <c r="CQ2946" s="45">
        <v>2942</v>
      </c>
      <c r="CR2946" s="18">
        <v>0</v>
      </c>
      <c r="CS2946" s="18" t="str">
        <v>Nothing</v>
      </c>
      <c r="CU2946" s="45">
        <v>2942</v>
      </c>
      <c r="CV2946" s="18">
        <v>57.322476612637658</v>
      </c>
      <c r="CW2946" s="18" t="str">
        <v>Invest</v>
      </c>
      <c r="CY2946" s="45">
        <v>2942</v>
      </c>
      <c r="CZ2946" s="18">
        <v>0</v>
      </c>
      <c r="DA2946" s="18" t="str">
        <v>Nothing</v>
      </c>
    </row>
    <row r="2947" spans="95:105" ht="23.5">
      <c r="CQ2947" s="45">
        <v>2943</v>
      </c>
      <c r="CR2947" s="18">
        <v>4.6658950375088466</v>
      </c>
      <c r="CS2947" s="18" t="str">
        <v>Invest</v>
      </c>
      <c r="CU2947" s="45">
        <v>2943</v>
      </c>
      <c r="CV2947" s="18">
        <v>18.256325824478473</v>
      </c>
      <c r="CW2947" s="18" t="str">
        <v>Invest</v>
      </c>
      <c r="CY2947" s="45">
        <v>2943</v>
      </c>
      <c r="CZ2947" s="18">
        <v>6.7698339345853391</v>
      </c>
      <c r="DA2947" s="18" t="str">
        <v>Invest</v>
      </c>
    </row>
    <row r="2948" spans="95:105" ht="23.5">
      <c r="CQ2948" s="45">
        <v>2944</v>
      </c>
      <c r="CR2948" s="18">
        <v>1.4647055009203367</v>
      </c>
      <c r="CS2948" s="18" t="str">
        <v>Invest</v>
      </c>
      <c r="CU2948" s="45">
        <v>2944</v>
      </c>
      <c r="CV2948" s="18">
        <v>5.6885613150912775</v>
      </c>
      <c r="CW2948" s="18" t="str">
        <v>Invest</v>
      </c>
      <c r="CY2948" s="45">
        <v>2944</v>
      </c>
      <c r="CZ2948" s="18">
        <v>14.613651178478879</v>
      </c>
      <c r="DA2948" s="18" t="str">
        <v>Invest</v>
      </c>
    </row>
    <row r="2949" spans="95:105" ht="23.5">
      <c r="CQ2949" s="45">
        <v>2945</v>
      </c>
      <c r="CR2949" s="18">
        <v>38.944001147930592</v>
      </c>
      <c r="CS2949" s="18" t="str">
        <v>Invest</v>
      </c>
      <c r="CU2949" s="45">
        <v>2945</v>
      </c>
      <c r="CV2949" s="18">
        <v>0</v>
      </c>
      <c r="CW2949" s="18" t="str">
        <v>Nothing</v>
      </c>
      <c r="CY2949" s="45">
        <v>2945</v>
      </c>
      <c r="CZ2949" s="18">
        <v>0</v>
      </c>
      <c r="DA2949" s="18" t="str">
        <v>Nothing</v>
      </c>
    </row>
    <row r="2950" spans="95:105" ht="23.5">
      <c r="CQ2950" s="45">
        <v>2946</v>
      </c>
      <c r="CR2950" s="18">
        <v>54.436131159078393</v>
      </c>
      <c r="CS2950" s="18" t="str">
        <v>Invest</v>
      </c>
      <c r="CU2950" s="45">
        <v>2946</v>
      </c>
      <c r="CV2950" s="18">
        <v>0</v>
      </c>
      <c r="CW2950" s="18" t="str">
        <v>Nothing</v>
      </c>
      <c r="CY2950" s="45">
        <v>2946</v>
      </c>
      <c r="CZ2950" s="18">
        <v>0</v>
      </c>
      <c r="DA2950" s="18" t="str">
        <v>Nothing</v>
      </c>
    </row>
    <row r="2951" spans="95:105" ht="23.5">
      <c r="CQ2951" s="45">
        <v>2947</v>
      </c>
      <c r="CR2951" s="18">
        <v>0</v>
      </c>
      <c r="CS2951" s="18" t="str">
        <v>Nothing</v>
      </c>
      <c r="CU2951" s="45">
        <v>2947</v>
      </c>
      <c r="CV2951" s="18">
        <v>0</v>
      </c>
      <c r="CW2951" s="18" t="str">
        <v>Nothing</v>
      </c>
      <c r="CY2951" s="45">
        <v>2947</v>
      </c>
      <c r="CZ2951" s="18">
        <v>0</v>
      </c>
      <c r="DA2951" s="18" t="str">
        <v>Nothing</v>
      </c>
    </row>
    <row r="2952" spans="95:105" ht="23.5">
      <c r="CQ2952" s="45">
        <v>2948</v>
      </c>
      <c r="CR2952" s="18">
        <v>16.745907981486472</v>
      </c>
      <c r="CS2952" s="18" t="str">
        <v>Invest</v>
      </c>
      <c r="CU2952" s="45">
        <v>2948</v>
      </c>
      <c r="CV2952" s="18">
        <v>0</v>
      </c>
      <c r="CW2952" s="18" t="str">
        <v>Nothing</v>
      </c>
      <c r="CY2952" s="45">
        <v>2948</v>
      </c>
      <c r="CZ2952" s="18">
        <v>22.57088664380662</v>
      </c>
      <c r="DA2952" s="18" t="str">
        <v>Invest</v>
      </c>
    </row>
    <row r="2953" spans="95:105" ht="23.5">
      <c r="CQ2953" s="45">
        <v>2949</v>
      </c>
      <c r="CR2953" s="18">
        <v>35.171608340399082</v>
      </c>
      <c r="CS2953" s="18" t="str">
        <v>Invest</v>
      </c>
      <c r="CU2953" s="45">
        <v>2949</v>
      </c>
      <c r="CV2953" s="18">
        <v>13.849120474827835</v>
      </c>
      <c r="CW2953" s="18" t="str">
        <v>Invest</v>
      </c>
      <c r="CY2953" s="45">
        <v>2949</v>
      </c>
      <c r="CZ2953" s="18">
        <v>18.599883305113934</v>
      </c>
      <c r="DA2953" s="18" t="str">
        <v>Invest</v>
      </c>
    </row>
    <row r="2954" spans="95:105" ht="23.5">
      <c r="CQ2954" s="45">
        <v>2950</v>
      </c>
      <c r="CR2954" s="18">
        <v>28.159237022980932</v>
      </c>
      <c r="CS2954" s="18" t="str">
        <v>Invest</v>
      </c>
      <c r="CU2954" s="45">
        <v>2950</v>
      </c>
      <c r="CV2954" s="18">
        <v>32.826321616484023</v>
      </c>
      <c r="CW2954" s="18" t="str">
        <v>Invest</v>
      </c>
      <c r="CY2954" s="45">
        <v>2950</v>
      </c>
      <c r="CZ2954" s="18">
        <v>0</v>
      </c>
      <c r="DA2954" s="18" t="str">
        <v>Nothing</v>
      </c>
    </row>
    <row r="2955" spans="95:105" ht="23.5">
      <c r="CQ2955" s="45">
        <v>2951</v>
      </c>
      <c r="CR2955" s="18">
        <v>0</v>
      </c>
      <c r="CS2955" s="18" t="str">
        <v>Nothing</v>
      </c>
      <c r="CU2955" s="45">
        <v>2951</v>
      </c>
      <c r="CV2955" s="18">
        <v>0</v>
      </c>
      <c r="CW2955" s="18" t="str">
        <v>Nothing</v>
      </c>
      <c r="CY2955" s="45">
        <v>2951</v>
      </c>
      <c r="CZ2955" s="18">
        <v>33.798701765314284</v>
      </c>
      <c r="DA2955" s="18" t="str">
        <v>Invest</v>
      </c>
    </row>
    <row r="2956" spans="95:105" ht="23.5">
      <c r="CQ2956" s="45">
        <v>2952</v>
      </c>
      <c r="CR2956" s="18">
        <v>3.6222839255507147</v>
      </c>
      <c r="CS2956" s="18" t="str">
        <v>Invest</v>
      </c>
      <c r="CU2956" s="45">
        <v>2952</v>
      </c>
      <c r="CV2956" s="18">
        <v>14.317698417671702</v>
      </c>
      <c r="CW2956" s="18" t="str">
        <v>Invest</v>
      </c>
      <c r="CY2956" s="45">
        <v>2952</v>
      </c>
      <c r="CZ2956" s="18">
        <v>0</v>
      </c>
      <c r="DA2956" s="18" t="str">
        <v>Nothing</v>
      </c>
    </row>
    <row r="2957" spans="95:105" ht="23.5">
      <c r="CQ2957" s="45">
        <v>2953</v>
      </c>
      <c r="CR2957" s="18">
        <v>22.580333735897035</v>
      </c>
      <c r="CS2957" s="18" t="str">
        <v>Invest</v>
      </c>
      <c r="CU2957" s="45">
        <v>2953</v>
      </c>
      <c r="CV2957" s="18">
        <v>4.9929390350346408</v>
      </c>
      <c r="CW2957" s="18" t="str">
        <v>Invest</v>
      </c>
      <c r="CY2957" s="45">
        <v>2953</v>
      </c>
      <c r="CZ2957" s="18">
        <v>8.9537811664423028</v>
      </c>
      <c r="DA2957" s="18" t="str">
        <v>Invest</v>
      </c>
    </row>
    <row r="2958" spans="95:105" ht="23.5">
      <c r="CQ2958" s="45">
        <v>2954</v>
      </c>
      <c r="CR2958" s="18">
        <v>50.811445578936578</v>
      </c>
      <c r="CS2958" s="18" t="str">
        <v>Invest</v>
      </c>
      <c r="CU2958" s="45">
        <v>2954</v>
      </c>
      <c r="CV2958" s="18">
        <v>13.822166323387211</v>
      </c>
      <c r="CW2958" s="18" t="str">
        <v>Invest</v>
      </c>
      <c r="CY2958" s="45">
        <v>2954</v>
      </c>
      <c r="CZ2958" s="18">
        <v>20.846145773871264</v>
      </c>
      <c r="DA2958" s="18" t="str">
        <v>Invest</v>
      </c>
    </row>
    <row r="2959" spans="95:105" ht="23.5">
      <c r="CQ2959" s="45">
        <v>2955</v>
      </c>
      <c r="CR2959" s="18">
        <v>7.8300961570395291</v>
      </c>
      <c r="CS2959" s="18" t="str">
        <v>Invest</v>
      </c>
      <c r="CU2959" s="45">
        <v>2955</v>
      </c>
      <c r="CV2959" s="18">
        <v>47.044257846324101</v>
      </c>
      <c r="CW2959" s="18" t="str">
        <v>Invest</v>
      </c>
      <c r="CY2959" s="45">
        <v>2955</v>
      </c>
      <c r="CZ2959" s="18">
        <v>0</v>
      </c>
      <c r="DA2959" s="18" t="str">
        <v>Nothing</v>
      </c>
    </row>
    <row r="2960" spans="95:105" ht="23.5">
      <c r="CQ2960" s="45">
        <v>2956</v>
      </c>
      <c r="CR2960" s="18">
        <v>39.202186204786742</v>
      </c>
      <c r="CS2960" s="18" t="str">
        <v>Invest</v>
      </c>
      <c r="CU2960" s="45">
        <v>2956</v>
      </c>
      <c r="CV2960" s="18">
        <v>1.6296038591638018</v>
      </c>
      <c r="CW2960" s="18" t="str">
        <v>Invest</v>
      </c>
      <c r="CY2960" s="45">
        <v>2956</v>
      </c>
      <c r="CZ2960" s="18">
        <v>23.400875342827778</v>
      </c>
      <c r="DA2960" s="18" t="str">
        <v>Invest</v>
      </c>
    </row>
    <row r="2961" spans="95:105" ht="23.5">
      <c r="CQ2961" s="45">
        <v>2957</v>
      </c>
      <c r="CR2961" s="18">
        <v>28.921565172468494</v>
      </c>
      <c r="CS2961" s="18" t="str">
        <v>Invest</v>
      </c>
      <c r="CU2961" s="45">
        <v>2957</v>
      </c>
      <c r="CV2961" s="18">
        <v>0</v>
      </c>
      <c r="CW2961" s="18" t="str">
        <v>Nothing</v>
      </c>
      <c r="CY2961" s="45">
        <v>2957</v>
      </c>
      <c r="CZ2961" s="18">
        <v>3.5937707619755557</v>
      </c>
      <c r="DA2961" s="18" t="str">
        <v>Invest</v>
      </c>
    </row>
    <row r="2962" spans="95:105" ht="23.5">
      <c r="CQ2962" s="45">
        <v>2958</v>
      </c>
      <c r="CR2962" s="18">
        <v>25.301428926897017</v>
      </c>
      <c r="CS2962" s="18" t="str">
        <v>Invest</v>
      </c>
      <c r="CU2962" s="45">
        <v>2958</v>
      </c>
      <c r="CV2962" s="18">
        <v>13.403168231845509</v>
      </c>
      <c r="CW2962" s="18" t="str">
        <v>Invest</v>
      </c>
      <c r="CY2962" s="45">
        <v>2958</v>
      </c>
      <c r="CZ2962" s="18">
        <v>0</v>
      </c>
      <c r="DA2962" s="18" t="str">
        <v>Nothing</v>
      </c>
    </row>
    <row r="2963" spans="95:105" ht="23.5">
      <c r="CQ2963" s="45">
        <v>2959</v>
      </c>
      <c r="CR2963" s="18">
        <v>0</v>
      </c>
      <c r="CS2963" s="18" t="str">
        <v>Nothing</v>
      </c>
      <c r="CU2963" s="45">
        <v>2959</v>
      </c>
      <c r="CV2963" s="18">
        <v>37.349998803985265</v>
      </c>
      <c r="CW2963" s="18" t="str">
        <v>Invest</v>
      </c>
      <c r="CY2963" s="45">
        <v>2959</v>
      </c>
      <c r="CZ2963" s="18">
        <v>16.08235151250161</v>
      </c>
      <c r="DA2963" s="18" t="str">
        <v>Invest</v>
      </c>
    </row>
    <row r="2964" spans="95:105" ht="23.5">
      <c r="CQ2964" s="45">
        <v>2960</v>
      </c>
      <c r="CR2964" s="18">
        <v>28.27489943758405</v>
      </c>
      <c r="CS2964" s="18" t="str">
        <v>Invest</v>
      </c>
      <c r="CU2964" s="45">
        <v>2960</v>
      </c>
      <c r="CV2964" s="18">
        <v>26.147717023421311</v>
      </c>
      <c r="CW2964" s="18" t="str">
        <v>Invest</v>
      </c>
      <c r="CY2964" s="45">
        <v>2960</v>
      </c>
      <c r="CZ2964" s="18">
        <v>13.557052928559683</v>
      </c>
      <c r="DA2964" s="18" t="str">
        <v>Invest</v>
      </c>
    </row>
    <row r="2965" spans="95:105" ht="23.5">
      <c r="CQ2965" s="45">
        <v>2961</v>
      </c>
      <c r="CR2965" s="18">
        <v>39.368125537037827</v>
      </c>
      <c r="CS2965" s="18" t="str">
        <v>Invest</v>
      </c>
      <c r="CU2965" s="45">
        <v>2961</v>
      </c>
      <c r="CV2965" s="18">
        <v>53.053724748617292</v>
      </c>
      <c r="CW2965" s="18" t="str">
        <v>Invest</v>
      </c>
      <c r="CY2965" s="45">
        <v>2961</v>
      </c>
      <c r="CZ2965" s="18">
        <v>14.079775533301937</v>
      </c>
      <c r="DA2965" s="18" t="str">
        <v>Invest</v>
      </c>
    </row>
    <row r="2966" spans="95:105" ht="23.5">
      <c r="CQ2966" s="45">
        <v>2962</v>
      </c>
      <c r="CR2966" s="18">
        <v>0</v>
      </c>
      <c r="CS2966" s="18" t="str">
        <v>Nothing</v>
      </c>
      <c r="CU2966" s="45">
        <v>2962</v>
      </c>
      <c r="CV2966" s="18">
        <v>6.3435495085670404</v>
      </c>
      <c r="CW2966" s="18" t="str">
        <v>Invest</v>
      </c>
      <c r="CY2966" s="45">
        <v>2962</v>
      </c>
      <c r="CZ2966" s="18">
        <v>0.46046968743958061</v>
      </c>
      <c r="DA2966" s="18" t="str">
        <v>Invest</v>
      </c>
    </row>
    <row r="2967" spans="95:105" ht="23.5">
      <c r="CQ2967" s="45">
        <v>2963</v>
      </c>
      <c r="CR2967" s="18">
        <v>15.501592751237144</v>
      </c>
      <c r="CS2967" s="18" t="str">
        <v>Invest</v>
      </c>
      <c r="CU2967" s="45">
        <v>2963</v>
      </c>
      <c r="CV2967" s="18">
        <v>37.792791033494105</v>
      </c>
      <c r="CW2967" s="18" t="str">
        <v>Invest</v>
      </c>
      <c r="CY2967" s="45">
        <v>2963</v>
      </c>
      <c r="CZ2967" s="18">
        <v>29.414786145768336</v>
      </c>
      <c r="DA2967" s="18" t="str">
        <v>Invest</v>
      </c>
    </row>
    <row r="2968" spans="95:105" ht="23.5">
      <c r="CQ2968" s="45">
        <v>2964</v>
      </c>
      <c r="CR2968" s="18">
        <v>52.572493878043822</v>
      </c>
      <c r="CS2968" s="18" t="str">
        <v>Invest</v>
      </c>
      <c r="CU2968" s="45">
        <v>2964</v>
      </c>
      <c r="CV2968" s="18">
        <v>0</v>
      </c>
      <c r="CW2968" s="18" t="str">
        <v>Nothing</v>
      </c>
      <c r="CY2968" s="45">
        <v>2964</v>
      </c>
      <c r="CZ2968" s="18">
        <v>45.572930059571497</v>
      </c>
      <c r="DA2968" s="18" t="str">
        <v>Invest</v>
      </c>
    </row>
    <row r="2969" spans="95:105" ht="23.5">
      <c r="CQ2969" s="45">
        <v>2965</v>
      </c>
      <c r="CR2969" s="18">
        <v>7.7517964311154781</v>
      </c>
      <c r="CS2969" s="18" t="str">
        <v>Invest</v>
      </c>
      <c r="CU2969" s="45">
        <v>2965</v>
      </c>
      <c r="CV2969" s="18">
        <v>0</v>
      </c>
      <c r="CW2969" s="18" t="str">
        <v>Nothing</v>
      </c>
      <c r="CY2969" s="45">
        <v>2965</v>
      </c>
      <c r="CZ2969" s="18">
        <v>16.238776567973421</v>
      </c>
      <c r="DA2969" s="18" t="str">
        <v>Invest</v>
      </c>
    </row>
    <row r="2970" spans="95:105" ht="23.5">
      <c r="CQ2970" s="45">
        <v>2966</v>
      </c>
      <c r="CR2970" s="18">
        <v>0</v>
      </c>
      <c r="CS2970" s="18" t="str">
        <v>Nothing</v>
      </c>
      <c r="CU2970" s="45">
        <v>2966</v>
      </c>
      <c r="CV2970" s="18">
        <v>2.8106859232417882</v>
      </c>
      <c r="CW2970" s="18" t="str">
        <v>Invest</v>
      </c>
      <c r="CY2970" s="45">
        <v>2966</v>
      </c>
      <c r="CZ2970" s="18">
        <v>0</v>
      </c>
      <c r="DA2970" s="18" t="str">
        <v>Nothing</v>
      </c>
    </row>
    <row r="2971" spans="95:105" ht="23.5">
      <c r="CQ2971" s="45">
        <v>2967</v>
      </c>
      <c r="CR2971" s="18">
        <v>27.018533851667826</v>
      </c>
      <c r="CS2971" s="18" t="str">
        <v>Invest</v>
      </c>
      <c r="CU2971" s="45">
        <v>2967</v>
      </c>
      <c r="CV2971" s="18">
        <v>4.8213460901345995</v>
      </c>
      <c r="CW2971" s="18" t="str">
        <v>Invest</v>
      </c>
      <c r="CY2971" s="45">
        <v>2967</v>
      </c>
      <c r="CZ2971" s="18">
        <v>10.040173265557941</v>
      </c>
      <c r="DA2971" s="18" t="str">
        <v>Invest</v>
      </c>
    </row>
    <row r="2972" spans="95:105" ht="23.5">
      <c r="CQ2972" s="45">
        <v>2968</v>
      </c>
      <c r="CR2972" s="18">
        <v>32.027911948770097</v>
      </c>
      <c r="CS2972" s="18" t="str">
        <v>Invest</v>
      </c>
      <c r="CU2972" s="45">
        <v>2968</v>
      </c>
      <c r="CV2972" s="18">
        <v>0</v>
      </c>
      <c r="CW2972" s="18" t="str">
        <v>Nothing</v>
      </c>
      <c r="CY2972" s="45">
        <v>2968</v>
      </c>
      <c r="CZ2972" s="18">
        <v>7.8220578477727756</v>
      </c>
      <c r="DA2972" s="18" t="str">
        <v>Invest</v>
      </c>
    </row>
    <row r="2973" spans="95:105" ht="23.5">
      <c r="CQ2973" s="45">
        <v>2969</v>
      </c>
      <c r="CR2973" s="18">
        <v>41.097542859349232</v>
      </c>
      <c r="CS2973" s="18" t="str">
        <v>Invest</v>
      </c>
      <c r="CU2973" s="45">
        <v>2969</v>
      </c>
      <c r="CV2973" s="18">
        <v>58.773326569356612</v>
      </c>
      <c r="CW2973" s="18" t="str">
        <v>Invest</v>
      </c>
      <c r="CY2973" s="45">
        <v>2969</v>
      </c>
      <c r="CZ2973" s="18">
        <v>21.177686569895023</v>
      </c>
      <c r="DA2973" s="18" t="str">
        <v>Invest</v>
      </c>
    </row>
    <row r="2974" spans="95:105" ht="23.5">
      <c r="CQ2974" s="45">
        <v>2970</v>
      </c>
      <c r="CR2974" s="18">
        <v>0</v>
      </c>
      <c r="CS2974" s="18" t="str">
        <v>Nothing</v>
      </c>
      <c r="CU2974" s="45">
        <v>2970</v>
      </c>
      <c r="CV2974" s="18">
        <v>0</v>
      </c>
      <c r="CW2974" s="18" t="str">
        <v>Nothing</v>
      </c>
      <c r="CY2974" s="45">
        <v>2970</v>
      </c>
      <c r="CZ2974" s="18">
        <v>33.780031470698219</v>
      </c>
      <c r="DA2974" s="18" t="str">
        <v>Invest</v>
      </c>
    </row>
    <row r="2975" spans="95:105" ht="23.5">
      <c r="CQ2975" s="45">
        <v>2971</v>
      </c>
      <c r="CR2975" s="18">
        <v>24.48105487840116</v>
      </c>
      <c r="CS2975" s="18" t="str">
        <v>Invest</v>
      </c>
      <c r="CU2975" s="45">
        <v>2971</v>
      </c>
      <c r="CV2975" s="18">
        <v>11.518067336069041</v>
      </c>
      <c r="CW2975" s="18" t="str">
        <v>Invest</v>
      </c>
      <c r="CY2975" s="45">
        <v>2971</v>
      </c>
      <c r="CZ2975" s="18">
        <v>31.152895336530385</v>
      </c>
      <c r="DA2975" s="18" t="str">
        <v>Invest</v>
      </c>
    </row>
    <row r="2976" spans="95:105" ht="23.5">
      <c r="CQ2976" s="45">
        <v>2972</v>
      </c>
      <c r="CR2976" s="18">
        <v>26.070765084247427</v>
      </c>
      <c r="CS2976" s="18" t="str">
        <v>Invest</v>
      </c>
      <c r="CU2976" s="45">
        <v>2972</v>
      </c>
      <c r="CV2976" s="18">
        <v>5.9411354773933525</v>
      </c>
      <c r="CW2976" s="18" t="str">
        <v>Invest</v>
      </c>
      <c r="CY2976" s="45">
        <v>2972</v>
      </c>
      <c r="CZ2976" s="18">
        <v>61.348793710548797</v>
      </c>
      <c r="DA2976" s="18" t="str">
        <v>Invest</v>
      </c>
    </row>
    <row r="2977" spans="95:105" ht="23.5">
      <c r="CQ2977" s="45">
        <v>2973</v>
      </c>
      <c r="CR2977" s="18">
        <v>1.2823725180056762</v>
      </c>
      <c r="CS2977" s="18" t="str">
        <v>Invest</v>
      </c>
      <c r="CU2977" s="45">
        <v>2973</v>
      </c>
      <c r="CV2977" s="18">
        <v>30.658399763975915</v>
      </c>
      <c r="CW2977" s="18" t="str">
        <v>Invest</v>
      </c>
      <c r="CY2977" s="45">
        <v>2973</v>
      </c>
      <c r="CZ2977" s="18">
        <v>25.093185620679883</v>
      </c>
      <c r="DA2977" s="18" t="str">
        <v>Invest</v>
      </c>
    </row>
    <row r="2978" spans="95:105" ht="23.5">
      <c r="CQ2978" s="45">
        <v>2974</v>
      </c>
      <c r="CR2978" s="18">
        <v>16.398036779982466</v>
      </c>
      <c r="CS2978" s="18" t="str">
        <v>Invest</v>
      </c>
      <c r="CU2978" s="45">
        <v>2974</v>
      </c>
      <c r="CV2978" s="18">
        <v>46.945581069611023</v>
      </c>
      <c r="CW2978" s="18" t="str">
        <v>Invest</v>
      </c>
      <c r="CY2978" s="45">
        <v>2974</v>
      </c>
      <c r="CZ2978" s="18">
        <v>28.342961058949864</v>
      </c>
      <c r="DA2978" s="18" t="str">
        <v>Invest</v>
      </c>
    </row>
    <row r="2979" spans="95:105" ht="23.5">
      <c r="CQ2979" s="45">
        <v>2975</v>
      </c>
      <c r="CR2979" s="18">
        <v>0</v>
      </c>
      <c r="CS2979" s="18" t="str">
        <v>Nothing</v>
      </c>
      <c r="CU2979" s="45">
        <v>2975</v>
      </c>
      <c r="CV2979" s="18">
        <v>14.022297240704386</v>
      </c>
      <c r="CW2979" s="18" t="str">
        <v>Invest</v>
      </c>
      <c r="CY2979" s="45">
        <v>2975</v>
      </c>
      <c r="CZ2979" s="18">
        <v>26.840559612909832</v>
      </c>
      <c r="DA2979" s="18" t="str">
        <v>Invest</v>
      </c>
    </row>
    <row r="2980" spans="95:105" ht="23.5">
      <c r="CQ2980" s="45">
        <v>2976</v>
      </c>
      <c r="CR2980" s="18">
        <v>0</v>
      </c>
      <c r="CS2980" s="18" t="str">
        <v>Nothing</v>
      </c>
      <c r="CU2980" s="45">
        <v>2976</v>
      </c>
      <c r="CV2980" s="18">
        <v>24.217256693170697</v>
      </c>
      <c r="CW2980" s="18" t="str">
        <v>Invest</v>
      </c>
      <c r="CY2980" s="45">
        <v>2976</v>
      </c>
      <c r="CZ2980" s="18">
        <v>24.971927763823821</v>
      </c>
      <c r="DA2980" s="18" t="str">
        <v>Invest</v>
      </c>
    </row>
    <row r="2981" spans="95:105" ht="23.5">
      <c r="CQ2981" s="45">
        <v>2977</v>
      </c>
      <c r="CR2981" s="18">
        <v>10.787925899834978</v>
      </c>
      <c r="CS2981" s="18" t="str">
        <v>Invest</v>
      </c>
      <c r="CU2981" s="45">
        <v>2977</v>
      </c>
      <c r="CV2981" s="18">
        <v>16.792457457498024</v>
      </c>
      <c r="CW2981" s="18" t="str">
        <v>Invest</v>
      </c>
      <c r="CY2981" s="45">
        <v>2977</v>
      </c>
      <c r="CZ2981" s="18">
        <v>1.8233175240467219</v>
      </c>
      <c r="DA2981" s="18" t="str">
        <v>Invest</v>
      </c>
    </row>
    <row r="2982" spans="95:105" ht="23.5">
      <c r="CQ2982" s="45">
        <v>2978</v>
      </c>
      <c r="CR2982" s="18">
        <v>7.1774884560145402</v>
      </c>
      <c r="CS2982" s="18" t="str">
        <v>Invest</v>
      </c>
      <c r="CU2982" s="45">
        <v>2978</v>
      </c>
      <c r="CV2982" s="18">
        <v>0.80032366912424635</v>
      </c>
      <c r="CW2982" s="18" t="str">
        <v>Invest</v>
      </c>
      <c r="CY2982" s="45">
        <v>2978</v>
      </c>
      <c r="CZ2982" s="18">
        <v>12.439963460012521</v>
      </c>
      <c r="DA2982" s="18" t="str">
        <v>Invest</v>
      </c>
    </row>
    <row r="2983" spans="95:105" ht="23.5">
      <c r="CQ2983" s="45">
        <v>2979</v>
      </c>
      <c r="CR2983" s="18">
        <v>0</v>
      </c>
      <c r="CS2983" s="18" t="str">
        <v>Nothing</v>
      </c>
      <c r="CU2983" s="45">
        <v>2979</v>
      </c>
      <c r="CV2983" s="18">
        <v>0</v>
      </c>
      <c r="CW2983" s="18" t="str">
        <v>Nothing</v>
      </c>
      <c r="CY2983" s="45">
        <v>2979</v>
      </c>
      <c r="CZ2983" s="18">
        <v>0</v>
      </c>
      <c r="DA2983" s="18" t="str">
        <v>Nothing</v>
      </c>
    </row>
    <row r="2984" spans="95:105" ht="23.5">
      <c r="CQ2984" s="45">
        <v>2980</v>
      </c>
      <c r="CR2984" s="18">
        <v>0</v>
      </c>
      <c r="CS2984" s="18" t="str">
        <v>Nothing</v>
      </c>
      <c r="CU2984" s="45">
        <v>2980</v>
      </c>
      <c r="CV2984" s="18">
        <v>17.197598703425594</v>
      </c>
      <c r="CW2984" s="18" t="str">
        <v>Invest</v>
      </c>
      <c r="CY2984" s="45">
        <v>2980</v>
      </c>
      <c r="CZ2984" s="18">
        <v>33.895039005376795</v>
      </c>
      <c r="DA2984" s="18" t="str">
        <v>Invest</v>
      </c>
    </row>
    <row r="2985" spans="95:105" ht="23.5">
      <c r="CQ2985" s="45">
        <v>2981</v>
      </c>
      <c r="CR2985" s="18">
        <v>0</v>
      </c>
      <c r="CS2985" s="18" t="str">
        <v>Nothing</v>
      </c>
      <c r="CU2985" s="45">
        <v>2981</v>
      </c>
      <c r="CV2985" s="18">
        <v>24.355749839567459</v>
      </c>
      <c r="CW2985" s="18" t="str">
        <v>Invest</v>
      </c>
      <c r="CY2985" s="45">
        <v>2981</v>
      </c>
      <c r="CZ2985" s="18">
        <v>23.884733162156977</v>
      </c>
      <c r="DA2985" s="18" t="str">
        <v>Invest</v>
      </c>
    </row>
    <row r="2986" spans="95:105" ht="23.5">
      <c r="CQ2986" s="45">
        <v>2982</v>
      </c>
      <c r="CR2986" s="18">
        <v>19.339874607820796</v>
      </c>
      <c r="CS2986" s="18" t="str">
        <v>Invest</v>
      </c>
      <c r="CU2986" s="45">
        <v>2982</v>
      </c>
      <c r="CV2986" s="18">
        <v>22.062805813831705</v>
      </c>
      <c r="CW2986" s="18" t="str">
        <v>Invest</v>
      </c>
      <c r="CY2986" s="45">
        <v>2982</v>
      </c>
      <c r="CZ2986" s="18">
        <v>16.272333095926818</v>
      </c>
      <c r="DA2986" s="18" t="str">
        <v>Invest</v>
      </c>
    </row>
    <row r="2987" spans="95:105" ht="23.5">
      <c r="CQ2987" s="45">
        <v>2983</v>
      </c>
      <c r="CR2987" s="18">
        <v>34.75525832883374</v>
      </c>
      <c r="CS2987" s="18" t="str">
        <v>Invest</v>
      </c>
      <c r="CU2987" s="45">
        <v>2983</v>
      </c>
      <c r="CV2987" s="18">
        <v>1.7662563927995922</v>
      </c>
      <c r="CW2987" s="18" t="str">
        <v>Invest</v>
      </c>
      <c r="CY2987" s="45">
        <v>2983</v>
      </c>
      <c r="CZ2987" s="18">
        <v>27.280144049103278</v>
      </c>
      <c r="DA2987" s="18" t="str">
        <v>Invest</v>
      </c>
    </row>
    <row r="2988" spans="95:105" ht="23.5">
      <c r="CQ2988" s="45">
        <v>2984</v>
      </c>
      <c r="CR2988" s="18">
        <v>3.3103389778616155</v>
      </c>
      <c r="CS2988" s="18" t="str">
        <v>Invest</v>
      </c>
      <c r="CU2988" s="45">
        <v>2984</v>
      </c>
      <c r="CV2988" s="18">
        <v>2.2124409888293233</v>
      </c>
      <c r="CW2988" s="18" t="str">
        <v>Invest</v>
      </c>
      <c r="CY2988" s="45">
        <v>2984</v>
      </c>
      <c r="CZ2988" s="18">
        <v>43.809383629694921</v>
      </c>
      <c r="DA2988" s="18" t="str">
        <v>Invest</v>
      </c>
    </row>
    <row r="2989" spans="95:105" ht="23.5">
      <c r="CQ2989" s="45">
        <v>2985</v>
      </c>
      <c r="CR2989" s="18">
        <v>10.827417399322181</v>
      </c>
      <c r="CS2989" s="18" t="str">
        <v>Invest</v>
      </c>
      <c r="CU2989" s="45">
        <v>2985</v>
      </c>
      <c r="CV2989" s="18">
        <v>24.602459456351973</v>
      </c>
      <c r="CW2989" s="18" t="str">
        <v>Invest</v>
      </c>
      <c r="CY2989" s="45">
        <v>2985</v>
      </c>
      <c r="CZ2989" s="18">
        <v>14.571301779414561</v>
      </c>
      <c r="DA2989" s="18" t="str">
        <v>Invest</v>
      </c>
    </row>
    <row r="2990" spans="95:105" ht="23.5">
      <c r="CQ2990" s="45">
        <v>2986</v>
      </c>
      <c r="CR2990" s="18">
        <v>0</v>
      </c>
      <c r="CS2990" s="18" t="str">
        <v>Nothing</v>
      </c>
      <c r="CU2990" s="45">
        <v>2986</v>
      </c>
      <c r="CV2990" s="18">
        <v>27.902025808897641</v>
      </c>
      <c r="CW2990" s="18" t="str">
        <v>Invest</v>
      </c>
      <c r="CY2990" s="45">
        <v>2986</v>
      </c>
      <c r="CZ2990" s="18">
        <v>23.790426548231487</v>
      </c>
      <c r="DA2990" s="18" t="str">
        <v>Invest</v>
      </c>
    </row>
    <row r="2991" spans="95:105" ht="23.5">
      <c r="CQ2991" s="45">
        <v>2987</v>
      </c>
      <c r="CR2991" s="18">
        <v>5.5440412926665665</v>
      </c>
      <c r="CS2991" s="18" t="str">
        <v>Invest</v>
      </c>
      <c r="CU2991" s="45">
        <v>2987</v>
      </c>
      <c r="CV2991" s="18">
        <v>0.39716631343389963</v>
      </c>
      <c r="CW2991" s="18" t="str">
        <v>Invest</v>
      </c>
      <c r="CY2991" s="45">
        <v>2987</v>
      </c>
      <c r="CZ2991" s="18">
        <v>12.334473760931777</v>
      </c>
      <c r="DA2991" s="18" t="str">
        <v>Invest</v>
      </c>
    </row>
    <row r="2992" spans="95:105" ht="23.5">
      <c r="CQ2992" s="45">
        <v>2988</v>
      </c>
      <c r="CR2992" s="18">
        <v>21.205283468807053</v>
      </c>
      <c r="CS2992" s="18" t="str">
        <v>Invest</v>
      </c>
      <c r="CU2992" s="45">
        <v>2988</v>
      </c>
      <c r="CV2992" s="18">
        <v>41.599669124442535</v>
      </c>
      <c r="CW2992" s="18" t="str">
        <v>Invest</v>
      </c>
      <c r="CY2992" s="45">
        <v>2988</v>
      </c>
      <c r="CZ2992" s="18">
        <v>0</v>
      </c>
      <c r="DA2992" s="18" t="str">
        <v>Nothing</v>
      </c>
    </row>
    <row r="2993" spans="95:105" ht="23.5">
      <c r="CQ2993" s="45">
        <v>2989</v>
      </c>
      <c r="CR2993" s="18">
        <v>0.11454051970762347</v>
      </c>
      <c r="CS2993" s="18" t="str">
        <v>Invest</v>
      </c>
      <c r="CU2993" s="45">
        <v>2989</v>
      </c>
      <c r="CV2993" s="18">
        <v>5.4282517652854878</v>
      </c>
      <c r="CW2993" s="18" t="str">
        <v>Invest</v>
      </c>
      <c r="CY2993" s="45">
        <v>2989</v>
      </c>
      <c r="CZ2993" s="18">
        <v>4.2941218124995117</v>
      </c>
      <c r="DA2993" s="18" t="str">
        <v>Invest</v>
      </c>
    </row>
    <row r="2994" spans="95:105" ht="23.5">
      <c r="CQ2994" s="45">
        <v>2990</v>
      </c>
      <c r="CR2994" s="18">
        <v>42.477666695226837</v>
      </c>
      <c r="CS2994" s="18" t="str">
        <v>Invest</v>
      </c>
      <c r="CU2994" s="45">
        <v>2990</v>
      </c>
      <c r="CV2994" s="18">
        <v>8.2149915941296392</v>
      </c>
      <c r="CW2994" s="18" t="str">
        <v>Invest</v>
      </c>
      <c r="CY2994" s="45">
        <v>2990</v>
      </c>
      <c r="CZ2994" s="18">
        <v>0</v>
      </c>
      <c r="DA2994" s="18" t="str">
        <v>Nothing</v>
      </c>
    </row>
    <row r="2995" spans="95:105" ht="23.5">
      <c r="CQ2995" s="45">
        <v>2991</v>
      </c>
      <c r="CR2995" s="18">
        <v>15.81695880860565</v>
      </c>
      <c r="CS2995" s="18" t="str">
        <v>Invest</v>
      </c>
      <c r="CU2995" s="45">
        <v>2991</v>
      </c>
      <c r="CV2995" s="18">
        <v>16.024932458439487</v>
      </c>
      <c r="CW2995" s="18" t="str">
        <v>Invest</v>
      </c>
      <c r="CY2995" s="45">
        <v>2991</v>
      </c>
      <c r="CZ2995" s="18">
        <v>30.059976203532429</v>
      </c>
      <c r="DA2995" s="18" t="str">
        <v>Invest</v>
      </c>
    </row>
    <row r="2996" spans="95:105" ht="23.5">
      <c r="CQ2996" s="45">
        <v>2992</v>
      </c>
      <c r="CR2996" s="18">
        <v>47.081462744828592</v>
      </c>
      <c r="CS2996" s="18" t="str">
        <v>Invest</v>
      </c>
      <c r="CU2996" s="45">
        <v>2992</v>
      </c>
      <c r="CV2996" s="18">
        <v>29.990306133295235</v>
      </c>
      <c r="CW2996" s="18" t="str">
        <v>Invest</v>
      </c>
      <c r="CY2996" s="45">
        <v>2992</v>
      </c>
      <c r="CZ2996" s="18">
        <v>2.7751880243828353</v>
      </c>
      <c r="DA2996" s="18" t="str">
        <v>Invest</v>
      </c>
    </row>
    <row r="2997" spans="95:105" ht="23.5">
      <c r="CQ2997" s="45">
        <v>2993</v>
      </c>
      <c r="CR2997" s="18">
        <v>0</v>
      </c>
      <c r="CS2997" s="18" t="str">
        <v>Nothing</v>
      </c>
      <c r="CU2997" s="45">
        <v>2993</v>
      </c>
      <c r="CV2997" s="18">
        <v>16.982321700466553</v>
      </c>
      <c r="CW2997" s="18" t="str">
        <v>Invest</v>
      </c>
      <c r="CY2997" s="45">
        <v>2993</v>
      </c>
      <c r="CZ2997" s="18">
        <v>28.289261966325522</v>
      </c>
      <c r="DA2997" s="18" t="str">
        <v>Invest</v>
      </c>
    </row>
    <row r="2998" spans="95:105" ht="23.5">
      <c r="CQ2998" s="45">
        <v>2994</v>
      </c>
      <c r="CR2998" s="18">
        <v>0</v>
      </c>
      <c r="CS2998" s="18" t="str">
        <v>Nothing</v>
      </c>
      <c r="CU2998" s="45">
        <v>2994</v>
      </c>
      <c r="CV2998" s="18">
        <v>0</v>
      </c>
      <c r="CW2998" s="18" t="str">
        <v>Nothing</v>
      </c>
      <c r="CY2998" s="45">
        <v>2994</v>
      </c>
      <c r="CZ2998" s="18">
        <v>38.600588057370018</v>
      </c>
      <c r="DA2998" s="18" t="str">
        <v>Invest</v>
      </c>
    </row>
    <row r="2999" spans="95:105" ht="23.5">
      <c r="CQ2999" s="45">
        <v>2995</v>
      </c>
      <c r="CR2999" s="18">
        <v>0</v>
      </c>
      <c r="CS2999" s="18" t="str">
        <v>Nothing</v>
      </c>
      <c r="CU2999" s="45">
        <v>2995</v>
      </c>
      <c r="CV2999" s="18">
        <v>1.8219745729016878</v>
      </c>
      <c r="CW2999" s="18" t="str">
        <v>Invest</v>
      </c>
      <c r="CY2999" s="45">
        <v>2995</v>
      </c>
      <c r="CZ2999" s="18">
        <v>0.98313259062334879</v>
      </c>
      <c r="DA2999" s="18" t="str">
        <v>Invest</v>
      </c>
    </row>
    <row r="3000" spans="95:105" ht="23.5">
      <c r="CQ3000" s="45">
        <v>2996</v>
      </c>
      <c r="CR3000" s="18">
        <v>4.3274860387088268</v>
      </c>
      <c r="CS3000" s="18" t="str">
        <v>Invest</v>
      </c>
      <c r="CU3000" s="45">
        <v>2996</v>
      </c>
      <c r="CV3000" s="18">
        <v>26.322574099343484</v>
      </c>
      <c r="CW3000" s="18" t="str">
        <v>Invest</v>
      </c>
      <c r="CY3000" s="45">
        <v>2996</v>
      </c>
      <c r="CZ3000" s="18">
        <v>0</v>
      </c>
      <c r="DA3000" s="18" t="str">
        <v>Nothing</v>
      </c>
    </row>
    <row r="3001" spans="95:105" ht="23.5">
      <c r="CQ3001" s="45">
        <v>2997</v>
      </c>
      <c r="CR3001" s="18">
        <v>8.0833642735529594</v>
      </c>
      <c r="CS3001" s="18" t="str">
        <v>Invest</v>
      </c>
      <c r="CU3001" s="45">
        <v>2997</v>
      </c>
      <c r="CV3001" s="18">
        <v>41.669277594339526</v>
      </c>
      <c r="CW3001" s="18" t="str">
        <v>Invest</v>
      </c>
      <c r="CY3001" s="45">
        <v>2997</v>
      </c>
      <c r="CZ3001" s="18">
        <v>40.390855153723763</v>
      </c>
      <c r="DA3001" s="18" t="str">
        <v>Invest</v>
      </c>
    </row>
    <row r="3002" spans="95:105" ht="23.5">
      <c r="CQ3002" s="45">
        <v>2998</v>
      </c>
      <c r="CR3002" s="18">
        <v>0</v>
      </c>
      <c r="CS3002" s="18" t="str">
        <v>Nothing</v>
      </c>
      <c r="CU3002" s="45">
        <v>2998</v>
      </c>
      <c r="CV3002" s="18">
        <v>0</v>
      </c>
      <c r="CW3002" s="18" t="str">
        <v>Nothing</v>
      </c>
      <c r="CY3002" s="45">
        <v>2998</v>
      </c>
      <c r="CZ3002" s="18">
        <v>5.4429864940186796</v>
      </c>
      <c r="DA3002" s="18" t="str">
        <v>Invest</v>
      </c>
    </row>
    <row r="3003" spans="95:105" ht="23.5">
      <c r="CQ3003" s="45">
        <v>2999</v>
      </c>
      <c r="CR3003" s="18">
        <v>13.880233372793496</v>
      </c>
      <c r="CS3003" s="18" t="str">
        <v>Invest</v>
      </c>
      <c r="CU3003" s="45">
        <v>2999</v>
      </c>
      <c r="CV3003" s="18">
        <v>24.023299696258832</v>
      </c>
      <c r="CW3003" s="18" t="str">
        <v>Invest</v>
      </c>
      <c r="CY3003" s="45">
        <v>2999</v>
      </c>
      <c r="CZ3003" s="18">
        <v>25.044611749136934</v>
      </c>
      <c r="DA3003" s="18" t="str">
        <v>Invest</v>
      </c>
    </row>
    <row r="3004" spans="95:105" ht="23.5">
      <c r="CQ3004" s="45">
        <v>3000</v>
      </c>
      <c r="CR3004" s="18">
        <v>0</v>
      </c>
      <c r="CS3004" s="18" t="str">
        <v>Nothing</v>
      </c>
      <c r="CU3004" s="45">
        <v>3000</v>
      </c>
      <c r="CV3004" s="18">
        <v>5.4794561057279312</v>
      </c>
      <c r="CW3004" s="18" t="str">
        <v>Invest</v>
      </c>
      <c r="CY3004" s="45">
        <v>3000</v>
      </c>
      <c r="CZ3004" s="18">
        <v>14.468455006380378</v>
      </c>
      <c r="DA3004" s="18" t="str">
        <v>Invest</v>
      </c>
    </row>
    <row r="3005" spans="95:105" ht="23.5">
      <c r="CU3005" s="45">
        <v>3001</v>
      </c>
      <c r="CV3005" s="18">
        <v>0</v>
      </c>
      <c r="CW3005" s="18" t="str">
        <v>Nothing</v>
      </c>
      <c r="CY3005" s="45">
        <v>3001</v>
      </c>
      <c r="CZ3005" s="18">
        <v>25.023850268505342</v>
      </c>
      <c r="DA3005" s="18" t="str">
        <v>Invest</v>
      </c>
    </row>
    <row r="3006" spans="95:105" ht="23.5">
      <c r="CU3006" s="45">
        <v>3002</v>
      </c>
      <c r="CV3006" s="18">
        <v>13.853609386861343</v>
      </c>
      <c r="CW3006" s="18" t="str">
        <v>Invest</v>
      </c>
      <c r="CY3006" s="45">
        <v>3002</v>
      </c>
      <c r="CZ3006" s="18">
        <v>34.505141437464914</v>
      </c>
      <c r="DA3006" s="18" t="str">
        <v>Invest</v>
      </c>
    </row>
    <row r="3007" spans="95:105" ht="23.5">
      <c r="CU3007" s="45">
        <v>3003</v>
      </c>
      <c r="CV3007" s="18">
        <v>3.7889363536402314</v>
      </c>
      <c r="CW3007" s="18" t="str">
        <v>Invest</v>
      </c>
      <c r="CY3007" s="45">
        <v>3003</v>
      </c>
      <c r="CZ3007" s="18">
        <v>26.199277604711853</v>
      </c>
      <c r="DA3007" s="18" t="str">
        <v>Invest</v>
      </c>
    </row>
    <row r="3008" spans="95:105" ht="23.5">
      <c r="CU3008" s="45">
        <v>3004</v>
      </c>
      <c r="CV3008" s="18">
        <v>9.2162677521094736</v>
      </c>
      <c r="CW3008" s="18" t="str">
        <v>Invest</v>
      </c>
      <c r="CY3008" s="45">
        <v>3004</v>
      </c>
      <c r="CZ3008" s="18">
        <v>15.380745461437517</v>
      </c>
      <c r="DA3008" s="18" t="str">
        <v>Invest</v>
      </c>
    </row>
    <row r="3009" spans="99:105" ht="23.5">
      <c r="CU3009" s="45">
        <v>3005</v>
      </c>
      <c r="CV3009" s="18">
        <v>0</v>
      </c>
      <c r="CW3009" s="18" t="str">
        <v>Nothing</v>
      </c>
      <c r="CY3009" s="45">
        <v>3005</v>
      </c>
      <c r="CZ3009" s="18">
        <v>27.177972662010365</v>
      </c>
      <c r="DA3009" s="18" t="str">
        <v>Invest</v>
      </c>
    </row>
    <row r="3010" spans="99:105" ht="23.5">
      <c r="CU3010" s="45">
        <v>3006</v>
      </c>
      <c r="CV3010" s="18">
        <v>0</v>
      </c>
      <c r="CW3010" s="18" t="str">
        <v>Nothing</v>
      </c>
      <c r="CY3010" s="45">
        <v>3006</v>
      </c>
      <c r="CZ3010" s="18">
        <v>43.01986461089141</v>
      </c>
      <c r="DA3010" s="18" t="str">
        <v>Invest</v>
      </c>
    </row>
    <row r="3011" spans="99:105" ht="23.5">
      <c r="CU3011" s="45">
        <v>3007</v>
      </c>
      <c r="CV3011" s="18">
        <v>0</v>
      </c>
      <c r="CW3011" s="18" t="str">
        <v>Nothing</v>
      </c>
      <c r="CY3011" s="45">
        <v>3007</v>
      </c>
      <c r="CZ3011" s="18">
        <v>16.645094079776001</v>
      </c>
      <c r="DA3011" s="18" t="str">
        <v>Invest</v>
      </c>
    </row>
    <row r="3012" spans="99:105" ht="23.5">
      <c r="CU3012" s="45">
        <v>3008</v>
      </c>
      <c r="CV3012" s="18">
        <v>0</v>
      </c>
      <c r="CW3012" s="18" t="str">
        <v>Nothing</v>
      </c>
      <c r="CY3012" s="45">
        <v>3008</v>
      </c>
      <c r="CZ3012" s="18">
        <v>5.8064043803090932</v>
      </c>
      <c r="DA3012" s="18" t="str">
        <v>Invest</v>
      </c>
    </row>
    <row r="3013" spans="99:105" ht="23.5">
      <c r="CU3013" s="45">
        <v>3009</v>
      </c>
      <c r="CV3013" s="18">
        <v>0</v>
      </c>
      <c r="CW3013" s="18" t="str">
        <v>Nothing</v>
      </c>
      <c r="CY3013" s="45">
        <v>3009</v>
      </c>
      <c r="CZ3013" s="18">
        <v>24.776766937190928</v>
      </c>
      <c r="DA3013" s="18" t="str">
        <v>Invest</v>
      </c>
    </row>
    <row r="3014" spans="99:105" ht="23.5">
      <c r="CU3014" s="45">
        <v>3010</v>
      </c>
      <c r="CV3014" s="18">
        <v>30.525899222082991</v>
      </c>
      <c r="CW3014" s="18" t="str">
        <v>Invest</v>
      </c>
      <c r="CY3014" s="45">
        <v>3010</v>
      </c>
      <c r="CZ3014" s="18">
        <v>0</v>
      </c>
      <c r="DA3014" s="18" t="str">
        <v>Nothing</v>
      </c>
    </row>
    <row r="3015" spans="99:105" ht="23.5">
      <c r="CU3015" s="45">
        <v>3011</v>
      </c>
      <c r="CV3015" s="18">
        <v>7.728907332147255</v>
      </c>
      <c r="CW3015" s="18" t="str">
        <v>Invest</v>
      </c>
      <c r="CY3015" s="45">
        <v>3011</v>
      </c>
      <c r="CZ3015" s="18">
        <v>0</v>
      </c>
      <c r="DA3015" s="18" t="str">
        <v>Nothing</v>
      </c>
    </row>
    <row r="3016" spans="99:105" ht="23.5">
      <c r="CU3016" s="45">
        <v>3012</v>
      </c>
      <c r="CV3016" s="18">
        <v>45.665489284315306</v>
      </c>
      <c r="CW3016" s="18" t="str">
        <v>Invest</v>
      </c>
      <c r="CY3016" s="45">
        <v>3012</v>
      </c>
      <c r="CZ3016" s="18">
        <v>4.3607450892677662</v>
      </c>
      <c r="DA3016" s="18" t="str">
        <v>Invest</v>
      </c>
    </row>
    <row r="3017" spans="99:105" ht="23.5">
      <c r="CU3017" s="45">
        <v>3013</v>
      </c>
      <c r="CV3017" s="18">
        <v>17.017578384418336</v>
      </c>
      <c r="CW3017" s="18" t="str">
        <v>Invest</v>
      </c>
      <c r="CY3017" s="45">
        <v>3013</v>
      </c>
      <c r="CZ3017" s="18">
        <v>27.655483550599719</v>
      </c>
      <c r="DA3017" s="18" t="str">
        <v>Invest</v>
      </c>
    </row>
    <row r="3018" spans="99:105" ht="23.5">
      <c r="CU3018" s="45">
        <v>3014</v>
      </c>
      <c r="CV3018" s="18">
        <v>0.33643267352671558</v>
      </c>
      <c r="CW3018" s="18" t="str">
        <v>Invest</v>
      </c>
      <c r="CY3018" s="45">
        <v>3014</v>
      </c>
      <c r="CZ3018" s="18">
        <v>0</v>
      </c>
      <c r="DA3018" s="18" t="str">
        <v>Nothing</v>
      </c>
    </row>
    <row r="3019" spans="99:105" ht="23.5">
      <c r="CU3019" s="45">
        <v>3015</v>
      </c>
      <c r="CV3019" s="18">
        <v>50.679194531766029</v>
      </c>
      <c r="CW3019" s="18" t="str">
        <v>Invest</v>
      </c>
      <c r="CY3019" s="45">
        <v>3015</v>
      </c>
      <c r="CZ3019" s="18">
        <v>6.0155637998742577</v>
      </c>
      <c r="DA3019" s="18" t="str">
        <v>Invest</v>
      </c>
    </row>
    <row r="3020" spans="99:105" ht="23.5">
      <c r="CU3020" s="45">
        <v>3016</v>
      </c>
      <c r="CV3020" s="18">
        <v>5.9943577839123776</v>
      </c>
      <c r="CW3020" s="18" t="str">
        <v>Invest</v>
      </c>
      <c r="CY3020" s="45">
        <v>3016</v>
      </c>
      <c r="CZ3020" s="18">
        <v>32.330401759799599</v>
      </c>
      <c r="DA3020" s="18" t="str">
        <v>Invest</v>
      </c>
    </row>
    <row r="3021" spans="99:105" ht="23.5">
      <c r="CU3021" s="45">
        <v>3017</v>
      </c>
      <c r="CV3021" s="18">
        <v>15.558058017595297</v>
      </c>
      <c r="CW3021" s="18" t="str">
        <v>Invest</v>
      </c>
      <c r="CY3021" s="45">
        <v>3017</v>
      </c>
      <c r="CZ3021" s="18">
        <v>14.472938911371841</v>
      </c>
      <c r="DA3021" s="18" t="str">
        <v>Invest</v>
      </c>
    </row>
    <row r="3022" spans="99:105" ht="23.5">
      <c r="CU3022" s="45">
        <v>3018</v>
      </c>
      <c r="CV3022" s="18">
        <v>35.105086540826534</v>
      </c>
      <c r="CW3022" s="18" t="str">
        <v>Invest</v>
      </c>
      <c r="CY3022" s="45">
        <v>3018</v>
      </c>
      <c r="CZ3022" s="18">
        <v>30.302209751041516</v>
      </c>
      <c r="DA3022" s="18" t="str">
        <v>Invest</v>
      </c>
    </row>
    <row r="3023" spans="99:105" ht="23.5">
      <c r="CU3023" s="45">
        <v>3019</v>
      </c>
      <c r="CV3023" s="18">
        <v>53.212953493558103</v>
      </c>
      <c r="CW3023" s="18" t="str">
        <v>Invest</v>
      </c>
      <c r="CY3023" s="45">
        <v>3019</v>
      </c>
      <c r="CZ3023" s="18">
        <v>0</v>
      </c>
      <c r="DA3023" s="18" t="str">
        <v>Nothing</v>
      </c>
    </row>
    <row r="3024" spans="99:105" ht="23.5">
      <c r="CU3024" s="45">
        <v>3020</v>
      </c>
      <c r="CV3024" s="18">
        <v>22.425136239737242</v>
      </c>
      <c r="CW3024" s="18" t="str">
        <v>Invest</v>
      </c>
      <c r="CY3024" s="45">
        <v>3020</v>
      </c>
      <c r="CZ3024" s="18">
        <v>0</v>
      </c>
      <c r="DA3024" s="18" t="str">
        <v>Nothing</v>
      </c>
    </row>
    <row r="3025" spans="99:105" ht="23.5">
      <c r="CU3025" s="45">
        <v>3021</v>
      </c>
      <c r="CV3025" s="18">
        <v>37.880157386775096</v>
      </c>
      <c r="CW3025" s="18" t="str">
        <v>Invest</v>
      </c>
      <c r="CY3025" s="45">
        <v>3021</v>
      </c>
      <c r="CZ3025" s="18">
        <v>56.279390950771145</v>
      </c>
      <c r="DA3025" s="18" t="str">
        <v>Invest</v>
      </c>
    </row>
    <row r="3026" spans="99:105" ht="23.5">
      <c r="CU3026" s="45">
        <v>3022</v>
      </c>
      <c r="CV3026" s="18">
        <v>38.004884640545527</v>
      </c>
      <c r="CW3026" s="18" t="str">
        <v>Invest</v>
      </c>
      <c r="CY3026" s="45">
        <v>3022</v>
      </c>
      <c r="CZ3026" s="18">
        <v>0</v>
      </c>
      <c r="DA3026" s="18" t="str">
        <v>Nothing</v>
      </c>
    </row>
    <row r="3027" spans="99:105" ht="23.5">
      <c r="CU3027" s="45">
        <v>3023</v>
      </c>
      <c r="CV3027" s="18">
        <v>24.66916341885328</v>
      </c>
      <c r="CW3027" s="18" t="str">
        <v>Invest</v>
      </c>
      <c r="CY3027" s="45">
        <v>3023</v>
      </c>
      <c r="CZ3027" s="18">
        <v>7.322691775189055</v>
      </c>
      <c r="DA3027" s="18" t="str">
        <v>Invest</v>
      </c>
    </row>
    <row r="3028" spans="99:105" ht="23.5">
      <c r="CU3028" s="45">
        <v>3024</v>
      </c>
      <c r="CV3028" s="18">
        <v>7.5636773740528582</v>
      </c>
      <c r="CW3028" s="18" t="str">
        <v>Invest</v>
      </c>
      <c r="CY3028" s="45">
        <v>3024</v>
      </c>
      <c r="CZ3028" s="18">
        <v>0</v>
      </c>
      <c r="DA3028" s="18" t="str">
        <v>Nothing</v>
      </c>
    </row>
    <row r="3029" spans="99:105" ht="23.5">
      <c r="CU3029" s="45">
        <v>3025</v>
      </c>
      <c r="CV3029" s="18">
        <v>17.909221048318265</v>
      </c>
      <c r="CW3029" s="18" t="str">
        <v>Invest</v>
      </c>
      <c r="CY3029" s="45">
        <v>3025</v>
      </c>
      <c r="CZ3029" s="18">
        <v>0</v>
      </c>
      <c r="DA3029" s="18" t="str">
        <v>Nothing</v>
      </c>
    </row>
    <row r="3030" spans="99:105" ht="23.5">
      <c r="CU3030" s="45">
        <v>3026</v>
      </c>
      <c r="CV3030" s="18">
        <v>28.324123349665538</v>
      </c>
      <c r="CW3030" s="18" t="str">
        <v>Invest</v>
      </c>
      <c r="CY3030" s="45">
        <v>3026</v>
      </c>
      <c r="CZ3030" s="18">
        <v>11.040075021425787</v>
      </c>
      <c r="DA3030" s="18" t="str">
        <v>Invest</v>
      </c>
    </row>
    <row r="3031" spans="99:105" ht="23.5">
      <c r="CU3031" s="45">
        <v>3027</v>
      </c>
      <c r="CV3031" s="18">
        <v>16.694752555411718</v>
      </c>
      <c r="CW3031" s="18" t="str">
        <v>Invest</v>
      </c>
      <c r="CY3031" s="45">
        <v>3027</v>
      </c>
      <c r="CZ3031" s="18">
        <v>0</v>
      </c>
      <c r="DA3031" s="18" t="str">
        <v>Nothing</v>
      </c>
    </row>
    <row r="3032" spans="99:105" ht="23.5">
      <c r="CU3032" s="45">
        <v>3028</v>
      </c>
      <c r="CV3032" s="18">
        <v>16.681365387581256</v>
      </c>
      <c r="CW3032" s="18" t="str">
        <v>Invest</v>
      </c>
      <c r="CY3032" s="45">
        <v>3028</v>
      </c>
      <c r="CZ3032" s="18">
        <v>19.63357588276941</v>
      </c>
      <c r="DA3032" s="18" t="str">
        <v>Invest</v>
      </c>
    </row>
    <row r="3033" spans="99:105" ht="23.5">
      <c r="CU3033" s="45">
        <v>3029</v>
      </c>
      <c r="CV3033" s="18">
        <v>0</v>
      </c>
      <c r="CW3033" s="18" t="str">
        <v>Nothing</v>
      </c>
      <c r="CY3033" s="45">
        <v>3029</v>
      </c>
      <c r="CZ3033" s="18">
        <v>20.144945035427511</v>
      </c>
      <c r="DA3033" s="18" t="str">
        <v>Invest</v>
      </c>
    </row>
    <row r="3034" spans="99:105" ht="23.5">
      <c r="CU3034" s="45">
        <v>3030</v>
      </c>
      <c r="CV3034" s="18">
        <v>21.818213813731028</v>
      </c>
      <c r="CW3034" s="18" t="str">
        <v>Invest</v>
      </c>
      <c r="CY3034" s="45">
        <v>3030</v>
      </c>
      <c r="CZ3034" s="18">
        <v>0</v>
      </c>
      <c r="DA3034" s="18" t="str">
        <v>Nothing</v>
      </c>
    </row>
    <row r="3035" spans="99:105" ht="23.5">
      <c r="CU3035" s="45">
        <v>3031</v>
      </c>
      <c r="CV3035" s="18">
        <v>27.496281067588761</v>
      </c>
      <c r="CW3035" s="18" t="str">
        <v>Invest</v>
      </c>
      <c r="CY3035" s="45">
        <v>3031</v>
      </c>
      <c r="CZ3035" s="18">
        <v>31.862522783781419</v>
      </c>
      <c r="DA3035" s="18" t="str">
        <v>Invest</v>
      </c>
    </row>
    <row r="3036" spans="99:105" ht="23.5">
      <c r="CU3036" s="45">
        <v>3032</v>
      </c>
      <c r="CV3036" s="18">
        <v>0</v>
      </c>
      <c r="CW3036" s="18" t="str">
        <v>Nothing</v>
      </c>
      <c r="CY3036" s="45">
        <v>3032</v>
      </c>
      <c r="CZ3036" s="18">
        <v>28.23271418670392</v>
      </c>
      <c r="DA3036" s="18" t="str">
        <v>Invest</v>
      </c>
    </row>
    <row r="3037" spans="99:105" ht="23.5">
      <c r="CU3037" s="45">
        <v>3033</v>
      </c>
      <c r="CV3037" s="18">
        <v>0</v>
      </c>
      <c r="CW3037" s="18" t="str">
        <v>Nothing</v>
      </c>
      <c r="CY3037" s="45">
        <v>3033</v>
      </c>
      <c r="CZ3037" s="18">
        <v>0</v>
      </c>
      <c r="DA3037" s="18" t="str">
        <v>Nothing</v>
      </c>
    </row>
    <row r="3038" spans="99:105" ht="23.5">
      <c r="CU3038" s="45">
        <v>3034</v>
      </c>
      <c r="CV3038" s="18">
        <v>2.1329245816005855</v>
      </c>
      <c r="CW3038" s="18" t="str">
        <v>Invest</v>
      </c>
      <c r="CY3038" s="45">
        <v>3034</v>
      </c>
      <c r="CZ3038" s="18">
        <v>0</v>
      </c>
      <c r="DA3038" s="18" t="str">
        <v>Nothing</v>
      </c>
    </row>
    <row r="3039" spans="99:105" ht="23.5">
      <c r="CU3039" s="45">
        <v>3035</v>
      </c>
      <c r="CV3039" s="18">
        <v>30.324416227818585</v>
      </c>
      <c r="CW3039" s="18" t="str">
        <v>Invest</v>
      </c>
      <c r="CY3039" s="45">
        <v>3035</v>
      </c>
      <c r="CZ3039" s="18">
        <v>14.107147334534824</v>
      </c>
      <c r="DA3039" s="18" t="str">
        <v>Invest</v>
      </c>
    </row>
    <row r="3040" spans="99:105" ht="23.5">
      <c r="CU3040" s="45">
        <v>3036</v>
      </c>
      <c r="CV3040" s="18">
        <v>19.158896742552979</v>
      </c>
      <c r="CW3040" s="18" t="str">
        <v>Invest</v>
      </c>
      <c r="CY3040" s="45">
        <v>3036</v>
      </c>
      <c r="CZ3040" s="18">
        <v>7.562326349573957</v>
      </c>
      <c r="DA3040" s="18" t="str">
        <v>Invest</v>
      </c>
    </row>
    <row r="3041" spans="99:105" ht="23.5">
      <c r="CU3041" s="45">
        <v>3037</v>
      </c>
      <c r="CV3041" s="18">
        <v>43.616299564233103</v>
      </c>
      <c r="CW3041" s="18" t="str">
        <v>Invest</v>
      </c>
      <c r="CY3041" s="45">
        <v>3037</v>
      </c>
      <c r="CZ3041" s="18">
        <v>0</v>
      </c>
      <c r="DA3041" s="18" t="str">
        <v>Nothing</v>
      </c>
    </row>
    <row r="3042" spans="99:105" ht="23.5">
      <c r="CU3042" s="45">
        <v>3038</v>
      </c>
      <c r="CV3042" s="18">
        <v>0</v>
      </c>
      <c r="CW3042" s="18" t="str">
        <v>Nothing</v>
      </c>
      <c r="CY3042" s="45">
        <v>3038</v>
      </c>
      <c r="CZ3042" s="18">
        <v>1.5529899198712194</v>
      </c>
      <c r="DA3042" s="18" t="str">
        <v>Invest</v>
      </c>
    </row>
    <row r="3043" spans="99:105" ht="23.5">
      <c r="CU3043" s="45">
        <v>3039</v>
      </c>
      <c r="CV3043" s="18">
        <v>13.782406260909944</v>
      </c>
      <c r="CW3043" s="18" t="str">
        <v>Invest</v>
      </c>
      <c r="CY3043" s="45">
        <v>3039</v>
      </c>
      <c r="CZ3043" s="18">
        <v>28.271649889766167</v>
      </c>
      <c r="DA3043" s="18" t="str">
        <v>Invest</v>
      </c>
    </row>
    <row r="3044" spans="99:105" ht="23.5">
      <c r="CU3044" s="45">
        <v>3040</v>
      </c>
      <c r="CV3044" s="18">
        <v>5.5286446089292447</v>
      </c>
      <c r="CW3044" s="18" t="str">
        <v>Invest</v>
      </c>
      <c r="CY3044" s="45">
        <v>3040</v>
      </c>
      <c r="CZ3044" s="18">
        <v>18.969973223326697</v>
      </c>
      <c r="DA3044" s="18" t="str">
        <v>Invest</v>
      </c>
    </row>
    <row r="3045" spans="99:105" ht="23.5">
      <c r="CU3045" s="45">
        <v>3041</v>
      </c>
      <c r="CV3045" s="18">
        <v>15.447097169605637</v>
      </c>
      <c r="CW3045" s="18" t="str">
        <v>Invest</v>
      </c>
      <c r="CY3045" s="45">
        <v>3041</v>
      </c>
      <c r="CZ3045" s="18">
        <v>24.111234561224805</v>
      </c>
      <c r="DA3045" s="18" t="str">
        <v>Invest</v>
      </c>
    </row>
    <row r="3046" spans="99:105" ht="23.5">
      <c r="CU3046" s="45">
        <v>3042</v>
      </c>
      <c r="CV3046" s="18">
        <v>33.459643980585071</v>
      </c>
      <c r="CW3046" s="18" t="str">
        <v>Invest</v>
      </c>
      <c r="CY3046" s="45">
        <v>3042</v>
      </c>
      <c r="CZ3046" s="18">
        <v>2.1857076292032271</v>
      </c>
      <c r="DA3046" s="18" t="str">
        <v>Invest</v>
      </c>
    </row>
    <row r="3047" spans="99:105" ht="23.5">
      <c r="CU3047" s="45">
        <v>3043</v>
      </c>
      <c r="CV3047" s="18">
        <v>0</v>
      </c>
      <c r="CW3047" s="18" t="str">
        <v>Nothing</v>
      </c>
      <c r="CY3047" s="45">
        <v>3043</v>
      </c>
      <c r="CZ3047" s="18">
        <v>31.477220860459958</v>
      </c>
      <c r="DA3047" s="18" t="str">
        <v>Invest</v>
      </c>
    </row>
    <row r="3048" spans="99:105" ht="23.5">
      <c r="CU3048" s="45">
        <v>3044</v>
      </c>
      <c r="CV3048" s="18">
        <v>25.753878487239216</v>
      </c>
      <c r="CW3048" s="18" t="str">
        <v>Invest</v>
      </c>
      <c r="CY3048" s="45">
        <v>3044</v>
      </c>
      <c r="CZ3048" s="18">
        <v>0</v>
      </c>
      <c r="DA3048" s="18" t="str">
        <v>Nothing</v>
      </c>
    </row>
    <row r="3049" spans="99:105" ht="23.5">
      <c r="CU3049" s="45">
        <v>3045</v>
      </c>
      <c r="CV3049" s="18">
        <v>1.8273414396994774</v>
      </c>
      <c r="CW3049" s="18" t="str">
        <v>Invest</v>
      </c>
      <c r="CY3049" s="45">
        <v>3045</v>
      </c>
      <c r="CZ3049" s="18">
        <v>19.792146375325103</v>
      </c>
      <c r="DA3049" s="18" t="str">
        <v>Invest</v>
      </c>
    </row>
    <row r="3050" spans="99:105" ht="23.5">
      <c r="CU3050" s="45">
        <v>3046</v>
      </c>
      <c r="CV3050" s="18">
        <v>26.980134937848586</v>
      </c>
      <c r="CW3050" s="18" t="str">
        <v>Invest</v>
      </c>
      <c r="CY3050" s="45">
        <v>3046</v>
      </c>
      <c r="CZ3050" s="18">
        <v>0</v>
      </c>
      <c r="DA3050" s="18" t="str">
        <v>Nothing</v>
      </c>
    </row>
    <row r="3051" spans="99:105" ht="23.5">
      <c r="CU3051" s="45">
        <v>3047</v>
      </c>
      <c r="CV3051" s="18">
        <v>23.851104419045793</v>
      </c>
      <c r="CW3051" s="18" t="str">
        <v>Invest</v>
      </c>
      <c r="CY3051" s="45">
        <v>3047</v>
      </c>
      <c r="CZ3051" s="18">
        <v>31.671117409403063</v>
      </c>
      <c r="DA3051" s="18" t="str">
        <v>Invest</v>
      </c>
    </row>
    <row r="3052" spans="99:105" ht="23.5">
      <c r="CU3052" s="45">
        <v>3048</v>
      </c>
      <c r="CV3052" s="18">
        <v>23.536161763885687</v>
      </c>
      <c r="CW3052" s="18" t="str">
        <v>Invest</v>
      </c>
      <c r="CY3052" s="45">
        <v>3048</v>
      </c>
      <c r="CZ3052" s="18">
        <v>19.67503247912067</v>
      </c>
      <c r="DA3052" s="18" t="str">
        <v>Invest</v>
      </c>
    </row>
    <row r="3053" spans="99:105" ht="23.5">
      <c r="CU3053" s="45">
        <v>3049</v>
      </c>
      <c r="CV3053" s="18">
        <v>14.806052090264428</v>
      </c>
      <c r="CW3053" s="18" t="str">
        <v>Invest</v>
      </c>
      <c r="CY3053" s="45">
        <v>3049</v>
      </c>
      <c r="CZ3053" s="18">
        <v>22.213851892062273</v>
      </c>
      <c r="DA3053" s="18" t="str">
        <v>Invest</v>
      </c>
    </row>
    <row r="3054" spans="99:105" ht="23.5">
      <c r="CU3054" s="45">
        <v>3050</v>
      </c>
      <c r="CV3054" s="18">
        <v>2.6707398605938764</v>
      </c>
      <c r="CW3054" s="18" t="str">
        <v>Invest</v>
      </c>
      <c r="CY3054" s="45">
        <v>3050</v>
      </c>
      <c r="CZ3054" s="18">
        <v>16.602294821629123</v>
      </c>
      <c r="DA3054" s="18" t="str">
        <v>Invest</v>
      </c>
    </row>
    <row r="3055" spans="99:105" ht="23.5">
      <c r="CU3055" s="45">
        <v>3051</v>
      </c>
      <c r="CV3055" s="18">
        <v>2.2700381190282171</v>
      </c>
      <c r="CW3055" s="18" t="str">
        <v>Invest</v>
      </c>
      <c r="CY3055" s="45">
        <v>3051</v>
      </c>
      <c r="CZ3055" s="18">
        <v>3.0078111337238482</v>
      </c>
      <c r="DA3055" s="18" t="str">
        <v>Invest</v>
      </c>
    </row>
    <row r="3056" spans="99:105" ht="23.5">
      <c r="CU3056" s="45">
        <v>3052</v>
      </c>
      <c r="CV3056" s="18">
        <v>25.767881536672085</v>
      </c>
      <c r="CW3056" s="18" t="str">
        <v>Invest</v>
      </c>
      <c r="CY3056" s="45">
        <v>3052</v>
      </c>
      <c r="CZ3056" s="18">
        <v>2.0505749660799912</v>
      </c>
      <c r="DA3056" s="18" t="str">
        <v>Invest</v>
      </c>
    </row>
    <row r="3057" spans="99:105" ht="23.5">
      <c r="CU3057" s="45">
        <v>3053</v>
      </c>
      <c r="CV3057" s="18">
        <v>9.6154556926067727</v>
      </c>
      <c r="CW3057" s="18" t="str">
        <v>Invest</v>
      </c>
      <c r="CY3057" s="45">
        <v>3053</v>
      </c>
      <c r="CZ3057" s="18">
        <v>18.472403855668155</v>
      </c>
      <c r="DA3057" s="18" t="str">
        <v>Invest</v>
      </c>
    </row>
    <row r="3058" spans="99:105" ht="23.5">
      <c r="CU3058" s="45">
        <v>3054</v>
      </c>
      <c r="CV3058" s="18">
        <v>10.717190004897155</v>
      </c>
      <c r="CW3058" s="18" t="str">
        <v>Invest</v>
      </c>
      <c r="CY3058" s="45">
        <v>3054</v>
      </c>
      <c r="CZ3058" s="18">
        <v>51.184936398366332</v>
      </c>
      <c r="DA3058" s="18" t="str">
        <v>Invest</v>
      </c>
    </row>
    <row r="3059" spans="99:105" ht="23.5">
      <c r="CU3059" s="45">
        <v>3055</v>
      </c>
      <c r="CV3059" s="18">
        <v>0</v>
      </c>
      <c r="CW3059" s="18" t="str">
        <v>Nothing</v>
      </c>
      <c r="CY3059" s="45">
        <v>3055</v>
      </c>
      <c r="CZ3059" s="18">
        <v>11.434126763098929</v>
      </c>
      <c r="DA3059" s="18" t="str">
        <v>Invest</v>
      </c>
    </row>
    <row r="3060" spans="99:105" ht="23.5">
      <c r="CU3060" s="45">
        <v>3056</v>
      </c>
      <c r="CV3060" s="18">
        <v>10.581435831885772</v>
      </c>
      <c r="CW3060" s="18" t="str">
        <v>Invest</v>
      </c>
      <c r="CY3060" s="45">
        <v>3056</v>
      </c>
      <c r="CZ3060" s="18">
        <v>0</v>
      </c>
      <c r="DA3060" s="18" t="str">
        <v>Nothing</v>
      </c>
    </row>
    <row r="3061" spans="99:105" ht="23.5">
      <c r="CU3061" s="45">
        <v>3057</v>
      </c>
      <c r="CV3061" s="18">
        <v>27.391160595985273</v>
      </c>
      <c r="CW3061" s="18" t="str">
        <v>Invest</v>
      </c>
      <c r="CY3061" s="45">
        <v>3057</v>
      </c>
      <c r="CZ3061" s="18">
        <v>0</v>
      </c>
      <c r="DA3061" s="18" t="str">
        <v>Nothing</v>
      </c>
    </row>
    <row r="3062" spans="99:105" ht="23.5">
      <c r="CU3062" s="45">
        <v>3058</v>
      </c>
      <c r="CV3062" s="18">
        <v>3.3556056528949618</v>
      </c>
      <c r="CW3062" s="18" t="str">
        <v>Invest</v>
      </c>
      <c r="CY3062" s="45">
        <v>3058</v>
      </c>
      <c r="CZ3062" s="18">
        <v>40.255637380622261</v>
      </c>
      <c r="DA3062" s="18" t="str">
        <v>Invest</v>
      </c>
    </row>
    <row r="3063" spans="99:105" ht="23.5">
      <c r="CU3063" s="45">
        <v>3059</v>
      </c>
      <c r="CV3063" s="18">
        <v>0</v>
      </c>
      <c r="CW3063" s="18" t="str">
        <v>Nothing</v>
      </c>
      <c r="CY3063" s="45">
        <v>3059</v>
      </c>
      <c r="CZ3063" s="18">
        <v>4.612697097946759</v>
      </c>
      <c r="DA3063" s="18" t="str">
        <v>Invest</v>
      </c>
    </row>
    <row r="3064" spans="99:105" ht="23.5">
      <c r="CU3064" s="45">
        <v>3060</v>
      </c>
      <c r="CV3064" s="18">
        <v>23.040309315906192</v>
      </c>
      <c r="CW3064" s="18" t="str">
        <v>Invest</v>
      </c>
      <c r="CY3064" s="45">
        <v>3060</v>
      </c>
      <c r="CZ3064" s="18">
        <v>0</v>
      </c>
      <c r="DA3064" s="18" t="str">
        <v>Nothing</v>
      </c>
    </row>
    <row r="3065" spans="99:105" ht="23.5">
      <c r="CU3065" s="45">
        <v>3061</v>
      </c>
      <c r="CV3065" s="18">
        <v>0</v>
      </c>
      <c r="CW3065" s="18" t="str">
        <v>Nothing</v>
      </c>
      <c r="CY3065" s="45">
        <v>3061</v>
      </c>
      <c r="CZ3065" s="18">
        <v>0</v>
      </c>
      <c r="DA3065" s="18" t="str">
        <v>Nothing</v>
      </c>
    </row>
    <row r="3066" spans="99:105" ht="23.5">
      <c r="CU3066" s="45">
        <v>3062</v>
      </c>
      <c r="CV3066" s="18">
        <v>0</v>
      </c>
      <c r="CW3066" s="18" t="str">
        <v>Nothing</v>
      </c>
      <c r="CY3066" s="45">
        <v>3062</v>
      </c>
      <c r="CZ3066" s="18">
        <v>0</v>
      </c>
      <c r="DA3066" s="18" t="str">
        <v>Nothing</v>
      </c>
    </row>
    <row r="3067" spans="99:105" ht="23.5">
      <c r="CU3067" s="45">
        <v>3063</v>
      </c>
      <c r="CV3067" s="18">
        <v>12.846435799487381</v>
      </c>
      <c r="CW3067" s="18" t="str">
        <v>Invest</v>
      </c>
      <c r="CY3067" s="45">
        <v>3063</v>
      </c>
      <c r="CZ3067" s="18">
        <v>0.66621601338121739</v>
      </c>
      <c r="DA3067" s="18" t="str">
        <v>Invest</v>
      </c>
    </row>
    <row r="3068" spans="99:105" ht="23.5">
      <c r="CU3068" s="45">
        <v>3064</v>
      </c>
      <c r="CV3068" s="18">
        <v>22.255981119157884</v>
      </c>
      <c r="CW3068" s="18" t="str">
        <v>Invest</v>
      </c>
      <c r="CY3068" s="45">
        <v>3064</v>
      </c>
      <c r="CZ3068" s="18">
        <v>27.12777039900687</v>
      </c>
      <c r="DA3068" s="18" t="str">
        <v>Invest</v>
      </c>
    </row>
    <row r="3069" spans="99:105" ht="23.5">
      <c r="CU3069" s="45">
        <v>3065</v>
      </c>
      <c r="CV3069" s="18">
        <v>0</v>
      </c>
      <c r="CW3069" s="18" t="str">
        <v>Nothing</v>
      </c>
      <c r="CY3069" s="45">
        <v>3065</v>
      </c>
      <c r="CZ3069" s="18">
        <v>0</v>
      </c>
      <c r="DA3069" s="18" t="str">
        <v>Nothing</v>
      </c>
    </row>
    <row r="3070" spans="99:105" ht="23.5">
      <c r="CU3070" s="45">
        <v>3066</v>
      </c>
      <c r="CV3070" s="18">
        <v>32.217576361079821</v>
      </c>
      <c r="CW3070" s="18" t="str">
        <v>Invest</v>
      </c>
      <c r="CY3070" s="45">
        <v>3066</v>
      </c>
      <c r="CZ3070" s="18">
        <v>20.487520765252182</v>
      </c>
      <c r="DA3070" s="18" t="str">
        <v>Invest</v>
      </c>
    </row>
    <row r="3071" spans="99:105" ht="23.5">
      <c r="CU3071" s="45">
        <v>3067</v>
      </c>
      <c r="CV3071" s="18">
        <v>3.8841701713810028</v>
      </c>
      <c r="CW3071" s="18" t="str">
        <v>Invest</v>
      </c>
      <c r="CY3071" s="45">
        <v>3067</v>
      </c>
      <c r="CZ3071" s="18">
        <v>45.827012347951701</v>
      </c>
      <c r="DA3071" s="18" t="str">
        <v>Invest</v>
      </c>
    </row>
    <row r="3072" spans="99:105" ht="23.5">
      <c r="CU3072" s="45">
        <v>3068</v>
      </c>
      <c r="CV3072" s="18">
        <v>22.684087288487746</v>
      </c>
      <c r="CW3072" s="18" t="str">
        <v>Invest</v>
      </c>
      <c r="CY3072" s="45">
        <v>3068</v>
      </c>
      <c r="CZ3072" s="18">
        <v>27.610984310443698</v>
      </c>
      <c r="DA3072" s="18" t="str">
        <v>Invest</v>
      </c>
    </row>
    <row r="3073" spans="99:105" ht="23.5">
      <c r="CU3073" s="45">
        <v>3069</v>
      </c>
      <c r="CV3073" s="18">
        <v>11.791798508340635</v>
      </c>
      <c r="CW3073" s="18" t="str">
        <v>Invest</v>
      </c>
      <c r="CY3073" s="45">
        <v>3069</v>
      </c>
      <c r="CZ3073" s="18">
        <v>0</v>
      </c>
      <c r="DA3073" s="18" t="str">
        <v>Nothing</v>
      </c>
    </row>
    <row r="3074" spans="99:105" ht="23.5">
      <c r="CU3074" s="45">
        <v>3070</v>
      </c>
      <c r="CV3074" s="18">
        <v>47.132698092331751</v>
      </c>
      <c r="CW3074" s="18" t="str">
        <v>Invest</v>
      </c>
      <c r="CY3074" s="45">
        <v>3070</v>
      </c>
      <c r="CZ3074" s="18">
        <v>5.1960229607111579</v>
      </c>
      <c r="DA3074" s="18" t="str">
        <v>Invest</v>
      </c>
    </row>
    <row r="3075" spans="99:105" ht="23.5">
      <c r="CU3075" s="45">
        <v>3071</v>
      </c>
      <c r="CV3075" s="18">
        <v>15.55076354967488</v>
      </c>
      <c r="CW3075" s="18" t="str">
        <v>Invest</v>
      </c>
      <c r="CY3075" s="45">
        <v>3071</v>
      </c>
      <c r="CZ3075" s="18">
        <v>0</v>
      </c>
      <c r="DA3075" s="18" t="str">
        <v>Nothing</v>
      </c>
    </row>
    <row r="3076" spans="99:105" ht="23.5">
      <c r="CU3076" s="45">
        <v>3072</v>
      </c>
      <c r="CV3076" s="18">
        <v>48.135047906204832</v>
      </c>
      <c r="CW3076" s="18" t="str">
        <v>Invest</v>
      </c>
      <c r="CY3076" s="45">
        <v>3072</v>
      </c>
      <c r="CZ3076" s="18">
        <v>0</v>
      </c>
      <c r="DA3076" s="18" t="str">
        <v>Nothing</v>
      </c>
    </row>
    <row r="3077" spans="99:105" ht="23.5">
      <c r="CU3077" s="45">
        <v>3073</v>
      </c>
      <c r="CV3077" s="18">
        <v>3.164105131828105</v>
      </c>
      <c r="CW3077" s="18" t="str">
        <v>Invest</v>
      </c>
      <c r="CY3077" s="45">
        <v>3073</v>
      </c>
      <c r="CZ3077" s="18">
        <v>20.916882891650687</v>
      </c>
      <c r="DA3077" s="18" t="str">
        <v>Invest</v>
      </c>
    </row>
    <row r="3078" spans="99:105" ht="23.5">
      <c r="CU3078" s="45">
        <v>3074</v>
      </c>
      <c r="CV3078" s="18">
        <v>33.349828959859522</v>
      </c>
      <c r="CW3078" s="18" t="str">
        <v>Invest</v>
      </c>
      <c r="CY3078" s="45">
        <v>3074</v>
      </c>
      <c r="CZ3078" s="18">
        <v>30.156899501315397</v>
      </c>
      <c r="DA3078" s="18" t="str">
        <v>Invest</v>
      </c>
    </row>
    <row r="3079" spans="99:105" ht="23.5">
      <c r="CU3079" s="45">
        <v>3075</v>
      </c>
      <c r="CV3079" s="18">
        <v>0</v>
      </c>
      <c r="CW3079" s="18" t="str">
        <v>Nothing</v>
      </c>
      <c r="CY3079" s="45">
        <v>3075</v>
      </c>
      <c r="CZ3079" s="18">
        <v>0</v>
      </c>
      <c r="DA3079" s="18" t="str">
        <v>Nothing</v>
      </c>
    </row>
    <row r="3080" spans="99:105" ht="23.5">
      <c r="CU3080" s="45">
        <v>3076</v>
      </c>
      <c r="CV3080" s="18">
        <v>1.225263623336625</v>
      </c>
      <c r="CW3080" s="18" t="str">
        <v>Invest</v>
      </c>
      <c r="CY3080" s="45">
        <v>3076</v>
      </c>
      <c r="CZ3080" s="18">
        <v>6.0830519728139869</v>
      </c>
      <c r="DA3080" s="18" t="str">
        <v>Invest</v>
      </c>
    </row>
    <row r="3081" spans="99:105" ht="23.5">
      <c r="CU3081" s="45">
        <v>3077</v>
      </c>
      <c r="CV3081" s="18">
        <v>44.790560339935752</v>
      </c>
      <c r="CW3081" s="18" t="str">
        <v>Invest</v>
      </c>
      <c r="CY3081" s="45">
        <v>3077</v>
      </c>
      <c r="CZ3081" s="18">
        <v>50.181104611850856</v>
      </c>
      <c r="DA3081" s="18" t="str">
        <v>Invest</v>
      </c>
    </row>
    <row r="3082" spans="99:105" ht="23.5">
      <c r="CU3082" s="45">
        <v>3078</v>
      </c>
      <c r="CV3082" s="18">
        <v>12.281898052494185</v>
      </c>
      <c r="CW3082" s="18" t="str">
        <v>Invest</v>
      </c>
      <c r="CY3082" s="45">
        <v>3078</v>
      </c>
      <c r="CZ3082" s="18">
        <v>18.058610008463639</v>
      </c>
      <c r="DA3082" s="18" t="str">
        <v>Invest</v>
      </c>
    </row>
    <row r="3083" spans="99:105" ht="23.5">
      <c r="CU3083" s="45">
        <v>3079</v>
      </c>
      <c r="CV3083" s="18">
        <v>20.106859438866366</v>
      </c>
      <c r="CW3083" s="18" t="str">
        <v>Invest</v>
      </c>
      <c r="CY3083" s="45">
        <v>3079</v>
      </c>
      <c r="CZ3083" s="18">
        <v>14.988248165355424</v>
      </c>
      <c r="DA3083" s="18" t="str">
        <v>Invest</v>
      </c>
    </row>
    <row r="3084" spans="99:105" ht="23.5">
      <c r="CU3084" s="45">
        <v>3080</v>
      </c>
      <c r="CV3084" s="18">
        <v>41.791228308758974</v>
      </c>
      <c r="CW3084" s="18" t="str">
        <v>Invest</v>
      </c>
      <c r="CY3084" s="45">
        <v>3080</v>
      </c>
      <c r="CZ3084" s="18">
        <v>21.440911974016043</v>
      </c>
      <c r="DA3084" s="18" t="str">
        <v>Invest</v>
      </c>
    </row>
    <row r="3085" spans="99:105" ht="23.5">
      <c r="CU3085" s="45">
        <v>3081</v>
      </c>
      <c r="CV3085" s="18">
        <v>34.978873408397817</v>
      </c>
      <c r="CW3085" s="18" t="str">
        <v>Invest</v>
      </c>
      <c r="CY3085" s="45">
        <v>3081</v>
      </c>
      <c r="CZ3085" s="18">
        <v>34.58807272415644</v>
      </c>
      <c r="DA3085" s="18" t="str">
        <v>Invest</v>
      </c>
    </row>
    <row r="3086" spans="99:105" ht="23.5">
      <c r="CU3086" s="45">
        <v>3082</v>
      </c>
      <c r="CV3086" s="18">
        <v>0</v>
      </c>
      <c r="CW3086" s="18" t="str">
        <v>Nothing</v>
      </c>
      <c r="CY3086" s="45">
        <v>3082</v>
      </c>
      <c r="CZ3086" s="18">
        <v>35.621017433494856</v>
      </c>
      <c r="DA3086" s="18" t="str">
        <v>Invest</v>
      </c>
    </row>
    <row r="3087" spans="99:105" ht="23.5">
      <c r="CU3087" s="45">
        <v>3083</v>
      </c>
      <c r="CV3087" s="18">
        <v>8.2427400235395538</v>
      </c>
      <c r="CW3087" s="18" t="str">
        <v>Invest</v>
      </c>
      <c r="CY3087" s="45">
        <v>3083</v>
      </c>
      <c r="CZ3087" s="18">
        <v>0</v>
      </c>
      <c r="DA3087" s="18" t="str">
        <v>Nothing</v>
      </c>
    </row>
    <row r="3088" spans="99:105" ht="23.5">
      <c r="CU3088" s="45">
        <v>3084</v>
      </c>
      <c r="CV3088" s="18">
        <v>41.386632303500981</v>
      </c>
      <c r="CW3088" s="18" t="str">
        <v>Invest</v>
      </c>
      <c r="CY3088" s="45">
        <v>3084</v>
      </c>
      <c r="CZ3088" s="18">
        <v>0</v>
      </c>
      <c r="DA3088" s="18" t="str">
        <v>Nothing</v>
      </c>
    </row>
    <row r="3089" spans="99:105" ht="23.5">
      <c r="CU3089" s="45">
        <v>3085</v>
      </c>
      <c r="CV3089" s="18">
        <v>0</v>
      </c>
      <c r="CW3089" s="18" t="str">
        <v>Nothing</v>
      </c>
      <c r="CY3089" s="45">
        <v>3085</v>
      </c>
      <c r="CZ3089" s="18">
        <v>0</v>
      </c>
      <c r="DA3089" s="18" t="str">
        <v>Nothing</v>
      </c>
    </row>
    <row r="3090" spans="99:105" ht="23.5">
      <c r="CU3090" s="45">
        <v>3086</v>
      </c>
      <c r="CV3090" s="18">
        <v>48.146175327038698</v>
      </c>
      <c r="CW3090" s="18" t="str">
        <v>Invest</v>
      </c>
      <c r="CY3090" s="45">
        <v>3086</v>
      </c>
      <c r="CZ3090" s="18">
        <v>17.69223945405675</v>
      </c>
      <c r="DA3090" s="18" t="str">
        <v>Invest</v>
      </c>
    </row>
    <row r="3091" spans="99:105" ht="23.5">
      <c r="CU3091" s="45">
        <v>3087</v>
      </c>
      <c r="CV3091" s="18">
        <v>22.211882780585174</v>
      </c>
      <c r="CW3091" s="18" t="str">
        <v>Invest</v>
      </c>
      <c r="CY3091" s="45">
        <v>3087</v>
      </c>
      <c r="CZ3091" s="18">
        <v>9.1999635249078082</v>
      </c>
      <c r="DA3091" s="18" t="str">
        <v>Invest</v>
      </c>
    </row>
    <row r="3092" spans="99:105" ht="23.5">
      <c r="CU3092" s="45">
        <v>3088</v>
      </c>
      <c r="CV3092" s="18">
        <v>0</v>
      </c>
      <c r="CW3092" s="18" t="str">
        <v>Nothing</v>
      </c>
      <c r="CY3092" s="45">
        <v>3088</v>
      </c>
      <c r="CZ3092" s="18">
        <v>53.122010990486828</v>
      </c>
      <c r="DA3092" s="18" t="str">
        <v>Invest</v>
      </c>
    </row>
    <row r="3093" spans="99:105" ht="23.5">
      <c r="CU3093" s="45">
        <v>3089</v>
      </c>
      <c r="CV3093" s="18">
        <v>2.369009621872074</v>
      </c>
      <c r="CW3093" s="18" t="str">
        <v>Invest</v>
      </c>
      <c r="CY3093" s="45">
        <v>3089</v>
      </c>
      <c r="CZ3093" s="18">
        <v>0</v>
      </c>
      <c r="DA3093" s="18" t="str">
        <v>Nothing</v>
      </c>
    </row>
    <row r="3094" spans="99:105" ht="23.5">
      <c r="CU3094" s="45">
        <v>3090</v>
      </c>
      <c r="CV3094" s="18">
        <v>19.214579113596812</v>
      </c>
      <c r="CW3094" s="18" t="str">
        <v>Invest</v>
      </c>
      <c r="CY3094" s="45">
        <v>3090</v>
      </c>
      <c r="CZ3094" s="18">
        <v>0</v>
      </c>
      <c r="DA3094" s="18" t="str">
        <v>Nothing</v>
      </c>
    </row>
    <row r="3095" spans="99:105" ht="23.5">
      <c r="CU3095" s="45">
        <v>3091</v>
      </c>
      <c r="CV3095" s="18">
        <v>10.042275489473209</v>
      </c>
      <c r="CW3095" s="18" t="str">
        <v>Invest</v>
      </c>
      <c r="CY3095" s="45">
        <v>3091</v>
      </c>
      <c r="CZ3095" s="18">
        <v>43.986573465298193</v>
      </c>
      <c r="DA3095" s="18" t="str">
        <v>Invest</v>
      </c>
    </row>
    <row r="3096" spans="99:105" ht="23.5">
      <c r="CU3096" s="45">
        <v>3092</v>
      </c>
      <c r="CV3096" s="18">
        <v>8.3775704147492025</v>
      </c>
      <c r="CW3096" s="18" t="str">
        <v>Invest</v>
      </c>
      <c r="CY3096" s="45">
        <v>3092</v>
      </c>
      <c r="CZ3096" s="18">
        <v>0.39996179538128906</v>
      </c>
      <c r="DA3096" s="18" t="str">
        <v>Invest</v>
      </c>
    </row>
    <row r="3097" spans="99:105" ht="23.5">
      <c r="CU3097" s="45">
        <v>3093</v>
      </c>
      <c r="CV3097" s="18">
        <v>0</v>
      </c>
      <c r="CW3097" s="18" t="str">
        <v>Nothing</v>
      </c>
      <c r="CY3097" s="45">
        <v>3093</v>
      </c>
      <c r="CZ3097" s="18">
        <v>23.77068968233403</v>
      </c>
      <c r="DA3097" s="18" t="str">
        <v>Invest</v>
      </c>
    </row>
    <row r="3098" spans="99:105" ht="23.5">
      <c r="CU3098" s="45">
        <v>3094</v>
      </c>
      <c r="CV3098" s="18">
        <v>7.5765998266304191</v>
      </c>
      <c r="CW3098" s="18" t="str">
        <v>Invest</v>
      </c>
      <c r="CY3098" s="45">
        <v>3094</v>
      </c>
      <c r="CZ3098" s="18">
        <v>14.906857792282942</v>
      </c>
      <c r="DA3098" s="18" t="str">
        <v>Invest</v>
      </c>
    </row>
    <row r="3099" spans="99:105" ht="23.5">
      <c r="CU3099" s="45">
        <v>3095</v>
      </c>
      <c r="CV3099" s="18">
        <v>0</v>
      </c>
      <c r="CW3099" s="18" t="str">
        <v>Nothing</v>
      </c>
      <c r="CY3099" s="45">
        <v>3095</v>
      </c>
      <c r="CZ3099" s="18">
        <v>0</v>
      </c>
      <c r="DA3099" s="18" t="str">
        <v>Nothing</v>
      </c>
    </row>
    <row r="3100" spans="99:105" ht="23.5">
      <c r="CU3100" s="45">
        <v>3096</v>
      </c>
      <c r="CV3100" s="18">
        <v>21.954351771161861</v>
      </c>
      <c r="CW3100" s="18" t="str">
        <v>Invest</v>
      </c>
      <c r="CY3100" s="45">
        <v>3096</v>
      </c>
      <c r="CZ3100" s="18">
        <v>25.690017376023533</v>
      </c>
      <c r="DA3100" s="18" t="str">
        <v>Invest</v>
      </c>
    </row>
    <row r="3101" spans="99:105" ht="23.5">
      <c r="CU3101" s="45">
        <v>3097</v>
      </c>
      <c r="CV3101" s="18">
        <v>32.766092418701668</v>
      </c>
      <c r="CW3101" s="18" t="str">
        <v>Invest</v>
      </c>
      <c r="CY3101" s="45">
        <v>3097</v>
      </c>
      <c r="CZ3101" s="18">
        <v>27.545782109620156</v>
      </c>
      <c r="DA3101" s="18" t="str">
        <v>Invest</v>
      </c>
    </row>
    <row r="3102" spans="99:105" ht="23.5">
      <c r="CU3102" s="45">
        <v>3098</v>
      </c>
      <c r="CV3102" s="18">
        <v>20.933925063748759</v>
      </c>
      <c r="CW3102" s="18" t="str">
        <v>Invest</v>
      </c>
      <c r="CY3102" s="45">
        <v>3098</v>
      </c>
      <c r="CZ3102" s="18">
        <v>48.439542426609108</v>
      </c>
      <c r="DA3102" s="18" t="str">
        <v>Invest</v>
      </c>
    </row>
    <row r="3103" spans="99:105" ht="23.5">
      <c r="CU3103" s="45">
        <v>3099</v>
      </c>
      <c r="CV3103" s="18">
        <v>0</v>
      </c>
      <c r="CW3103" s="18" t="str">
        <v>Nothing</v>
      </c>
      <c r="CY3103" s="45">
        <v>3099</v>
      </c>
      <c r="CZ3103" s="18">
        <v>39.01267472657517</v>
      </c>
      <c r="DA3103" s="18" t="str">
        <v>Invest</v>
      </c>
    </row>
    <row r="3104" spans="99:105" ht="23.5">
      <c r="CU3104" s="45">
        <v>3100</v>
      </c>
      <c r="CV3104" s="18">
        <v>0</v>
      </c>
      <c r="CW3104" s="18" t="str">
        <v>Nothing</v>
      </c>
      <c r="CY3104" s="45">
        <v>3100</v>
      </c>
      <c r="CZ3104" s="18">
        <v>0</v>
      </c>
      <c r="DA3104" s="18" t="str">
        <v>Nothing</v>
      </c>
    </row>
    <row r="3105" spans="99:105" ht="23.5">
      <c r="CU3105" s="45">
        <v>3101</v>
      </c>
      <c r="CV3105" s="18">
        <v>0</v>
      </c>
      <c r="CW3105" s="18" t="str">
        <v>Nothing</v>
      </c>
      <c r="CY3105" s="45">
        <v>3101</v>
      </c>
      <c r="CZ3105" s="18">
        <v>23.169896578156951</v>
      </c>
      <c r="DA3105" s="18" t="str">
        <v>Invest</v>
      </c>
    </row>
    <row r="3106" spans="99:105" ht="23.5">
      <c r="CU3106" s="45">
        <v>3102</v>
      </c>
      <c r="CV3106" s="18">
        <v>33.973216098735051</v>
      </c>
      <c r="CW3106" s="18" t="str">
        <v>Invest</v>
      </c>
      <c r="CY3106" s="45">
        <v>3102</v>
      </c>
      <c r="CZ3106" s="18">
        <v>16.259636381415447</v>
      </c>
      <c r="DA3106" s="18" t="str">
        <v>Invest</v>
      </c>
    </row>
    <row r="3107" spans="99:105" ht="23.5">
      <c r="CU3107" s="45">
        <v>3103</v>
      </c>
      <c r="CV3107" s="18">
        <v>13.526105447639512</v>
      </c>
      <c r="CW3107" s="18" t="str">
        <v>Invest</v>
      </c>
      <c r="CY3107" s="45">
        <v>3103</v>
      </c>
      <c r="CZ3107" s="18">
        <v>0</v>
      </c>
      <c r="DA3107" s="18" t="str">
        <v>Nothing</v>
      </c>
    </row>
    <row r="3108" spans="99:105" ht="23.5">
      <c r="CU3108" s="45">
        <v>3104</v>
      </c>
      <c r="CV3108" s="18">
        <v>37.468485243943647</v>
      </c>
      <c r="CW3108" s="18" t="str">
        <v>Invest</v>
      </c>
      <c r="CY3108" s="45">
        <v>3104</v>
      </c>
      <c r="CZ3108" s="18">
        <v>37.425591621045207</v>
      </c>
      <c r="DA3108" s="18" t="str">
        <v>Invest</v>
      </c>
    </row>
    <row r="3109" spans="99:105" ht="23.5">
      <c r="CU3109" s="45">
        <v>3105</v>
      </c>
      <c r="CV3109" s="18">
        <v>13.776800609822669</v>
      </c>
      <c r="CW3109" s="18" t="str">
        <v>Invest</v>
      </c>
      <c r="CY3109" s="45">
        <v>3105</v>
      </c>
      <c r="CZ3109" s="18">
        <v>0</v>
      </c>
      <c r="DA3109" s="18" t="str">
        <v>Nothing</v>
      </c>
    </row>
    <row r="3110" spans="99:105" ht="23.5">
      <c r="CU3110" s="45">
        <v>3106</v>
      </c>
      <c r="CV3110" s="18">
        <v>45.612303137443838</v>
      </c>
      <c r="CW3110" s="18" t="str">
        <v>Invest</v>
      </c>
      <c r="CY3110" s="45">
        <v>3106</v>
      </c>
      <c r="CZ3110" s="18">
        <v>19.396310278131487</v>
      </c>
      <c r="DA3110" s="18" t="str">
        <v>Invest</v>
      </c>
    </row>
    <row r="3111" spans="99:105" ht="23.5">
      <c r="CU3111" s="45">
        <v>3107</v>
      </c>
      <c r="CV3111" s="18">
        <v>56.451596118646982</v>
      </c>
      <c r="CW3111" s="18" t="str">
        <v>Invest</v>
      </c>
      <c r="CY3111" s="45">
        <v>3107</v>
      </c>
      <c r="CZ3111" s="18">
        <v>21.507872964046591</v>
      </c>
      <c r="DA3111" s="18" t="str">
        <v>Invest</v>
      </c>
    </row>
    <row r="3112" spans="99:105" ht="23.5">
      <c r="CU3112" s="45">
        <v>3108</v>
      </c>
      <c r="CV3112" s="18">
        <v>2.234556350093543</v>
      </c>
      <c r="CW3112" s="18" t="str">
        <v>Invest</v>
      </c>
      <c r="CY3112" s="45">
        <v>3108</v>
      </c>
      <c r="CZ3112" s="18">
        <v>5.3820301212240356</v>
      </c>
      <c r="DA3112" s="18" t="str">
        <v>Invest</v>
      </c>
    </row>
    <row r="3113" spans="99:105" ht="23.5">
      <c r="CU3113" s="45">
        <v>3109</v>
      </c>
      <c r="CV3113" s="18">
        <v>0</v>
      </c>
      <c r="CW3113" s="18" t="str">
        <v>Nothing</v>
      </c>
      <c r="CY3113" s="45">
        <v>3109</v>
      </c>
      <c r="CZ3113" s="18">
        <v>0.36244955847570459</v>
      </c>
      <c r="DA3113" s="18" t="str">
        <v>Invest</v>
      </c>
    </row>
    <row r="3114" spans="99:105" ht="23.5">
      <c r="CU3114" s="45">
        <v>3110</v>
      </c>
      <c r="CV3114" s="18">
        <v>10.406764126888856</v>
      </c>
      <c r="CW3114" s="18" t="str">
        <v>Invest</v>
      </c>
      <c r="CY3114" s="45">
        <v>3110</v>
      </c>
      <c r="CZ3114" s="18">
        <v>20.928156963683925</v>
      </c>
      <c r="DA3114" s="18" t="str">
        <v>Invest</v>
      </c>
    </row>
    <row r="3115" spans="99:105" ht="23.5">
      <c r="CU3115" s="45">
        <v>3111</v>
      </c>
      <c r="CV3115" s="18">
        <v>0.36616281929436667</v>
      </c>
      <c r="CW3115" s="18" t="str">
        <v>Invest</v>
      </c>
      <c r="CY3115" s="45">
        <v>3111</v>
      </c>
      <c r="CZ3115" s="18">
        <v>0</v>
      </c>
      <c r="DA3115" s="18" t="str">
        <v>Nothing</v>
      </c>
    </row>
    <row r="3116" spans="99:105" ht="23.5">
      <c r="CU3116" s="45">
        <v>3112</v>
      </c>
      <c r="CV3116" s="18">
        <v>0</v>
      </c>
      <c r="CW3116" s="18" t="str">
        <v>Nothing</v>
      </c>
      <c r="CY3116" s="45">
        <v>3112</v>
      </c>
      <c r="CZ3116" s="18">
        <v>17.004765375394449</v>
      </c>
      <c r="DA3116" s="18" t="str">
        <v>Invest</v>
      </c>
    </row>
    <row r="3117" spans="99:105" ht="23.5">
      <c r="CU3117" s="45">
        <v>3113</v>
      </c>
      <c r="CV3117" s="18">
        <v>0</v>
      </c>
      <c r="CW3117" s="18" t="str">
        <v>Nothing</v>
      </c>
      <c r="CY3117" s="45">
        <v>3113</v>
      </c>
      <c r="CZ3117" s="18">
        <v>8.6367449212397158</v>
      </c>
      <c r="DA3117" s="18" t="str">
        <v>Invest</v>
      </c>
    </row>
    <row r="3118" spans="99:105" ht="23.5">
      <c r="CU3118" s="45">
        <v>3114</v>
      </c>
      <c r="CV3118" s="18">
        <v>46.305259530630856</v>
      </c>
      <c r="CW3118" s="18" t="str">
        <v>Invest</v>
      </c>
      <c r="CY3118" s="45">
        <v>3114</v>
      </c>
      <c r="CZ3118" s="18">
        <v>0</v>
      </c>
      <c r="DA3118" s="18" t="str">
        <v>Nothing</v>
      </c>
    </row>
    <row r="3119" spans="99:105" ht="23.5">
      <c r="CU3119" s="45">
        <v>3115</v>
      </c>
      <c r="CV3119" s="18">
        <v>0</v>
      </c>
      <c r="CW3119" s="18" t="str">
        <v>Nothing</v>
      </c>
      <c r="CY3119" s="45">
        <v>3115</v>
      </c>
      <c r="CZ3119" s="18">
        <v>34.554913013412417</v>
      </c>
      <c r="DA3119" s="18" t="str">
        <v>Invest</v>
      </c>
    </row>
    <row r="3120" spans="99:105" ht="23.5">
      <c r="CU3120" s="45">
        <v>3116</v>
      </c>
      <c r="CV3120" s="18">
        <v>5.7844073515570003</v>
      </c>
      <c r="CW3120" s="18" t="str">
        <v>Invest</v>
      </c>
      <c r="CY3120" s="45">
        <v>3116</v>
      </c>
      <c r="CZ3120" s="18">
        <v>25.738112341405426</v>
      </c>
      <c r="DA3120" s="18" t="str">
        <v>Invest</v>
      </c>
    </row>
    <row r="3121" spans="99:105" ht="23.5">
      <c r="CU3121" s="45">
        <v>3117</v>
      </c>
      <c r="CV3121" s="18">
        <v>30.31435185059259</v>
      </c>
      <c r="CW3121" s="18" t="str">
        <v>Invest</v>
      </c>
      <c r="CY3121" s="45">
        <v>3117</v>
      </c>
      <c r="CZ3121" s="18">
        <v>54.483758939007956</v>
      </c>
      <c r="DA3121" s="18" t="str">
        <v>Invest</v>
      </c>
    </row>
    <row r="3122" spans="99:105" ht="23.5">
      <c r="CU3122" s="45">
        <v>3118</v>
      </c>
      <c r="CV3122" s="18">
        <v>0</v>
      </c>
      <c r="CW3122" s="18" t="str">
        <v>Nothing</v>
      </c>
      <c r="CY3122" s="45">
        <v>3118</v>
      </c>
      <c r="CZ3122" s="18">
        <v>0</v>
      </c>
      <c r="DA3122" s="18" t="str">
        <v>Nothing</v>
      </c>
    </row>
    <row r="3123" spans="99:105" ht="23.5">
      <c r="CU3123" s="45">
        <v>3119</v>
      </c>
      <c r="CV3123" s="18">
        <v>30.737205333093989</v>
      </c>
      <c r="CW3123" s="18" t="str">
        <v>Invest</v>
      </c>
      <c r="CY3123" s="45">
        <v>3119</v>
      </c>
      <c r="CZ3123" s="18">
        <v>34.248494830975915</v>
      </c>
      <c r="DA3123" s="18" t="str">
        <v>Invest</v>
      </c>
    </row>
    <row r="3124" spans="99:105" ht="23.5">
      <c r="CU3124" s="45">
        <v>3120</v>
      </c>
      <c r="CV3124" s="18">
        <v>46.619510874878813</v>
      </c>
      <c r="CW3124" s="18" t="str">
        <v>Invest</v>
      </c>
      <c r="CY3124" s="45">
        <v>3120</v>
      </c>
      <c r="CZ3124" s="18">
        <v>0</v>
      </c>
      <c r="DA3124" s="18" t="str">
        <v>Nothing</v>
      </c>
    </row>
    <row r="3125" spans="99:105" ht="23.5">
      <c r="CU3125" s="45">
        <v>3121</v>
      </c>
      <c r="CV3125" s="18">
        <v>0</v>
      </c>
      <c r="CW3125" s="18" t="str">
        <v>Nothing</v>
      </c>
      <c r="CY3125" s="45">
        <v>3121</v>
      </c>
      <c r="CZ3125" s="18">
        <v>0</v>
      </c>
      <c r="DA3125" s="18" t="str">
        <v>Nothing</v>
      </c>
    </row>
    <row r="3126" spans="99:105" ht="23.5">
      <c r="CU3126" s="45">
        <v>3122</v>
      </c>
      <c r="CV3126" s="18">
        <v>0</v>
      </c>
      <c r="CW3126" s="18" t="str">
        <v>Nothing</v>
      </c>
      <c r="CY3126" s="45">
        <v>3122</v>
      </c>
      <c r="CZ3126" s="18">
        <v>21.263369592985423</v>
      </c>
      <c r="DA3126" s="18" t="str">
        <v>Invest</v>
      </c>
    </row>
    <row r="3127" spans="99:105" ht="23.5">
      <c r="CU3127" s="45">
        <v>3123</v>
      </c>
      <c r="CV3127" s="18">
        <v>12.534195488742364</v>
      </c>
      <c r="CW3127" s="18" t="str">
        <v>Invest</v>
      </c>
      <c r="CY3127" s="45">
        <v>3123</v>
      </c>
      <c r="CZ3127" s="18">
        <v>0</v>
      </c>
      <c r="DA3127" s="18" t="str">
        <v>Nothing</v>
      </c>
    </row>
    <row r="3128" spans="99:105" ht="23.5">
      <c r="CU3128" s="45">
        <v>3124</v>
      </c>
      <c r="CV3128" s="18">
        <v>16.687977369549841</v>
      </c>
      <c r="CW3128" s="18" t="str">
        <v>Invest</v>
      </c>
      <c r="CY3128" s="45">
        <v>3124</v>
      </c>
      <c r="CZ3128" s="18">
        <v>29.758782248351999</v>
      </c>
      <c r="DA3128" s="18" t="str">
        <v>Invest</v>
      </c>
    </row>
    <row r="3129" spans="99:105" ht="23.5">
      <c r="CU3129" s="45">
        <v>3125</v>
      </c>
      <c r="CV3129" s="18">
        <v>0</v>
      </c>
      <c r="CW3129" s="18" t="str">
        <v>Nothing</v>
      </c>
      <c r="CY3129" s="45">
        <v>3125</v>
      </c>
      <c r="CZ3129" s="18">
        <v>25.553599737529147</v>
      </c>
      <c r="DA3129" s="18" t="str">
        <v>Invest</v>
      </c>
    </row>
    <row r="3130" spans="99:105" ht="23.5">
      <c r="CU3130" s="45">
        <v>3126</v>
      </c>
      <c r="CV3130" s="18">
        <v>11.960043803304966</v>
      </c>
      <c r="CW3130" s="18" t="str">
        <v>Invest</v>
      </c>
      <c r="CY3130" s="45">
        <v>3126</v>
      </c>
      <c r="CZ3130" s="18">
        <v>12.657839305845066</v>
      </c>
      <c r="DA3130" s="18" t="str">
        <v>Invest</v>
      </c>
    </row>
    <row r="3131" spans="99:105" ht="23.5">
      <c r="CU3131" s="45">
        <v>3127</v>
      </c>
      <c r="CV3131" s="18">
        <v>15.11153313162653</v>
      </c>
      <c r="CW3131" s="18" t="str">
        <v>Invest</v>
      </c>
      <c r="CY3131" s="45">
        <v>3127</v>
      </c>
      <c r="CZ3131" s="18">
        <v>33.563771857822616</v>
      </c>
      <c r="DA3131" s="18" t="str">
        <v>Invest</v>
      </c>
    </row>
    <row r="3132" spans="99:105" ht="23.5">
      <c r="CU3132" s="45">
        <v>3128</v>
      </c>
      <c r="CV3132" s="18">
        <v>11.65759267855822</v>
      </c>
      <c r="CW3132" s="18" t="str">
        <v>Invest</v>
      </c>
      <c r="CY3132" s="45">
        <v>3128</v>
      </c>
      <c r="CZ3132" s="18">
        <v>24.062320917619207</v>
      </c>
      <c r="DA3132" s="18" t="str">
        <v>Invest</v>
      </c>
    </row>
    <row r="3133" spans="99:105" ht="23.5">
      <c r="CU3133" s="45">
        <v>3129</v>
      </c>
      <c r="CV3133" s="18">
        <v>28.520201460794041</v>
      </c>
      <c r="CW3133" s="18" t="str">
        <v>Invest</v>
      </c>
      <c r="CY3133" s="45">
        <v>3129</v>
      </c>
      <c r="CZ3133" s="18">
        <v>59.521126772949493</v>
      </c>
      <c r="DA3133" s="18" t="str">
        <v>Invest</v>
      </c>
    </row>
    <row r="3134" spans="99:105" ht="23.5">
      <c r="CU3134" s="45">
        <v>3130</v>
      </c>
      <c r="CV3134" s="18">
        <v>13.570672007213926</v>
      </c>
      <c r="CW3134" s="18" t="str">
        <v>Invest</v>
      </c>
      <c r="CY3134" s="45">
        <v>3130</v>
      </c>
      <c r="CZ3134" s="18">
        <v>6.7527309728016327</v>
      </c>
      <c r="DA3134" s="18" t="str">
        <v>Invest</v>
      </c>
    </row>
    <row r="3135" spans="99:105" ht="23.5">
      <c r="CU3135" s="45">
        <v>3131</v>
      </c>
      <c r="CV3135" s="18">
        <v>22.683081708590187</v>
      </c>
      <c r="CW3135" s="18" t="str">
        <v>Invest</v>
      </c>
      <c r="CY3135" s="45">
        <v>3131</v>
      </c>
      <c r="CZ3135" s="18">
        <v>4.3518711106021151</v>
      </c>
      <c r="DA3135" s="18" t="str">
        <v>Invest</v>
      </c>
    </row>
    <row r="3136" spans="99:105" ht="23.5">
      <c r="CU3136" s="45">
        <v>3132</v>
      </c>
      <c r="CV3136" s="18">
        <v>0</v>
      </c>
      <c r="CW3136" s="18" t="str">
        <v>Nothing</v>
      </c>
      <c r="CY3136" s="45">
        <v>3132</v>
      </c>
      <c r="CZ3136" s="18">
        <v>0</v>
      </c>
      <c r="DA3136" s="18" t="str">
        <v>Nothing</v>
      </c>
    </row>
    <row r="3137" spans="99:105" ht="23.5">
      <c r="CU3137" s="45">
        <v>3133</v>
      </c>
      <c r="CV3137" s="18">
        <v>0</v>
      </c>
      <c r="CW3137" s="18" t="str">
        <v>Nothing</v>
      </c>
      <c r="CY3137" s="45">
        <v>3133</v>
      </c>
      <c r="CZ3137" s="18">
        <v>10.528815765052688</v>
      </c>
      <c r="DA3137" s="18" t="str">
        <v>Invest</v>
      </c>
    </row>
    <row r="3138" spans="99:105" ht="23.5">
      <c r="CU3138" s="45">
        <v>3134</v>
      </c>
      <c r="CV3138" s="18">
        <v>18.707045178098127</v>
      </c>
      <c r="CW3138" s="18" t="str">
        <v>Invest</v>
      </c>
      <c r="CY3138" s="45">
        <v>3134</v>
      </c>
      <c r="CZ3138" s="18">
        <v>0</v>
      </c>
      <c r="DA3138" s="18" t="str">
        <v>Nothing</v>
      </c>
    </row>
    <row r="3139" spans="99:105" ht="23.5">
      <c r="CU3139" s="45">
        <v>3135</v>
      </c>
      <c r="CV3139" s="18">
        <v>9.3972331233168696</v>
      </c>
      <c r="CW3139" s="18" t="str">
        <v>Invest</v>
      </c>
      <c r="CY3139" s="45">
        <v>3135</v>
      </c>
      <c r="CZ3139" s="18">
        <v>0</v>
      </c>
      <c r="DA3139" s="18" t="str">
        <v>Nothing</v>
      </c>
    </row>
    <row r="3140" spans="99:105" ht="23.5">
      <c r="CU3140" s="45">
        <v>3136</v>
      </c>
      <c r="CV3140" s="18">
        <v>13.007585036974906</v>
      </c>
      <c r="CW3140" s="18" t="str">
        <v>Invest</v>
      </c>
      <c r="CY3140" s="45">
        <v>3136</v>
      </c>
      <c r="CZ3140" s="18">
        <v>0</v>
      </c>
      <c r="DA3140" s="18" t="str">
        <v>Nothing</v>
      </c>
    </row>
    <row r="3141" spans="99:105" ht="23.5">
      <c r="CU3141" s="45">
        <v>3137</v>
      </c>
      <c r="CV3141" s="18">
        <v>57.508274181783797</v>
      </c>
      <c r="CW3141" s="18" t="str">
        <v>Invest</v>
      </c>
      <c r="CY3141" s="45">
        <v>3137</v>
      </c>
      <c r="CZ3141" s="18">
        <v>15.076979377705536</v>
      </c>
      <c r="DA3141" s="18" t="str">
        <v>Invest</v>
      </c>
    </row>
    <row r="3142" spans="99:105" ht="23.5">
      <c r="CU3142" s="45">
        <v>3138</v>
      </c>
      <c r="CV3142" s="18">
        <v>64.192718306275708</v>
      </c>
      <c r="CW3142" s="18" t="str">
        <v>Invest</v>
      </c>
      <c r="CY3142" s="45">
        <v>3138</v>
      </c>
      <c r="CZ3142" s="18">
        <v>8.0293008409467959</v>
      </c>
      <c r="DA3142" s="18" t="str">
        <v>Invest</v>
      </c>
    </row>
    <row r="3143" spans="99:105" ht="23.5">
      <c r="CU3143" s="45">
        <v>3139</v>
      </c>
      <c r="CV3143" s="18">
        <v>18.107853777688224</v>
      </c>
      <c r="CW3143" s="18" t="str">
        <v>Invest</v>
      </c>
      <c r="CY3143" s="45">
        <v>3139</v>
      </c>
      <c r="CZ3143" s="18">
        <v>6.0087944418621513</v>
      </c>
      <c r="DA3143" s="18" t="str">
        <v>Invest</v>
      </c>
    </row>
    <row r="3144" spans="99:105" ht="23.5">
      <c r="CU3144" s="45">
        <v>3140</v>
      </c>
      <c r="CV3144" s="18">
        <v>16.373367313555161</v>
      </c>
      <c r="CW3144" s="18" t="str">
        <v>Invest</v>
      </c>
      <c r="CY3144" s="45">
        <v>3140</v>
      </c>
      <c r="CZ3144" s="18">
        <v>55.187702498388994</v>
      </c>
      <c r="DA3144" s="18" t="str">
        <v>Invest</v>
      </c>
    </row>
    <row r="3145" spans="99:105" ht="23.5">
      <c r="CU3145" s="45">
        <v>3141</v>
      </c>
      <c r="CV3145" s="18">
        <v>16.54564296302501</v>
      </c>
      <c r="CW3145" s="18" t="str">
        <v>Invest</v>
      </c>
      <c r="CY3145" s="45">
        <v>3141</v>
      </c>
      <c r="CZ3145" s="18">
        <v>2.6846020752974127</v>
      </c>
      <c r="DA3145" s="18" t="str">
        <v>Invest</v>
      </c>
    </row>
    <row r="3146" spans="99:105" ht="23.5">
      <c r="CU3146" s="45">
        <v>3142</v>
      </c>
      <c r="CV3146" s="18">
        <v>25.346541162164581</v>
      </c>
      <c r="CW3146" s="18" t="str">
        <v>Invest</v>
      </c>
      <c r="CY3146" s="45">
        <v>3142</v>
      </c>
      <c r="CZ3146" s="18">
        <v>0</v>
      </c>
      <c r="DA3146" s="18" t="str">
        <v>Nothing</v>
      </c>
    </row>
    <row r="3147" spans="99:105" ht="23.5">
      <c r="CU3147" s="45">
        <v>3143</v>
      </c>
      <c r="CV3147" s="18">
        <v>24.261674630722222</v>
      </c>
      <c r="CW3147" s="18" t="str">
        <v>Invest</v>
      </c>
      <c r="CY3147" s="45">
        <v>3143</v>
      </c>
      <c r="CZ3147" s="18">
        <v>0</v>
      </c>
      <c r="DA3147" s="18" t="str">
        <v>Nothing</v>
      </c>
    </row>
    <row r="3148" spans="99:105" ht="23.5">
      <c r="CU3148" s="45">
        <v>3144</v>
      </c>
      <c r="CV3148" s="18">
        <v>19.265169377391704</v>
      </c>
      <c r="CW3148" s="18" t="str">
        <v>Invest</v>
      </c>
      <c r="CY3148" s="45">
        <v>3144</v>
      </c>
      <c r="CZ3148" s="18">
        <v>15.869565823438407</v>
      </c>
      <c r="DA3148" s="18" t="str">
        <v>Invest</v>
      </c>
    </row>
    <row r="3149" spans="99:105" ht="23.5">
      <c r="CU3149" s="45">
        <v>3145</v>
      </c>
      <c r="CV3149" s="18">
        <v>0</v>
      </c>
      <c r="CW3149" s="18" t="str">
        <v>Nothing</v>
      </c>
      <c r="CY3149" s="45">
        <v>3145</v>
      </c>
      <c r="CZ3149" s="18">
        <v>42.444745992460888</v>
      </c>
      <c r="DA3149" s="18" t="str">
        <v>Invest</v>
      </c>
    </row>
    <row r="3150" spans="99:105" ht="23.5">
      <c r="CU3150" s="45">
        <v>3146</v>
      </c>
      <c r="CV3150" s="18">
        <v>0</v>
      </c>
      <c r="CW3150" s="18" t="str">
        <v>Nothing</v>
      </c>
      <c r="CY3150" s="45">
        <v>3146</v>
      </c>
      <c r="CZ3150" s="18">
        <v>7.3365524913600311</v>
      </c>
      <c r="DA3150" s="18" t="str">
        <v>Invest</v>
      </c>
    </row>
    <row r="3151" spans="99:105" ht="23.5">
      <c r="CU3151" s="45">
        <v>3147</v>
      </c>
      <c r="CV3151" s="18">
        <v>0</v>
      </c>
      <c r="CW3151" s="18" t="str">
        <v>Nothing</v>
      </c>
      <c r="CY3151" s="45">
        <v>3147</v>
      </c>
      <c r="CZ3151" s="18">
        <v>19.997333259241696</v>
      </c>
      <c r="DA3151" s="18" t="str">
        <v>Invest</v>
      </c>
    </row>
    <row r="3152" spans="99:105" ht="23.5">
      <c r="CU3152" s="45">
        <v>3148</v>
      </c>
      <c r="CV3152" s="18">
        <v>9.7576751390154879</v>
      </c>
      <c r="CW3152" s="18" t="str">
        <v>Invest</v>
      </c>
      <c r="CY3152" s="45">
        <v>3148</v>
      </c>
      <c r="CZ3152" s="18">
        <v>28.728939957854895</v>
      </c>
      <c r="DA3152" s="18" t="str">
        <v>Invest</v>
      </c>
    </row>
    <row r="3153" spans="99:105" ht="23.5">
      <c r="CU3153" s="45">
        <v>3149</v>
      </c>
      <c r="CV3153" s="18">
        <v>50.031274599848381</v>
      </c>
      <c r="CW3153" s="18" t="str">
        <v>Invest</v>
      </c>
      <c r="CY3153" s="45">
        <v>3149</v>
      </c>
      <c r="CZ3153" s="18">
        <v>7.9012241555125584</v>
      </c>
      <c r="DA3153" s="18" t="str">
        <v>Invest</v>
      </c>
    </row>
    <row r="3154" spans="99:105" ht="23.5">
      <c r="CU3154" s="45">
        <v>3150</v>
      </c>
      <c r="CV3154" s="18">
        <v>0</v>
      </c>
      <c r="CW3154" s="18" t="str">
        <v>Nothing</v>
      </c>
      <c r="CY3154" s="45">
        <v>3150</v>
      </c>
      <c r="CZ3154" s="18">
        <v>19.981919698470406</v>
      </c>
      <c r="DA3154" s="18" t="str">
        <v>Invest</v>
      </c>
    </row>
    <row r="3155" spans="99:105" ht="23.5">
      <c r="CU3155" s="45">
        <v>3151</v>
      </c>
      <c r="CV3155" s="18">
        <v>9.4443387695133989</v>
      </c>
      <c r="CW3155" s="18" t="str">
        <v>Invest</v>
      </c>
      <c r="CY3155" s="45">
        <v>3151</v>
      </c>
      <c r="CZ3155" s="18">
        <v>12.628372698063266</v>
      </c>
      <c r="DA3155" s="18" t="str">
        <v>Invest</v>
      </c>
    </row>
    <row r="3156" spans="99:105" ht="23.5">
      <c r="CU3156" s="45">
        <v>3152</v>
      </c>
      <c r="CV3156" s="18">
        <v>51.576287495177908</v>
      </c>
      <c r="CW3156" s="18" t="str">
        <v>Invest</v>
      </c>
      <c r="CY3156" s="45">
        <v>3152</v>
      </c>
      <c r="CZ3156" s="18">
        <v>37.320394215719901</v>
      </c>
      <c r="DA3156" s="18" t="str">
        <v>Invest</v>
      </c>
    </row>
    <row r="3157" spans="99:105" ht="23.5">
      <c r="CU3157" s="45">
        <v>3153</v>
      </c>
      <c r="CV3157" s="18">
        <v>3.8346810384659182</v>
      </c>
      <c r="CW3157" s="18" t="str">
        <v>Invest</v>
      </c>
      <c r="CY3157" s="45">
        <v>3153</v>
      </c>
      <c r="CZ3157" s="18">
        <v>43.786255815681649</v>
      </c>
      <c r="DA3157" s="18" t="str">
        <v>Invest</v>
      </c>
    </row>
    <row r="3158" spans="99:105" ht="23.5">
      <c r="CU3158" s="45">
        <v>3154</v>
      </c>
      <c r="CV3158" s="18">
        <v>1.4934070596668612</v>
      </c>
      <c r="CW3158" s="18" t="str">
        <v>Invest</v>
      </c>
      <c r="CY3158" s="45">
        <v>3154</v>
      </c>
      <c r="CZ3158" s="18">
        <v>26.88291418908036</v>
      </c>
      <c r="DA3158" s="18" t="str">
        <v>Invest</v>
      </c>
    </row>
    <row r="3159" spans="99:105" ht="23.5">
      <c r="CU3159" s="45">
        <v>3155</v>
      </c>
      <c r="CV3159" s="18">
        <v>15.834652982431784</v>
      </c>
      <c r="CW3159" s="18" t="str">
        <v>Invest</v>
      </c>
      <c r="CY3159" s="45">
        <v>3155</v>
      </c>
      <c r="CZ3159" s="18">
        <v>0</v>
      </c>
      <c r="DA3159" s="18" t="str">
        <v>Nothing</v>
      </c>
    </row>
    <row r="3160" spans="99:105" ht="23.5">
      <c r="CU3160" s="45">
        <v>3156</v>
      </c>
      <c r="CV3160" s="18">
        <v>0</v>
      </c>
      <c r="CW3160" s="18" t="str">
        <v>Nothing</v>
      </c>
      <c r="CY3160" s="45">
        <v>3156</v>
      </c>
      <c r="CZ3160" s="18">
        <v>25.601633997520189</v>
      </c>
      <c r="DA3160" s="18" t="str">
        <v>Invest</v>
      </c>
    </row>
    <row r="3161" spans="99:105" ht="23.5">
      <c r="CU3161" s="45">
        <v>3157</v>
      </c>
      <c r="CV3161" s="18">
        <v>3.8584533695086858</v>
      </c>
      <c r="CW3161" s="18" t="str">
        <v>Invest</v>
      </c>
      <c r="CY3161" s="45">
        <v>3157</v>
      </c>
      <c r="CZ3161" s="18">
        <v>0</v>
      </c>
      <c r="DA3161" s="18" t="str">
        <v>Nothing</v>
      </c>
    </row>
    <row r="3162" spans="99:105" ht="23.5">
      <c r="CU3162" s="45">
        <v>3158</v>
      </c>
      <c r="CV3162" s="18">
        <v>0</v>
      </c>
      <c r="CW3162" s="18" t="str">
        <v>Nothing</v>
      </c>
      <c r="CY3162" s="45">
        <v>3158</v>
      </c>
      <c r="CZ3162" s="18">
        <v>11.499855767005259</v>
      </c>
      <c r="DA3162" s="18" t="str">
        <v>Invest</v>
      </c>
    </row>
    <row r="3163" spans="99:105" ht="23.5">
      <c r="CU3163" s="45">
        <v>3159</v>
      </c>
      <c r="CV3163" s="18">
        <v>36.500896170208186</v>
      </c>
      <c r="CW3163" s="18" t="str">
        <v>Invest</v>
      </c>
      <c r="CY3163" s="45">
        <v>3159</v>
      </c>
      <c r="CZ3163" s="18">
        <v>38.000802468384961</v>
      </c>
      <c r="DA3163" s="18" t="str">
        <v>Invest</v>
      </c>
    </row>
    <row r="3164" spans="99:105" ht="23.5">
      <c r="CU3164" s="45">
        <v>3160</v>
      </c>
      <c r="CV3164" s="18">
        <v>0</v>
      </c>
      <c r="CW3164" s="18" t="str">
        <v>Nothing</v>
      </c>
      <c r="CY3164" s="45">
        <v>3160</v>
      </c>
      <c r="CZ3164" s="18">
        <v>0</v>
      </c>
      <c r="DA3164" s="18" t="str">
        <v>Nothing</v>
      </c>
    </row>
    <row r="3165" spans="99:105" ht="23.5">
      <c r="CU3165" s="45">
        <v>3161</v>
      </c>
      <c r="CV3165" s="18">
        <v>0</v>
      </c>
      <c r="CW3165" s="18" t="str">
        <v>Nothing</v>
      </c>
      <c r="CY3165" s="45">
        <v>3161</v>
      </c>
      <c r="CZ3165" s="18">
        <v>0</v>
      </c>
      <c r="DA3165" s="18" t="str">
        <v>Nothing</v>
      </c>
    </row>
    <row r="3166" spans="99:105" ht="23.5">
      <c r="CU3166" s="45">
        <v>3162</v>
      </c>
      <c r="CV3166" s="18">
        <v>0</v>
      </c>
      <c r="CW3166" s="18" t="str">
        <v>Nothing</v>
      </c>
      <c r="CY3166" s="45">
        <v>3162</v>
      </c>
      <c r="CZ3166" s="18">
        <v>3.5730777990052296</v>
      </c>
      <c r="DA3166" s="18" t="str">
        <v>Invest</v>
      </c>
    </row>
    <row r="3167" spans="99:105" ht="23.5">
      <c r="CU3167" s="45">
        <v>3163</v>
      </c>
      <c r="CV3167" s="18">
        <v>55.262704870047813</v>
      </c>
      <c r="CW3167" s="18" t="str">
        <v>Invest</v>
      </c>
      <c r="CY3167" s="45">
        <v>3163</v>
      </c>
      <c r="CZ3167" s="18">
        <v>5.9991669135053041</v>
      </c>
      <c r="DA3167" s="18" t="str">
        <v>Invest</v>
      </c>
    </row>
    <row r="3168" spans="99:105" ht="23.5">
      <c r="CU3168" s="45">
        <v>3164</v>
      </c>
      <c r="CV3168" s="18">
        <v>24.897138843079325</v>
      </c>
      <c r="CW3168" s="18" t="str">
        <v>Invest</v>
      </c>
      <c r="CY3168" s="45">
        <v>3164</v>
      </c>
      <c r="CZ3168" s="18">
        <v>26.582536188328355</v>
      </c>
      <c r="DA3168" s="18" t="str">
        <v>Invest</v>
      </c>
    </row>
    <row r="3169" spans="99:105" ht="23.5">
      <c r="CU3169" s="45">
        <v>3165</v>
      </c>
      <c r="CV3169" s="18">
        <v>27.699004816718336</v>
      </c>
      <c r="CW3169" s="18" t="str">
        <v>Invest</v>
      </c>
      <c r="CY3169" s="45">
        <v>3165</v>
      </c>
      <c r="CZ3169" s="18">
        <v>0</v>
      </c>
      <c r="DA3169" s="18" t="str">
        <v>Nothing</v>
      </c>
    </row>
    <row r="3170" spans="99:105" ht="23.5">
      <c r="CU3170" s="45">
        <v>3166</v>
      </c>
      <c r="CV3170" s="18">
        <v>18.741461524117394</v>
      </c>
      <c r="CW3170" s="18" t="str">
        <v>Invest</v>
      </c>
      <c r="CY3170" s="45">
        <v>3166</v>
      </c>
      <c r="CZ3170" s="18">
        <v>8.8433408226615544</v>
      </c>
      <c r="DA3170" s="18" t="str">
        <v>Invest</v>
      </c>
    </row>
    <row r="3171" spans="99:105" ht="23.5">
      <c r="CU3171" s="45">
        <v>3167</v>
      </c>
      <c r="CV3171" s="18">
        <v>15.396321995405909</v>
      </c>
      <c r="CW3171" s="18" t="str">
        <v>Invest</v>
      </c>
      <c r="CY3171" s="45">
        <v>3167</v>
      </c>
      <c r="CZ3171" s="18">
        <v>0</v>
      </c>
      <c r="DA3171" s="18" t="str">
        <v>Nothing</v>
      </c>
    </row>
    <row r="3172" spans="99:105" ht="23.5">
      <c r="CU3172" s="45">
        <v>3168</v>
      </c>
      <c r="CV3172" s="18">
        <v>14.305572057683968</v>
      </c>
      <c r="CW3172" s="18" t="str">
        <v>Invest</v>
      </c>
      <c r="CY3172" s="45">
        <v>3168</v>
      </c>
      <c r="CZ3172" s="18">
        <v>8.7572650092966562</v>
      </c>
      <c r="DA3172" s="18" t="str">
        <v>Invest</v>
      </c>
    </row>
    <row r="3173" spans="99:105" ht="23.5">
      <c r="CU3173" s="45">
        <v>3169</v>
      </c>
      <c r="CV3173" s="18">
        <v>42.533140087374925</v>
      </c>
      <c r="CW3173" s="18" t="str">
        <v>Invest</v>
      </c>
      <c r="CY3173" s="45">
        <v>3169</v>
      </c>
      <c r="CZ3173" s="18">
        <v>0</v>
      </c>
      <c r="DA3173" s="18" t="str">
        <v>Nothing</v>
      </c>
    </row>
    <row r="3174" spans="99:105" ht="23.5">
      <c r="CU3174" s="45">
        <v>3170</v>
      </c>
      <c r="CV3174" s="18">
        <v>0.72917284604351096</v>
      </c>
      <c r="CW3174" s="18" t="str">
        <v>Invest</v>
      </c>
      <c r="CY3174" s="45">
        <v>3170</v>
      </c>
      <c r="CZ3174" s="18">
        <v>35.37682320988776</v>
      </c>
      <c r="DA3174" s="18" t="str">
        <v>Invest</v>
      </c>
    </row>
    <row r="3175" spans="99:105" ht="23.5">
      <c r="CU3175" s="45">
        <v>3171</v>
      </c>
      <c r="CV3175" s="18">
        <v>39.358168203568759</v>
      </c>
      <c r="CW3175" s="18" t="str">
        <v>Invest</v>
      </c>
      <c r="CY3175" s="45">
        <v>3171</v>
      </c>
      <c r="CZ3175" s="18">
        <v>9.7753239670979202</v>
      </c>
      <c r="DA3175" s="18" t="str">
        <v>Invest</v>
      </c>
    </row>
    <row r="3176" spans="99:105" ht="23.5">
      <c r="CU3176" s="45">
        <v>3172</v>
      </c>
      <c r="CV3176" s="18">
        <v>0</v>
      </c>
      <c r="CW3176" s="18" t="str">
        <v>Nothing</v>
      </c>
      <c r="CY3176" s="45">
        <v>3172</v>
      </c>
      <c r="CZ3176" s="18">
        <v>0</v>
      </c>
      <c r="DA3176" s="18" t="str">
        <v>Nothing</v>
      </c>
    </row>
    <row r="3177" spans="99:105" ht="23.5">
      <c r="CU3177" s="45">
        <v>3173</v>
      </c>
      <c r="CV3177" s="18">
        <v>19.166966745139113</v>
      </c>
      <c r="CW3177" s="18" t="str">
        <v>Invest</v>
      </c>
      <c r="CY3177" s="45">
        <v>3173</v>
      </c>
      <c r="CZ3177" s="18">
        <v>6.9020197826258709</v>
      </c>
      <c r="DA3177" s="18" t="str">
        <v>Invest</v>
      </c>
    </row>
    <row r="3178" spans="99:105" ht="23.5">
      <c r="CU3178" s="45">
        <v>3174</v>
      </c>
      <c r="CV3178" s="18">
        <v>0</v>
      </c>
      <c r="CW3178" s="18" t="str">
        <v>Nothing</v>
      </c>
      <c r="CY3178" s="45">
        <v>3174</v>
      </c>
      <c r="CZ3178" s="18">
        <v>0</v>
      </c>
      <c r="DA3178" s="18" t="str">
        <v>Nothing</v>
      </c>
    </row>
    <row r="3179" spans="99:105" ht="23.5">
      <c r="CU3179" s="45">
        <v>3175</v>
      </c>
      <c r="CV3179" s="18">
        <v>29.907587596853123</v>
      </c>
      <c r="CW3179" s="18" t="str">
        <v>Invest</v>
      </c>
      <c r="CY3179" s="45">
        <v>3175</v>
      </c>
      <c r="CZ3179" s="18">
        <v>0</v>
      </c>
      <c r="DA3179" s="18" t="str">
        <v>Nothing</v>
      </c>
    </row>
    <row r="3180" spans="99:105" ht="23.5">
      <c r="CU3180" s="45">
        <v>3176</v>
      </c>
      <c r="CV3180" s="18">
        <v>32.969810452582692</v>
      </c>
      <c r="CW3180" s="18" t="str">
        <v>Invest</v>
      </c>
      <c r="CY3180" s="45">
        <v>3176</v>
      </c>
      <c r="CZ3180" s="18">
        <v>0</v>
      </c>
      <c r="DA3180" s="18" t="str">
        <v>Nothing</v>
      </c>
    </row>
    <row r="3181" spans="99:105" ht="23.5">
      <c r="CU3181" s="45">
        <v>3177</v>
      </c>
      <c r="CV3181" s="18">
        <v>3.8381706656327532</v>
      </c>
      <c r="CW3181" s="18" t="str">
        <v>Invest</v>
      </c>
      <c r="CY3181" s="45">
        <v>3177</v>
      </c>
      <c r="CZ3181" s="18">
        <v>5.3547742903411191</v>
      </c>
      <c r="DA3181" s="18" t="str">
        <v>Invest</v>
      </c>
    </row>
    <row r="3182" spans="99:105" ht="23.5">
      <c r="CU3182" s="45">
        <v>3178</v>
      </c>
      <c r="CV3182" s="18">
        <v>0</v>
      </c>
      <c r="CW3182" s="18" t="str">
        <v>Nothing</v>
      </c>
      <c r="CY3182" s="45">
        <v>3178</v>
      </c>
      <c r="CZ3182" s="18">
        <v>8.2284606005711609</v>
      </c>
      <c r="DA3182" s="18" t="str">
        <v>Invest</v>
      </c>
    </row>
    <row r="3183" spans="99:105" ht="23.5">
      <c r="CU3183" s="45">
        <v>3179</v>
      </c>
      <c r="CV3183" s="18">
        <v>37.591246541356696</v>
      </c>
      <c r="CW3183" s="18" t="str">
        <v>Invest</v>
      </c>
      <c r="CY3183" s="45">
        <v>3179</v>
      </c>
      <c r="CZ3183" s="18">
        <v>47.625748626317602</v>
      </c>
      <c r="DA3183" s="18" t="str">
        <v>Invest</v>
      </c>
    </row>
    <row r="3184" spans="99:105" ht="23.5">
      <c r="CU3184" s="45">
        <v>3180</v>
      </c>
      <c r="CV3184" s="18">
        <v>21.108577446818327</v>
      </c>
      <c r="CW3184" s="18" t="str">
        <v>Invest</v>
      </c>
      <c r="CY3184" s="45">
        <v>3180</v>
      </c>
      <c r="CZ3184" s="18">
        <v>11.719548906641572</v>
      </c>
      <c r="DA3184" s="18" t="str">
        <v>Invest</v>
      </c>
    </row>
    <row r="3185" spans="99:105" ht="23.5">
      <c r="CU3185" s="45">
        <v>3181</v>
      </c>
      <c r="CV3185" s="18">
        <v>10.073355623897141</v>
      </c>
      <c r="CW3185" s="18" t="str">
        <v>Invest</v>
      </c>
      <c r="CY3185" s="45">
        <v>3181</v>
      </c>
      <c r="CZ3185" s="18">
        <v>27.008714585941526</v>
      </c>
      <c r="DA3185" s="18" t="str">
        <v>Invest</v>
      </c>
    </row>
    <row r="3186" spans="99:105" ht="23.5">
      <c r="CU3186" s="45">
        <v>3182</v>
      </c>
      <c r="CV3186" s="18">
        <v>58.220979930807324</v>
      </c>
      <c r="CW3186" s="18" t="str">
        <v>Invest</v>
      </c>
      <c r="CY3186" s="45">
        <v>3182</v>
      </c>
      <c r="CZ3186" s="18">
        <v>2.9703414272547075</v>
      </c>
      <c r="DA3186" s="18" t="str">
        <v>Invest</v>
      </c>
    </row>
    <row r="3187" spans="99:105" ht="23.5">
      <c r="CU3187" s="45">
        <v>3183</v>
      </c>
      <c r="CV3187" s="18">
        <v>56.548513781370765</v>
      </c>
      <c r="CW3187" s="18" t="str">
        <v>Invest</v>
      </c>
      <c r="CY3187" s="45">
        <v>3183</v>
      </c>
      <c r="CZ3187" s="18">
        <v>0</v>
      </c>
      <c r="DA3187" s="18" t="str">
        <v>Nothing</v>
      </c>
    </row>
    <row r="3188" spans="99:105" ht="23.5">
      <c r="CU3188" s="45">
        <v>3184</v>
      </c>
      <c r="CV3188" s="18">
        <v>0</v>
      </c>
      <c r="CW3188" s="18" t="str">
        <v>Nothing</v>
      </c>
      <c r="CY3188" s="45">
        <v>3184</v>
      </c>
      <c r="CZ3188" s="18">
        <v>13.461444425552457</v>
      </c>
      <c r="DA3188" s="18" t="str">
        <v>Invest</v>
      </c>
    </row>
    <row r="3189" spans="99:105" ht="23.5">
      <c r="CU3189" s="45">
        <v>3185</v>
      </c>
      <c r="CV3189" s="18">
        <v>5.3813279645232024</v>
      </c>
      <c r="CW3189" s="18" t="str">
        <v>Invest</v>
      </c>
      <c r="CY3189" s="45">
        <v>3185</v>
      </c>
      <c r="CZ3189" s="18">
        <v>55.532711577471915</v>
      </c>
      <c r="DA3189" s="18" t="str">
        <v>Invest</v>
      </c>
    </row>
    <row r="3190" spans="99:105" ht="23.5">
      <c r="CU3190" s="45">
        <v>3186</v>
      </c>
      <c r="CV3190" s="18">
        <v>0</v>
      </c>
      <c r="CW3190" s="18" t="str">
        <v>Nothing</v>
      </c>
      <c r="CY3190" s="45">
        <v>3186</v>
      </c>
      <c r="CZ3190" s="18">
        <v>21.749688327169661</v>
      </c>
      <c r="DA3190" s="18" t="str">
        <v>Invest</v>
      </c>
    </row>
    <row r="3191" spans="99:105" ht="23.5">
      <c r="CU3191" s="45">
        <v>3187</v>
      </c>
      <c r="CV3191" s="18">
        <v>0</v>
      </c>
      <c r="CW3191" s="18" t="str">
        <v>Nothing</v>
      </c>
      <c r="CY3191" s="45">
        <v>3187</v>
      </c>
      <c r="CZ3191" s="18">
        <v>15.534537999341904</v>
      </c>
      <c r="DA3191" s="18" t="str">
        <v>Invest</v>
      </c>
    </row>
    <row r="3192" spans="99:105" ht="23.5">
      <c r="CU3192" s="45">
        <v>3188</v>
      </c>
      <c r="CV3192" s="18">
        <v>8.5224584403582178</v>
      </c>
      <c r="CW3192" s="18" t="str">
        <v>Invest</v>
      </c>
      <c r="CY3192" s="45">
        <v>3188</v>
      </c>
      <c r="CZ3192" s="18">
        <v>14.713535406886292</v>
      </c>
      <c r="DA3192" s="18" t="str">
        <v>Invest</v>
      </c>
    </row>
    <row r="3193" spans="99:105" ht="23.5">
      <c r="CU3193" s="45">
        <v>3189</v>
      </c>
      <c r="CV3193" s="18">
        <v>35.517076936378373</v>
      </c>
      <c r="CW3193" s="18" t="str">
        <v>Invest</v>
      </c>
      <c r="CY3193" s="45">
        <v>3189</v>
      </c>
      <c r="CZ3193" s="18">
        <v>0</v>
      </c>
      <c r="DA3193" s="18" t="str">
        <v>Nothing</v>
      </c>
    </row>
    <row r="3194" spans="99:105" ht="23.5">
      <c r="CU3194" s="45">
        <v>3190</v>
      </c>
      <c r="CV3194" s="18">
        <v>9.4076987302615294</v>
      </c>
      <c r="CW3194" s="18" t="str">
        <v>Invest</v>
      </c>
      <c r="CY3194" s="45">
        <v>3190</v>
      </c>
      <c r="CZ3194" s="18">
        <v>2.5344861300436889</v>
      </c>
      <c r="DA3194" s="18" t="str">
        <v>Invest</v>
      </c>
    </row>
    <row r="3195" spans="99:105" ht="23.5">
      <c r="CU3195" s="45">
        <v>3191</v>
      </c>
      <c r="CV3195" s="18">
        <v>13.695548920319592</v>
      </c>
      <c r="CW3195" s="18" t="str">
        <v>Invest</v>
      </c>
      <c r="CY3195" s="45">
        <v>3191</v>
      </c>
      <c r="CZ3195" s="18">
        <v>36.802456756547727</v>
      </c>
      <c r="DA3195" s="18" t="str">
        <v>Invest</v>
      </c>
    </row>
    <row r="3196" spans="99:105" ht="23.5">
      <c r="CU3196" s="45">
        <v>3192</v>
      </c>
      <c r="CV3196" s="18">
        <v>0</v>
      </c>
      <c r="CW3196" s="18" t="str">
        <v>Nothing</v>
      </c>
      <c r="CY3196" s="45">
        <v>3192</v>
      </c>
      <c r="CZ3196" s="18">
        <v>54.76748292041156</v>
      </c>
      <c r="DA3196" s="18" t="str">
        <v>Invest</v>
      </c>
    </row>
    <row r="3197" spans="99:105" ht="23.5">
      <c r="CU3197" s="45">
        <v>3193</v>
      </c>
      <c r="CV3197" s="18">
        <v>15.480932455909759</v>
      </c>
      <c r="CW3197" s="18" t="str">
        <v>Invest</v>
      </c>
      <c r="CY3197" s="45">
        <v>3193</v>
      </c>
      <c r="CZ3197" s="18">
        <v>17.453784908703678</v>
      </c>
      <c r="DA3197" s="18" t="str">
        <v>Invest</v>
      </c>
    </row>
    <row r="3198" spans="99:105" ht="23.5">
      <c r="CU3198" s="45">
        <v>3194</v>
      </c>
      <c r="CV3198" s="18">
        <v>36.470628076891728</v>
      </c>
      <c r="CW3198" s="18" t="str">
        <v>Invest</v>
      </c>
      <c r="CY3198" s="45">
        <v>3194</v>
      </c>
      <c r="CZ3198" s="18">
        <v>44.577710573278949</v>
      </c>
      <c r="DA3198" s="18" t="str">
        <v>Invest</v>
      </c>
    </row>
    <row r="3199" spans="99:105" ht="23.5">
      <c r="CU3199" s="45">
        <v>3195</v>
      </c>
      <c r="CV3199" s="18">
        <v>1.4553132651488152</v>
      </c>
      <c r="CW3199" s="18" t="str">
        <v>Invest</v>
      </c>
      <c r="CY3199" s="45">
        <v>3195</v>
      </c>
      <c r="CZ3199" s="18">
        <v>2.5994514221884657</v>
      </c>
      <c r="DA3199" s="18" t="str">
        <v>Invest</v>
      </c>
    </row>
    <row r="3200" spans="99:105" ht="23.5">
      <c r="CU3200" s="45">
        <v>3196</v>
      </c>
      <c r="CV3200" s="18">
        <v>43.63251601636518</v>
      </c>
      <c r="CW3200" s="18" t="str">
        <v>Invest</v>
      </c>
      <c r="CY3200" s="45">
        <v>3196</v>
      </c>
      <c r="CZ3200" s="18">
        <v>27.424317700557928</v>
      </c>
      <c r="DA3200" s="18" t="str">
        <v>Invest</v>
      </c>
    </row>
    <row r="3201" spans="99:105" ht="23.5">
      <c r="CU3201" s="45">
        <v>3197</v>
      </c>
      <c r="CV3201" s="18">
        <v>0.43612924759461791</v>
      </c>
      <c r="CW3201" s="18" t="str">
        <v>Invest</v>
      </c>
      <c r="CY3201" s="45">
        <v>3197</v>
      </c>
      <c r="CZ3201" s="18">
        <v>9.2392556481872177</v>
      </c>
      <c r="DA3201" s="18" t="str">
        <v>Invest</v>
      </c>
    </row>
    <row r="3202" spans="99:105" ht="23.5">
      <c r="CU3202" s="45">
        <v>3198</v>
      </c>
      <c r="CV3202" s="18">
        <v>35.249854671530215</v>
      </c>
      <c r="CW3202" s="18" t="str">
        <v>Invest</v>
      </c>
      <c r="CY3202" s="45">
        <v>3198</v>
      </c>
      <c r="CZ3202" s="18">
        <v>20.896493889548807</v>
      </c>
      <c r="DA3202" s="18" t="str">
        <v>Invest</v>
      </c>
    </row>
    <row r="3203" spans="99:105" ht="23.5">
      <c r="CU3203" s="45">
        <v>3199</v>
      </c>
      <c r="CV3203" s="18">
        <v>52.624497637699164</v>
      </c>
      <c r="CW3203" s="18" t="str">
        <v>Invest</v>
      </c>
      <c r="CY3203" s="45">
        <v>3199</v>
      </c>
      <c r="CZ3203" s="18">
        <v>19.530137048828522</v>
      </c>
      <c r="DA3203" s="18" t="str">
        <v>Invest</v>
      </c>
    </row>
    <row r="3204" spans="99:105" ht="23.5">
      <c r="CU3204" s="45">
        <v>3200</v>
      </c>
      <c r="CV3204" s="18">
        <v>7.6890535059870757</v>
      </c>
      <c r="CW3204" s="18" t="str">
        <v>Invest</v>
      </c>
      <c r="CY3204" s="45">
        <v>3200</v>
      </c>
      <c r="CZ3204" s="18">
        <v>12.026707318217642</v>
      </c>
      <c r="DA3204" s="18" t="str">
        <v>Invest</v>
      </c>
    </row>
    <row r="3205" spans="99:105" ht="23.5">
      <c r="CU3205" s="45">
        <v>3201</v>
      </c>
      <c r="CV3205" s="18">
        <v>38.954717066111456</v>
      </c>
      <c r="CW3205" s="18" t="str">
        <v>Invest</v>
      </c>
      <c r="CY3205" s="45">
        <v>3201</v>
      </c>
      <c r="CZ3205" s="18">
        <v>22.986042618977727</v>
      </c>
      <c r="DA3205" s="18" t="str">
        <v>Invest</v>
      </c>
    </row>
    <row r="3206" spans="99:105" ht="23.5">
      <c r="CU3206" s="45">
        <v>3202</v>
      </c>
      <c r="CV3206" s="18">
        <v>0</v>
      </c>
      <c r="CW3206" s="18" t="str">
        <v>Nothing</v>
      </c>
      <c r="CY3206" s="45">
        <v>3202</v>
      </c>
      <c r="CZ3206" s="18">
        <v>3.7896207113527538</v>
      </c>
      <c r="DA3206" s="18" t="str">
        <v>Invest</v>
      </c>
    </row>
    <row r="3207" spans="99:105" ht="23.5">
      <c r="CU3207" s="45">
        <v>3203</v>
      </c>
      <c r="CV3207" s="18">
        <v>15.751488807836367</v>
      </c>
      <c r="CW3207" s="18" t="str">
        <v>Invest</v>
      </c>
      <c r="CY3207" s="45">
        <v>3203</v>
      </c>
      <c r="CZ3207" s="18">
        <v>0</v>
      </c>
      <c r="DA3207" s="18" t="str">
        <v>Nothing</v>
      </c>
    </row>
    <row r="3208" spans="99:105" ht="23.5">
      <c r="CU3208" s="45">
        <v>3204</v>
      </c>
      <c r="CV3208" s="18">
        <v>62.291134266505146</v>
      </c>
      <c r="CW3208" s="18" t="str">
        <v>Invest</v>
      </c>
      <c r="CY3208" s="45">
        <v>3204</v>
      </c>
      <c r="CZ3208" s="18">
        <v>24.634985877017613</v>
      </c>
      <c r="DA3208" s="18" t="str">
        <v>Invest</v>
      </c>
    </row>
    <row r="3209" spans="99:105" ht="23.5">
      <c r="CU3209" s="45">
        <v>3205</v>
      </c>
      <c r="CV3209" s="18">
        <v>29.520754676606199</v>
      </c>
      <c r="CW3209" s="18" t="str">
        <v>Invest</v>
      </c>
      <c r="CY3209" s="45">
        <v>3205</v>
      </c>
      <c r="CZ3209" s="18">
        <v>14.932049625501149</v>
      </c>
      <c r="DA3209" s="18" t="str">
        <v>Invest</v>
      </c>
    </row>
    <row r="3210" spans="99:105" ht="23.5">
      <c r="CU3210" s="45">
        <v>3206</v>
      </c>
      <c r="CV3210" s="18">
        <v>35.472208524491307</v>
      </c>
      <c r="CW3210" s="18" t="str">
        <v>Invest</v>
      </c>
      <c r="CY3210" s="45">
        <v>3206</v>
      </c>
      <c r="CZ3210" s="18">
        <v>0</v>
      </c>
      <c r="DA3210" s="18" t="str">
        <v>Nothing</v>
      </c>
    </row>
    <row r="3211" spans="99:105" ht="23.5">
      <c r="CU3211" s="45">
        <v>3207</v>
      </c>
      <c r="CV3211" s="18">
        <v>39.420363502015796</v>
      </c>
      <c r="CW3211" s="18" t="str">
        <v>Invest</v>
      </c>
      <c r="CY3211" s="45">
        <v>3207</v>
      </c>
      <c r="CZ3211" s="18">
        <v>40.364682155976745</v>
      </c>
      <c r="DA3211" s="18" t="str">
        <v>Invest</v>
      </c>
    </row>
    <row r="3212" spans="99:105" ht="23.5">
      <c r="CU3212" s="45">
        <v>3208</v>
      </c>
      <c r="CV3212" s="18">
        <v>39.022659523154644</v>
      </c>
      <c r="CW3212" s="18" t="str">
        <v>Invest</v>
      </c>
      <c r="CY3212" s="45">
        <v>3208</v>
      </c>
      <c r="CZ3212" s="18">
        <v>1.8724781015938614</v>
      </c>
      <c r="DA3212" s="18" t="str">
        <v>Invest</v>
      </c>
    </row>
    <row r="3213" spans="99:105" ht="23.5">
      <c r="CU3213" s="45">
        <v>3209</v>
      </c>
      <c r="CV3213" s="18">
        <v>35.028823582684367</v>
      </c>
      <c r="CW3213" s="18" t="str">
        <v>Invest</v>
      </c>
      <c r="CY3213" s="45">
        <v>3209</v>
      </c>
      <c r="CZ3213" s="18">
        <v>27.505004408951045</v>
      </c>
      <c r="DA3213" s="18" t="str">
        <v>Invest</v>
      </c>
    </row>
    <row r="3214" spans="99:105" ht="23.5">
      <c r="CU3214" s="45">
        <v>3210</v>
      </c>
      <c r="CV3214" s="18">
        <v>0</v>
      </c>
      <c r="CW3214" s="18" t="str">
        <v>Nothing</v>
      </c>
      <c r="CY3214" s="45">
        <v>3210</v>
      </c>
      <c r="CZ3214" s="18">
        <v>25.175605582602266</v>
      </c>
      <c r="DA3214" s="18" t="str">
        <v>Invest</v>
      </c>
    </row>
    <row r="3215" spans="99:105" ht="23.5">
      <c r="CU3215" s="45">
        <v>3211</v>
      </c>
      <c r="CV3215" s="18">
        <v>41.712470064752836</v>
      </c>
      <c r="CW3215" s="18" t="str">
        <v>Invest</v>
      </c>
      <c r="CY3215" s="45">
        <v>3211</v>
      </c>
      <c r="CZ3215" s="18">
        <v>5.0966298979152693</v>
      </c>
      <c r="DA3215" s="18" t="str">
        <v>Invest</v>
      </c>
    </row>
    <row r="3216" spans="99:105" ht="23.5">
      <c r="CU3216" s="45">
        <v>3212</v>
      </c>
      <c r="CV3216" s="18">
        <v>9.8872481521695974</v>
      </c>
      <c r="CW3216" s="18" t="str">
        <v>Invest</v>
      </c>
      <c r="CY3216" s="45">
        <v>3212</v>
      </c>
      <c r="CZ3216" s="18">
        <v>47.740935213485002</v>
      </c>
      <c r="DA3216" s="18" t="str">
        <v>Invest</v>
      </c>
    </row>
    <row r="3217" spans="99:105" ht="23.5">
      <c r="CU3217" s="45">
        <v>3213</v>
      </c>
      <c r="CV3217" s="18">
        <v>0</v>
      </c>
      <c r="CW3217" s="18" t="str">
        <v>Nothing</v>
      </c>
      <c r="CY3217" s="45">
        <v>3213</v>
      </c>
      <c r="CZ3217" s="18">
        <v>10.076469699014208</v>
      </c>
      <c r="DA3217" s="18" t="str">
        <v>Invest</v>
      </c>
    </row>
    <row r="3218" spans="99:105" ht="23.5">
      <c r="CU3218" s="45">
        <v>3214</v>
      </c>
      <c r="CV3218" s="18">
        <v>19.921648485166152</v>
      </c>
      <c r="CW3218" s="18" t="str">
        <v>Invest</v>
      </c>
      <c r="CY3218" s="45">
        <v>3214</v>
      </c>
      <c r="CZ3218" s="18">
        <v>0</v>
      </c>
      <c r="DA3218" s="18" t="str">
        <v>Nothing</v>
      </c>
    </row>
    <row r="3219" spans="99:105" ht="23.5">
      <c r="CU3219" s="45">
        <v>3215</v>
      </c>
      <c r="CV3219" s="18">
        <v>29.951315840445208</v>
      </c>
      <c r="CW3219" s="18" t="str">
        <v>Invest</v>
      </c>
      <c r="CY3219" s="45">
        <v>3215</v>
      </c>
      <c r="CZ3219" s="18">
        <v>4.1665353036488568</v>
      </c>
      <c r="DA3219" s="18" t="str">
        <v>Invest</v>
      </c>
    </row>
    <row r="3220" spans="99:105" ht="23.5">
      <c r="CU3220" s="45">
        <v>3216</v>
      </c>
      <c r="CV3220" s="18">
        <v>47.038282948341958</v>
      </c>
      <c r="CW3220" s="18" t="str">
        <v>Invest</v>
      </c>
      <c r="CY3220" s="45">
        <v>3216</v>
      </c>
      <c r="CZ3220" s="18">
        <v>27.714591620699814</v>
      </c>
      <c r="DA3220" s="18" t="str">
        <v>Invest</v>
      </c>
    </row>
    <row r="3221" spans="99:105" ht="23.5">
      <c r="CU3221" s="45">
        <v>3217</v>
      </c>
      <c r="CV3221" s="18">
        <v>0.32196230494139488</v>
      </c>
      <c r="CW3221" s="18" t="str">
        <v>Invest</v>
      </c>
      <c r="CY3221" s="45">
        <v>3217</v>
      </c>
      <c r="CZ3221" s="18">
        <v>0.92766020650137859</v>
      </c>
      <c r="DA3221" s="18" t="str">
        <v>Invest</v>
      </c>
    </row>
    <row r="3222" spans="99:105" ht="23.5">
      <c r="CU3222" s="45">
        <v>3218</v>
      </c>
      <c r="CV3222" s="18">
        <v>11.31116269578667</v>
      </c>
      <c r="CW3222" s="18" t="str">
        <v>Invest</v>
      </c>
      <c r="CY3222" s="45">
        <v>3218</v>
      </c>
      <c r="CZ3222" s="18">
        <v>37.420021157163838</v>
      </c>
      <c r="DA3222" s="18" t="str">
        <v>Invest</v>
      </c>
    </row>
    <row r="3223" spans="99:105" ht="23.5">
      <c r="CU3223" s="45">
        <v>3219</v>
      </c>
      <c r="CV3223" s="18">
        <v>33.554353602320525</v>
      </c>
      <c r="CW3223" s="18" t="str">
        <v>Invest</v>
      </c>
      <c r="CY3223" s="45">
        <v>3219</v>
      </c>
      <c r="CZ3223" s="18">
        <v>7.9260482388919655</v>
      </c>
      <c r="DA3223" s="18" t="str">
        <v>Invest</v>
      </c>
    </row>
    <row r="3224" spans="99:105" ht="23.5">
      <c r="CU3224" s="45">
        <v>3220</v>
      </c>
      <c r="CV3224" s="18">
        <v>16.654066168242075</v>
      </c>
      <c r="CW3224" s="18" t="str">
        <v>Invest</v>
      </c>
      <c r="CY3224" s="45">
        <v>3220</v>
      </c>
      <c r="CZ3224" s="18">
        <v>0</v>
      </c>
      <c r="DA3224" s="18" t="str">
        <v>Nothing</v>
      </c>
    </row>
    <row r="3225" spans="99:105" ht="23.5">
      <c r="CU3225" s="45">
        <v>3221</v>
      </c>
      <c r="CV3225" s="18">
        <v>15.183552572443112</v>
      </c>
      <c r="CW3225" s="18" t="str">
        <v>Invest</v>
      </c>
      <c r="CY3225" s="45">
        <v>3221</v>
      </c>
      <c r="CZ3225" s="18">
        <v>7.968224044646032</v>
      </c>
      <c r="DA3225" s="18" t="str">
        <v>Invest</v>
      </c>
    </row>
    <row r="3226" spans="99:105" ht="23.5">
      <c r="CU3226" s="45">
        <v>3222</v>
      </c>
      <c r="CV3226" s="18">
        <v>0</v>
      </c>
      <c r="CW3226" s="18" t="str">
        <v>Nothing</v>
      </c>
      <c r="CY3226" s="45">
        <v>3222</v>
      </c>
      <c r="CZ3226" s="18">
        <v>20.678531288445249</v>
      </c>
      <c r="DA3226" s="18" t="str">
        <v>Invest</v>
      </c>
    </row>
    <row r="3227" spans="99:105" ht="23.5">
      <c r="CU3227" s="45">
        <v>3223</v>
      </c>
      <c r="CV3227" s="18">
        <v>0</v>
      </c>
      <c r="CW3227" s="18" t="str">
        <v>Nothing</v>
      </c>
      <c r="CY3227" s="45">
        <v>3223</v>
      </c>
      <c r="CZ3227" s="18">
        <v>28.144623098747662</v>
      </c>
      <c r="DA3227" s="18" t="str">
        <v>Invest</v>
      </c>
    </row>
    <row r="3228" spans="99:105" ht="23.5">
      <c r="CU3228" s="45">
        <v>3224</v>
      </c>
      <c r="CV3228" s="18">
        <v>36.322054892335167</v>
      </c>
      <c r="CW3228" s="18" t="str">
        <v>Invest</v>
      </c>
      <c r="CY3228" s="45">
        <v>3224</v>
      </c>
      <c r="CZ3228" s="18">
        <v>13.80030296021841</v>
      </c>
      <c r="DA3228" s="18" t="str">
        <v>Invest</v>
      </c>
    </row>
    <row r="3229" spans="99:105" ht="23.5">
      <c r="CU3229" s="45">
        <v>3225</v>
      </c>
      <c r="CV3229" s="18">
        <v>0</v>
      </c>
      <c r="CW3229" s="18" t="str">
        <v>Nothing</v>
      </c>
      <c r="CY3229" s="45">
        <v>3225</v>
      </c>
      <c r="CZ3229" s="18">
        <v>22.080112611849533</v>
      </c>
      <c r="DA3229" s="18" t="str">
        <v>Invest</v>
      </c>
    </row>
    <row r="3230" spans="99:105" ht="23.5">
      <c r="CU3230" s="45">
        <v>3226</v>
      </c>
      <c r="CV3230" s="18">
        <v>42.922129878858613</v>
      </c>
      <c r="CW3230" s="18" t="str">
        <v>Invest</v>
      </c>
      <c r="CY3230" s="45">
        <v>3226</v>
      </c>
      <c r="CZ3230" s="18">
        <v>23.688055909739152</v>
      </c>
      <c r="DA3230" s="18" t="str">
        <v>Invest</v>
      </c>
    </row>
    <row r="3231" spans="99:105" ht="23.5">
      <c r="CU3231" s="45">
        <v>3227</v>
      </c>
      <c r="CV3231" s="18">
        <v>0</v>
      </c>
      <c r="CW3231" s="18" t="str">
        <v>Nothing</v>
      </c>
      <c r="CY3231" s="45">
        <v>3227</v>
      </c>
      <c r="CZ3231" s="18">
        <v>25.389926385815777</v>
      </c>
      <c r="DA3231" s="18" t="str">
        <v>Invest</v>
      </c>
    </row>
    <row r="3232" spans="99:105" ht="23.5">
      <c r="CU3232" s="45">
        <v>3228</v>
      </c>
      <c r="CV3232" s="18">
        <v>33.131944848490576</v>
      </c>
      <c r="CW3232" s="18" t="str">
        <v>Invest</v>
      </c>
      <c r="CY3232" s="45">
        <v>3228</v>
      </c>
      <c r="CZ3232" s="18">
        <v>0</v>
      </c>
      <c r="DA3232" s="18" t="str">
        <v>Nothing</v>
      </c>
    </row>
    <row r="3233" spans="99:105" ht="23.5">
      <c r="CU3233" s="45">
        <v>3229</v>
      </c>
      <c r="CV3233" s="18">
        <v>8.291458690058489</v>
      </c>
      <c r="CW3233" s="18" t="str">
        <v>Invest</v>
      </c>
      <c r="CY3233" s="45">
        <v>3229</v>
      </c>
      <c r="CZ3233" s="18">
        <v>7.4506979865722762</v>
      </c>
      <c r="DA3233" s="18" t="str">
        <v>Invest</v>
      </c>
    </row>
    <row r="3234" spans="99:105" ht="23.5">
      <c r="CU3234" s="45">
        <v>3230</v>
      </c>
      <c r="CV3234" s="18">
        <v>10.261681159927548</v>
      </c>
      <c r="CW3234" s="18" t="str">
        <v>Invest</v>
      </c>
      <c r="CY3234" s="45">
        <v>3230</v>
      </c>
      <c r="CZ3234" s="18">
        <v>11.929525076780031</v>
      </c>
      <c r="DA3234" s="18" t="str">
        <v>Invest</v>
      </c>
    </row>
    <row r="3235" spans="99:105" ht="23.5">
      <c r="CU3235" s="45">
        <v>3231</v>
      </c>
      <c r="CV3235" s="18">
        <v>40.829843111799285</v>
      </c>
      <c r="CW3235" s="18" t="str">
        <v>Invest</v>
      </c>
      <c r="CY3235" s="45">
        <v>3231</v>
      </c>
      <c r="CZ3235" s="18">
        <v>0</v>
      </c>
      <c r="DA3235" s="18" t="str">
        <v>Nothing</v>
      </c>
    </row>
    <row r="3236" spans="99:105" ht="23.5">
      <c r="CU3236" s="45">
        <v>3232</v>
      </c>
      <c r="CV3236" s="18">
        <v>22.760531300774758</v>
      </c>
      <c r="CW3236" s="18" t="str">
        <v>Invest</v>
      </c>
      <c r="CY3236" s="45">
        <v>3232</v>
      </c>
      <c r="CZ3236" s="18">
        <v>0</v>
      </c>
      <c r="DA3236" s="18" t="str">
        <v>Nothing</v>
      </c>
    </row>
    <row r="3237" spans="99:105" ht="23.5">
      <c r="CU3237" s="45">
        <v>3233</v>
      </c>
      <c r="CV3237" s="18">
        <v>50.329011045473251</v>
      </c>
      <c r="CW3237" s="18" t="str">
        <v>Invest</v>
      </c>
      <c r="CY3237" s="45">
        <v>3233</v>
      </c>
      <c r="CZ3237" s="18">
        <v>20.385899485357989</v>
      </c>
      <c r="DA3237" s="18" t="str">
        <v>Invest</v>
      </c>
    </row>
    <row r="3238" spans="99:105" ht="23.5">
      <c r="CU3238" s="45">
        <v>3234</v>
      </c>
      <c r="CV3238" s="18">
        <v>17.577567832704737</v>
      </c>
      <c r="CW3238" s="18" t="str">
        <v>Invest</v>
      </c>
      <c r="CY3238" s="45">
        <v>3234</v>
      </c>
      <c r="CZ3238" s="18">
        <v>38.181879036533303</v>
      </c>
      <c r="DA3238" s="18" t="str">
        <v>Invest</v>
      </c>
    </row>
    <row r="3239" spans="99:105" ht="23.5">
      <c r="CU3239" s="45">
        <v>3235</v>
      </c>
      <c r="CV3239" s="18">
        <v>46.691491005566363</v>
      </c>
      <c r="CW3239" s="18" t="str">
        <v>Invest</v>
      </c>
      <c r="CY3239" s="45">
        <v>3235</v>
      </c>
      <c r="CZ3239" s="18">
        <v>1.3948462059646296</v>
      </c>
      <c r="DA3239" s="18" t="str">
        <v>Invest</v>
      </c>
    </row>
    <row r="3240" spans="99:105" ht="23.5">
      <c r="CU3240" s="45">
        <v>3236</v>
      </c>
      <c r="CV3240" s="18">
        <v>14.674432703500354</v>
      </c>
      <c r="CW3240" s="18" t="str">
        <v>Invest</v>
      </c>
      <c r="CY3240" s="45">
        <v>3236</v>
      </c>
      <c r="CZ3240" s="18">
        <v>40.52880780387629</v>
      </c>
      <c r="DA3240" s="18" t="str">
        <v>Invest</v>
      </c>
    </row>
    <row r="3241" spans="99:105" ht="23.5">
      <c r="CU3241" s="45">
        <v>3237</v>
      </c>
      <c r="CV3241" s="18">
        <v>32.280923594583015</v>
      </c>
      <c r="CW3241" s="18" t="str">
        <v>Invest</v>
      </c>
      <c r="CY3241" s="45">
        <v>3237</v>
      </c>
      <c r="CZ3241" s="18">
        <v>0</v>
      </c>
      <c r="DA3241" s="18" t="str">
        <v>Nothing</v>
      </c>
    </row>
    <row r="3242" spans="99:105" ht="23.5">
      <c r="CU3242" s="45">
        <v>3238</v>
      </c>
      <c r="CV3242" s="18">
        <v>50.061101574819226</v>
      </c>
      <c r="CW3242" s="18" t="str">
        <v>Invest</v>
      </c>
      <c r="CY3242" s="45">
        <v>3238</v>
      </c>
      <c r="CZ3242" s="18">
        <v>0</v>
      </c>
      <c r="DA3242" s="18" t="str">
        <v>Nothing</v>
      </c>
    </row>
    <row r="3243" spans="99:105" ht="23.5">
      <c r="CU3243" s="45">
        <v>3239</v>
      </c>
      <c r="CV3243" s="18">
        <v>19.693105729706957</v>
      </c>
      <c r="CW3243" s="18" t="str">
        <v>Invest</v>
      </c>
      <c r="CY3243" s="45">
        <v>3239</v>
      </c>
      <c r="CZ3243" s="18">
        <v>15.021530033787471</v>
      </c>
      <c r="DA3243" s="18" t="str">
        <v>Invest</v>
      </c>
    </row>
    <row r="3244" spans="99:105" ht="23.5">
      <c r="CU3244" s="45">
        <v>3240</v>
      </c>
      <c r="CV3244" s="18">
        <v>0</v>
      </c>
      <c r="CW3244" s="18" t="str">
        <v>Nothing</v>
      </c>
      <c r="CY3244" s="45">
        <v>3240</v>
      </c>
      <c r="CZ3244" s="18">
        <v>16.002303652662011</v>
      </c>
      <c r="DA3244" s="18" t="str">
        <v>Invest</v>
      </c>
    </row>
    <row r="3245" spans="99:105" ht="23.5">
      <c r="CU3245" s="45">
        <v>3241</v>
      </c>
      <c r="CV3245" s="18">
        <v>0</v>
      </c>
      <c r="CW3245" s="18" t="str">
        <v>Nothing</v>
      </c>
      <c r="CY3245" s="45">
        <v>3241</v>
      </c>
      <c r="CZ3245" s="18">
        <v>17.732067494963339</v>
      </c>
      <c r="DA3245" s="18" t="str">
        <v>Invest</v>
      </c>
    </row>
    <row r="3246" spans="99:105" ht="23.5">
      <c r="CU3246" s="45">
        <v>3242</v>
      </c>
      <c r="CV3246" s="18">
        <v>35.432208673483089</v>
      </c>
      <c r="CW3246" s="18" t="str">
        <v>Invest</v>
      </c>
      <c r="CY3246" s="45">
        <v>3242</v>
      </c>
      <c r="CZ3246" s="18">
        <v>0</v>
      </c>
      <c r="DA3246" s="18" t="str">
        <v>Nothing</v>
      </c>
    </row>
    <row r="3247" spans="99:105" ht="23.5">
      <c r="CU3247" s="45">
        <v>3243</v>
      </c>
      <c r="CV3247" s="18">
        <v>29.802672248401716</v>
      </c>
      <c r="CW3247" s="18" t="str">
        <v>Invest</v>
      </c>
      <c r="CY3247" s="45">
        <v>3243</v>
      </c>
      <c r="CZ3247" s="18">
        <v>6.0302247279198689</v>
      </c>
      <c r="DA3247" s="18" t="str">
        <v>Invest</v>
      </c>
    </row>
    <row r="3248" spans="99:105" ht="23.5">
      <c r="CU3248" s="45">
        <v>3244</v>
      </c>
      <c r="CV3248" s="18">
        <v>29.013335732118716</v>
      </c>
      <c r="CW3248" s="18" t="str">
        <v>Invest</v>
      </c>
      <c r="CY3248" s="45">
        <v>3244</v>
      </c>
      <c r="CZ3248" s="18">
        <v>41.439877016753485</v>
      </c>
      <c r="DA3248" s="18" t="str">
        <v>Invest</v>
      </c>
    </row>
    <row r="3249" spans="99:105" ht="23.5">
      <c r="CU3249" s="45">
        <v>3245</v>
      </c>
      <c r="CV3249" s="18">
        <v>36.843558647686876</v>
      </c>
      <c r="CW3249" s="18" t="str">
        <v>Invest</v>
      </c>
      <c r="CY3249" s="45">
        <v>3245</v>
      </c>
      <c r="CZ3249" s="18">
        <v>0</v>
      </c>
      <c r="DA3249" s="18" t="str">
        <v>Nothing</v>
      </c>
    </row>
    <row r="3250" spans="99:105" ht="23.5">
      <c r="CU3250" s="45">
        <v>3246</v>
      </c>
      <c r="CV3250" s="18">
        <v>0</v>
      </c>
      <c r="CW3250" s="18" t="str">
        <v>Nothing</v>
      </c>
      <c r="CY3250" s="45">
        <v>3246</v>
      </c>
      <c r="CZ3250" s="18">
        <v>19.676101922195109</v>
      </c>
      <c r="DA3250" s="18" t="str">
        <v>Invest</v>
      </c>
    </row>
    <row r="3251" spans="99:105" ht="23.5">
      <c r="CU3251" s="45">
        <v>3247</v>
      </c>
      <c r="CV3251" s="18">
        <v>23.990547597652132</v>
      </c>
      <c r="CW3251" s="18" t="str">
        <v>Invest</v>
      </c>
      <c r="CY3251" s="45">
        <v>3247</v>
      </c>
      <c r="CZ3251" s="18">
        <v>0</v>
      </c>
      <c r="DA3251" s="18" t="str">
        <v>Nothing</v>
      </c>
    </row>
    <row r="3252" spans="99:105" ht="23.5">
      <c r="CU3252" s="45">
        <v>3248</v>
      </c>
      <c r="CV3252" s="18">
        <v>0</v>
      </c>
      <c r="CW3252" s="18" t="str">
        <v>Nothing</v>
      </c>
      <c r="CY3252" s="45">
        <v>3248</v>
      </c>
      <c r="CZ3252" s="18">
        <v>6.1311704358549175</v>
      </c>
      <c r="DA3252" s="18" t="str">
        <v>Invest</v>
      </c>
    </row>
    <row r="3253" spans="99:105" ht="23.5">
      <c r="CU3253" s="45">
        <v>3249</v>
      </c>
      <c r="CV3253" s="18">
        <v>18.820407792324904</v>
      </c>
      <c r="CW3253" s="18" t="str">
        <v>Invest</v>
      </c>
      <c r="CY3253" s="45">
        <v>3249</v>
      </c>
      <c r="CZ3253" s="18">
        <v>24.860363182308181</v>
      </c>
      <c r="DA3253" s="18" t="str">
        <v>Invest</v>
      </c>
    </row>
    <row r="3254" spans="99:105" ht="23.5">
      <c r="CU3254" s="45">
        <v>3250</v>
      </c>
      <c r="CV3254" s="18">
        <v>1.299538687841423</v>
      </c>
      <c r="CW3254" s="18" t="str">
        <v>Invest</v>
      </c>
      <c r="CY3254" s="45">
        <v>3250</v>
      </c>
      <c r="CZ3254" s="18">
        <v>0</v>
      </c>
      <c r="DA3254" s="18" t="str">
        <v>Nothing</v>
      </c>
    </row>
    <row r="3255" spans="99:105" ht="23.5">
      <c r="CU3255" s="45">
        <v>3251</v>
      </c>
      <c r="CV3255" s="18">
        <v>18.259356079545572</v>
      </c>
      <c r="CW3255" s="18" t="str">
        <v>Invest</v>
      </c>
      <c r="CY3255" s="45">
        <v>3251</v>
      </c>
      <c r="CZ3255" s="18">
        <v>6.5943962809760572</v>
      </c>
      <c r="DA3255" s="18" t="str">
        <v>Invest</v>
      </c>
    </row>
    <row r="3256" spans="99:105" ht="23.5">
      <c r="CU3256" s="45">
        <v>3252</v>
      </c>
      <c r="CV3256" s="18">
        <v>0</v>
      </c>
      <c r="CW3256" s="18" t="str">
        <v>Nothing</v>
      </c>
      <c r="CY3256" s="45">
        <v>3252</v>
      </c>
      <c r="CZ3256" s="18">
        <v>2.1454057272428599</v>
      </c>
      <c r="DA3256" s="18" t="str">
        <v>Invest</v>
      </c>
    </row>
    <row r="3257" spans="99:105" ht="23.5">
      <c r="CU3257" s="45">
        <v>3253</v>
      </c>
      <c r="CV3257" s="18">
        <v>0</v>
      </c>
      <c r="CW3257" s="18" t="str">
        <v>Nothing</v>
      </c>
      <c r="CY3257" s="45">
        <v>3253</v>
      </c>
      <c r="CZ3257" s="18">
        <v>6.9056684110133553</v>
      </c>
      <c r="DA3257" s="18" t="str">
        <v>Invest</v>
      </c>
    </row>
    <row r="3258" spans="99:105" ht="23.5">
      <c r="CU3258" s="45">
        <v>3254</v>
      </c>
      <c r="CV3258" s="18">
        <v>0</v>
      </c>
      <c r="CW3258" s="18" t="str">
        <v>Nothing</v>
      </c>
      <c r="CY3258" s="45">
        <v>3254</v>
      </c>
      <c r="CZ3258" s="18">
        <v>21.534308836012254</v>
      </c>
      <c r="DA3258" s="18" t="str">
        <v>Invest</v>
      </c>
    </row>
    <row r="3259" spans="99:105" ht="23.5">
      <c r="CU3259" s="45">
        <v>3255</v>
      </c>
      <c r="CV3259" s="18">
        <v>31.792707827374088</v>
      </c>
      <c r="CW3259" s="18" t="str">
        <v>Invest</v>
      </c>
      <c r="CY3259" s="45">
        <v>3255</v>
      </c>
      <c r="CZ3259" s="18">
        <v>6.6225726917299426</v>
      </c>
      <c r="DA3259" s="18" t="str">
        <v>Invest</v>
      </c>
    </row>
    <row r="3260" spans="99:105" ht="23.5">
      <c r="CU3260" s="45">
        <v>3256</v>
      </c>
      <c r="CV3260" s="18">
        <v>31.651717452908919</v>
      </c>
      <c r="CW3260" s="18" t="str">
        <v>Invest</v>
      </c>
      <c r="CY3260" s="45">
        <v>3256</v>
      </c>
      <c r="CZ3260" s="18">
        <v>56.862544012464063</v>
      </c>
      <c r="DA3260" s="18" t="str">
        <v>Invest</v>
      </c>
    </row>
    <row r="3261" spans="99:105" ht="23.5">
      <c r="CU3261" s="45">
        <v>3257</v>
      </c>
      <c r="CV3261" s="18">
        <v>49.418741996057769</v>
      </c>
      <c r="CW3261" s="18" t="str">
        <v>Invest</v>
      </c>
      <c r="CY3261" s="45">
        <v>3257</v>
      </c>
      <c r="CZ3261" s="18">
        <v>0</v>
      </c>
      <c r="DA3261" s="18" t="str">
        <v>Nothing</v>
      </c>
    </row>
    <row r="3262" spans="99:105" ht="23.5">
      <c r="CU3262" s="45">
        <v>3258</v>
      </c>
      <c r="CV3262" s="18">
        <v>27.857139568455985</v>
      </c>
      <c r="CW3262" s="18" t="str">
        <v>Invest</v>
      </c>
      <c r="CY3262" s="45">
        <v>3258</v>
      </c>
      <c r="CZ3262" s="18">
        <v>29.101622811606649</v>
      </c>
      <c r="DA3262" s="18" t="str">
        <v>Invest</v>
      </c>
    </row>
    <row r="3263" spans="99:105" ht="23.5">
      <c r="CU3263" s="45">
        <v>3259</v>
      </c>
      <c r="CV3263" s="18">
        <v>35.230071245719259</v>
      </c>
      <c r="CW3263" s="18" t="str">
        <v>Invest</v>
      </c>
      <c r="CY3263" s="45">
        <v>3259</v>
      </c>
      <c r="CZ3263" s="18">
        <v>33.571068477378887</v>
      </c>
      <c r="DA3263" s="18" t="str">
        <v>Invest</v>
      </c>
    </row>
    <row r="3264" spans="99:105" ht="23.5">
      <c r="CU3264" s="45">
        <v>3260</v>
      </c>
      <c r="CV3264" s="18">
        <v>0</v>
      </c>
      <c r="CW3264" s="18" t="str">
        <v>Nothing</v>
      </c>
      <c r="CY3264" s="45">
        <v>3260</v>
      </c>
      <c r="CZ3264" s="18">
        <v>25.288791482111364</v>
      </c>
      <c r="DA3264" s="18" t="str">
        <v>Invest</v>
      </c>
    </row>
    <row r="3265" spans="99:105" ht="23.5">
      <c r="CU3265" s="45">
        <v>3261</v>
      </c>
      <c r="CV3265" s="18">
        <v>26.605672726436737</v>
      </c>
      <c r="CW3265" s="18" t="str">
        <v>Invest</v>
      </c>
      <c r="CY3265" s="45">
        <v>3261</v>
      </c>
      <c r="CZ3265" s="18">
        <v>0</v>
      </c>
      <c r="DA3265" s="18" t="str">
        <v>Nothing</v>
      </c>
    </row>
    <row r="3266" spans="99:105" ht="23.5">
      <c r="CU3266" s="45">
        <v>3262</v>
      </c>
      <c r="CV3266" s="18">
        <v>0.11718567783958811</v>
      </c>
      <c r="CW3266" s="18" t="str">
        <v>Invest</v>
      </c>
      <c r="CY3266" s="45">
        <v>3262</v>
      </c>
      <c r="CZ3266" s="18">
        <v>35.228357087026509</v>
      </c>
      <c r="DA3266" s="18" t="str">
        <v>Invest</v>
      </c>
    </row>
    <row r="3267" spans="99:105" ht="23.5">
      <c r="CU3267" s="45">
        <v>3263</v>
      </c>
      <c r="CV3267" s="18">
        <v>14.840640386602475</v>
      </c>
      <c r="CW3267" s="18" t="str">
        <v>Invest</v>
      </c>
      <c r="CY3267" s="45">
        <v>3263</v>
      </c>
      <c r="CZ3267" s="18">
        <v>22.425046895175438</v>
      </c>
      <c r="DA3267" s="18" t="str">
        <v>Invest</v>
      </c>
    </row>
    <row r="3268" spans="99:105" ht="23.5">
      <c r="CU3268" s="45">
        <v>3264</v>
      </c>
      <c r="CV3268" s="18">
        <v>25.089463459635077</v>
      </c>
      <c r="CW3268" s="18" t="str">
        <v>Invest</v>
      </c>
      <c r="CY3268" s="45">
        <v>3264</v>
      </c>
      <c r="CZ3268" s="18">
        <v>27.804798999673501</v>
      </c>
      <c r="DA3268" s="18" t="str">
        <v>Invest</v>
      </c>
    </row>
    <row r="3269" spans="99:105" ht="23.5">
      <c r="CU3269" s="45">
        <v>3265</v>
      </c>
      <c r="CV3269" s="18">
        <v>24.227518021844304</v>
      </c>
      <c r="CW3269" s="18" t="str">
        <v>Invest</v>
      </c>
      <c r="CY3269" s="45">
        <v>3265</v>
      </c>
      <c r="CZ3269" s="18">
        <v>0</v>
      </c>
      <c r="DA3269" s="18" t="str">
        <v>Nothing</v>
      </c>
    </row>
    <row r="3270" spans="99:105" ht="23.5">
      <c r="CU3270" s="45">
        <v>3266</v>
      </c>
      <c r="CV3270" s="18">
        <v>0</v>
      </c>
      <c r="CW3270" s="18" t="str">
        <v>Nothing</v>
      </c>
      <c r="CY3270" s="45">
        <v>3266</v>
      </c>
      <c r="CZ3270" s="18">
        <v>59.097596927052024</v>
      </c>
      <c r="DA3270" s="18" t="str">
        <v>Invest</v>
      </c>
    </row>
    <row r="3271" spans="99:105" ht="23.5">
      <c r="CU3271" s="45">
        <v>3267</v>
      </c>
      <c r="CV3271" s="18">
        <v>32.40438861681568</v>
      </c>
      <c r="CW3271" s="18" t="str">
        <v>Invest</v>
      </c>
      <c r="CY3271" s="45">
        <v>3267</v>
      </c>
      <c r="CZ3271" s="18">
        <v>6.5144599066315925</v>
      </c>
      <c r="DA3271" s="18" t="str">
        <v>Invest</v>
      </c>
    </row>
    <row r="3272" spans="99:105" ht="23.5">
      <c r="CU3272" s="45">
        <v>3268</v>
      </c>
      <c r="CV3272" s="18">
        <v>1.504190838216477</v>
      </c>
      <c r="CW3272" s="18" t="str">
        <v>Invest</v>
      </c>
      <c r="CY3272" s="45">
        <v>3268</v>
      </c>
      <c r="CZ3272" s="18">
        <v>45.705371631616075</v>
      </c>
      <c r="DA3272" s="18" t="str">
        <v>Invest</v>
      </c>
    </row>
    <row r="3273" spans="99:105" ht="23.5">
      <c r="CU3273" s="45">
        <v>3269</v>
      </c>
      <c r="CV3273" s="18">
        <v>12.295439488665675</v>
      </c>
      <c r="CW3273" s="18" t="str">
        <v>Invest</v>
      </c>
      <c r="CY3273" s="45">
        <v>3269</v>
      </c>
      <c r="CZ3273" s="18">
        <v>0</v>
      </c>
      <c r="DA3273" s="18" t="str">
        <v>Nothing</v>
      </c>
    </row>
    <row r="3274" spans="99:105" ht="23.5">
      <c r="CU3274" s="45">
        <v>3270</v>
      </c>
      <c r="CV3274" s="18">
        <v>40.897920009765087</v>
      </c>
      <c r="CW3274" s="18" t="str">
        <v>Invest</v>
      </c>
      <c r="CY3274" s="45">
        <v>3270</v>
      </c>
      <c r="CZ3274" s="18">
        <v>7.8024873933611811</v>
      </c>
      <c r="DA3274" s="18" t="str">
        <v>Invest</v>
      </c>
    </row>
    <row r="3275" spans="99:105" ht="23.5">
      <c r="CU3275" s="45">
        <v>3271</v>
      </c>
      <c r="CV3275" s="18">
        <v>0.14534549135372998</v>
      </c>
      <c r="CW3275" s="18" t="str">
        <v>Invest</v>
      </c>
      <c r="CY3275" s="45">
        <v>3271</v>
      </c>
      <c r="CZ3275" s="18">
        <v>64.344403936074329</v>
      </c>
      <c r="DA3275" s="18" t="str">
        <v>Invest</v>
      </c>
    </row>
    <row r="3276" spans="99:105" ht="23.5">
      <c r="CU3276" s="45">
        <v>3272</v>
      </c>
      <c r="CV3276" s="18">
        <v>13.723818426187011</v>
      </c>
      <c r="CW3276" s="18" t="str">
        <v>Invest</v>
      </c>
      <c r="CY3276" s="45">
        <v>3272</v>
      </c>
      <c r="CZ3276" s="18">
        <v>6.6989775653313721</v>
      </c>
      <c r="DA3276" s="18" t="str">
        <v>Invest</v>
      </c>
    </row>
    <row r="3277" spans="99:105" ht="23.5">
      <c r="CU3277" s="45">
        <v>3273</v>
      </c>
      <c r="CV3277" s="18">
        <v>16.111514991667192</v>
      </c>
      <c r="CW3277" s="18" t="str">
        <v>Invest</v>
      </c>
      <c r="CY3277" s="45">
        <v>3273</v>
      </c>
      <c r="CZ3277" s="18">
        <v>0</v>
      </c>
      <c r="DA3277" s="18" t="str">
        <v>Nothing</v>
      </c>
    </row>
    <row r="3278" spans="99:105" ht="23.5">
      <c r="CU3278" s="45">
        <v>3274</v>
      </c>
      <c r="CV3278" s="18">
        <v>0</v>
      </c>
      <c r="CW3278" s="18" t="str">
        <v>Nothing</v>
      </c>
      <c r="CY3278" s="45">
        <v>3274</v>
      </c>
      <c r="CZ3278" s="18">
        <v>34.02229848256961</v>
      </c>
      <c r="DA3278" s="18" t="str">
        <v>Invest</v>
      </c>
    </row>
    <row r="3279" spans="99:105" ht="23.5">
      <c r="CU3279" s="45">
        <v>3275</v>
      </c>
      <c r="CV3279" s="18">
        <v>19.875739531022507</v>
      </c>
      <c r="CW3279" s="18" t="str">
        <v>Invest</v>
      </c>
      <c r="CY3279" s="45">
        <v>3275</v>
      </c>
      <c r="CZ3279" s="18">
        <v>9.9822102629627398</v>
      </c>
      <c r="DA3279" s="18" t="str">
        <v>Invest</v>
      </c>
    </row>
    <row r="3280" spans="99:105" ht="23.5">
      <c r="CU3280" s="45">
        <v>3276</v>
      </c>
      <c r="CV3280" s="18">
        <v>27.594004017855717</v>
      </c>
      <c r="CW3280" s="18" t="str">
        <v>Invest</v>
      </c>
      <c r="CY3280" s="45">
        <v>3276</v>
      </c>
      <c r="CZ3280" s="18">
        <v>8.5277809564303055</v>
      </c>
      <c r="DA3280" s="18" t="str">
        <v>Invest</v>
      </c>
    </row>
    <row r="3281" spans="99:105" ht="23.5">
      <c r="CU3281" s="45">
        <v>3277</v>
      </c>
      <c r="CV3281" s="18">
        <v>48.031647866143153</v>
      </c>
      <c r="CW3281" s="18" t="str">
        <v>Invest</v>
      </c>
      <c r="CY3281" s="45">
        <v>3277</v>
      </c>
      <c r="CZ3281" s="18">
        <v>0</v>
      </c>
      <c r="DA3281" s="18" t="str">
        <v>Nothing</v>
      </c>
    </row>
    <row r="3282" spans="99:105" ht="23.5">
      <c r="CU3282" s="45">
        <v>3278</v>
      </c>
      <c r="CV3282" s="18">
        <v>1.0616119968640518</v>
      </c>
      <c r="CW3282" s="18" t="str">
        <v>Invest</v>
      </c>
      <c r="CY3282" s="45">
        <v>3278</v>
      </c>
      <c r="CZ3282" s="18">
        <v>17.10517529471295</v>
      </c>
      <c r="DA3282" s="18" t="str">
        <v>Invest</v>
      </c>
    </row>
    <row r="3283" spans="99:105" ht="23.5">
      <c r="CU3283" s="45">
        <v>3279</v>
      </c>
      <c r="CV3283" s="18">
        <v>20.452219959415082</v>
      </c>
      <c r="CW3283" s="18" t="str">
        <v>Invest</v>
      </c>
      <c r="CY3283" s="45">
        <v>3279</v>
      </c>
      <c r="CZ3283" s="18">
        <v>2.4241602052878939</v>
      </c>
      <c r="DA3283" s="18" t="str">
        <v>Invest</v>
      </c>
    </row>
    <row r="3284" spans="99:105" ht="23.5">
      <c r="CU3284" s="45">
        <v>3280</v>
      </c>
      <c r="CV3284" s="18">
        <v>0</v>
      </c>
      <c r="CW3284" s="18" t="str">
        <v>Nothing</v>
      </c>
      <c r="CY3284" s="45">
        <v>3280</v>
      </c>
      <c r="CZ3284" s="18">
        <v>28.528273837069094</v>
      </c>
      <c r="DA3284" s="18" t="str">
        <v>Invest</v>
      </c>
    </row>
    <row r="3285" spans="99:105" ht="23.5">
      <c r="CU3285" s="45">
        <v>3281</v>
      </c>
      <c r="CV3285" s="18">
        <v>33.287490156674899</v>
      </c>
      <c r="CW3285" s="18" t="str">
        <v>Invest</v>
      </c>
      <c r="CY3285" s="45">
        <v>3281</v>
      </c>
      <c r="CZ3285" s="18">
        <v>17.443691838625121</v>
      </c>
      <c r="DA3285" s="18" t="str">
        <v>Invest</v>
      </c>
    </row>
    <row r="3286" spans="99:105" ht="23.5">
      <c r="CU3286" s="45">
        <v>3282</v>
      </c>
      <c r="CV3286" s="18">
        <v>2.2809807101262054</v>
      </c>
      <c r="CW3286" s="18" t="str">
        <v>Invest</v>
      </c>
      <c r="CY3286" s="45">
        <v>3282</v>
      </c>
      <c r="CZ3286" s="18">
        <v>0</v>
      </c>
      <c r="DA3286" s="18" t="str">
        <v>Nothing</v>
      </c>
    </row>
    <row r="3287" spans="99:105" ht="23.5">
      <c r="CU3287" s="45">
        <v>3283</v>
      </c>
      <c r="CV3287" s="18">
        <v>0</v>
      </c>
      <c r="CW3287" s="18" t="str">
        <v>Nothing</v>
      </c>
      <c r="CY3287" s="45">
        <v>3283</v>
      </c>
      <c r="CZ3287" s="18">
        <v>4.3314174354735933</v>
      </c>
      <c r="DA3287" s="18" t="str">
        <v>Invest</v>
      </c>
    </row>
    <row r="3288" spans="99:105" ht="23.5">
      <c r="CU3288" s="45">
        <v>3284</v>
      </c>
      <c r="CV3288" s="18">
        <v>0</v>
      </c>
      <c r="CW3288" s="18" t="str">
        <v>Nothing</v>
      </c>
      <c r="CY3288" s="45">
        <v>3284</v>
      </c>
      <c r="CZ3288" s="18">
        <v>47.521802106928888</v>
      </c>
      <c r="DA3288" s="18" t="str">
        <v>Invest</v>
      </c>
    </row>
    <row r="3289" spans="99:105" ht="23.5">
      <c r="CU3289" s="45">
        <v>3285</v>
      </c>
      <c r="CV3289" s="18">
        <v>55.711994737344838</v>
      </c>
      <c r="CW3289" s="18" t="str">
        <v>Invest</v>
      </c>
      <c r="CY3289" s="45">
        <v>3285</v>
      </c>
      <c r="CZ3289" s="18">
        <v>45.464359471286642</v>
      </c>
      <c r="DA3289" s="18" t="str">
        <v>Invest</v>
      </c>
    </row>
    <row r="3290" spans="99:105" ht="23.5">
      <c r="CU3290" s="45">
        <v>3286</v>
      </c>
      <c r="CV3290" s="18">
        <v>0</v>
      </c>
      <c r="CW3290" s="18" t="str">
        <v>Nothing</v>
      </c>
      <c r="CY3290" s="45">
        <v>3286</v>
      </c>
      <c r="CZ3290" s="18">
        <v>48.632680831280538</v>
      </c>
      <c r="DA3290" s="18" t="str">
        <v>Invest</v>
      </c>
    </row>
    <row r="3291" spans="99:105" ht="23.5">
      <c r="CU3291" s="45">
        <v>3287</v>
      </c>
      <c r="CV3291" s="18">
        <v>0</v>
      </c>
      <c r="CW3291" s="18" t="str">
        <v>Nothing</v>
      </c>
      <c r="CY3291" s="45">
        <v>3287</v>
      </c>
      <c r="CZ3291" s="18">
        <v>22.680271760284857</v>
      </c>
      <c r="DA3291" s="18" t="str">
        <v>Invest</v>
      </c>
    </row>
    <row r="3292" spans="99:105" ht="23.5">
      <c r="CU3292" s="45">
        <v>3288</v>
      </c>
      <c r="CV3292" s="18">
        <v>29.472725625515835</v>
      </c>
      <c r="CW3292" s="18" t="str">
        <v>Invest</v>
      </c>
      <c r="CY3292" s="45">
        <v>3288</v>
      </c>
      <c r="CZ3292" s="18">
        <v>53.165320084882858</v>
      </c>
      <c r="DA3292" s="18" t="str">
        <v>Invest</v>
      </c>
    </row>
    <row r="3293" spans="99:105" ht="23.5">
      <c r="CU3293" s="45">
        <v>3289</v>
      </c>
      <c r="CV3293" s="18">
        <v>4.1066090146045493</v>
      </c>
      <c r="CW3293" s="18" t="str">
        <v>Invest</v>
      </c>
      <c r="CY3293" s="45">
        <v>3289</v>
      </c>
      <c r="CZ3293" s="18">
        <v>31.561006293463386</v>
      </c>
      <c r="DA3293" s="18" t="str">
        <v>Invest</v>
      </c>
    </row>
    <row r="3294" spans="99:105" ht="23.5">
      <c r="CU3294" s="45">
        <v>3290</v>
      </c>
      <c r="CV3294" s="18">
        <v>16.415374787477042</v>
      </c>
      <c r="CW3294" s="18" t="str">
        <v>Invest</v>
      </c>
      <c r="CY3294" s="45">
        <v>3290</v>
      </c>
      <c r="CZ3294" s="18">
        <v>11.132304620249396</v>
      </c>
      <c r="DA3294" s="18" t="str">
        <v>Invest</v>
      </c>
    </row>
    <row r="3295" spans="99:105" ht="23.5">
      <c r="CU3295" s="45">
        <v>3291</v>
      </c>
      <c r="CV3295" s="18">
        <v>0</v>
      </c>
      <c r="CW3295" s="18" t="str">
        <v>Nothing</v>
      </c>
      <c r="CY3295" s="45">
        <v>3291</v>
      </c>
      <c r="CZ3295" s="18">
        <v>38.194879068885811</v>
      </c>
      <c r="DA3295" s="18" t="str">
        <v>Invest</v>
      </c>
    </row>
    <row r="3296" spans="99:105" ht="23.5">
      <c r="CU3296" s="45">
        <v>3292</v>
      </c>
      <c r="CV3296" s="18">
        <v>6.8336128581033257</v>
      </c>
      <c r="CW3296" s="18" t="str">
        <v>Invest</v>
      </c>
      <c r="CY3296" s="45">
        <v>3292</v>
      </c>
      <c r="CZ3296" s="18">
        <v>26.551607393059662</v>
      </c>
      <c r="DA3296" s="18" t="str">
        <v>Invest</v>
      </c>
    </row>
    <row r="3297" spans="99:105" ht="23.5">
      <c r="CU3297" s="45">
        <v>3293</v>
      </c>
      <c r="CV3297" s="18">
        <v>4.5002992437955918</v>
      </c>
      <c r="CW3297" s="18" t="str">
        <v>Invest</v>
      </c>
      <c r="CY3297" s="45">
        <v>3293</v>
      </c>
      <c r="CZ3297" s="18">
        <v>41.062860557379821</v>
      </c>
      <c r="DA3297" s="18" t="str">
        <v>Invest</v>
      </c>
    </row>
    <row r="3298" spans="99:105" ht="23.5">
      <c r="CU3298" s="45">
        <v>3294</v>
      </c>
      <c r="CV3298" s="18">
        <v>42.223461035933198</v>
      </c>
      <c r="CW3298" s="18" t="str">
        <v>Invest</v>
      </c>
      <c r="CY3298" s="45">
        <v>3294</v>
      </c>
      <c r="CZ3298" s="18">
        <v>42.560116703188207</v>
      </c>
      <c r="DA3298" s="18" t="str">
        <v>Invest</v>
      </c>
    </row>
    <row r="3299" spans="99:105" ht="23.5">
      <c r="CU3299" s="45">
        <v>3295</v>
      </c>
      <c r="CV3299" s="18">
        <v>57.385709521841477</v>
      </c>
      <c r="CW3299" s="18" t="str">
        <v>Invest</v>
      </c>
      <c r="CY3299" s="45">
        <v>3295</v>
      </c>
      <c r="CZ3299" s="18">
        <v>29.632423067061719</v>
      </c>
      <c r="DA3299" s="18" t="str">
        <v>Invest</v>
      </c>
    </row>
    <row r="3300" spans="99:105" ht="23.5">
      <c r="CU3300" s="45">
        <v>3296</v>
      </c>
      <c r="CV3300" s="18">
        <v>4.4289557736545326</v>
      </c>
      <c r="CW3300" s="18" t="str">
        <v>Invest</v>
      </c>
      <c r="CY3300" s="45">
        <v>3296</v>
      </c>
      <c r="CZ3300" s="18">
        <v>14.396054389631663</v>
      </c>
      <c r="DA3300" s="18" t="str">
        <v>Invest</v>
      </c>
    </row>
    <row r="3301" spans="99:105" ht="23.5">
      <c r="CU3301" s="45">
        <v>3297</v>
      </c>
      <c r="CV3301" s="18">
        <v>51.920480416854694</v>
      </c>
      <c r="CW3301" s="18" t="str">
        <v>Invest</v>
      </c>
      <c r="CY3301" s="45">
        <v>3297</v>
      </c>
      <c r="CZ3301" s="18">
        <v>32.029317300501887</v>
      </c>
      <c r="DA3301" s="18" t="str">
        <v>Invest</v>
      </c>
    </row>
    <row r="3302" spans="99:105" ht="23.5">
      <c r="CU3302" s="45">
        <v>3298</v>
      </c>
      <c r="CV3302" s="18">
        <v>0</v>
      </c>
      <c r="CW3302" s="18" t="str">
        <v>Nothing</v>
      </c>
      <c r="CY3302" s="45">
        <v>3298</v>
      </c>
      <c r="CZ3302" s="18">
        <v>34.917026099743786</v>
      </c>
      <c r="DA3302" s="18" t="str">
        <v>Invest</v>
      </c>
    </row>
    <row r="3303" spans="99:105" ht="23.5">
      <c r="CU3303" s="45">
        <v>3299</v>
      </c>
      <c r="CV3303" s="18">
        <v>45.530217580337066</v>
      </c>
      <c r="CW3303" s="18" t="str">
        <v>Invest</v>
      </c>
      <c r="CY3303" s="45">
        <v>3299</v>
      </c>
      <c r="CZ3303" s="18">
        <v>1.9644974817883591</v>
      </c>
      <c r="DA3303" s="18" t="str">
        <v>Invest</v>
      </c>
    </row>
    <row r="3304" spans="99:105" ht="23.5">
      <c r="CU3304" s="45">
        <v>3300</v>
      </c>
      <c r="CV3304" s="18">
        <v>0</v>
      </c>
      <c r="CW3304" s="18" t="str">
        <v>Nothing</v>
      </c>
      <c r="CY3304" s="45">
        <v>3300</v>
      </c>
      <c r="CZ3304" s="18">
        <v>0</v>
      </c>
      <c r="DA3304" s="18" t="str">
        <v>Nothing</v>
      </c>
    </row>
    <row r="3305" spans="99:105" ht="23.5">
      <c r="CU3305" s="45">
        <v>3301</v>
      </c>
      <c r="CV3305" s="18">
        <v>0.90003230766239994</v>
      </c>
      <c r="CW3305" s="18" t="str">
        <v>Invest</v>
      </c>
      <c r="CY3305" s="45">
        <v>3301</v>
      </c>
      <c r="CZ3305" s="18">
        <v>25.839676383562072</v>
      </c>
      <c r="DA3305" s="18" t="str">
        <v>Invest</v>
      </c>
    </row>
    <row r="3306" spans="99:105" ht="23.5">
      <c r="CU3306" s="45">
        <v>3302</v>
      </c>
      <c r="CV3306" s="18">
        <v>0.90032404925401721</v>
      </c>
      <c r="CW3306" s="18" t="str">
        <v>Invest</v>
      </c>
      <c r="CY3306" s="45">
        <v>3302</v>
      </c>
      <c r="CZ3306" s="18">
        <v>0</v>
      </c>
      <c r="DA3306" s="18" t="str">
        <v>Nothing</v>
      </c>
    </row>
    <row r="3307" spans="99:105" ht="23.5">
      <c r="CU3307" s="45">
        <v>3303</v>
      </c>
      <c r="CV3307" s="18">
        <v>0</v>
      </c>
      <c r="CW3307" s="18" t="str">
        <v>Nothing</v>
      </c>
      <c r="CY3307" s="45">
        <v>3303</v>
      </c>
      <c r="CZ3307" s="18">
        <v>0</v>
      </c>
      <c r="DA3307" s="18" t="str">
        <v>Nothing</v>
      </c>
    </row>
    <row r="3308" spans="99:105" ht="23.5">
      <c r="CU3308" s="45">
        <v>3304</v>
      </c>
      <c r="CV3308" s="18">
        <v>33.145228074750172</v>
      </c>
      <c r="CW3308" s="18" t="str">
        <v>Invest</v>
      </c>
      <c r="CY3308" s="45">
        <v>3304</v>
      </c>
      <c r="CZ3308" s="18">
        <v>0</v>
      </c>
      <c r="DA3308" s="18" t="str">
        <v>Nothing</v>
      </c>
    </row>
    <row r="3309" spans="99:105" ht="23.5">
      <c r="CU3309" s="45">
        <v>3305</v>
      </c>
      <c r="CV3309" s="18">
        <v>0</v>
      </c>
      <c r="CW3309" s="18" t="str">
        <v>Nothing</v>
      </c>
      <c r="CY3309" s="45">
        <v>3305</v>
      </c>
      <c r="CZ3309" s="18">
        <v>0</v>
      </c>
      <c r="DA3309" s="18" t="str">
        <v>Nothing</v>
      </c>
    </row>
    <row r="3310" spans="99:105" ht="23.5">
      <c r="CU3310" s="45">
        <v>3306</v>
      </c>
      <c r="CV3310" s="18">
        <v>10.550409683005618</v>
      </c>
      <c r="CW3310" s="18" t="str">
        <v>Invest</v>
      </c>
      <c r="CY3310" s="45">
        <v>3306</v>
      </c>
      <c r="CZ3310" s="18">
        <v>65.338054946239794</v>
      </c>
      <c r="DA3310" s="18" t="str">
        <v>Invest</v>
      </c>
    </row>
    <row r="3311" spans="99:105" ht="23.5">
      <c r="CU3311" s="45">
        <v>3307</v>
      </c>
      <c r="CV3311" s="18">
        <v>0</v>
      </c>
      <c r="CW3311" s="18" t="str">
        <v>Nothing</v>
      </c>
      <c r="CY3311" s="45">
        <v>3307</v>
      </c>
      <c r="CZ3311" s="18">
        <v>14.50675711014204</v>
      </c>
      <c r="DA3311" s="18" t="str">
        <v>Invest</v>
      </c>
    </row>
    <row r="3312" spans="99:105" ht="23.5">
      <c r="CU3312" s="45">
        <v>3308</v>
      </c>
      <c r="CV3312" s="18">
        <v>16.012394417127002</v>
      </c>
      <c r="CW3312" s="18" t="str">
        <v>Invest</v>
      </c>
      <c r="CY3312" s="45">
        <v>3308</v>
      </c>
      <c r="CZ3312" s="18">
        <v>0</v>
      </c>
      <c r="DA3312" s="18" t="str">
        <v>Nothing</v>
      </c>
    </row>
    <row r="3313" spans="99:105" ht="23.5">
      <c r="CU3313" s="45">
        <v>3309</v>
      </c>
      <c r="CV3313" s="18">
        <v>61.812569361123714</v>
      </c>
      <c r="CW3313" s="18" t="str">
        <v>Invest</v>
      </c>
      <c r="CY3313" s="45">
        <v>3309</v>
      </c>
      <c r="CZ3313" s="18">
        <v>11.696106494190817</v>
      </c>
      <c r="DA3313" s="18" t="str">
        <v>Invest</v>
      </c>
    </row>
    <row r="3314" spans="99:105" ht="23.5">
      <c r="CU3314" s="45">
        <v>3310</v>
      </c>
      <c r="CV3314" s="18">
        <v>0</v>
      </c>
      <c r="CW3314" s="18" t="str">
        <v>Nothing</v>
      </c>
      <c r="CY3314" s="45">
        <v>3310</v>
      </c>
      <c r="CZ3314" s="18">
        <v>46.65527365029277</v>
      </c>
      <c r="DA3314" s="18" t="str">
        <v>Invest</v>
      </c>
    </row>
    <row r="3315" spans="99:105" ht="23.5">
      <c r="CU3315" s="45">
        <v>3311</v>
      </c>
      <c r="CV3315" s="18">
        <v>27.584437140543468</v>
      </c>
      <c r="CW3315" s="18" t="str">
        <v>Invest</v>
      </c>
      <c r="CY3315" s="45">
        <v>3311</v>
      </c>
      <c r="CZ3315" s="18">
        <v>0</v>
      </c>
      <c r="DA3315" s="18" t="str">
        <v>Nothing</v>
      </c>
    </row>
    <row r="3316" spans="99:105" ht="23.5">
      <c r="CU3316" s="45">
        <v>3312</v>
      </c>
      <c r="CV3316" s="18">
        <v>0</v>
      </c>
      <c r="CW3316" s="18" t="str">
        <v>Nothing</v>
      </c>
      <c r="CY3316" s="45">
        <v>3312</v>
      </c>
      <c r="CZ3316" s="18">
        <v>3.6733100545732515</v>
      </c>
      <c r="DA3316" s="18" t="str">
        <v>Invest</v>
      </c>
    </row>
    <row r="3317" spans="99:105" ht="23.5">
      <c r="CU3317" s="45">
        <v>3313</v>
      </c>
      <c r="CV3317" s="18">
        <v>2.3689269704624474</v>
      </c>
      <c r="CW3317" s="18" t="str">
        <v>Invest</v>
      </c>
      <c r="CY3317" s="45">
        <v>3313</v>
      </c>
      <c r="CZ3317" s="18">
        <v>20.623845685731624</v>
      </c>
      <c r="DA3317" s="18" t="str">
        <v>Invest</v>
      </c>
    </row>
    <row r="3318" spans="99:105" ht="23.5">
      <c r="CU3318" s="45">
        <v>3314</v>
      </c>
      <c r="CV3318" s="18">
        <v>5.7979059366454795</v>
      </c>
      <c r="CW3318" s="18" t="str">
        <v>Invest</v>
      </c>
      <c r="CY3318" s="45">
        <v>3314</v>
      </c>
      <c r="CZ3318" s="18">
        <v>0</v>
      </c>
      <c r="DA3318" s="18" t="str">
        <v>Nothing</v>
      </c>
    </row>
    <row r="3319" spans="99:105" ht="23.5">
      <c r="CU3319" s="45">
        <v>3315</v>
      </c>
      <c r="CV3319" s="18">
        <v>30.643073805924733</v>
      </c>
      <c r="CW3319" s="18" t="str">
        <v>Invest</v>
      </c>
      <c r="CY3319" s="45">
        <v>3315</v>
      </c>
      <c r="CZ3319" s="18">
        <v>34.244470278677952</v>
      </c>
      <c r="DA3319" s="18" t="str">
        <v>Invest</v>
      </c>
    </row>
    <row r="3320" spans="99:105" ht="23.5">
      <c r="CU3320" s="45">
        <v>3316</v>
      </c>
      <c r="CV3320" s="18">
        <v>17.711069714238842</v>
      </c>
      <c r="CW3320" s="18" t="str">
        <v>Invest</v>
      </c>
      <c r="CY3320" s="45">
        <v>3316</v>
      </c>
      <c r="CZ3320" s="18">
        <v>27.118954008127528</v>
      </c>
      <c r="DA3320" s="18" t="str">
        <v>Invest</v>
      </c>
    </row>
    <row r="3321" spans="99:105" ht="23.5">
      <c r="CU3321" s="45">
        <v>3317</v>
      </c>
      <c r="CV3321" s="18">
        <v>0</v>
      </c>
      <c r="CW3321" s="18" t="str">
        <v>Nothing</v>
      </c>
      <c r="CY3321" s="45">
        <v>3317</v>
      </c>
      <c r="CZ3321" s="18">
        <v>4.1802942877080174</v>
      </c>
      <c r="DA3321" s="18" t="str">
        <v>Invest</v>
      </c>
    </row>
    <row r="3322" spans="99:105" ht="23.5">
      <c r="CU3322" s="45">
        <v>3318</v>
      </c>
      <c r="CV3322" s="18">
        <v>1.065302527591875</v>
      </c>
      <c r="CW3322" s="18" t="str">
        <v>Invest</v>
      </c>
      <c r="CY3322" s="45">
        <v>3318</v>
      </c>
      <c r="CZ3322" s="18">
        <v>7.4278392930678159</v>
      </c>
      <c r="DA3322" s="18" t="str">
        <v>Invest</v>
      </c>
    </row>
    <row r="3323" spans="99:105" ht="23.5">
      <c r="CU3323" s="45">
        <v>3319</v>
      </c>
      <c r="CV3323" s="18">
        <v>6.2967797627677999</v>
      </c>
      <c r="CW3323" s="18" t="str">
        <v>Invest</v>
      </c>
      <c r="CY3323" s="45">
        <v>3319</v>
      </c>
      <c r="CZ3323" s="18">
        <v>0</v>
      </c>
      <c r="DA3323" s="18" t="str">
        <v>Nothing</v>
      </c>
    </row>
    <row r="3324" spans="99:105" ht="23.5">
      <c r="CU3324" s="45">
        <v>3320</v>
      </c>
      <c r="CV3324" s="18">
        <v>0.41807735631974818</v>
      </c>
      <c r="CW3324" s="18" t="str">
        <v>Invest</v>
      </c>
      <c r="CY3324" s="45">
        <v>3320</v>
      </c>
      <c r="CZ3324" s="18">
        <v>50.26160890133086</v>
      </c>
      <c r="DA3324" s="18" t="str">
        <v>Invest</v>
      </c>
    </row>
    <row r="3325" spans="99:105" ht="23.5">
      <c r="CU3325" s="45">
        <v>3321</v>
      </c>
      <c r="CV3325" s="18">
        <v>0.70816323181641039</v>
      </c>
      <c r="CW3325" s="18" t="str">
        <v>Invest</v>
      </c>
      <c r="CY3325" s="45">
        <v>3321</v>
      </c>
      <c r="CZ3325" s="18">
        <v>47.712914018489656</v>
      </c>
      <c r="DA3325" s="18" t="str">
        <v>Invest</v>
      </c>
    </row>
    <row r="3326" spans="99:105" ht="23.5">
      <c r="CU3326" s="45">
        <v>3322</v>
      </c>
      <c r="CV3326" s="18">
        <v>0</v>
      </c>
      <c r="CW3326" s="18" t="str">
        <v>Nothing</v>
      </c>
      <c r="CY3326" s="45">
        <v>3322</v>
      </c>
      <c r="CZ3326" s="18">
        <v>45.462944730376499</v>
      </c>
      <c r="DA3326" s="18" t="str">
        <v>Invest</v>
      </c>
    </row>
    <row r="3327" spans="99:105" ht="23.5">
      <c r="CU3327" s="45">
        <v>3323</v>
      </c>
      <c r="CV3327" s="18">
        <v>0</v>
      </c>
      <c r="CW3327" s="18" t="str">
        <v>Nothing</v>
      </c>
      <c r="CY3327" s="45">
        <v>3323</v>
      </c>
      <c r="CZ3327" s="18">
        <v>23.010039477029775</v>
      </c>
      <c r="DA3327" s="18" t="str">
        <v>Invest</v>
      </c>
    </row>
    <row r="3328" spans="99:105" ht="23.5">
      <c r="CU3328" s="45">
        <v>3324</v>
      </c>
      <c r="CV3328" s="18">
        <v>22.065906614121243</v>
      </c>
      <c r="CW3328" s="18" t="str">
        <v>Invest</v>
      </c>
      <c r="CY3328" s="45">
        <v>3324</v>
      </c>
      <c r="CZ3328" s="18">
        <v>42.241345666849604</v>
      </c>
      <c r="DA3328" s="18" t="str">
        <v>Invest</v>
      </c>
    </row>
    <row r="3329" spans="99:105" ht="23.5">
      <c r="CU3329" s="45">
        <v>3325</v>
      </c>
      <c r="CV3329" s="18">
        <v>25.227583482115577</v>
      </c>
      <c r="CW3329" s="18" t="str">
        <v>Invest</v>
      </c>
      <c r="CY3329" s="45">
        <v>3325</v>
      </c>
      <c r="CZ3329" s="18">
        <v>37.147565542887421</v>
      </c>
      <c r="DA3329" s="18" t="str">
        <v>Invest</v>
      </c>
    </row>
    <row r="3330" spans="99:105" ht="23.5">
      <c r="CU3330" s="45">
        <v>3326</v>
      </c>
      <c r="CV3330" s="18">
        <v>0</v>
      </c>
      <c r="CW3330" s="18" t="str">
        <v>Nothing</v>
      </c>
      <c r="CY3330" s="45">
        <v>3326</v>
      </c>
      <c r="CZ3330" s="18">
        <v>6.654929699868827</v>
      </c>
      <c r="DA3330" s="18" t="str">
        <v>Invest</v>
      </c>
    </row>
    <row r="3331" spans="99:105" ht="23.5">
      <c r="CU3331" s="45">
        <v>3327</v>
      </c>
      <c r="CV3331" s="18">
        <v>0</v>
      </c>
      <c r="CW3331" s="18" t="str">
        <v>Nothing</v>
      </c>
      <c r="CY3331" s="45">
        <v>3327</v>
      </c>
      <c r="CZ3331" s="18">
        <v>9.1310707648470419</v>
      </c>
      <c r="DA3331" s="18" t="str">
        <v>Invest</v>
      </c>
    </row>
    <row r="3332" spans="99:105" ht="23.5">
      <c r="CU3332" s="45">
        <v>3328</v>
      </c>
      <c r="CV3332" s="18">
        <v>2.9081984805512633</v>
      </c>
      <c r="CW3332" s="18" t="str">
        <v>Invest</v>
      </c>
      <c r="CY3332" s="45">
        <v>3328</v>
      </c>
      <c r="CZ3332" s="18">
        <v>0</v>
      </c>
      <c r="DA3332" s="18" t="str">
        <v>Nothing</v>
      </c>
    </row>
    <row r="3333" spans="99:105" ht="23.5">
      <c r="CU3333" s="45">
        <v>3329</v>
      </c>
      <c r="CV3333" s="18">
        <v>32.635488672466657</v>
      </c>
      <c r="CW3333" s="18" t="str">
        <v>Invest</v>
      </c>
      <c r="CY3333" s="45">
        <v>3329</v>
      </c>
      <c r="CZ3333" s="18">
        <v>20.701709508788326</v>
      </c>
      <c r="DA3333" s="18" t="str">
        <v>Invest</v>
      </c>
    </row>
    <row r="3334" spans="99:105" ht="23.5">
      <c r="CU3334" s="45">
        <v>3330</v>
      </c>
      <c r="CV3334" s="18">
        <v>0</v>
      </c>
      <c r="CW3334" s="18" t="str">
        <v>Nothing</v>
      </c>
      <c r="CY3334" s="45">
        <v>3330</v>
      </c>
      <c r="CZ3334" s="18">
        <v>15.316049693229797</v>
      </c>
      <c r="DA3334" s="18" t="str">
        <v>Invest</v>
      </c>
    </row>
    <row r="3335" spans="99:105" ht="23.5">
      <c r="CU3335" s="45">
        <v>3331</v>
      </c>
      <c r="CV3335" s="18">
        <v>49.253314382818679</v>
      </c>
      <c r="CW3335" s="18" t="str">
        <v>Invest</v>
      </c>
      <c r="CY3335" s="45">
        <v>3331</v>
      </c>
      <c r="CZ3335" s="18">
        <v>0</v>
      </c>
      <c r="DA3335" s="18" t="str">
        <v>Nothing</v>
      </c>
    </row>
    <row r="3336" spans="99:105" ht="23.5">
      <c r="CU3336" s="45">
        <v>3332</v>
      </c>
      <c r="CV3336" s="18">
        <v>16.172474021175471</v>
      </c>
      <c r="CW3336" s="18" t="str">
        <v>Invest</v>
      </c>
      <c r="CY3336" s="45">
        <v>3332</v>
      </c>
      <c r="CZ3336" s="18">
        <v>5.020059441583264</v>
      </c>
      <c r="DA3336" s="18" t="str">
        <v>Invest</v>
      </c>
    </row>
    <row r="3337" spans="99:105" ht="23.5">
      <c r="CU3337" s="45">
        <v>3333</v>
      </c>
      <c r="CV3337" s="18">
        <v>7.6284236520807518</v>
      </c>
      <c r="CW3337" s="18" t="str">
        <v>Invest</v>
      </c>
      <c r="CY3337" s="45">
        <v>3333</v>
      </c>
      <c r="CZ3337" s="18">
        <v>44.78123084948438</v>
      </c>
      <c r="DA3337" s="18" t="str">
        <v>Invest</v>
      </c>
    </row>
    <row r="3338" spans="99:105" ht="23.5">
      <c r="CU3338" s="45">
        <v>3334</v>
      </c>
      <c r="CV3338" s="18">
        <v>0</v>
      </c>
      <c r="CW3338" s="18" t="str">
        <v>Nothing</v>
      </c>
      <c r="CY3338" s="45">
        <v>3334</v>
      </c>
      <c r="CZ3338" s="18">
        <v>14.694063070714144</v>
      </c>
      <c r="DA3338" s="18" t="str">
        <v>Invest</v>
      </c>
    </row>
    <row r="3339" spans="99:105" ht="23.5">
      <c r="CU3339" s="45">
        <v>3335</v>
      </c>
      <c r="CV3339" s="18">
        <v>40.67388951758759</v>
      </c>
      <c r="CW3339" s="18" t="str">
        <v>Invest</v>
      </c>
      <c r="CY3339" s="45">
        <v>3335</v>
      </c>
      <c r="CZ3339" s="18">
        <v>5.9422529528504864</v>
      </c>
      <c r="DA3339" s="18" t="str">
        <v>Invest</v>
      </c>
    </row>
    <row r="3340" spans="99:105" ht="23.5">
      <c r="CU3340" s="45">
        <v>3336</v>
      </c>
      <c r="CV3340" s="18">
        <v>33.72437051403228</v>
      </c>
      <c r="CW3340" s="18" t="str">
        <v>Invest</v>
      </c>
      <c r="CY3340" s="45">
        <v>3336</v>
      </c>
      <c r="CZ3340" s="18">
        <v>5.804214893613084</v>
      </c>
      <c r="DA3340" s="18" t="str">
        <v>Invest</v>
      </c>
    </row>
    <row r="3341" spans="99:105" ht="23.5">
      <c r="CU3341" s="45">
        <v>3337</v>
      </c>
      <c r="CV3341" s="18">
        <v>9.2936063324477658</v>
      </c>
      <c r="CW3341" s="18" t="str">
        <v>Invest</v>
      </c>
      <c r="CY3341" s="45">
        <v>3337</v>
      </c>
      <c r="CZ3341" s="18">
        <v>30.623105668332233</v>
      </c>
      <c r="DA3341" s="18" t="str">
        <v>Invest</v>
      </c>
    </row>
    <row r="3342" spans="99:105" ht="23.5">
      <c r="CU3342" s="45">
        <v>3338</v>
      </c>
      <c r="CV3342" s="18">
        <v>0</v>
      </c>
      <c r="CW3342" s="18" t="str">
        <v>Nothing</v>
      </c>
      <c r="CY3342" s="45">
        <v>3338</v>
      </c>
      <c r="CZ3342" s="18">
        <v>1.1654332755912229</v>
      </c>
      <c r="DA3342" s="18" t="str">
        <v>Invest</v>
      </c>
    </row>
    <row r="3343" spans="99:105" ht="23.5">
      <c r="CU3343" s="45">
        <v>3339</v>
      </c>
      <c r="CV3343" s="18">
        <v>27.652625022087737</v>
      </c>
      <c r="CW3343" s="18" t="str">
        <v>Invest</v>
      </c>
      <c r="CY3343" s="45">
        <v>3339</v>
      </c>
      <c r="CZ3343" s="18">
        <v>11.87316378005907</v>
      </c>
      <c r="DA3343" s="18" t="str">
        <v>Invest</v>
      </c>
    </row>
    <row r="3344" spans="99:105" ht="23.5">
      <c r="CU3344" s="45">
        <v>3340</v>
      </c>
      <c r="CV3344" s="18">
        <v>0.26427558469001511</v>
      </c>
      <c r="CW3344" s="18" t="str">
        <v>Invest</v>
      </c>
      <c r="CY3344" s="45">
        <v>3340</v>
      </c>
      <c r="CZ3344" s="18">
        <v>1.481385050208246</v>
      </c>
      <c r="DA3344" s="18" t="str">
        <v>Invest</v>
      </c>
    </row>
    <row r="3345" spans="99:105" ht="23.5">
      <c r="CU3345" s="45">
        <v>3341</v>
      </c>
      <c r="CV3345" s="18">
        <v>15.439887363933714</v>
      </c>
      <c r="CW3345" s="18" t="str">
        <v>Invest</v>
      </c>
      <c r="CY3345" s="45">
        <v>3341</v>
      </c>
      <c r="CZ3345" s="18">
        <v>23.110221958324562</v>
      </c>
      <c r="DA3345" s="18" t="str">
        <v>Invest</v>
      </c>
    </row>
    <row r="3346" spans="99:105" ht="23.5">
      <c r="CU3346" s="45">
        <v>3342</v>
      </c>
      <c r="CV3346" s="18">
        <v>52.151563647310063</v>
      </c>
      <c r="CW3346" s="18" t="str">
        <v>Invest</v>
      </c>
      <c r="CY3346" s="45">
        <v>3342</v>
      </c>
      <c r="CZ3346" s="18">
        <v>0</v>
      </c>
      <c r="DA3346" s="18" t="str">
        <v>Nothing</v>
      </c>
    </row>
    <row r="3347" spans="99:105" ht="23.5">
      <c r="CU3347" s="45">
        <v>3343</v>
      </c>
      <c r="CV3347" s="18">
        <v>41.399556609933505</v>
      </c>
      <c r="CW3347" s="18" t="str">
        <v>Invest</v>
      </c>
      <c r="CY3347" s="45">
        <v>3343</v>
      </c>
      <c r="CZ3347" s="18">
        <v>10.866525893874922</v>
      </c>
      <c r="DA3347" s="18" t="str">
        <v>Invest</v>
      </c>
    </row>
    <row r="3348" spans="99:105" ht="23.5">
      <c r="CU3348" s="45">
        <v>3344</v>
      </c>
      <c r="CV3348" s="18">
        <v>29.598427694700092</v>
      </c>
      <c r="CW3348" s="18" t="str">
        <v>Invest</v>
      </c>
      <c r="CY3348" s="45">
        <v>3344</v>
      </c>
      <c r="CZ3348" s="18">
        <v>0</v>
      </c>
      <c r="DA3348" s="18" t="str">
        <v>Nothing</v>
      </c>
    </row>
    <row r="3349" spans="99:105" ht="23.5">
      <c r="CU3349" s="45">
        <v>3345</v>
      </c>
      <c r="CV3349" s="18">
        <v>15.516874749851235</v>
      </c>
      <c r="CW3349" s="18" t="str">
        <v>Invest</v>
      </c>
      <c r="CY3349" s="45">
        <v>3345</v>
      </c>
      <c r="CZ3349" s="18">
        <v>0</v>
      </c>
      <c r="DA3349" s="18" t="str">
        <v>Nothing</v>
      </c>
    </row>
    <row r="3350" spans="99:105" ht="23.5">
      <c r="CU3350" s="45">
        <v>3346</v>
      </c>
      <c r="CV3350" s="18">
        <v>40.555772657304459</v>
      </c>
      <c r="CW3350" s="18" t="str">
        <v>Invest</v>
      </c>
      <c r="CY3350" s="45">
        <v>3346</v>
      </c>
      <c r="CZ3350" s="18">
        <v>0.91518509836564199</v>
      </c>
      <c r="DA3350" s="18" t="str">
        <v>Invest</v>
      </c>
    </row>
    <row r="3351" spans="99:105" ht="23.5">
      <c r="CU3351" s="45">
        <v>3347</v>
      </c>
      <c r="CV3351" s="18">
        <v>26.751014157779615</v>
      </c>
      <c r="CW3351" s="18" t="str">
        <v>Invest</v>
      </c>
      <c r="CY3351" s="45">
        <v>3347</v>
      </c>
      <c r="CZ3351" s="18">
        <v>0</v>
      </c>
      <c r="DA3351" s="18" t="str">
        <v>Nothing</v>
      </c>
    </row>
    <row r="3352" spans="99:105" ht="23.5">
      <c r="CU3352" s="45">
        <v>3348</v>
      </c>
      <c r="CV3352" s="18">
        <v>46.839849228476709</v>
      </c>
      <c r="CW3352" s="18" t="str">
        <v>Invest</v>
      </c>
      <c r="CY3352" s="45">
        <v>3348</v>
      </c>
      <c r="CZ3352" s="18">
        <v>35.194482881319942</v>
      </c>
      <c r="DA3352" s="18" t="str">
        <v>Invest</v>
      </c>
    </row>
    <row r="3353" spans="99:105" ht="23.5">
      <c r="CU3353" s="45">
        <v>3349</v>
      </c>
      <c r="CV3353" s="18">
        <v>38.045470802243344</v>
      </c>
      <c r="CW3353" s="18" t="str">
        <v>Invest</v>
      </c>
      <c r="CY3353" s="45">
        <v>3349</v>
      </c>
      <c r="CZ3353" s="18">
        <v>0</v>
      </c>
      <c r="DA3353" s="18" t="str">
        <v>Nothing</v>
      </c>
    </row>
    <row r="3354" spans="99:105" ht="23.5">
      <c r="CU3354" s="45">
        <v>3350</v>
      </c>
      <c r="CV3354" s="18">
        <v>0</v>
      </c>
      <c r="CW3354" s="18" t="str">
        <v>Nothing</v>
      </c>
      <c r="CY3354" s="45">
        <v>3350</v>
      </c>
      <c r="CZ3354" s="18">
        <v>57.225332976586273</v>
      </c>
      <c r="DA3354" s="18" t="str">
        <v>Invest</v>
      </c>
    </row>
    <row r="3355" spans="99:105" ht="23.5">
      <c r="CU3355" s="45">
        <v>3351</v>
      </c>
      <c r="CV3355" s="18">
        <v>13.878791005085473</v>
      </c>
      <c r="CW3355" s="18" t="str">
        <v>Invest</v>
      </c>
      <c r="CY3355" s="45">
        <v>3351</v>
      </c>
      <c r="CZ3355" s="18">
        <v>49.643385177026907</v>
      </c>
      <c r="DA3355" s="18" t="str">
        <v>Invest</v>
      </c>
    </row>
    <row r="3356" spans="99:105" ht="23.5">
      <c r="CU3356" s="45">
        <v>3352</v>
      </c>
      <c r="CV3356" s="18">
        <v>0.5605695708355567</v>
      </c>
      <c r="CW3356" s="18" t="str">
        <v>Invest</v>
      </c>
      <c r="CY3356" s="45">
        <v>3352</v>
      </c>
      <c r="CZ3356" s="18">
        <v>0</v>
      </c>
      <c r="DA3356" s="18" t="str">
        <v>Nothing</v>
      </c>
    </row>
    <row r="3357" spans="99:105" ht="23.5">
      <c r="CU3357" s="45">
        <v>3353</v>
      </c>
      <c r="CV3357" s="18">
        <v>5.4747852681675404</v>
      </c>
      <c r="CW3357" s="18" t="str">
        <v>Invest</v>
      </c>
      <c r="CY3357" s="45">
        <v>3353</v>
      </c>
      <c r="CZ3357" s="18">
        <v>1.9636145905144708</v>
      </c>
      <c r="DA3357" s="18" t="str">
        <v>Invest</v>
      </c>
    </row>
    <row r="3358" spans="99:105" ht="23.5">
      <c r="CU3358" s="45">
        <v>3354</v>
      </c>
      <c r="CV3358" s="18">
        <v>46.986349521544014</v>
      </c>
      <c r="CW3358" s="18" t="str">
        <v>Invest</v>
      </c>
      <c r="CY3358" s="45">
        <v>3354</v>
      </c>
      <c r="CZ3358" s="18">
        <v>46.342692531852244</v>
      </c>
      <c r="DA3358" s="18" t="str">
        <v>Invest</v>
      </c>
    </row>
    <row r="3359" spans="99:105" ht="23.5">
      <c r="CU3359" s="45">
        <v>3355</v>
      </c>
      <c r="CV3359" s="18">
        <v>6.0612884103709241</v>
      </c>
      <c r="CW3359" s="18" t="str">
        <v>Invest</v>
      </c>
      <c r="CY3359" s="45">
        <v>3355</v>
      </c>
      <c r="CZ3359" s="18">
        <v>0</v>
      </c>
      <c r="DA3359" s="18" t="str">
        <v>Nothing</v>
      </c>
    </row>
    <row r="3360" spans="99:105" ht="23.5">
      <c r="CU3360" s="45">
        <v>3356</v>
      </c>
      <c r="CV3360" s="18">
        <v>31.968537535410199</v>
      </c>
      <c r="CW3360" s="18" t="str">
        <v>Invest</v>
      </c>
      <c r="CY3360" s="45">
        <v>3356</v>
      </c>
      <c r="CZ3360" s="18">
        <v>37.377955592442028</v>
      </c>
      <c r="DA3360" s="18" t="str">
        <v>Invest</v>
      </c>
    </row>
    <row r="3361" spans="99:105" ht="23.5">
      <c r="CU3361" s="45">
        <v>3357</v>
      </c>
      <c r="CV3361" s="18">
        <v>48.506066047594096</v>
      </c>
      <c r="CW3361" s="18" t="str">
        <v>Invest</v>
      </c>
      <c r="CY3361" s="45">
        <v>3357</v>
      </c>
      <c r="CZ3361" s="18">
        <v>0</v>
      </c>
      <c r="DA3361" s="18" t="str">
        <v>Nothing</v>
      </c>
    </row>
    <row r="3362" spans="99:105" ht="23.5">
      <c r="CU3362" s="45">
        <v>3358</v>
      </c>
      <c r="CV3362" s="18">
        <v>21.721328153440037</v>
      </c>
      <c r="CW3362" s="18" t="str">
        <v>Invest</v>
      </c>
      <c r="CY3362" s="45">
        <v>3358</v>
      </c>
      <c r="CZ3362" s="18">
        <v>0</v>
      </c>
      <c r="DA3362" s="18" t="str">
        <v>Nothing</v>
      </c>
    </row>
    <row r="3363" spans="99:105" ht="23.5">
      <c r="CU3363" s="45">
        <v>3359</v>
      </c>
      <c r="CV3363" s="18">
        <v>13.418248116933581</v>
      </c>
      <c r="CW3363" s="18" t="str">
        <v>Invest</v>
      </c>
      <c r="CY3363" s="45">
        <v>3359</v>
      </c>
      <c r="CZ3363" s="18">
        <v>22.002072305963864</v>
      </c>
      <c r="DA3363" s="18" t="str">
        <v>Invest</v>
      </c>
    </row>
    <row r="3364" spans="99:105" ht="23.5">
      <c r="CU3364" s="45">
        <v>3360</v>
      </c>
      <c r="CV3364" s="18">
        <v>13.169708435360612</v>
      </c>
      <c r="CW3364" s="18" t="str">
        <v>Invest</v>
      </c>
      <c r="CY3364" s="45">
        <v>3360</v>
      </c>
      <c r="CZ3364" s="18">
        <v>0</v>
      </c>
      <c r="DA3364" s="18" t="str">
        <v>Nothing</v>
      </c>
    </row>
    <row r="3365" spans="99:105" ht="23.5">
      <c r="CU3365" s="45">
        <v>3361</v>
      </c>
      <c r="CV3365" s="18">
        <v>18.648753171825501</v>
      </c>
      <c r="CW3365" s="18" t="str">
        <v>Invest</v>
      </c>
      <c r="CY3365" s="45">
        <v>3361</v>
      </c>
      <c r="CZ3365" s="18">
        <v>0</v>
      </c>
      <c r="DA3365" s="18" t="str">
        <v>Nothing</v>
      </c>
    </row>
    <row r="3366" spans="99:105" ht="23.5">
      <c r="CU3366" s="45">
        <v>3362</v>
      </c>
      <c r="CV3366" s="18">
        <v>61.886881007851613</v>
      </c>
      <c r="CW3366" s="18" t="str">
        <v>Invest</v>
      </c>
      <c r="CY3366" s="45">
        <v>3362</v>
      </c>
      <c r="CZ3366" s="18">
        <v>9.9333693761373318</v>
      </c>
      <c r="DA3366" s="18" t="str">
        <v>Invest</v>
      </c>
    </row>
    <row r="3367" spans="99:105" ht="23.5">
      <c r="CU3367" s="45">
        <v>3363</v>
      </c>
      <c r="CV3367" s="18">
        <v>0</v>
      </c>
      <c r="CW3367" s="18" t="str">
        <v>Nothing</v>
      </c>
      <c r="CY3367" s="45">
        <v>3363</v>
      </c>
      <c r="CZ3367" s="18">
        <v>14.603445616741849</v>
      </c>
      <c r="DA3367" s="18" t="str">
        <v>Invest</v>
      </c>
    </row>
    <row r="3368" spans="99:105" ht="23.5">
      <c r="CU3368" s="45">
        <v>3364</v>
      </c>
      <c r="CV3368" s="18">
        <v>0</v>
      </c>
      <c r="CW3368" s="18" t="str">
        <v>Nothing</v>
      </c>
      <c r="CY3368" s="45">
        <v>3364</v>
      </c>
      <c r="CZ3368" s="18">
        <v>4.1066531675675062</v>
      </c>
      <c r="DA3368" s="18" t="str">
        <v>Invest</v>
      </c>
    </row>
    <row r="3369" spans="99:105" ht="23.5">
      <c r="CU3369" s="45">
        <v>3365</v>
      </c>
      <c r="CV3369" s="18">
        <v>0</v>
      </c>
      <c r="CW3369" s="18" t="str">
        <v>Nothing</v>
      </c>
      <c r="CY3369" s="45">
        <v>3365</v>
      </c>
      <c r="CZ3369" s="18">
        <v>5.0126595307239121</v>
      </c>
      <c r="DA3369" s="18" t="str">
        <v>Invest</v>
      </c>
    </row>
    <row r="3370" spans="99:105" ht="23.5">
      <c r="CU3370" s="45">
        <v>3366</v>
      </c>
      <c r="CV3370" s="18">
        <v>21.355221309710572</v>
      </c>
      <c r="CW3370" s="18" t="str">
        <v>Invest</v>
      </c>
      <c r="CY3370" s="45">
        <v>3366</v>
      </c>
      <c r="CZ3370" s="18">
        <v>0</v>
      </c>
      <c r="DA3370" s="18" t="str">
        <v>Nothing</v>
      </c>
    </row>
    <row r="3371" spans="99:105" ht="23.5">
      <c r="CU3371" s="45">
        <v>3367</v>
      </c>
      <c r="CV3371" s="18">
        <v>11.978334082479943</v>
      </c>
      <c r="CW3371" s="18" t="str">
        <v>Invest</v>
      </c>
      <c r="CY3371" s="45">
        <v>3367</v>
      </c>
      <c r="CZ3371" s="18">
        <v>22.543607844197428</v>
      </c>
      <c r="DA3371" s="18" t="str">
        <v>Invest</v>
      </c>
    </row>
    <row r="3372" spans="99:105" ht="23.5">
      <c r="CU3372" s="45">
        <v>3368</v>
      </c>
      <c r="CV3372" s="18">
        <v>4.3014043454499493</v>
      </c>
      <c r="CW3372" s="18" t="str">
        <v>Invest</v>
      </c>
      <c r="CY3372" s="45">
        <v>3368</v>
      </c>
      <c r="CZ3372" s="18">
        <v>17.26712490879337</v>
      </c>
      <c r="DA3372" s="18" t="str">
        <v>Invest</v>
      </c>
    </row>
    <row r="3373" spans="99:105" ht="23.5">
      <c r="CU3373" s="45">
        <v>3369</v>
      </c>
      <c r="CV3373" s="18">
        <v>0</v>
      </c>
      <c r="CW3373" s="18" t="str">
        <v>Nothing</v>
      </c>
      <c r="CY3373" s="45">
        <v>3369</v>
      </c>
      <c r="CZ3373" s="18">
        <v>54.658119216430414</v>
      </c>
      <c r="DA3373" s="18" t="str">
        <v>Invest</v>
      </c>
    </row>
    <row r="3374" spans="99:105" ht="23.5">
      <c r="CU3374" s="45">
        <v>3370</v>
      </c>
      <c r="CV3374" s="18">
        <v>6.9190417882375073</v>
      </c>
      <c r="CW3374" s="18" t="str">
        <v>Invest</v>
      </c>
      <c r="CY3374" s="45">
        <v>3370</v>
      </c>
      <c r="CZ3374" s="18">
        <v>2.1148543644834064</v>
      </c>
      <c r="DA3374" s="18" t="str">
        <v>Invest</v>
      </c>
    </row>
    <row r="3375" spans="99:105" ht="23.5">
      <c r="CU3375" s="45">
        <v>3371</v>
      </c>
      <c r="CV3375" s="18">
        <v>0</v>
      </c>
      <c r="CW3375" s="18" t="str">
        <v>Nothing</v>
      </c>
      <c r="CY3375" s="45">
        <v>3371</v>
      </c>
      <c r="CZ3375" s="18">
        <v>14.113338868349899</v>
      </c>
      <c r="DA3375" s="18" t="str">
        <v>Invest</v>
      </c>
    </row>
    <row r="3376" spans="99:105" ht="23.5">
      <c r="CU3376" s="45">
        <v>3372</v>
      </c>
      <c r="CV3376" s="18">
        <v>11.183298007690871</v>
      </c>
      <c r="CW3376" s="18" t="str">
        <v>Invest</v>
      </c>
      <c r="CY3376" s="45">
        <v>3372</v>
      </c>
      <c r="CZ3376" s="18">
        <v>0</v>
      </c>
      <c r="DA3376" s="18" t="str">
        <v>Nothing</v>
      </c>
    </row>
    <row r="3377" spans="99:105" ht="23.5">
      <c r="CU3377" s="45">
        <v>3373</v>
      </c>
      <c r="CV3377" s="18">
        <v>0.88286382889905113</v>
      </c>
      <c r="CW3377" s="18" t="str">
        <v>Invest</v>
      </c>
      <c r="CY3377" s="45">
        <v>3373</v>
      </c>
      <c r="CZ3377" s="18">
        <v>36.31025557091634</v>
      </c>
      <c r="DA3377" s="18" t="str">
        <v>Invest</v>
      </c>
    </row>
    <row r="3378" spans="99:105" ht="23.5">
      <c r="CU3378" s="45">
        <v>3374</v>
      </c>
      <c r="CV3378" s="18">
        <v>12.124431688527141</v>
      </c>
      <c r="CW3378" s="18" t="str">
        <v>Invest</v>
      </c>
      <c r="CY3378" s="45">
        <v>3374</v>
      </c>
      <c r="CZ3378" s="18">
        <v>3.412345561115</v>
      </c>
      <c r="DA3378" s="18" t="str">
        <v>Invest</v>
      </c>
    </row>
    <row r="3379" spans="99:105" ht="23.5">
      <c r="CU3379" s="45">
        <v>3375</v>
      </c>
      <c r="CV3379" s="18">
        <v>4.7259071247403011</v>
      </c>
      <c r="CW3379" s="18" t="str">
        <v>Invest</v>
      </c>
      <c r="CY3379" s="45">
        <v>3375</v>
      </c>
      <c r="CZ3379" s="18">
        <v>29.027085454739712</v>
      </c>
      <c r="DA3379" s="18" t="str">
        <v>Invest</v>
      </c>
    </row>
    <row r="3380" spans="99:105" ht="23.5">
      <c r="CU3380" s="45">
        <v>3376</v>
      </c>
      <c r="CV3380" s="18">
        <v>0</v>
      </c>
      <c r="CW3380" s="18" t="str">
        <v>Nothing</v>
      </c>
      <c r="CY3380" s="45">
        <v>3376</v>
      </c>
      <c r="CZ3380" s="18">
        <v>29.78568949982018</v>
      </c>
      <c r="DA3380" s="18" t="str">
        <v>Invest</v>
      </c>
    </row>
    <row r="3381" spans="99:105" ht="23.5">
      <c r="CU3381" s="45">
        <v>3377</v>
      </c>
      <c r="CV3381" s="18">
        <v>18.47009998462682</v>
      </c>
      <c r="CW3381" s="18" t="str">
        <v>Invest</v>
      </c>
      <c r="CY3381" s="45">
        <v>3377</v>
      </c>
      <c r="CZ3381" s="18">
        <v>0</v>
      </c>
      <c r="DA3381" s="18" t="str">
        <v>Nothing</v>
      </c>
    </row>
    <row r="3382" spans="99:105" ht="23.5">
      <c r="CU3382" s="45">
        <v>3378</v>
      </c>
      <c r="CV3382" s="18">
        <v>4.2197950630427634</v>
      </c>
      <c r="CW3382" s="18" t="str">
        <v>Invest</v>
      </c>
      <c r="CY3382" s="45">
        <v>3378</v>
      </c>
      <c r="CZ3382" s="18">
        <v>1.0691986095057437</v>
      </c>
      <c r="DA3382" s="18" t="str">
        <v>Invest</v>
      </c>
    </row>
    <row r="3383" spans="99:105" ht="23.5">
      <c r="CU3383" s="45">
        <v>3379</v>
      </c>
      <c r="CV3383" s="18">
        <v>0</v>
      </c>
      <c r="CW3383" s="18" t="str">
        <v>Nothing</v>
      </c>
      <c r="CY3383" s="45">
        <v>3379</v>
      </c>
      <c r="CZ3383" s="18">
        <v>57.216106010171529</v>
      </c>
      <c r="DA3383" s="18" t="str">
        <v>Invest</v>
      </c>
    </row>
    <row r="3384" spans="99:105" ht="23.5">
      <c r="CU3384" s="45">
        <v>3380</v>
      </c>
      <c r="CV3384" s="18">
        <v>27.90509157691238</v>
      </c>
      <c r="CW3384" s="18" t="str">
        <v>Invest</v>
      </c>
      <c r="CY3384" s="45">
        <v>3380</v>
      </c>
      <c r="CZ3384" s="18">
        <v>9.1075724144984065</v>
      </c>
      <c r="DA3384" s="18" t="str">
        <v>Invest</v>
      </c>
    </row>
    <row r="3385" spans="99:105" ht="23.5">
      <c r="CU3385" s="45">
        <v>3381</v>
      </c>
      <c r="CV3385" s="18">
        <v>11.449379230098703</v>
      </c>
      <c r="CW3385" s="18" t="str">
        <v>Invest</v>
      </c>
      <c r="CY3385" s="45">
        <v>3381</v>
      </c>
      <c r="CZ3385" s="18">
        <v>25.512402168275422</v>
      </c>
      <c r="DA3385" s="18" t="str">
        <v>Invest</v>
      </c>
    </row>
    <row r="3386" spans="99:105" ht="23.5">
      <c r="CU3386" s="45">
        <v>3382</v>
      </c>
      <c r="CV3386" s="18">
        <v>12.560178812241864</v>
      </c>
      <c r="CW3386" s="18" t="str">
        <v>Invest</v>
      </c>
      <c r="CY3386" s="45">
        <v>3382</v>
      </c>
      <c r="CZ3386" s="18">
        <v>2.1619549118990236</v>
      </c>
      <c r="DA3386" s="18" t="str">
        <v>Invest</v>
      </c>
    </row>
    <row r="3387" spans="99:105" ht="23.5">
      <c r="CU3387" s="45">
        <v>3383</v>
      </c>
      <c r="CV3387" s="18">
        <v>1.6344609676719255</v>
      </c>
      <c r="CW3387" s="18" t="str">
        <v>Invest</v>
      </c>
      <c r="CY3387" s="45">
        <v>3383</v>
      </c>
      <c r="CZ3387" s="18">
        <v>0</v>
      </c>
      <c r="DA3387" s="18" t="str">
        <v>Nothing</v>
      </c>
    </row>
    <row r="3388" spans="99:105" ht="23.5">
      <c r="CU3388" s="45">
        <v>3384</v>
      </c>
      <c r="CV3388" s="18">
        <v>26.982431006528483</v>
      </c>
      <c r="CW3388" s="18" t="str">
        <v>Invest</v>
      </c>
      <c r="CY3388" s="45">
        <v>3384</v>
      </c>
      <c r="CZ3388" s="18">
        <v>1.1972553464995599</v>
      </c>
      <c r="DA3388" s="18" t="str">
        <v>Invest</v>
      </c>
    </row>
    <row r="3389" spans="99:105" ht="23.5">
      <c r="CU3389" s="45">
        <v>3385</v>
      </c>
      <c r="CV3389" s="18">
        <v>0</v>
      </c>
      <c r="CW3389" s="18" t="str">
        <v>Nothing</v>
      </c>
      <c r="CY3389" s="45">
        <v>3385</v>
      </c>
      <c r="CZ3389" s="18">
        <v>37.406278344674945</v>
      </c>
      <c r="DA3389" s="18" t="str">
        <v>Invest</v>
      </c>
    </row>
    <row r="3390" spans="99:105" ht="23.5">
      <c r="CU3390" s="45">
        <v>3386</v>
      </c>
      <c r="CV3390" s="18">
        <v>14.329186932724026</v>
      </c>
      <c r="CW3390" s="18" t="str">
        <v>Invest</v>
      </c>
      <c r="CY3390" s="45">
        <v>3386</v>
      </c>
      <c r="CZ3390" s="18">
        <v>39.502281246914706</v>
      </c>
      <c r="DA3390" s="18" t="str">
        <v>Invest</v>
      </c>
    </row>
    <row r="3391" spans="99:105" ht="23.5">
      <c r="CU3391" s="45">
        <v>3387</v>
      </c>
      <c r="CV3391" s="18">
        <v>15.210890734742399</v>
      </c>
      <c r="CW3391" s="18" t="str">
        <v>Invest</v>
      </c>
      <c r="CY3391" s="45">
        <v>3387</v>
      </c>
      <c r="CZ3391" s="18">
        <v>29.557476146655681</v>
      </c>
      <c r="DA3391" s="18" t="str">
        <v>Invest</v>
      </c>
    </row>
    <row r="3392" spans="99:105" ht="23.5">
      <c r="CU3392" s="45">
        <v>3388</v>
      </c>
      <c r="CV3392" s="18">
        <v>43.127735106656722</v>
      </c>
      <c r="CW3392" s="18" t="str">
        <v>Invest</v>
      </c>
      <c r="CY3392" s="45">
        <v>3388</v>
      </c>
      <c r="CZ3392" s="18">
        <v>15.03184185204919</v>
      </c>
      <c r="DA3392" s="18" t="str">
        <v>Invest</v>
      </c>
    </row>
    <row r="3393" spans="99:105" ht="23.5">
      <c r="CU3393" s="45">
        <v>3389</v>
      </c>
      <c r="CV3393" s="18">
        <v>0</v>
      </c>
      <c r="CW3393" s="18" t="str">
        <v>Nothing</v>
      </c>
      <c r="CY3393" s="45">
        <v>3389</v>
      </c>
      <c r="CZ3393" s="18">
        <v>25.751954906708541</v>
      </c>
      <c r="DA3393" s="18" t="str">
        <v>Invest</v>
      </c>
    </row>
    <row r="3394" spans="99:105" ht="23.5">
      <c r="CU3394" s="45">
        <v>3390</v>
      </c>
      <c r="CV3394" s="18">
        <v>2.7407465621224283</v>
      </c>
      <c r="CW3394" s="18" t="str">
        <v>Invest</v>
      </c>
      <c r="CY3394" s="45">
        <v>3390</v>
      </c>
      <c r="CZ3394" s="18">
        <v>21.94574397280546</v>
      </c>
      <c r="DA3394" s="18" t="str">
        <v>Invest</v>
      </c>
    </row>
    <row r="3395" spans="99:105" ht="23.5">
      <c r="CU3395" s="45">
        <v>3391</v>
      </c>
      <c r="CV3395" s="18">
        <v>8.120451337109948</v>
      </c>
      <c r="CW3395" s="18" t="str">
        <v>Invest</v>
      </c>
      <c r="CY3395" s="45">
        <v>3391</v>
      </c>
      <c r="CZ3395" s="18">
        <v>31.89145960312527</v>
      </c>
      <c r="DA3395" s="18" t="str">
        <v>Invest</v>
      </c>
    </row>
    <row r="3396" spans="99:105" ht="23.5">
      <c r="CU3396" s="45">
        <v>3392</v>
      </c>
      <c r="CV3396" s="18">
        <v>0</v>
      </c>
      <c r="CW3396" s="18" t="str">
        <v>Nothing</v>
      </c>
      <c r="CY3396" s="45">
        <v>3392</v>
      </c>
      <c r="CZ3396" s="18">
        <v>34.281056856542136</v>
      </c>
      <c r="DA3396" s="18" t="str">
        <v>Invest</v>
      </c>
    </row>
    <row r="3397" spans="99:105" ht="23.5">
      <c r="CU3397" s="45">
        <v>3393</v>
      </c>
      <c r="CV3397" s="18">
        <v>2.4224827987934674</v>
      </c>
      <c r="CW3397" s="18" t="str">
        <v>Invest</v>
      </c>
      <c r="CY3397" s="45">
        <v>3393</v>
      </c>
      <c r="CZ3397" s="18">
        <v>0</v>
      </c>
      <c r="DA3397" s="18" t="str">
        <v>Nothing</v>
      </c>
    </row>
    <row r="3398" spans="99:105" ht="23.5">
      <c r="CU3398" s="45">
        <v>3394</v>
      </c>
      <c r="CV3398" s="18">
        <v>0</v>
      </c>
      <c r="CW3398" s="18" t="str">
        <v>Nothing</v>
      </c>
      <c r="CY3398" s="45">
        <v>3394</v>
      </c>
      <c r="CZ3398" s="18">
        <v>37.217832712562029</v>
      </c>
      <c r="DA3398" s="18" t="str">
        <v>Invest</v>
      </c>
    </row>
    <row r="3399" spans="99:105" ht="23.5">
      <c r="CU3399" s="45">
        <v>3395</v>
      </c>
      <c r="CV3399" s="18">
        <v>3.6131288017064147</v>
      </c>
      <c r="CW3399" s="18" t="str">
        <v>Invest</v>
      </c>
      <c r="CY3399" s="45">
        <v>3395</v>
      </c>
      <c r="CZ3399" s="18">
        <v>3.7852553858210829</v>
      </c>
      <c r="DA3399" s="18" t="str">
        <v>Invest</v>
      </c>
    </row>
    <row r="3400" spans="99:105" ht="23.5">
      <c r="CU3400" s="45">
        <v>3396</v>
      </c>
      <c r="CV3400" s="18">
        <v>2.8352986175118104</v>
      </c>
      <c r="CW3400" s="18" t="str">
        <v>Invest</v>
      </c>
      <c r="CY3400" s="45">
        <v>3396</v>
      </c>
      <c r="CZ3400" s="18">
        <v>18.933813556810907</v>
      </c>
      <c r="DA3400" s="18" t="str">
        <v>Invest</v>
      </c>
    </row>
    <row r="3401" spans="99:105" ht="23.5">
      <c r="CU3401" s="45">
        <v>3397</v>
      </c>
      <c r="CV3401" s="18">
        <v>12.716365624453985</v>
      </c>
      <c r="CW3401" s="18" t="str">
        <v>Invest</v>
      </c>
      <c r="CY3401" s="45">
        <v>3397</v>
      </c>
      <c r="CZ3401" s="18">
        <v>49.977515835653662</v>
      </c>
      <c r="DA3401" s="18" t="str">
        <v>Invest</v>
      </c>
    </row>
    <row r="3402" spans="99:105" ht="23.5">
      <c r="CU3402" s="45">
        <v>3398</v>
      </c>
      <c r="CV3402" s="18">
        <v>38.687916223888834</v>
      </c>
      <c r="CW3402" s="18" t="str">
        <v>Invest</v>
      </c>
      <c r="CY3402" s="45">
        <v>3398</v>
      </c>
      <c r="CZ3402" s="18">
        <v>6.5013014079138483</v>
      </c>
      <c r="DA3402" s="18" t="str">
        <v>Invest</v>
      </c>
    </row>
    <row r="3403" spans="99:105" ht="23.5">
      <c r="CU3403" s="45">
        <v>3399</v>
      </c>
      <c r="CV3403" s="18">
        <v>21.393534785987885</v>
      </c>
      <c r="CW3403" s="18" t="str">
        <v>Invest</v>
      </c>
      <c r="CY3403" s="45">
        <v>3399</v>
      </c>
      <c r="CZ3403" s="18">
        <v>0.74803369001580577</v>
      </c>
      <c r="DA3403" s="18" t="str">
        <v>Invest</v>
      </c>
    </row>
    <row r="3404" spans="99:105" ht="23.5">
      <c r="CU3404" s="45">
        <v>3400</v>
      </c>
      <c r="CV3404" s="18">
        <v>10.266866892223845</v>
      </c>
      <c r="CW3404" s="18" t="str">
        <v>Invest</v>
      </c>
      <c r="CY3404" s="45">
        <v>3400</v>
      </c>
      <c r="CZ3404" s="18">
        <v>45.031684402803599</v>
      </c>
      <c r="DA3404" s="18" t="str">
        <v>Invest</v>
      </c>
    </row>
    <row r="3405" spans="99:105" ht="23.5">
      <c r="CU3405" s="45">
        <v>3401</v>
      </c>
      <c r="CV3405" s="18">
        <v>12.126850684781383</v>
      </c>
      <c r="CW3405" s="18" t="str">
        <v>Invest</v>
      </c>
      <c r="CY3405" s="45">
        <v>3401</v>
      </c>
      <c r="CZ3405" s="18">
        <v>7.74956364897076</v>
      </c>
      <c r="DA3405" s="18" t="str">
        <v>Invest</v>
      </c>
    </row>
    <row r="3406" spans="99:105" ht="23.5">
      <c r="CU3406" s="45">
        <v>3402</v>
      </c>
      <c r="CV3406" s="18">
        <v>18.4374207034104</v>
      </c>
      <c r="CW3406" s="18" t="str">
        <v>Invest</v>
      </c>
      <c r="CY3406" s="45">
        <v>3402</v>
      </c>
      <c r="CZ3406" s="18">
        <v>23.0173828678614</v>
      </c>
      <c r="DA3406" s="18" t="str">
        <v>Invest</v>
      </c>
    </row>
    <row r="3407" spans="99:105" ht="23.5">
      <c r="CU3407" s="45">
        <v>3403</v>
      </c>
      <c r="CV3407" s="18">
        <v>0</v>
      </c>
      <c r="CW3407" s="18" t="str">
        <v>Nothing</v>
      </c>
      <c r="CY3407" s="45">
        <v>3403</v>
      </c>
      <c r="CZ3407" s="18">
        <v>0</v>
      </c>
      <c r="DA3407" s="18" t="str">
        <v>Nothing</v>
      </c>
    </row>
    <row r="3408" spans="99:105" ht="23.5">
      <c r="CU3408" s="45">
        <v>3404</v>
      </c>
      <c r="CV3408" s="18">
        <v>0</v>
      </c>
      <c r="CW3408" s="18" t="str">
        <v>Nothing</v>
      </c>
      <c r="CY3408" s="45">
        <v>3404</v>
      </c>
      <c r="CZ3408" s="18">
        <v>13.775124790526139</v>
      </c>
      <c r="DA3408" s="18" t="str">
        <v>Invest</v>
      </c>
    </row>
    <row r="3409" spans="99:105" ht="23.5">
      <c r="CU3409" s="45">
        <v>3405</v>
      </c>
      <c r="CV3409" s="18">
        <v>0</v>
      </c>
      <c r="CW3409" s="18" t="str">
        <v>Nothing</v>
      </c>
      <c r="CY3409" s="45">
        <v>3405</v>
      </c>
      <c r="CZ3409" s="18">
        <v>17.844352593786528</v>
      </c>
      <c r="DA3409" s="18" t="str">
        <v>Invest</v>
      </c>
    </row>
    <row r="3410" spans="99:105" ht="23.5">
      <c r="CU3410" s="45">
        <v>3406</v>
      </c>
      <c r="CV3410" s="18">
        <v>8.9328749963153093</v>
      </c>
      <c r="CW3410" s="18" t="str">
        <v>Invest</v>
      </c>
      <c r="CY3410" s="45">
        <v>3406</v>
      </c>
      <c r="CZ3410" s="18">
        <v>18.60772547239786</v>
      </c>
      <c r="DA3410" s="18" t="str">
        <v>Invest</v>
      </c>
    </row>
    <row r="3411" spans="99:105" ht="23.5">
      <c r="CU3411" s="45">
        <v>3407</v>
      </c>
      <c r="CV3411" s="18">
        <v>20.765762715086762</v>
      </c>
      <c r="CW3411" s="18" t="str">
        <v>Invest</v>
      </c>
      <c r="CY3411" s="45">
        <v>3407</v>
      </c>
      <c r="CZ3411" s="18">
        <v>29.908232420096269</v>
      </c>
      <c r="DA3411" s="18" t="str">
        <v>Invest</v>
      </c>
    </row>
    <row r="3412" spans="99:105" ht="23.5">
      <c r="CU3412" s="45">
        <v>3408</v>
      </c>
      <c r="CV3412" s="18">
        <v>28.166013375553579</v>
      </c>
      <c r="CW3412" s="18" t="str">
        <v>Invest</v>
      </c>
      <c r="CY3412" s="45">
        <v>3408</v>
      </c>
      <c r="CZ3412" s="18">
        <v>6.127256056904141</v>
      </c>
      <c r="DA3412" s="18" t="str">
        <v>Invest</v>
      </c>
    </row>
    <row r="3413" spans="99:105" ht="23.5">
      <c r="CU3413" s="45">
        <v>3409</v>
      </c>
      <c r="CV3413" s="18">
        <v>21.726759815785314</v>
      </c>
      <c r="CW3413" s="18" t="str">
        <v>Invest</v>
      </c>
      <c r="CY3413" s="45">
        <v>3409</v>
      </c>
      <c r="CZ3413" s="18">
        <v>31.891229482416922</v>
      </c>
      <c r="DA3413" s="18" t="str">
        <v>Invest</v>
      </c>
    </row>
    <row r="3414" spans="99:105" ht="23.5">
      <c r="CU3414" s="45">
        <v>3410</v>
      </c>
      <c r="CV3414" s="18">
        <v>30.366882755564315</v>
      </c>
      <c r="CW3414" s="18" t="str">
        <v>Invest</v>
      </c>
      <c r="CY3414" s="45">
        <v>3410</v>
      </c>
      <c r="CZ3414" s="18">
        <v>4.8317085365114032</v>
      </c>
      <c r="DA3414" s="18" t="str">
        <v>Invest</v>
      </c>
    </row>
    <row r="3415" spans="99:105" ht="23.5">
      <c r="CU3415" s="45">
        <v>3411</v>
      </c>
      <c r="CV3415" s="18">
        <v>53.971836924790765</v>
      </c>
      <c r="CW3415" s="18" t="str">
        <v>Invest</v>
      </c>
      <c r="CY3415" s="45">
        <v>3411</v>
      </c>
      <c r="CZ3415" s="18">
        <v>0</v>
      </c>
      <c r="DA3415" s="18" t="str">
        <v>Nothing</v>
      </c>
    </row>
    <row r="3416" spans="99:105" ht="23.5">
      <c r="CU3416" s="45">
        <v>3412</v>
      </c>
      <c r="CV3416" s="18">
        <v>4.0305162818498061</v>
      </c>
      <c r="CW3416" s="18" t="str">
        <v>Invest</v>
      </c>
      <c r="CY3416" s="45">
        <v>3412</v>
      </c>
      <c r="CZ3416" s="18">
        <v>13.903447799988918</v>
      </c>
      <c r="DA3416" s="18" t="str">
        <v>Invest</v>
      </c>
    </row>
    <row r="3417" spans="99:105" ht="23.5">
      <c r="CU3417" s="45">
        <v>3413</v>
      </c>
      <c r="CV3417" s="18">
        <v>31.112175639471062</v>
      </c>
      <c r="CW3417" s="18" t="str">
        <v>Invest</v>
      </c>
      <c r="CY3417" s="45">
        <v>3413</v>
      </c>
      <c r="CZ3417" s="18">
        <v>0</v>
      </c>
      <c r="DA3417" s="18" t="str">
        <v>Nothing</v>
      </c>
    </row>
    <row r="3418" spans="99:105" ht="23.5">
      <c r="CU3418" s="45">
        <v>3414</v>
      </c>
      <c r="CV3418" s="18">
        <v>17.171876823322211</v>
      </c>
      <c r="CW3418" s="18" t="str">
        <v>Invest</v>
      </c>
      <c r="CY3418" s="45">
        <v>3414</v>
      </c>
      <c r="CZ3418" s="18">
        <v>12.464094412967324</v>
      </c>
      <c r="DA3418" s="18" t="str">
        <v>Invest</v>
      </c>
    </row>
    <row r="3419" spans="99:105" ht="23.5">
      <c r="CU3419" s="45">
        <v>3415</v>
      </c>
      <c r="CV3419" s="18">
        <v>40.261503183824814</v>
      </c>
      <c r="CW3419" s="18" t="str">
        <v>Invest</v>
      </c>
      <c r="CY3419" s="45">
        <v>3415</v>
      </c>
      <c r="CZ3419" s="18">
        <v>42.697793928300904</v>
      </c>
      <c r="DA3419" s="18" t="str">
        <v>Invest</v>
      </c>
    </row>
    <row r="3420" spans="99:105" ht="23.5">
      <c r="CU3420" s="45">
        <v>3416</v>
      </c>
      <c r="CV3420" s="18">
        <v>33.726120053094604</v>
      </c>
      <c r="CW3420" s="18" t="str">
        <v>Invest</v>
      </c>
      <c r="CY3420" s="45">
        <v>3416</v>
      </c>
      <c r="CZ3420" s="18">
        <v>0</v>
      </c>
      <c r="DA3420" s="18" t="str">
        <v>Nothing</v>
      </c>
    </row>
    <row r="3421" spans="99:105" ht="23.5">
      <c r="CU3421" s="45">
        <v>3417</v>
      </c>
      <c r="CV3421" s="18">
        <v>8.4134818601154677</v>
      </c>
      <c r="CW3421" s="18" t="str">
        <v>Invest</v>
      </c>
      <c r="CY3421" s="45">
        <v>3417</v>
      </c>
      <c r="CZ3421" s="18">
        <v>0</v>
      </c>
      <c r="DA3421" s="18" t="str">
        <v>Nothing</v>
      </c>
    </row>
    <row r="3422" spans="99:105" ht="23.5">
      <c r="CU3422" s="45">
        <v>3418</v>
      </c>
      <c r="CV3422" s="18">
        <v>0</v>
      </c>
      <c r="CW3422" s="18" t="str">
        <v>Nothing</v>
      </c>
      <c r="CY3422" s="45">
        <v>3418</v>
      </c>
      <c r="CZ3422" s="18">
        <v>0</v>
      </c>
      <c r="DA3422" s="18" t="str">
        <v>Nothing</v>
      </c>
    </row>
    <row r="3423" spans="99:105" ht="23.5">
      <c r="CU3423" s="45">
        <v>3419</v>
      </c>
      <c r="CV3423" s="18">
        <v>6.3064893345396378</v>
      </c>
      <c r="CW3423" s="18" t="str">
        <v>Invest</v>
      </c>
      <c r="CY3423" s="45">
        <v>3419</v>
      </c>
      <c r="CZ3423" s="18">
        <v>30.935209557381079</v>
      </c>
      <c r="DA3423" s="18" t="str">
        <v>Invest</v>
      </c>
    </row>
    <row r="3424" spans="99:105" ht="23.5">
      <c r="CU3424" s="45">
        <v>3420</v>
      </c>
      <c r="CV3424" s="18">
        <v>0.93535154745179838</v>
      </c>
      <c r="CW3424" s="18" t="str">
        <v>Invest</v>
      </c>
      <c r="CY3424" s="45">
        <v>3420</v>
      </c>
      <c r="CZ3424" s="18">
        <v>4.1832914509322592</v>
      </c>
      <c r="DA3424" s="18" t="str">
        <v>Invest</v>
      </c>
    </row>
    <row r="3425" spans="99:105" ht="23.5">
      <c r="CU3425" s="45">
        <v>3421</v>
      </c>
      <c r="CV3425" s="18">
        <v>1.9828278663910055</v>
      </c>
      <c r="CW3425" s="18" t="str">
        <v>Invest</v>
      </c>
      <c r="CY3425" s="45">
        <v>3421</v>
      </c>
      <c r="CZ3425" s="18">
        <v>41.743340346945907</v>
      </c>
      <c r="DA3425" s="18" t="str">
        <v>Invest</v>
      </c>
    </row>
    <row r="3426" spans="99:105" ht="23.5">
      <c r="CU3426" s="45">
        <v>3422</v>
      </c>
      <c r="CV3426" s="18">
        <v>7.4913227848675028</v>
      </c>
      <c r="CW3426" s="18" t="str">
        <v>Invest</v>
      </c>
      <c r="CY3426" s="45">
        <v>3422</v>
      </c>
      <c r="CZ3426" s="18">
        <v>47.108501881333545</v>
      </c>
      <c r="DA3426" s="18" t="str">
        <v>Invest</v>
      </c>
    </row>
    <row r="3427" spans="99:105" ht="23.5">
      <c r="CU3427" s="45">
        <v>3423</v>
      </c>
      <c r="CV3427" s="18">
        <v>0</v>
      </c>
      <c r="CW3427" s="18" t="str">
        <v>Nothing</v>
      </c>
      <c r="CY3427" s="45">
        <v>3423</v>
      </c>
      <c r="CZ3427" s="18">
        <v>12.292851744245755</v>
      </c>
      <c r="DA3427" s="18" t="str">
        <v>Invest</v>
      </c>
    </row>
    <row r="3428" spans="99:105" ht="23.5">
      <c r="CU3428" s="45">
        <v>3424</v>
      </c>
      <c r="CV3428" s="18">
        <v>0</v>
      </c>
      <c r="CW3428" s="18" t="str">
        <v>Nothing</v>
      </c>
      <c r="CY3428" s="45">
        <v>3424</v>
      </c>
      <c r="CZ3428" s="18">
        <v>32.474829889379144</v>
      </c>
      <c r="DA3428" s="18" t="str">
        <v>Invest</v>
      </c>
    </row>
    <row r="3429" spans="99:105" ht="23.5">
      <c r="CU3429" s="45">
        <v>3425</v>
      </c>
      <c r="CV3429" s="18">
        <v>44.717828284247076</v>
      </c>
      <c r="CW3429" s="18" t="str">
        <v>Invest</v>
      </c>
      <c r="CY3429" s="45">
        <v>3425</v>
      </c>
      <c r="CZ3429" s="18">
        <v>15.356938247598679</v>
      </c>
      <c r="DA3429" s="18" t="str">
        <v>Invest</v>
      </c>
    </row>
    <row r="3430" spans="99:105" ht="23.5">
      <c r="CU3430" s="45">
        <v>3426</v>
      </c>
      <c r="CV3430" s="18">
        <v>46.562873312715823</v>
      </c>
      <c r="CW3430" s="18" t="str">
        <v>Invest</v>
      </c>
      <c r="CY3430" s="45">
        <v>3426</v>
      </c>
      <c r="CZ3430" s="18">
        <v>18.995135079983662</v>
      </c>
      <c r="DA3430" s="18" t="str">
        <v>Invest</v>
      </c>
    </row>
    <row r="3431" spans="99:105" ht="23.5">
      <c r="CU3431" s="45">
        <v>3427</v>
      </c>
      <c r="CV3431" s="18">
        <v>12.600602929170556</v>
      </c>
      <c r="CW3431" s="18" t="str">
        <v>Invest</v>
      </c>
      <c r="CY3431" s="45">
        <v>3427</v>
      </c>
      <c r="CZ3431" s="18">
        <v>14.698118476715905</v>
      </c>
      <c r="DA3431" s="18" t="str">
        <v>Invest</v>
      </c>
    </row>
    <row r="3432" spans="99:105" ht="23.5">
      <c r="CU3432" s="45">
        <v>3428</v>
      </c>
      <c r="CV3432" s="18">
        <v>17.463645504877487</v>
      </c>
      <c r="CW3432" s="18" t="str">
        <v>Invest</v>
      </c>
      <c r="CY3432" s="45">
        <v>3428</v>
      </c>
      <c r="CZ3432" s="18">
        <v>3.5453538448222286</v>
      </c>
      <c r="DA3432" s="18" t="str">
        <v>Invest</v>
      </c>
    </row>
    <row r="3433" spans="99:105" ht="23.5">
      <c r="CU3433" s="45">
        <v>3429</v>
      </c>
      <c r="CV3433" s="18">
        <v>0</v>
      </c>
      <c r="CW3433" s="18" t="str">
        <v>Nothing</v>
      </c>
      <c r="CY3433" s="45">
        <v>3429</v>
      </c>
      <c r="CZ3433" s="18">
        <v>1.419797551417151</v>
      </c>
      <c r="DA3433" s="18" t="str">
        <v>Invest</v>
      </c>
    </row>
    <row r="3434" spans="99:105" ht="23.5">
      <c r="CU3434" s="45">
        <v>3430</v>
      </c>
      <c r="CV3434" s="18">
        <v>5.1686656852357427</v>
      </c>
      <c r="CW3434" s="18" t="str">
        <v>Invest</v>
      </c>
      <c r="CY3434" s="45">
        <v>3430</v>
      </c>
      <c r="CZ3434" s="18">
        <v>0</v>
      </c>
      <c r="DA3434" s="18" t="str">
        <v>Nothing</v>
      </c>
    </row>
    <row r="3435" spans="99:105" ht="23.5">
      <c r="CU3435" s="45">
        <v>3431</v>
      </c>
      <c r="CV3435" s="18">
        <v>0</v>
      </c>
      <c r="CW3435" s="18" t="str">
        <v>Nothing</v>
      </c>
      <c r="CY3435" s="45">
        <v>3431</v>
      </c>
      <c r="CZ3435" s="18">
        <v>0</v>
      </c>
      <c r="DA3435" s="18" t="str">
        <v>Nothing</v>
      </c>
    </row>
    <row r="3436" spans="99:105" ht="23.5">
      <c r="CU3436" s="45">
        <v>3432</v>
      </c>
      <c r="CV3436" s="18">
        <v>0</v>
      </c>
      <c r="CW3436" s="18" t="str">
        <v>Nothing</v>
      </c>
      <c r="CY3436" s="45">
        <v>3432</v>
      </c>
      <c r="CZ3436" s="18">
        <v>1.6298640199664511</v>
      </c>
      <c r="DA3436" s="18" t="str">
        <v>Invest</v>
      </c>
    </row>
    <row r="3437" spans="99:105" ht="23.5">
      <c r="CU3437" s="45">
        <v>3433</v>
      </c>
      <c r="CV3437" s="18">
        <v>0</v>
      </c>
      <c r="CW3437" s="18" t="str">
        <v>Nothing</v>
      </c>
      <c r="CY3437" s="45">
        <v>3433</v>
      </c>
      <c r="CZ3437" s="18">
        <v>34.768696230635996</v>
      </c>
      <c r="DA3437" s="18" t="str">
        <v>Invest</v>
      </c>
    </row>
    <row r="3438" spans="99:105" ht="23.5">
      <c r="CU3438" s="45">
        <v>3434</v>
      </c>
      <c r="CV3438" s="18">
        <v>0</v>
      </c>
      <c r="CW3438" s="18" t="str">
        <v>Nothing</v>
      </c>
      <c r="CY3438" s="45">
        <v>3434</v>
      </c>
      <c r="CZ3438" s="18">
        <v>38.39611644656938</v>
      </c>
      <c r="DA3438" s="18" t="str">
        <v>Invest</v>
      </c>
    </row>
    <row r="3439" spans="99:105" ht="23.5">
      <c r="CU3439" s="45">
        <v>3435</v>
      </c>
      <c r="CV3439" s="18">
        <v>51.319172275329372</v>
      </c>
      <c r="CW3439" s="18" t="str">
        <v>Invest</v>
      </c>
      <c r="CY3439" s="45">
        <v>3435</v>
      </c>
      <c r="CZ3439" s="18">
        <v>27.198399487758429</v>
      </c>
      <c r="DA3439" s="18" t="str">
        <v>Invest</v>
      </c>
    </row>
    <row r="3440" spans="99:105" ht="23.5">
      <c r="CU3440" s="45">
        <v>3436</v>
      </c>
      <c r="CV3440" s="18">
        <v>42.687479009944703</v>
      </c>
      <c r="CW3440" s="18" t="str">
        <v>Invest</v>
      </c>
      <c r="CY3440" s="45">
        <v>3436</v>
      </c>
      <c r="CZ3440" s="18">
        <v>13.875787833267523</v>
      </c>
      <c r="DA3440" s="18" t="str">
        <v>Invest</v>
      </c>
    </row>
    <row r="3441" spans="99:105" ht="23.5">
      <c r="CU3441" s="45">
        <v>3437</v>
      </c>
      <c r="CV3441" s="18">
        <v>34.177483336126194</v>
      </c>
      <c r="CW3441" s="18" t="str">
        <v>Invest</v>
      </c>
      <c r="CY3441" s="45">
        <v>3437</v>
      </c>
      <c r="CZ3441" s="18">
        <v>0</v>
      </c>
      <c r="DA3441" s="18" t="str">
        <v>Nothing</v>
      </c>
    </row>
    <row r="3442" spans="99:105" ht="23.5">
      <c r="CU3442" s="45">
        <v>3438</v>
      </c>
      <c r="CV3442" s="18">
        <v>11.691911637899839</v>
      </c>
      <c r="CW3442" s="18" t="str">
        <v>Invest</v>
      </c>
      <c r="CY3442" s="45">
        <v>3438</v>
      </c>
      <c r="CZ3442" s="18">
        <v>0</v>
      </c>
      <c r="DA3442" s="18" t="str">
        <v>Nothing</v>
      </c>
    </row>
    <row r="3443" spans="99:105" ht="23.5">
      <c r="CU3443" s="45">
        <v>3439</v>
      </c>
      <c r="CV3443" s="18">
        <v>0.11021259996899069</v>
      </c>
      <c r="CW3443" s="18" t="str">
        <v>Invest</v>
      </c>
      <c r="CY3443" s="45">
        <v>3439</v>
      </c>
      <c r="CZ3443" s="18">
        <v>8.7930431644067486</v>
      </c>
      <c r="DA3443" s="18" t="str">
        <v>Invest</v>
      </c>
    </row>
    <row r="3444" spans="99:105" ht="23.5">
      <c r="CU3444" s="45">
        <v>3440</v>
      </c>
      <c r="CV3444" s="18">
        <v>0</v>
      </c>
      <c r="CW3444" s="18" t="str">
        <v>Nothing</v>
      </c>
      <c r="CY3444" s="45">
        <v>3440</v>
      </c>
      <c r="CZ3444" s="18">
        <v>0</v>
      </c>
      <c r="DA3444" s="18" t="str">
        <v>Nothing</v>
      </c>
    </row>
    <row r="3445" spans="99:105" ht="23.5">
      <c r="CU3445" s="45">
        <v>3441</v>
      </c>
      <c r="CV3445" s="18">
        <v>5.2475513640826978</v>
      </c>
      <c r="CW3445" s="18" t="str">
        <v>Invest</v>
      </c>
      <c r="CY3445" s="45">
        <v>3441</v>
      </c>
      <c r="CZ3445" s="18">
        <v>25.366805186307516</v>
      </c>
      <c r="DA3445" s="18" t="str">
        <v>Invest</v>
      </c>
    </row>
    <row r="3446" spans="99:105" ht="23.5">
      <c r="CU3446" s="45">
        <v>3442</v>
      </c>
      <c r="CV3446" s="18">
        <v>9.0822760087006298</v>
      </c>
      <c r="CW3446" s="18" t="str">
        <v>Invest</v>
      </c>
      <c r="CY3446" s="45">
        <v>3442</v>
      </c>
      <c r="CZ3446" s="18">
        <v>8.3597431363742611</v>
      </c>
      <c r="DA3446" s="18" t="str">
        <v>Invest</v>
      </c>
    </row>
    <row r="3447" spans="99:105" ht="23.5">
      <c r="CU3447" s="45">
        <v>3443</v>
      </c>
      <c r="CV3447" s="18">
        <v>16.295743529566636</v>
      </c>
      <c r="CW3447" s="18" t="str">
        <v>Invest</v>
      </c>
      <c r="CY3447" s="45">
        <v>3443</v>
      </c>
      <c r="CZ3447" s="18">
        <v>36.545603747259328</v>
      </c>
      <c r="DA3447" s="18" t="str">
        <v>Invest</v>
      </c>
    </row>
    <row r="3448" spans="99:105" ht="23.5">
      <c r="CU3448" s="45">
        <v>3444</v>
      </c>
      <c r="CV3448" s="18">
        <v>33.677661570697211</v>
      </c>
      <c r="CW3448" s="18" t="str">
        <v>Invest</v>
      </c>
      <c r="CY3448" s="45">
        <v>3444</v>
      </c>
      <c r="CZ3448" s="18">
        <v>57.595760680722584</v>
      </c>
      <c r="DA3448" s="18" t="str">
        <v>Invest</v>
      </c>
    </row>
    <row r="3449" spans="99:105" ht="23.5">
      <c r="CU3449" s="45">
        <v>3445</v>
      </c>
      <c r="CV3449" s="18">
        <v>11.985512335573819</v>
      </c>
      <c r="CW3449" s="18" t="str">
        <v>Invest</v>
      </c>
      <c r="CY3449" s="45">
        <v>3445</v>
      </c>
      <c r="CZ3449" s="18">
        <v>17.654299782211481</v>
      </c>
      <c r="DA3449" s="18" t="str">
        <v>Invest</v>
      </c>
    </row>
    <row r="3450" spans="99:105" ht="23.5">
      <c r="CU3450" s="45">
        <v>3446</v>
      </c>
      <c r="CV3450" s="18">
        <v>19.518219541349993</v>
      </c>
      <c r="CW3450" s="18" t="str">
        <v>Invest</v>
      </c>
      <c r="CY3450" s="45">
        <v>3446</v>
      </c>
      <c r="CZ3450" s="18">
        <v>0</v>
      </c>
      <c r="DA3450" s="18" t="str">
        <v>Nothing</v>
      </c>
    </row>
    <row r="3451" spans="99:105" ht="23.5">
      <c r="CU3451" s="45">
        <v>3447</v>
      </c>
      <c r="CV3451" s="18">
        <v>19.399214993949087</v>
      </c>
      <c r="CW3451" s="18" t="str">
        <v>Invest</v>
      </c>
      <c r="CY3451" s="45">
        <v>3447</v>
      </c>
      <c r="CZ3451" s="18">
        <v>39.852829268922768</v>
      </c>
      <c r="DA3451" s="18" t="str">
        <v>Invest</v>
      </c>
    </row>
    <row r="3452" spans="99:105" ht="23.5">
      <c r="CU3452" s="45">
        <v>3448</v>
      </c>
      <c r="CV3452" s="18">
        <v>2.481303868182458</v>
      </c>
      <c r="CW3452" s="18" t="str">
        <v>Invest</v>
      </c>
      <c r="CY3452" s="45">
        <v>3448</v>
      </c>
      <c r="CZ3452" s="18">
        <v>15.549067875211909</v>
      </c>
      <c r="DA3452" s="18" t="str">
        <v>Invest</v>
      </c>
    </row>
    <row r="3453" spans="99:105" ht="23.5">
      <c r="CU3453" s="45">
        <v>3449</v>
      </c>
      <c r="CV3453" s="18">
        <v>31.778732266903781</v>
      </c>
      <c r="CW3453" s="18" t="str">
        <v>Invest</v>
      </c>
      <c r="CY3453" s="45">
        <v>3449</v>
      </c>
      <c r="CZ3453" s="18">
        <v>0</v>
      </c>
      <c r="DA3453" s="18" t="str">
        <v>Nothing</v>
      </c>
    </row>
    <row r="3454" spans="99:105" ht="23.5">
      <c r="CU3454" s="45">
        <v>3450</v>
      </c>
      <c r="CV3454" s="18">
        <v>23.048228484859322</v>
      </c>
      <c r="CW3454" s="18" t="str">
        <v>Invest</v>
      </c>
      <c r="CY3454" s="45">
        <v>3450</v>
      </c>
      <c r="CZ3454" s="18">
        <v>35.75858551560011</v>
      </c>
      <c r="DA3454" s="18" t="str">
        <v>Invest</v>
      </c>
    </row>
    <row r="3455" spans="99:105" ht="23.5">
      <c r="CU3455" s="45">
        <v>3451</v>
      </c>
      <c r="CV3455" s="18">
        <v>0</v>
      </c>
      <c r="CW3455" s="18" t="str">
        <v>Nothing</v>
      </c>
      <c r="CY3455" s="45">
        <v>3451</v>
      </c>
      <c r="CZ3455" s="18">
        <v>0</v>
      </c>
      <c r="DA3455" s="18" t="str">
        <v>Nothing</v>
      </c>
    </row>
    <row r="3456" spans="99:105" ht="23.5">
      <c r="CU3456" s="45">
        <v>3452</v>
      </c>
      <c r="CV3456" s="18">
        <v>14.403534242375535</v>
      </c>
      <c r="CW3456" s="18" t="str">
        <v>Invest</v>
      </c>
      <c r="CY3456" s="45">
        <v>3452</v>
      </c>
      <c r="CZ3456" s="18">
        <v>0</v>
      </c>
      <c r="DA3456" s="18" t="str">
        <v>Nothing</v>
      </c>
    </row>
    <row r="3457" spans="99:105" ht="23.5">
      <c r="CU3457" s="45">
        <v>3453</v>
      </c>
      <c r="CV3457" s="18">
        <v>18.503126349742328</v>
      </c>
      <c r="CW3457" s="18" t="str">
        <v>Invest</v>
      </c>
      <c r="CY3457" s="45">
        <v>3453</v>
      </c>
      <c r="CZ3457" s="18">
        <v>13.941361005410162</v>
      </c>
      <c r="DA3457" s="18" t="str">
        <v>Invest</v>
      </c>
    </row>
    <row r="3458" spans="99:105" ht="23.5">
      <c r="CU3458" s="45">
        <v>3454</v>
      </c>
      <c r="CV3458" s="18">
        <v>0</v>
      </c>
      <c r="CW3458" s="18" t="str">
        <v>Nothing</v>
      </c>
      <c r="CY3458" s="45">
        <v>3454</v>
      </c>
      <c r="CZ3458" s="18">
        <v>0</v>
      </c>
      <c r="DA3458" s="18" t="str">
        <v>Nothing</v>
      </c>
    </row>
    <row r="3459" spans="99:105" ht="23.5">
      <c r="CU3459" s="45">
        <v>3455</v>
      </c>
      <c r="CV3459" s="18">
        <v>32.062021019965705</v>
      </c>
      <c r="CW3459" s="18" t="str">
        <v>Invest</v>
      </c>
      <c r="CY3459" s="45">
        <v>3455</v>
      </c>
      <c r="CZ3459" s="18">
        <v>2.0625181634405401</v>
      </c>
      <c r="DA3459" s="18" t="str">
        <v>Invest</v>
      </c>
    </row>
    <row r="3460" spans="99:105" ht="23.5">
      <c r="CU3460" s="45">
        <v>3456</v>
      </c>
      <c r="CV3460" s="18">
        <v>33.72207659901639</v>
      </c>
      <c r="CW3460" s="18" t="str">
        <v>Invest</v>
      </c>
      <c r="CY3460" s="45">
        <v>3456</v>
      </c>
      <c r="CZ3460" s="18">
        <v>2.9731086986792654</v>
      </c>
      <c r="DA3460" s="18" t="str">
        <v>Invest</v>
      </c>
    </row>
    <row r="3461" spans="99:105" ht="23.5">
      <c r="CU3461" s="45">
        <v>3457</v>
      </c>
      <c r="CV3461" s="18">
        <v>27.23773142703476</v>
      </c>
      <c r="CW3461" s="18" t="str">
        <v>Invest</v>
      </c>
      <c r="CY3461" s="45">
        <v>3457</v>
      </c>
      <c r="CZ3461" s="18">
        <v>17.030395806765977</v>
      </c>
      <c r="DA3461" s="18" t="str">
        <v>Invest</v>
      </c>
    </row>
    <row r="3462" spans="99:105" ht="23.5">
      <c r="CU3462" s="45">
        <v>3458</v>
      </c>
      <c r="CV3462" s="18">
        <v>39.199035886237098</v>
      </c>
      <c r="CW3462" s="18" t="str">
        <v>Invest</v>
      </c>
      <c r="CY3462" s="45">
        <v>3458</v>
      </c>
      <c r="CZ3462" s="18">
        <v>18.594086358099375</v>
      </c>
      <c r="DA3462" s="18" t="str">
        <v>Invest</v>
      </c>
    </row>
    <row r="3463" spans="99:105" ht="23.5">
      <c r="CU3463" s="45">
        <v>3459</v>
      </c>
      <c r="CV3463" s="18">
        <v>24.13362267459754</v>
      </c>
      <c r="CW3463" s="18" t="str">
        <v>Invest</v>
      </c>
      <c r="CY3463" s="45">
        <v>3459</v>
      </c>
      <c r="CZ3463" s="18">
        <v>0</v>
      </c>
      <c r="DA3463" s="18" t="str">
        <v>Nothing</v>
      </c>
    </row>
    <row r="3464" spans="99:105" ht="23.5">
      <c r="CU3464" s="45">
        <v>3460</v>
      </c>
      <c r="CV3464" s="18">
        <v>33.433501902828517</v>
      </c>
      <c r="CW3464" s="18" t="str">
        <v>Invest</v>
      </c>
      <c r="CY3464" s="45">
        <v>3460</v>
      </c>
      <c r="CZ3464" s="18">
        <v>32.18755660072339</v>
      </c>
      <c r="DA3464" s="18" t="str">
        <v>Invest</v>
      </c>
    </row>
    <row r="3465" spans="99:105" ht="23.5">
      <c r="CU3465" s="45">
        <v>3461</v>
      </c>
      <c r="CV3465" s="18">
        <v>20.270824592717538</v>
      </c>
      <c r="CW3465" s="18" t="str">
        <v>Invest</v>
      </c>
      <c r="CY3465" s="45">
        <v>3461</v>
      </c>
      <c r="CZ3465" s="18">
        <v>0.6993619616329827</v>
      </c>
      <c r="DA3465" s="18" t="str">
        <v>Invest</v>
      </c>
    </row>
    <row r="3466" spans="99:105" ht="23.5">
      <c r="CU3466" s="45">
        <v>3462</v>
      </c>
      <c r="CV3466" s="18">
        <v>0</v>
      </c>
      <c r="CW3466" s="18" t="str">
        <v>Nothing</v>
      </c>
      <c r="CY3466" s="45">
        <v>3462</v>
      </c>
      <c r="CZ3466" s="18">
        <v>28.609825887996379</v>
      </c>
      <c r="DA3466" s="18" t="str">
        <v>Invest</v>
      </c>
    </row>
    <row r="3467" spans="99:105" ht="23.5">
      <c r="CU3467" s="45">
        <v>3463</v>
      </c>
      <c r="CV3467" s="18">
        <v>18.89425202970904</v>
      </c>
      <c r="CW3467" s="18" t="str">
        <v>Invest</v>
      </c>
      <c r="CY3467" s="45">
        <v>3463</v>
      </c>
      <c r="CZ3467" s="18">
        <v>8.7853701459795381</v>
      </c>
      <c r="DA3467" s="18" t="str">
        <v>Invest</v>
      </c>
    </row>
    <row r="3468" spans="99:105" ht="23.5">
      <c r="CU3468" s="45">
        <v>3464</v>
      </c>
      <c r="CV3468" s="18">
        <v>34.056920679853718</v>
      </c>
      <c r="CW3468" s="18" t="str">
        <v>Invest</v>
      </c>
      <c r="CY3468" s="45">
        <v>3464</v>
      </c>
      <c r="CZ3468" s="18">
        <v>6.6844131661629866</v>
      </c>
      <c r="DA3468" s="18" t="str">
        <v>Invest</v>
      </c>
    </row>
    <row r="3469" spans="99:105" ht="23.5">
      <c r="CU3469" s="45">
        <v>3465</v>
      </c>
      <c r="CV3469" s="18">
        <v>28.218789485468868</v>
      </c>
      <c r="CW3469" s="18" t="str">
        <v>Invest</v>
      </c>
      <c r="CY3469" s="45">
        <v>3465</v>
      </c>
      <c r="CZ3469" s="18">
        <v>0</v>
      </c>
      <c r="DA3469" s="18" t="str">
        <v>Nothing</v>
      </c>
    </row>
    <row r="3470" spans="99:105" ht="23.5">
      <c r="CU3470" s="45">
        <v>3466</v>
      </c>
      <c r="CV3470" s="18">
        <v>0</v>
      </c>
      <c r="CW3470" s="18" t="str">
        <v>Nothing</v>
      </c>
      <c r="CY3470" s="45">
        <v>3466</v>
      </c>
      <c r="CZ3470" s="18">
        <v>14.844251438004074</v>
      </c>
      <c r="DA3470" s="18" t="str">
        <v>Invest</v>
      </c>
    </row>
    <row r="3471" spans="99:105" ht="23.5">
      <c r="CU3471" s="45">
        <v>3467</v>
      </c>
      <c r="CV3471" s="18">
        <v>30.524623047978714</v>
      </c>
      <c r="CW3471" s="18" t="str">
        <v>Invest</v>
      </c>
      <c r="CY3471" s="45">
        <v>3467</v>
      </c>
      <c r="CZ3471" s="18">
        <v>3.4836494057270961</v>
      </c>
      <c r="DA3471" s="18" t="str">
        <v>Invest</v>
      </c>
    </row>
    <row r="3472" spans="99:105" ht="23.5">
      <c r="CU3472" s="45">
        <v>3468</v>
      </c>
      <c r="CV3472" s="18">
        <v>0</v>
      </c>
      <c r="CW3472" s="18" t="str">
        <v>Nothing</v>
      </c>
      <c r="CY3472" s="45">
        <v>3468</v>
      </c>
      <c r="CZ3472" s="18">
        <v>0</v>
      </c>
      <c r="DA3472" s="18" t="str">
        <v>Nothing</v>
      </c>
    </row>
    <row r="3473" spans="99:105" ht="23.5">
      <c r="CU3473" s="45">
        <v>3469</v>
      </c>
      <c r="CV3473" s="18">
        <v>0</v>
      </c>
      <c r="CW3473" s="18" t="str">
        <v>Nothing</v>
      </c>
      <c r="CY3473" s="45">
        <v>3469</v>
      </c>
      <c r="CZ3473" s="18">
        <v>50.19708711030524</v>
      </c>
      <c r="DA3473" s="18" t="str">
        <v>Invest</v>
      </c>
    </row>
    <row r="3474" spans="99:105" ht="23.5">
      <c r="CU3474" s="45">
        <v>3470</v>
      </c>
      <c r="CV3474" s="18">
        <v>0</v>
      </c>
      <c r="CW3474" s="18" t="str">
        <v>Nothing</v>
      </c>
      <c r="CY3474" s="45">
        <v>3470</v>
      </c>
      <c r="CZ3474" s="18">
        <v>9.1891386564822888</v>
      </c>
      <c r="DA3474" s="18" t="str">
        <v>Invest</v>
      </c>
    </row>
    <row r="3475" spans="99:105" ht="23.5">
      <c r="CU3475" s="45">
        <v>3471</v>
      </c>
      <c r="CV3475" s="18">
        <v>24.869785304931547</v>
      </c>
      <c r="CW3475" s="18" t="str">
        <v>Invest</v>
      </c>
      <c r="CY3475" s="45">
        <v>3471</v>
      </c>
      <c r="CZ3475" s="18">
        <v>0</v>
      </c>
      <c r="DA3475" s="18" t="str">
        <v>Nothing</v>
      </c>
    </row>
    <row r="3476" spans="99:105" ht="23.5">
      <c r="CU3476" s="45">
        <v>3472</v>
      </c>
      <c r="CV3476" s="18">
        <v>47.439797806648357</v>
      </c>
      <c r="CW3476" s="18" t="str">
        <v>Invest</v>
      </c>
      <c r="CY3476" s="45">
        <v>3472</v>
      </c>
      <c r="CZ3476" s="18">
        <v>0</v>
      </c>
      <c r="DA3476" s="18" t="str">
        <v>Nothing</v>
      </c>
    </row>
    <row r="3477" spans="99:105" ht="23.5">
      <c r="CU3477" s="45">
        <v>3473</v>
      </c>
      <c r="CV3477" s="18">
        <v>0</v>
      </c>
      <c r="CW3477" s="18" t="str">
        <v>Nothing</v>
      </c>
      <c r="CY3477" s="45">
        <v>3473</v>
      </c>
      <c r="CZ3477" s="18">
        <v>16.03928752979045</v>
      </c>
      <c r="DA3477" s="18" t="str">
        <v>Invest</v>
      </c>
    </row>
    <row r="3478" spans="99:105" ht="23.5">
      <c r="CU3478" s="45">
        <v>3474</v>
      </c>
      <c r="CV3478" s="18">
        <v>44.366555387734991</v>
      </c>
      <c r="CW3478" s="18" t="str">
        <v>Invest</v>
      </c>
      <c r="CY3478" s="45">
        <v>3474</v>
      </c>
      <c r="CZ3478" s="18">
        <v>38.908163300496646</v>
      </c>
      <c r="DA3478" s="18" t="str">
        <v>Invest</v>
      </c>
    </row>
    <row r="3479" spans="99:105" ht="23.5">
      <c r="CU3479" s="45">
        <v>3475</v>
      </c>
      <c r="CV3479" s="18">
        <v>4.7575972404775477</v>
      </c>
      <c r="CW3479" s="18" t="str">
        <v>Invest</v>
      </c>
      <c r="CY3479" s="45">
        <v>3475</v>
      </c>
      <c r="CZ3479" s="18">
        <v>0</v>
      </c>
      <c r="DA3479" s="18" t="str">
        <v>Nothing</v>
      </c>
    </row>
    <row r="3480" spans="99:105" ht="23.5">
      <c r="CU3480" s="45">
        <v>3476</v>
      </c>
      <c r="CV3480" s="18">
        <v>0</v>
      </c>
      <c r="CW3480" s="18" t="str">
        <v>Nothing</v>
      </c>
      <c r="CY3480" s="45">
        <v>3476</v>
      </c>
      <c r="CZ3480" s="18">
        <v>21.514093892041505</v>
      </c>
      <c r="DA3480" s="18" t="str">
        <v>Invest</v>
      </c>
    </row>
    <row r="3481" spans="99:105" ht="23.5">
      <c r="CU3481" s="45">
        <v>3477</v>
      </c>
      <c r="CV3481" s="18">
        <v>22.597013427674312</v>
      </c>
      <c r="CW3481" s="18" t="str">
        <v>Invest</v>
      </c>
      <c r="CY3481" s="45">
        <v>3477</v>
      </c>
      <c r="CZ3481" s="18">
        <v>16.454533907259748</v>
      </c>
      <c r="DA3481" s="18" t="str">
        <v>Invest</v>
      </c>
    </row>
    <row r="3482" spans="99:105" ht="23.5">
      <c r="CU3482" s="45">
        <v>3478</v>
      </c>
      <c r="CV3482" s="18">
        <v>10.4353124179876</v>
      </c>
      <c r="CW3482" s="18" t="str">
        <v>Invest</v>
      </c>
      <c r="CY3482" s="45">
        <v>3478</v>
      </c>
      <c r="CZ3482" s="18">
        <v>0</v>
      </c>
      <c r="DA3482" s="18" t="str">
        <v>Nothing</v>
      </c>
    </row>
    <row r="3483" spans="99:105" ht="23.5">
      <c r="CU3483" s="45">
        <v>3479</v>
      </c>
      <c r="CV3483" s="18">
        <v>0</v>
      </c>
      <c r="CW3483" s="18" t="str">
        <v>Nothing</v>
      </c>
      <c r="CY3483" s="45">
        <v>3479</v>
      </c>
      <c r="CZ3483" s="18">
        <v>0</v>
      </c>
      <c r="DA3483" s="18" t="str">
        <v>Nothing</v>
      </c>
    </row>
    <row r="3484" spans="99:105" ht="23.5">
      <c r="CU3484" s="45">
        <v>3480</v>
      </c>
      <c r="CV3484" s="18">
        <v>9.32227036783455</v>
      </c>
      <c r="CW3484" s="18" t="str">
        <v>Invest</v>
      </c>
      <c r="CY3484" s="45">
        <v>3480</v>
      </c>
      <c r="CZ3484" s="18">
        <v>37.413949638801164</v>
      </c>
      <c r="DA3484" s="18" t="str">
        <v>Invest</v>
      </c>
    </row>
    <row r="3485" spans="99:105" ht="23.5">
      <c r="CU3485" s="45">
        <v>3481</v>
      </c>
      <c r="CV3485" s="18">
        <v>0</v>
      </c>
      <c r="CW3485" s="18" t="str">
        <v>Nothing</v>
      </c>
      <c r="CY3485" s="45">
        <v>3481</v>
      </c>
      <c r="CZ3485" s="18">
        <v>0</v>
      </c>
      <c r="DA3485" s="18" t="str">
        <v>Nothing</v>
      </c>
    </row>
    <row r="3486" spans="99:105" ht="23.5">
      <c r="CU3486" s="45">
        <v>3482</v>
      </c>
      <c r="CV3486" s="18">
        <v>14.649647430370431</v>
      </c>
      <c r="CW3486" s="18" t="str">
        <v>Invest</v>
      </c>
      <c r="CY3486" s="45">
        <v>3482</v>
      </c>
      <c r="CZ3486" s="18">
        <v>37.13531919741466</v>
      </c>
      <c r="DA3486" s="18" t="str">
        <v>Invest</v>
      </c>
    </row>
    <row r="3487" spans="99:105" ht="23.5">
      <c r="CU3487" s="45">
        <v>3483</v>
      </c>
      <c r="CV3487" s="18">
        <v>17.693377060018459</v>
      </c>
      <c r="CW3487" s="18" t="str">
        <v>Invest</v>
      </c>
      <c r="CY3487" s="45">
        <v>3483</v>
      </c>
      <c r="CZ3487" s="18">
        <v>29.562328224930937</v>
      </c>
      <c r="DA3487" s="18" t="str">
        <v>Invest</v>
      </c>
    </row>
    <row r="3488" spans="99:105" ht="23.5">
      <c r="CU3488" s="45">
        <v>3484</v>
      </c>
      <c r="CV3488" s="18">
        <v>0</v>
      </c>
      <c r="CW3488" s="18" t="str">
        <v>Nothing</v>
      </c>
      <c r="CY3488" s="45">
        <v>3484</v>
      </c>
      <c r="CZ3488" s="18">
        <v>28.443589792562932</v>
      </c>
      <c r="DA3488" s="18" t="str">
        <v>Invest</v>
      </c>
    </row>
    <row r="3489" spans="99:105" ht="23.5">
      <c r="CU3489" s="45">
        <v>3485</v>
      </c>
      <c r="CV3489" s="18">
        <v>20.50664128210552</v>
      </c>
      <c r="CW3489" s="18" t="str">
        <v>Invest</v>
      </c>
      <c r="CY3489" s="45">
        <v>3485</v>
      </c>
      <c r="CZ3489" s="18">
        <v>0</v>
      </c>
      <c r="DA3489" s="18" t="str">
        <v>Nothing</v>
      </c>
    </row>
    <row r="3490" spans="99:105" ht="23.5">
      <c r="CU3490" s="45">
        <v>3486</v>
      </c>
      <c r="CV3490" s="18">
        <v>6.3379861095254011</v>
      </c>
      <c r="CW3490" s="18" t="str">
        <v>Invest</v>
      </c>
      <c r="CY3490" s="45">
        <v>3486</v>
      </c>
      <c r="CZ3490" s="18">
        <v>3.1318922407683099</v>
      </c>
      <c r="DA3490" s="18" t="str">
        <v>Invest</v>
      </c>
    </row>
    <row r="3491" spans="99:105" ht="23.5">
      <c r="CU3491" s="45">
        <v>3487</v>
      </c>
      <c r="CV3491" s="18">
        <v>0</v>
      </c>
      <c r="CW3491" s="18" t="str">
        <v>Nothing</v>
      </c>
      <c r="CY3491" s="45">
        <v>3487</v>
      </c>
      <c r="CZ3491" s="18">
        <v>56.556906957532092</v>
      </c>
      <c r="DA3491" s="18" t="str">
        <v>Invest</v>
      </c>
    </row>
    <row r="3492" spans="99:105" ht="23.5">
      <c r="CU3492" s="45">
        <v>3488</v>
      </c>
      <c r="CV3492" s="18">
        <v>0</v>
      </c>
      <c r="CW3492" s="18" t="str">
        <v>Nothing</v>
      </c>
      <c r="CY3492" s="45">
        <v>3488</v>
      </c>
      <c r="CZ3492" s="18">
        <v>35.372524493200629</v>
      </c>
      <c r="DA3492" s="18" t="str">
        <v>Invest</v>
      </c>
    </row>
    <row r="3493" spans="99:105" ht="23.5">
      <c r="CU3493" s="45">
        <v>3489</v>
      </c>
      <c r="CV3493" s="18">
        <v>16.911394068463217</v>
      </c>
      <c r="CW3493" s="18" t="str">
        <v>Invest</v>
      </c>
      <c r="CY3493" s="45">
        <v>3489</v>
      </c>
      <c r="CZ3493" s="18">
        <v>14.63715247131851</v>
      </c>
      <c r="DA3493" s="18" t="str">
        <v>Invest</v>
      </c>
    </row>
    <row r="3494" spans="99:105" ht="23.5">
      <c r="CU3494" s="45">
        <v>3490</v>
      </c>
      <c r="CV3494" s="18">
        <v>0.1007986196005124</v>
      </c>
      <c r="CW3494" s="18" t="str">
        <v>Invest</v>
      </c>
      <c r="CY3494" s="45">
        <v>3490</v>
      </c>
      <c r="CZ3494" s="18">
        <v>49.450380183513836</v>
      </c>
      <c r="DA3494" s="18" t="str">
        <v>Invest</v>
      </c>
    </row>
    <row r="3495" spans="99:105" ht="23.5">
      <c r="CU3495" s="45">
        <v>3491</v>
      </c>
      <c r="CV3495" s="18">
        <v>1.2377654028702194</v>
      </c>
      <c r="CW3495" s="18" t="str">
        <v>Invest</v>
      </c>
      <c r="CY3495" s="45">
        <v>3491</v>
      </c>
      <c r="CZ3495" s="18">
        <v>43.573698029692657</v>
      </c>
      <c r="DA3495" s="18" t="str">
        <v>Invest</v>
      </c>
    </row>
    <row r="3496" spans="99:105" ht="23.5">
      <c r="CU3496" s="45">
        <v>3492</v>
      </c>
      <c r="CV3496" s="18">
        <v>6.602341739953717</v>
      </c>
      <c r="CW3496" s="18" t="str">
        <v>Invest</v>
      </c>
      <c r="CY3496" s="45">
        <v>3492</v>
      </c>
      <c r="CZ3496" s="18">
        <v>7.3995154930868354</v>
      </c>
      <c r="DA3496" s="18" t="str">
        <v>Invest</v>
      </c>
    </row>
    <row r="3497" spans="99:105" ht="23.5">
      <c r="CU3497" s="45">
        <v>3493</v>
      </c>
      <c r="CV3497" s="18">
        <v>0</v>
      </c>
      <c r="CW3497" s="18" t="str">
        <v>Nothing</v>
      </c>
      <c r="CY3497" s="45">
        <v>3493</v>
      </c>
      <c r="CZ3497" s="18">
        <v>0</v>
      </c>
      <c r="DA3497" s="18" t="str">
        <v>Nothing</v>
      </c>
    </row>
    <row r="3498" spans="99:105" ht="23.5">
      <c r="CU3498" s="45">
        <v>3494</v>
      </c>
      <c r="CV3498" s="18">
        <v>0</v>
      </c>
      <c r="CW3498" s="18" t="str">
        <v>Nothing</v>
      </c>
      <c r="CY3498" s="45">
        <v>3494</v>
      </c>
      <c r="CZ3498" s="18">
        <v>0</v>
      </c>
      <c r="DA3498" s="18" t="str">
        <v>Nothing</v>
      </c>
    </row>
    <row r="3499" spans="99:105" ht="23.5">
      <c r="CU3499" s="45">
        <v>3495</v>
      </c>
      <c r="CV3499" s="18">
        <v>29.932385296797563</v>
      </c>
      <c r="CW3499" s="18" t="str">
        <v>Invest</v>
      </c>
      <c r="CY3499" s="45">
        <v>3495</v>
      </c>
      <c r="CZ3499" s="18">
        <v>22.034854681638564</v>
      </c>
      <c r="DA3499" s="18" t="str">
        <v>Invest</v>
      </c>
    </row>
    <row r="3500" spans="99:105" ht="23.5">
      <c r="CU3500" s="45">
        <v>3496</v>
      </c>
      <c r="CV3500" s="18">
        <v>3.7597509830193054</v>
      </c>
      <c r="CW3500" s="18" t="str">
        <v>Invest</v>
      </c>
      <c r="CY3500" s="45">
        <v>3496</v>
      </c>
      <c r="CZ3500" s="18">
        <v>2.3014818682628544</v>
      </c>
      <c r="DA3500" s="18" t="str">
        <v>Invest</v>
      </c>
    </row>
    <row r="3501" spans="99:105" ht="23.5">
      <c r="CU3501" s="45">
        <v>3497</v>
      </c>
      <c r="CV3501" s="18">
        <v>35.250881669990498</v>
      </c>
      <c r="CW3501" s="18" t="str">
        <v>Invest</v>
      </c>
      <c r="CY3501" s="45">
        <v>3497</v>
      </c>
      <c r="CZ3501" s="18">
        <v>38.218356697570059</v>
      </c>
      <c r="DA3501" s="18" t="str">
        <v>Invest</v>
      </c>
    </row>
    <row r="3502" spans="99:105" ht="23.5">
      <c r="CU3502" s="45">
        <v>3498</v>
      </c>
      <c r="CV3502" s="18">
        <v>10.079558004225705</v>
      </c>
      <c r="CW3502" s="18" t="str">
        <v>Invest</v>
      </c>
      <c r="CY3502" s="45">
        <v>3498</v>
      </c>
      <c r="CZ3502" s="18">
        <v>42.08832499746633</v>
      </c>
      <c r="DA3502" s="18" t="str">
        <v>Invest</v>
      </c>
    </row>
    <row r="3503" spans="99:105" ht="23.5">
      <c r="CU3503" s="45">
        <v>3499</v>
      </c>
      <c r="CV3503" s="18">
        <v>0</v>
      </c>
      <c r="CW3503" s="18" t="str">
        <v>Nothing</v>
      </c>
      <c r="CY3503" s="45">
        <v>3499</v>
      </c>
      <c r="CZ3503" s="18">
        <v>43.330028499096706</v>
      </c>
      <c r="DA3503" s="18" t="str">
        <v>Invest</v>
      </c>
    </row>
    <row r="3504" spans="99:105" ht="23.5">
      <c r="CU3504" s="45">
        <v>3500</v>
      </c>
      <c r="CV3504" s="18">
        <v>7.5874725878112628</v>
      </c>
      <c r="CW3504" s="18" t="str">
        <v>Invest</v>
      </c>
      <c r="CY3504" s="45">
        <v>3500</v>
      </c>
      <c r="CZ3504" s="18">
        <v>46.048274348212047</v>
      </c>
      <c r="DA3504" s="18" t="str">
        <v>Invest</v>
      </c>
    </row>
    <row r="3505" spans="99:105" ht="23.5">
      <c r="CU3505" s="45">
        <v>3501</v>
      </c>
      <c r="CV3505" s="18">
        <v>46.034280085801214</v>
      </c>
      <c r="CW3505" s="18" t="str">
        <v>Invest</v>
      </c>
      <c r="CY3505" s="45">
        <v>3501</v>
      </c>
      <c r="CZ3505" s="18">
        <v>38.062311785369616</v>
      </c>
      <c r="DA3505" s="18" t="str">
        <v>Invest</v>
      </c>
    </row>
    <row r="3506" spans="99:105" ht="23.5">
      <c r="CU3506" s="45">
        <v>3502</v>
      </c>
      <c r="CV3506" s="18">
        <v>9.4087025990590831</v>
      </c>
      <c r="CW3506" s="18" t="str">
        <v>Invest</v>
      </c>
      <c r="CY3506" s="45">
        <v>3502</v>
      </c>
      <c r="CZ3506" s="18">
        <v>35.584013705136172</v>
      </c>
      <c r="DA3506" s="18" t="str">
        <v>Invest</v>
      </c>
    </row>
    <row r="3507" spans="99:105" ht="23.5">
      <c r="CU3507" s="45">
        <v>3503</v>
      </c>
      <c r="CV3507" s="18">
        <v>44.370101837953612</v>
      </c>
      <c r="CW3507" s="18" t="str">
        <v>Invest</v>
      </c>
      <c r="CY3507" s="45">
        <v>3503</v>
      </c>
      <c r="CZ3507" s="18">
        <v>6.6848531616565197</v>
      </c>
      <c r="DA3507" s="18" t="str">
        <v>Invest</v>
      </c>
    </row>
    <row r="3508" spans="99:105" ht="23.5">
      <c r="CU3508" s="45">
        <v>3504</v>
      </c>
      <c r="CV3508" s="18">
        <v>15.598804920426376</v>
      </c>
      <c r="CW3508" s="18" t="str">
        <v>Invest</v>
      </c>
      <c r="CY3508" s="45">
        <v>3504</v>
      </c>
      <c r="CZ3508" s="18">
        <v>25.472411726012943</v>
      </c>
      <c r="DA3508" s="18" t="str">
        <v>Invest</v>
      </c>
    </row>
    <row r="3509" spans="99:105" ht="23.5">
      <c r="CU3509" s="45">
        <v>3505</v>
      </c>
      <c r="CV3509" s="18">
        <v>0</v>
      </c>
      <c r="CW3509" s="18" t="str">
        <v>Nothing</v>
      </c>
      <c r="CY3509" s="45">
        <v>3505</v>
      </c>
      <c r="CZ3509" s="18">
        <v>0</v>
      </c>
      <c r="DA3509" s="18" t="str">
        <v>Nothing</v>
      </c>
    </row>
    <row r="3510" spans="99:105" ht="23.5">
      <c r="CU3510" s="45">
        <v>3506</v>
      </c>
      <c r="CV3510" s="18">
        <v>0</v>
      </c>
      <c r="CW3510" s="18" t="str">
        <v>Nothing</v>
      </c>
      <c r="CY3510" s="45">
        <v>3506</v>
      </c>
      <c r="CZ3510" s="18">
        <v>54.570968970681399</v>
      </c>
      <c r="DA3510" s="18" t="str">
        <v>Invest</v>
      </c>
    </row>
    <row r="3511" spans="99:105" ht="23.5">
      <c r="CU3511" s="45">
        <v>3507</v>
      </c>
      <c r="CV3511" s="18">
        <v>36.858494565972507</v>
      </c>
      <c r="CW3511" s="18" t="str">
        <v>Invest</v>
      </c>
      <c r="CY3511" s="45">
        <v>3507</v>
      </c>
      <c r="CZ3511" s="18">
        <v>42.997475009136544</v>
      </c>
      <c r="DA3511" s="18" t="str">
        <v>Invest</v>
      </c>
    </row>
    <row r="3512" spans="99:105" ht="23.5">
      <c r="CU3512" s="45">
        <v>3508</v>
      </c>
      <c r="CV3512" s="18">
        <v>4.7605257690204699</v>
      </c>
      <c r="CW3512" s="18" t="str">
        <v>Invest</v>
      </c>
      <c r="CY3512" s="45">
        <v>3508</v>
      </c>
      <c r="CZ3512" s="18">
        <v>13.161623503939383</v>
      </c>
      <c r="DA3512" s="18" t="str">
        <v>Invest</v>
      </c>
    </row>
    <row r="3513" spans="99:105" ht="23.5">
      <c r="CU3513" s="45">
        <v>3509</v>
      </c>
      <c r="CV3513" s="18">
        <v>5.2638004510938856</v>
      </c>
      <c r="CW3513" s="18" t="str">
        <v>Invest</v>
      </c>
      <c r="CY3513" s="45">
        <v>3509</v>
      </c>
      <c r="CZ3513" s="18">
        <v>0</v>
      </c>
      <c r="DA3513" s="18" t="str">
        <v>Nothing</v>
      </c>
    </row>
    <row r="3514" spans="99:105" ht="23.5">
      <c r="CU3514" s="45">
        <v>3510</v>
      </c>
      <c r="CV3514" s="18">
        <v>0</v>
      </c>
      <c r="CW3514" s="18" t="str">
        <v>Nothing</v>
      </c>
      <c r="CY3514" s="45">
        <v>3510</v>
      </c>
      <c r="CZ3514" s="18">
        <v>2.4238409061538704</v>
      </c>
      <c r="DA3514" s="18" t="str">
        <v>Invest</v>
      </c>
    </row>
    <row r="3515" spans="99:105" ht="23.5">
      <c r="CU3515" s="45">
        <v>3511</v>
      </c>
      <c r="CV3515" s="18">
        <v>11.577663676160316</v>
      </c>
      <c r="CW3515" s="18" t="str">
        <v>Invest</v>
      </c>
      <c r="CY3515" s="45">
        <v>3511</v>
      </c>
      <c r="CZ3515" s="18">
        <v>19.43199162385034</v>
      </c>
      <c r="DA3515" s="18" t="str">
        <v>Invest</v>
      </c>
    </row>
    <row r="3516" spans="99:105" ht="23.5">
      <c r="CU3516" s="45">
        <v>3512</v>
      </c>
      <c r="CV3516" s="18">
        <v>33.851160377702868</v>
      </c>
      <c r="CW3516" s="18" t="str">
        <v>Invest</v>
      </c>
      <c r="CY3516" s="45">
        <v>3512</v>
      </c>
      <c r="CZ3516" s="18">
        <v>17.362431746006077</v>
      </c>
      <c r="DA3516" s="18" t="str">
        <v>Invest</v>
      </c>
    </row>
    <row r="3517" spans="99:105" ht="23.5">
      <c r="CU3517" s="45">
        <v>3513</v>
      </c>
      <c r="CV3517" s="18">
        <v>20.885508049446393</v>
      </c>
      <c r="CW3517" s="18" t="str">
        <v>Invest</v>
      </c>
      <c r="CY3517" s="45">
        <v>3513</v>
      </c>
      <c r="CZ3517" s="18">
        <v>39.336907823533934</v>
      </c>
      <c r="DA3517" s="18" t="str">
        <v>Invest</v>
      </c>
    </row>
    <row r="3518" spans="99:105" ht="23.5">
      <c r="CU3518" s="45">
        <v>3514</v>
      </c>
      <c r="CV3518" s="18">
        <v>0</v>
      </c>
      <c r="CW3518" s="18" t="str">
        <v>Nothing</v>
      </c>
      <c r="CY3518" s="45">
        <v>3514</v>
      </c>
      <c r="CZ3518" s="18">
        <v>16.283898915230054</v>
      </c>
      <c r="DA3518" s="18" t="str">
        <v>Invest</v>
      </c>
    </row>
    <row r="3519" spans="99:105" ht="23.5">
      <c r="CU3519" s="45">
        <v>3515</v>
      </c>
      <c r="CV3519" s="18">
        <v>28.240366840537646</v>
      </c>
      <c r="CW3519" s="18" t="str">
        <v>Invest</v>
      </c>
      <c r="CY3519" s="45">
        <v>3515</v>
      </c>
      <c r="CZ3519" s="18">
        <v>0</v>
      </c>
      <c r="DA3519" s="18" t="str">
        <v>Nothing</v>
      </c>
    </row>
    <row r="3520" spans="99:105" ht="23.5">
      <c r="CU3520" s="45">
        <v>3516</v>
      </c>
      <c r="CV3520" s="18">
        <v>36.15577378956079</v>
      </c>
      <c r="CW3520" s="18" t="str">
        <v>Invest</v>
      </c>
      <c r="CY3520" s="45">
        <v>3516</v>
      </c>
      <c r="CZ3520" s="18">
        <v>24.32011818055188</v>
      </c>
      <c r="DA3520" s="18" t="str">
        <v>Invest</v>
      </c>
    </row>
    <row r="3521" spans="99:105" ht="23.5">
      <c r="CU3521" s="45">
        <v>3517</v>
      </c>
      <c r="CV3521" s="18">
        <v>0</v>
      </c>
      <c r="CW3521" s="18" t="str">
        <v>Nothing</v>
      </c>
      <c r="CY3521" s="45">
        <v>3517</v>
      </c>
      <c r="CZ3521" s="18">
        <v>11.013048251242026</v>
      </c>
      <c r="DA3521" s="18" t="str">
        <v>Invest</v>
      </c>
    </row>
    <row r="3522" spans="99:105" ht="23.5">
      <c r="CU3522" s="45">
        <v>3518</v>
      </c>
      <c r="CV3522" s="18">
        <v>1.1945008123645913</v>
      </c>
      <c r="CW3522" s="18" t="str">
        <v>Invest</v>
      </c>
      <c r="CY3522" s="45">
        <v>3518</v>
      </c>
      <c r="CZ3522" s="18">
        <v>0</v>
      </c>
      <c r="DA3522" s="18" t="str">
        <v>Nothing</v>
      </c>
    </row>
    <row r="3523" spans="99:105" ht="23.5">
      <c r="CU3523" s="45">
        <v>3519</v>
      </c>
      <c r="CV3523" s="18">
        <v>14.100120861047928</v>
      </c>
      <c r="CW3523" s="18" t="str">
        <v>Invest</v>
      </c>
      <c r="CY3523" s="45">
        <v>3519</v>
      </c>
      <c r="CZ3523" s="18">
        <v>0</v>
      </c>
      <c r="DA3523" s="18" t="str">
        <v>Nothing</v>
      </c>
    </row>
    <row r="3524" spans="99:105" ht="23.5">
      <c r="CU3524" s="45">
        <v>3520</v>
      </c>
      <c r="CV3524" s="18">
        <v>45.471058207005662</v>
      </c>
      <c r="CW3524" s="18" t="str">
        <v>Invest</v>
      </c>
      <c r="CY3524" s="45">
        <v>3520</v>
      </c>
      <c r="CZ3524" s="18">
        <v>1.141755322450166</v>
      </c>
      <c r="DA3524" s="18" t="str">
        <v>Invest</v>
      </c>
    </row>
    <row r="3525" spans="99:105" ht="23.5">
      <c r="CU3525" s="45">
        <v>3521</v>
      </c>
      <c r="CV3525" s="18">
        <v>46.802335662422948</v>
      </c>
      <c r="CW3525" s="18" t="str">
        <v>Invest</v>
      </c>
      <c r="CY3525" s="45">
        <v>3521</v>
      </c>
      <c r="CZ3525" s="18">
        <v>36.703088824332795</v>
      </c>
      <c r="DA3525" s="18" t="str">
        <v>Invest</v>
      </c>
    </row>
    <row r="3526" spans="99:105" ht="23.5">
      <c r="CU3526" s="45">
        <v>3522</v>
      </c>
      <c r="CV3526" s="18">
        <v>7.2467840070533107</v>
      </c>
      <c r="CW3526" s="18" t="str">
        <v>Invest</v>
      </c>
      <c r="CY3526" s="45">
        <v>3522</v>
      </c>
      <c r="CZ3526" s="18">
        <v>44.611359304230731</v>
      </c>
      <c r="DA3526" s="18" t="str">
        <v>Invest</v>
      </c>
    </row>
    <row r="3527" spans="99:105" ht="23.5">
      <c r="CU3527" s="45">
        <v>3523</v>
      </c>
      <c r="CV3527" s="18">
        <v>4.5294529332240403</v>
      </c>
      <c r="CW3527" s="18" t="str">
        <v>Invest</v>
      </c>
      <c r="CY3527" s="45">
        <v>3523</v>
      </c>
      <c r="CZ3527" s="18">
        <v>50.444225618520704</v>
      </c>
      <c r="DA3527" s="18" t="str">
        <v>Invest</v>
      </c>
    </row>
    <row r="3528" spans="99:105" ht="23.5">
      <c r="CU3528" s="45">
        <v>3524</v>
      </c>
      <c r="CV3528" s="18">
        <v>0</v>
      </c>
      <c r="CW3528" s="18" t="str">
        <v>Nothing</v>
      </c>
      <c r="CY3528" s="45">
        <v>3524</v>
      </c>
      <c r="CZ3528" s="18">
        <v>49.395714564346946</v>
      </c>
      <c r="DA3528" s="18" t="str">
        <v>Invest</v>
      </c>
    </row>
    <row r="3529" spans="99:105" ht="23.5">
      <c r="CU3529" s="45">
        <v>3525</v>
      </c>
      <c r="CV3529" s="18">
        <v>31.799348628269318</v>
      </c>
      <c r="CW3529" s="18" t="str">
        <v>Invest</v>
      </c>
      <c r="CY3529" s="45">
        <v>3525</v>
      </c>
      <c r="CZ3529" s="18">
        <v>54.64467435975449</v>
      </c>
      <c r="DA3529" s="18" t="str">
        <v>Invest</v>
      </c>
    </row>
    <row r="3530" spans="99:105" ht="23.5">
      <c r="CU3530" s="45">
        <v>3526</v>
      </c>
      <c r="CV3530" s="18">
        <v>24.893883317593609</v>
      </c>
      <c r="CW3530" s="18" t="str">
        <v>Invest</v>
      </c>
      <c r="CY3530" s="45">
        <v>3526</v>
      </c>
      <c r="CZ3530" s="18">
        <v>17.157891121857709</v>
      </c>
      <c r="DA3530" s="18" t="str">
        <v>Invest</v>
      </c>
    </row>
    <row r="3531" spans="99:105" ht="23.5">
      <c r="CU3531" s="45">
        <v>3527</v>
      </c>
      <c r="CV3531" s="18">
        <v>16.462601913712945</v>
      </c>
      <c r="CW3531" s="18" t="str">
        <v>Invest</v>
      </c>
      <c r="CY3531" s="45">
        <v>3527</v>
      </c>
      <c r="CZ3531" s="18">
        <v>15.816580056410181</v>
      </c>
      <c r="DA3531" s="18" t="str">
        <v>Invest</v>
      </c>
    </row>
    <row r="3532" spans="99:105" ht="23.5">
      <c r="CU3532" s="45">
        <v>3528</v>
      </c>
      <c r="CV3532" s="18">
        <v>39.813813902048437</v>
      </c>
      <c r="CW3532" s="18" t="str">
        <v>Invest</v>
      </c>
      <c r="CY3532" s="45">
        <v>3528</v>
      </c>
      <c r="CZ3532" s="18">
        <v>0</v>
      </c>
      <c r="DA3532" s="18" t="str">
        <v>Nothing</v>
      </c>
    </row>
    <row r="3533" spans="99:105" ht="23.5">
      <c r="CU3533" s="45">
        <v>3529</v>
      </c>
      <c r="CV3533" s="18">
        <v>0</v>
      </c>
      <c r="CW3533" s="18" t="str">
        <v>Nothing</v>
      </c>
      <c r="CY3533" s="45">
        <v>3529</v>
      </c>
      <c r="CZ3533" s="18">
        <v>14.223820210454425</v>
      </c>
      <c r="DA3533" s="18" t="str">
        <v>Invest</v>
      </c>
    </row>
    <row r="3534" spans="99:105" ht="23.5">
      <c r="CU3534" s="45">
        <v>3530</v>
      </c>
      <c r="CV3534" s="18">
        <v>37.386786287350361</v>
      </c>
      <c r="CW3534" s="18" t="str">
        <v>Invest</v>
      </c>
      <c r="CY3534" s="45">
        <v>3530</v>
      </c>
      <c r="CZ3534" s="18">
        <v>22.842322926572052</v>
      </c>
      <c r="DA3534" s="18" t="str">
        <v>Invest</v>
      </c>
    </row>
    <row r="3535" spans="99:105" ht="23.5">
      <c r="CU3535" s="45">
        <v>3531</v>
      </c>
      <c r="CV3535" s="18">
        <v>0</v>
      </c>
      <c r="CW3535" s="18" t="str">
        <v>Nothing</v>
      </c>
      <c r="CY3535" s="45">
        <v>3531</v>
      </c>
      <c r="CZ3535" s="18">
        <v>0</v>
      </c>
      <c r="DA3535" s="18" t="str">
        <v>Nothing</v>
      </c>
    </row>
    <row r="3536" spans="99:105" ht="23.5">
      <c r="CU3536" s="45">
        <v>3532</v>
      </c>
      <c r="CV3536" s="18">
        <v>0</v>
      </c>
      <c r="CW3536" s="18" t="str">
        <v>Nothing</v>
      </c>
      <c r="CY3536" s="45">
        <v>3532</v>
      </c>
      <c r="CZ3536" s="18">
        <v>16.768960655884481</v>
      </c>
      <c r="DA3536" s="18" t="str">
        <v>Invest</v>
      </c>
    </row>
    <row r="3537" spans="99:105" ht="23.5">
      <c r="CU3537" s="45">
        <v>3533</v>
      </c>
      <c r="CV3537" s="18">
        <v>50.801284754427769</v>
      </c>
      <c r="CW3537" s="18" t="str">
        <v>Invest</v>
      </c>
      <c r="CY3537" s="45">
        <v>3533</v>
      </c>
      <c r="CZ3537" s="18">
        <v>47.086643222569364</v>
      </c>
      <c r="DA3537" s="18" t="str">
        <v>Invest</v>
      </c>
    </row>
    <row r="3538" spans="99:105" ht="23.5">
      <c r="CU3538" s="45">
        <v>3534</v>
      </c>
      <c r="CV3538" s="18">
        <v>9.3037351356701734</v>
      </c>
      <c r="CW3538" s="18" t="str">
        <v>Invest</v>
      </c>
      <c r="CY3538" s="45">
        <v>3534</v>
      </c>
      <c r="CZ3538" s="18">
        <v>8.3884617081861439</v>
      </c>
      <c r="DA3538" s="18" t="str">
        <v>Invest</v>
      </c>
    </row>
    <row r="3539" spans="99:105" ht="23.5">
      <c r="CU3539" s="45">
        <v>3535</v>
      </c>
      <c r="CV3539" s="18">
        <v>17.598427163333596</v>
      </c>
      <c r="CW3539" s="18" t="str">
        <v>Invest</v>
      </c>
      <c r="CY3539" s="45">
        <v>3535</v>
      </c>
      <c r="CZ3539" s="18">
        <v>56.670140609455508</v>
      </c>
      <c r="DA3539" s="18" t="str">
        <v>Invest</v>
      </c>
    </row>
    <row r="3540" spans="99:105" ht="23.5">
      <c r="CU3540" s="45">
        <v>3536</v>
      </c>
      <c r="CV3540" s="18">
        <v>23.655623511021609</v>
      </c>
      <c r="CW3540" s="18" t="str">
        <v>Invest</v>
      </c>
      <c r="CY3540" s="45">
        <v>3536</v>
      </c>
      <c r="CZ3540" s="18">
        <v>1.6572798011772516</v>
      </c>
      <c r="DA3540" s="18" t="str">
        <v>Invest</v>
      </c>
    </row>
    <row r="3541" spans="99:105" ht="23.5">
      <c r="CU3541" s="45">
        <v>3537</v>
      </c>
      <c r="CV3541" s="18">
        <v>0</v>
      </c>
      <c r="CW3541" s="18" t="str">
        <v>Nothing</v>
      </c>
      <c r="CY3541" s="45">
        <v>3537</v>
      </c>
      <c r="CZ3541" s="18">
        <v>11.175279799589687</v>
      </c>
      <c r="DA3541" s="18" t="str">
        <v>Invest</v>
      </c>
    </row>
    <row r="3542" spans="99:105" ht="23.5">
      <c r="CU3542" s="45">
        <v>3538</v>
      </c>
      <c r="CV3542" s="18">
        <v>0</v>
      </c>
      <c r="CW3542" s="18" t="str">
        <v>Nothing</v>
      </c>
      <c r="CY3542" s="45">
        <v>3538</v>
      </c>
      <c r="CZ3542" s="18">
        <v>24.097723277771721</v>
      </c>
      <c r="DA3542" s="18" t="str">
        <v>Invest</v>
      </c>
    </row>
    <row r="3543" spans="99:105" ht="23.5">
      <c r="CU3543" s="45">
        <v>3539</v>
      </c>
      <c r="CV3543" s="18">
        <v>25.681489657407681</v>
      </c>
      <c r="CW3543" s="18" t="str">
        <v>Invest</v>
      </c>
      <c r="CY3543" s="45">
        <v>3539</v>
      </c>
      <c r="CZ3543" s="18">
        <v>12.949612847575127</v>
      </c>
      <c r="DA3543" s="18" t="str">
        <v>Invest</v>
      </c>
    </row>
    <row r="3544" spans="99:105" ht="23.5">
      <c r="CU3544" s="45">
        <v>3540</v>
      </c>
      <c r="CV3544" s="18">
        <v>30.18203577758749</v>
      </c>
      <c r="CW3544" s="18" t="str">
        <v>Invest</v>
      </c>
      <c r="CY3544" s="45">
        <v>3540</v>
      </c>
      <c r="CZ3544" s="18">
        <v>21.329903738003274</v>
      </c>
      <c r="DA3544" s="18" t="str">
        <v>Invest</v>
      </c>
    </row>
    <row r="3545" spans="99:105" ht="23.5">
      <c r="CU3545" s="45">
        <v>3541</v>
      </c>
      <c r="CV3545" s="18">
        <v>32.233721374273877</v>
      </c>
      <c r="CW3545" s="18" t="str">
        <v>Invest</v>
      </c>
      <c r="CY3545" s="45">
        <v>3541</v>
      </c>
      <c r="CZ3545" s="18">
        <v>0</v>
      </c>
      <c r="DA3545" s="18" t="str">
        <v>Nothing</v>
      </c>
    </row>
    <row r="3546" spans="99:105" ht="23.5">
      <c r="CU3546" s="45">
        <v>3542</v>
      </c>
      <c r="CV3546" s="18">
        <v>0</v>
      </c>
      <c r="CW3546" s="18" t="str">
        <v>Nothing</v>
      </c>
      <c r="CY3546" s="45">
        <v>3542</v>
      </c>
      <c r="CZ3546" s="18">
        <v>15.112915904568331</v>
      </c>
      <c r="DA3546" s="18" t="str">
        <v>Invest</v>
      </c>
    </row>
    <row r="3547" spans="99:105" ht="23.5">
      <c r="CU3547" s="45">
        <v>3543</v>
      </c>
      <c r="CV3547" s="18">
        <v>42.391297267743411</v>
      </c>
      <c r="CW3547" s="18" t="str">
        <v>Invest</v>
      </c>
      <c r="CY3547" s="45">
        <v>3543</v>
      </c>
      <c r="CZ3547" s="18">
        <v>43.500238000194102</v>
      </c>
      <c r="DA3547" s="18" t="str">
        <v>Invest</v>
      </c>
    </row>
    <row r="3548" spans="99:105" ht="23.5">
      <c r="CU3548" s="45">
        <v>3544</v>
      </c>
      <c r="CV3548" s="18">
        <v>36.757408521165914</v>
      </c>
      <c r="CW3548" s="18" t="str">
        <v>Invest</v>
      </c>
      <c r="CY3548" s="45">
        <v>3544</v>
      </c>
      <c r="CZ3548" s="18">
        <v>19.433443116264304</v>
      </c>
      <c r="DA3548" s="18" t="str">
        <v>Invest</v>
      </c>
    </row>
    <row r="3549" spans="99:105" ht="23.5">
      <c r="CU3549" s="45">
        <v>3545</v>
      </c>
      <c r="CV3549" s="18">
        <v>25.025602682463948</v>
      </c>
      <c r="CW3549" s="18" t="str">
        <v>Invest</v>
      </c>
      <c r="CY3549" s="45">
        <v>3545</v>
      </c>
      <c r="CZ3549" s="18">
        <v>0</v>
      </c>
      <c r="DA3549" s="18" t="str">
        <v>Nothing</v>
      </c>
    </row>
    <row r="3550" spans="99:105" ht="23.5">
      <c r="CU3550" s="45">
        <v>3546</v>
      </c>
      <c r="CV3550" s="18">
        <v>8.3172229169801888</v>
      </c>
      <c r="CW3550" s="18" t="str">
        <v>Invest</v>
      </c>
      <c r="CY3550" s="45">
        <v>3546</v>
      </c>
      <c r="CZ3550" s="18">
        <v>0</v>
      </c>
      <c r="DA3550" s="18" t="str">
        <v>Nothing</v>
      </c>
    </row>
    <row r="3551" spans="99:105" ht="23.5">
      <c r="CU3551" s="45">
        <v>3547</v>
      </c>
      <c r="CV3551" s="18">
        <v>6.6229610221197257</v>
      </c>
      <c r="CW3551" s="18" t="str">
        <v>Invest</v>
      </c>
      <c r="CY3551" s="45">
        <v>3547</v>
      </c>
      <c r="CZ3551" s="18">
        <v>31.685404763044051</v>
      </c>
      <c r="DA3551" s="18" t="str">
        <v>Invest</v>
      </c>
    </row>
    <row r="3552" spans="99:105" ht="23.5">
      <c r="CU3552" s="45">
        <v>3548</v>
      </c>
      <c r="CV3552" s="18">
        <v>35.600514743869397</v>
      </c>
      <c r="CW3552" s="18" t="str">
        <v>Invest</v>
      </c>
      <c r="CY3552" s="45">
        <v>3548</v>
      </c>
      <c r="CZ3552" s="18">
        <v>14.60344068790226</v>
      </c>
      <c r="DA3552" s="18" t="str">
        <v>Invest</v>
      </c>
    </row>
    <row r="3553" spans="99:105" ht="23.5">
      <c r="CU3553" s="45">
        <v>3549</v>
      </c>
      <c r="CV3553" s="18">
        <v>21.428569211604085</v>
      </c>
      <c r="CW3553" s="18" t="str">
        <v>Invest</v>
      </c>
      <c r="CY3553" s="45">
        <v>3549</v>
      </c>
      <c r="CZ3553" s="18">
        <v>10.185132721059452</v>
      </c>
      <c r="DA3553" s="18" t="str">
        <v>Invest</v>
      </c>
    </row>
    <row r="3554" spans="99:105" ht="23.5">
      <c r="CU3554" s="45">
        <v>3550</v>
      </c>
      <c r="CV3554" s="18">
        <v>13.680963641181368</v>
      </c>
      <c r="CW3554" s="18" t="str">
        <v>Invest</v>
      </c>
      <c r="CY3554" s="45">
        <v>3550</v>
      </c>
      <c r="CZ3554" s="18">
        <v>5.8772037764849294</v>
      </c>
      <c r="DA3554" s="18" t="str">
        <v>Invest</v>
      </c>
    </row>
    <row r="3555" spans="99:105" ht="23.5">
      <c r="CU3555" s="45">
        <v>3551</v>
      </c>
      <c r="CV3555" s="18">
        <v>0</v>
      </c>
      <c r="CW3555" s="18" t="str">
        <v>Nothing</v>
      </c>
      <c r="CY3555" s="45">
        <v>3551</v>
      </c>
      <c r="CZ3555" s="18">
        <v>40.302061756559134</v>
      </c>
      <c r="DA3555" s="18" t="str">
        <v>Invest</v>
      </c>
    </row>
    <row r="3556" spans="99:105" ht="23.5">
      <c r="CU3556" s="45">
        <v>3552</v>
      </c>
      <c r="CV3556" s="18">
        <v>9.7092787968747967</v>
      </c>
      <c r="CW3556" s="18" t="str">
        <v>Invest</v>
      </c>
      <c r="CY3556" s="45">
        <v>3552</v>
      </c>
      <c r="CZ3556" s="18">
        <v>13.67287681662987</v>
      </c>
      <c r="DA3556" s="18" t="str">
        <v>Invest</v>
      </c>
    </row>
    <row r="3557" spans="99:105" ht="23.5">
      <c r="CU3557" s="45">
        <v>3553</v>
      </c>
      <c r="CV3557" s="18">
        <v>9.2204133530674319</v>
      </c>
      <c r="CW3557" s="18" t="str">
        <v>Invest</v>
      </c>
      <c r="CY3557" s="45">
        <v>3553</v>
      </c>
      <c r="CZ3557" s="18">
        <v>10.124846244880368</v>
      </c>
      <c r="DA3557" s="18" t="str">
        <v>Invest</v>
      </c>
    </row>
    <row r="3558" spans="99:105" ht="23.5">
      <c r="CU3558" s="45">
        <v>3554</v>
      </c>
      <c r="CV3558" s="18">
        <v>20.088168424334182</v>
      </c>
      <c r="CW3558" s="18" t="str">
        <v>Invest</v>
      </c>
      <c r="CY3558" s="45">
        <v>3554</v>
      </c>
      <c r="CZ3558" s="18">
        <v>7.2843012060294603</v>
      </c>
      <c r="DA3558" s="18" t="str">
        <v>Invest</v>
      </c>
    </row>
    <row r="3559" spans="99:105" ht="23.5">
      <c r="CU3559" s="45">
        <v>3555</v>
      </c>
      <c r="CV3559" s="18">
        <v>0</v>
      </c>
      <c r="CW3559" s="18" t="str">
        <v>Nothing</v>
      </c>
      <c r="CY3559" s="45">
        <v>3555</v>
      </c>
      <c r="CZ3559" s="18">
        <v>0</v>
      </c>
      <c r="DA3559" s="18" t="str">
        <v>Nothing</v>
      </c>
    </row>
    <row r="3560" spans="99:105" ht="23.5">
      <c r="CU3560" s="45">
        <v>3556</v>
      </c>
      <c r="CV3560" s="18">
        <v>9.9152702027656296</v>
      </c>
      <c r="CW3560" s="18" t="str">
        <v>Invest</v>
      </c>
      <c r="CY3560" s="45">
        <v>3556</v>
      </c>
      <c r="CZ3560" s="18">
        <v>0.13770206534300833</v>
      </c>
      <c r="DA3560" s="18" t="str">
        <v>Invest</v>
      </c>
    </row>
    <row r="3561" spans="99:105" ht="23.5">
      <c r="CU3561" s="45">
        <v>3557</v>
      </c>
      <c r="CV3561" s="18">
        <v>0.8932870697429216</v>
      </c>
      <c r="CW3561" s="18" t="str">
        <v>Invest</v>
      </c>
      <c r="CY3561" s="45">
        <v>3557</v>
      </c>
      <c r="CZ3561" s="18">
        <v>43.876307532752378</v>
      </c>
      <c r="DA3561" s="18" t="str">
        <v>Invest</v>
      </c>
    </row>
    <row r="3562" spans="99:105" ht="23.5">
      <c r="CU3562" s="45">
        <v>3558</v>
      </c>
      <c r="CV3562" s="18">
        <v>33.97684554633905</v>
      </c>
      <c r="CW3562" s="18" t="str">
        <v>Invest</v>
      </c>
      <c r="CY3562" s="45">
        <v>3558</v>
      </c>
      <c r="CZ3562" s="18">
        <v>0</v>
      </c>
      <c r="DA3562" s="18" t="str">
        <v>Nothing</v>
      </c>
    </row>
    <row r="3563" spans="99:105" ht="23.5">
      <c r="CU3563" s="45">
        <v>3559</v>
      </c>
      <c r="CV3563" s="18">
        <v>0</v>
      </c>
      <c r="CW3563" s="18" t="str">
        <v>Nothing</v>
      </c>
      <c r="CY3563" s="45">
        <v>3559</v>
      </c>
      <c r="CZ3563" s="18">
        <v>25.816538296584962</v>
      </c>
      <c r="DA3563" s="18" t="str">
        <v>Invest</v>
      </c>
    </row>
    <row r="3564" spans="99:105" ht="23.5">
      <c r="CU3564" s="45">
        <v>3560</v>
      </c>
      <c r="CV3564" s="18">
        <v>15.823278520478858</v>
      </c>
      <c r="CW3564" s="18" t="str">
        <v>Invest</v>
      </c>
      <c r="CY3564" s="45">
        <v>3560</v>
      </c>
      <c r="CZ3564" s="18">
        <v>19.727639228936933</v>
      </c>
      <c r="DA3564" s="18" t="str">
        <v>Invest</v>
      </c>
    </row>
    <row r="3565" spans="99:105" ht="23.5">
      <c r="CU3565" s="45">
        <v>3561</v>
      </c>
      <c r="CV3565" s="18">
        <v>21.682228728406823</v>
      </c>
      <c r="CW3565" s="18" t="str">
        <v>Invest</v>
      </c>
      <c r="CY3565" s="45">
        <v>3561</v>
      </c>
      <c r="CZ3565" s="18">
        <v>52.27836020544207</v>
      </c>
      <c r="DA3565" s="18" t="str">
        <v>Invest</v>
      </c>
    </row>
    <row r="3566" spans="99:105" ht="23.5">
      <c r="CU3566" s="45">
        <v>3562</v>
      </c>
      <c r="CV3566" s="18">
        <v>0</v>
      </c>
      <c r="CW3566" s="18" t="str">
        <v>Nothing</v>
      </c>
      <c r="CY3566" s="45">
        <v>3562</v>
      </c>
      <c r="CZ3566" s="18">
        <v>39.073369336108662</v>
      </c>
      <c r="DA3566" s="18" t="str">
        <v>Invest</v>
      </c>
    </row>
    <row r="3567" spans="99:105" ht="23.5">
      <c r="CU3567" s="45">
        <v>3563</v>
      </c>
      <c r="CV3567" s="18">
        <v>4.7398434434009573</v>
      </c>
      <c r="CW3567" s="18" t="str">
        <v>Invest</v>
      </c>
      <c r="CY3567" s="45">
        <v>3563</v>
      </c>
      <c r="CZ3567" s="18">
        <v>11.655568750132426</v>
      </c>
      <c r="DA3567" s="18" t="str">
        <v>Invest</v>
      </c>
    </row>
    <row r="3568" spans="99:105" ht="23.5">
      <c r="CU3568" s="45">
        <v>3564</v>
      </c>
      <c r="CV3568" s="18">
        <v>0</v>
      </c>
      <c r="CW3568" s="18" t="str">
        <v>Nothing</v>
      </c>
      <c r="CY3568" s="45">
        <v>3564</v>
      </c>
      <c r="CZ3568" s="18">
        <v>20.331738444177951</v>
      </c>
      <c r="DA3568" s="18" t="str">
        <v>Invest</v>
      </c>
    </row>
    <row r="3569" spans="99:105" ht="23.5">
      <c r="CU3569" s="45">
        <v>3565</v>
      </c>
      <c r="CV3569" s="18">
        <v>33.704458002928732</v>
      </c>
      <c r="CW3569" s="18" t="str">
        <v>Invest</v>
      </c>
      <c r="CY3569" s="45">
        <v>3565</v>
      </c>
      <c r="CZ3569" s="18">
        <v>0</v>
      </c>
      <c r="DA3569" s="18" t="str">
        <v>Nothing</v>
      </c>
    </row>
    <row r="3570" spans="99:105" ht="23.5">
      <c r="CU3570" s="45">
        <v>3566</v>
      </c>
      <c r="CV3570" s="18">
        <v>1.1879876875253341</v>
      </c>
      <c r="CW3570" s="18" t="str">
        <v>Invest</v>
      </c>
      <c r="CY3570" s="45">
        <v>3566</v>
      </c>
      <c r="CZ3570" s="18">
        <v>31.00495385613446</v>
      </c>
      <c r="DA3570" s="18" t="str">
        <v>Invest</v>
      </c>
    </row>
    <row r="3571" spans="99:105" ht="23.5">
      <c r="CU3571" s="45">
        <v>3567</v>
      </c>
      <c r="CV3571" s="18">
        <v>34.008820373209623</v>
      </c>
      <c r="CW3571" s="18" t="str">
        <v>Invest</v>
      </c>
      <c r="CY3571" s="45">
        <v>3567</v>
      </c>
      <c r="CZ3571" s="18">
        <v>17.505719423302601</v>
      </c>
      <c r="DA3571" s="18" t="str">
        <v>Invest</v>
      </c>
    </row>
    <row r="3572" spans="99:105" ht="23.5">
      <c r="CU3572" s="45">
        <v>3568</v>
      </c>
      <c r="CV3572" s="18">
        <v>33.53409144553288</v>
      </c>
      <c r="CW3572" s="18" t="str">
        <v>Invest</v>
      </c>
      <c r="CY3572" s="45">
        <v>3568</v>
      </c>
      <c r="CZ3572" s="18">
        <v>0</v>
      </c>
      <c r="DA3572" s="18" t="str">
        <v>Nothing</v>
      </c>
    </row>
    <row r="3573" spans="99:105" ht="23.5">
      <c r="CU3573" s="45">
        <v>3569</v>
      </c>
      <c r="CV3573" s="18">
        <v>31.493814983989495</v>
      </c>
      <c r="CW3573" s="18" t="str">
        <v>Invest</v>
      </c>
      <c r="CY3573" s="45">
        <v>3569</v>
      </c>
      <c r="CZ3573" s="18">
        <v>0</v>
      </c>
      <c r="DA3573" s="18" t="str">
        <v>Nothing</v>
      </c>
    </row>
    <row r="3574" spans="99:105" ht="23.5">
      <c r="CU3574" s="45">
        <v>3570</v>
      </c>
      <c r="CV3574" s="18">
        <v>0</v>
      </c>
      <c r="CW3574" s="18" t="str">
        <v>Nothing</v>
      </c>
      <c r="CY3574" s="45">
        <v>3570</v>
      </c>
      <c r="CZ3574" s="18">
        <v>20.684534717369097</v>
      </c>
      <c r="DA3574" s="18" t="str">
        <v>Invest</v>
      </c>
    </row>
    <row r="3575" spans="99:105" ht="23.5">
      <c r="CU3575" s="45">
        <v>3571</v>
      </c>
      <c r="CV3575" s="18">
        <v>0</v>
      </c>
      <c r="CW3575" s="18" t="str">
        <v>Nothing</v>
      </c>
      <c r="CY3575" s="45">
        <v>3571</v>
      </c>
      <c r="CZ3575" s="18">
        <v>17.345955241344505</v>
      </c>
      <c r="DA3575" s="18" t="str">
        <v>Invest</v>
      </c>
    </row>
    <row r="3576" spans="99:105" ht="23.5">
      <c r="CU3576" s="45">
        <v>3572</v>
      </c>
      <c r="CV3576" s="18">
        <v>39.722564535245127</v>
      </c>
      <c r="CW3576" s="18" t="str">
        <v>Invest</v>
      </c>
      <c r="CY3576" s="45">
        <v>3572</v>
      </c>
      <c r="CZ3576" s="18">
        <v>58.43427297448622</v>
      </c>
      <c r="DA3576" s="18" t="str">
        <v>Invest</v>
      </c>
    </row>
    <row r="3577" spans="99:105" ht="23.5">
      <c r="CU3577" s="45">
        <v>3573</v>
      </c>
      <c r="CV3577" s="18">
        <v>20.558306681266124</v>
      </c>
      <c r="CW3577" s="18" t="str">
        <v>Invest</v>
      </c>
      <c r="CY3577" s="45">
        <v>3573</v>
      </c>
      <c r="CZ3577" s="18">
        <v>0</v>
      </c>
      <c r="DA3577" s="18" t="str">
        <v>Nothing</v>
      </c>
    </row>
    <row r="3578" spans="99:105" ht="23.5">
      <c r="CU3578" s="45">
        <v>3574</v>
      </c>
      <c r="CV3578" s="18">
        <v>42.832690787414577</v>
      </c>
      <c r="CW3578" s="18" t="str">
        <v>Invest</v>
      </c>
      <c r="CY3578" s="45">
        <v>3574</v>
      </c>
      <c r="CZ3578" s="18">
        <v>44.837075906680397</v>
      </c>
      <c r="DA3578" s="18" t="str">
        <v>Invest</v>
      </c>
    </row>
    <row r="3579" spans="99:105" ht="23.5">
      <c r="CU3579" s="45">
        <v>3575</v>
      </c>
      <c r="CV3579" s="18">
        <v>0</v>
      </c>
      <c r="CW3579" s="18" t="str">
        <v>Nothing</v>
      </c>
      <c r="CY3579" s="45">
        <v>3575</v>
      </c>
      <c r="CZ3579" s="18">
        <v>0</v>
      </c>
      <c r="DA3579" s="18" t="str">
        <v>Nothing</v>
      </c>
    </row>
    <row r="3580" spans="99:105" ht="23.5">
      <c r="CU3580" s="45">
        <v>3576</v>
      </c>
      <c r="CV3580" s="18">
        <v>20.450942277374178</v>
      </c>
      <c r="CW3580" s="18" t="str">
        <v>Invest</v>
      </c>
      <c r="CY3580" s="45">
        <v>3576</v>
      </c>
      <c r="CZ3580" s="18">
        <v>0</v>
      </c>
      <c r="DA3580" s="18" t="str">
        <v>Nothing</v>
      </c>
    </row>
    <row r="3581" spans="99:105" ht="23.5">
      <c r="CU3581" s="45">
        <v>3577</v>
      </c>
      <c r="CV3581" s="18">
        <v>6.3255124701906835</v>
      </c>
      <c r="CW3581" s="18" t="str">
        <v>Invest</v>
      </c>
      <c r="CY3581" s="45">
        <v>3577</v>
      </c>
      <c r="CZ3581" s="18">
        <v>65.33746422392035</v>
      </c>
      <c r="DA3581" s="18" t="str">
        <v>Invest</v>
      </c>
    </row>
    <row r="3582" spans="99:105" ht="23.5">
      <c r="CU3582" s="45">
        <v>3578</v>
      </c>
      <c r="CV3582" s="18">
        <v>0</v>
      </c>
      <c r="CW3582" s="18" t="str">
        <v>Nothing</v>
      </c>
      <c r="CY3582" s="45">
        <v>3578</v>
      </c>
      <c r="CZ3582" s="18">
        <v>0</v>
      </c>
      <c r="DA3582" s="18" t="str">
        <v>Nothing</v>
      </c>
    </row>
    <row r="3583" spans="99:105" ht="23.5">
      <c r="CU3583" s="45">
        <v>3579</v>
      </c>
      <c r="CV3583" s="18">
        <v>10.490534345327706</v>
      </c>
      <c r="CW3583" s="18" t="str">
        <v>Invest</v>
      </c>
      <c r="CY3583" s="45">
        <v>3579</v>
      </c>
      <c r="CZ3583" s="18">
        <v>29.397268641979938</v>
      </c>
      <c r="DA3583" s="18" t="str">
        <v>Invest</v>
      </c>
    </row>
    <row r="3584" spans="99:105" ht="23.5">
      <c r="CU3584" s="45">
        <v>3580</v>
      </c>
      <c r="CV3584" s="18">
        <v>52.390414909064766</v>
      </c>
      <c r="CW3584" s="18" t="str">
        <v>Invest</v>
      </c>
      <c r="CY3584" s="45">
        <v>3580</v>
      </c>
      <c r="CZ3584" s="18">
        <v>0</v>
      </c>
      <c r="DA3584" s="18" t="str">
        <v>Nothing</v>
      </c>
    </row>
    <row r="3585" spans="99:105" ht="23.5">
      <c r="CU3585" s="45">
        <v>3581</v>
      </c>
      <c r="CV3585" s="18">
        <v>0</v>
      </c>
      <c r="CW3585" s="18" t="str">
        <v>Nothing</v>
      </c>
      <c r="CY3585" s="45">
        <v>3581</v>
      </c>
      <c r="CZ3585" s="18">
        <v>16.775886266021637</v>
      </c>
      <c r="DA3585" s="18" t="str">
        <v>Invest</v>
      </c>
    </row>
    <row r="3586" spans="99:105" ht="23.5">
      <c r="CU3586" s="45">
        <v>3582</v>
      </c>
      <c r="CV3586" s="18">
        <v>16.765013353190426</v>
      </c>
      <c r="CW3586" s="18" t="str">
        <v>Invest</v>
      </c>
      <c r="CY3586" s="45">
        <v>3582</v>
      </c>
      <c r="CZ3586" s="18">
        <v>0</v>
      </c>
      <c r="DA3586" s="18" t="str">
        <v>Nothing</v>
      </c>
    </row>
    <row r="3587" spans="99:105" ht="23.5">
      <c r="CU3587" s="45">
        <v>3583</v>
      </c>
      <c r="CV3587" s="18">
        <v>38.580558338765648</v>
      </c>
      <c r="CW3587" s="18" t="str">
        <v>Invest</v>
      </c>
      <c r="CY3587" s="45">
        <v>3583</v>
      </c>
      <c r="CZ3587" s="18">
        <v>24.326448558989547</v>
      </c>
      <c r="DA3587" s="18" t="str">
        <v>Invest</v>
      </c>
    </row>
    <row r="3588" spans="99:105" ht="23.5">
      <c r="CU3588" s="45">
        <v>3584</v>
      </c>
      <c r="CV3588" s="18">
        <v>33.564602886423756</v>
      </c>
      <c r="CW3588" s="18" t="str">
        <v>Invest</v>
      </c>
      <c r="CY3588" s="45">
        <v>3584</v>
      </c>
      <c r="CZ3588" s="18">
        <v>24.700864343949988</v>
      </c>
      <c r="DA3588" s="18" t="str">
        <v>Invest</v>
      </c>
    </row>
    <row r="3589" spans="99:105" ht="23.5">
      <c r="CU3589" s="45">
        <v>3585</v>
      </c>
      <c r="CV3589" s="18">
        <v>57.539885507378138</v>
      </c>
      <c r="CW3589" s="18" t="str">
        <v>Invest</v>
      </c>
      <c r="CY3589" s="45">
        <v>3585</v>
      </c>
      <c r="CZ3589" s="18">
        <v>32.343846721719551</v>
      </c>
      <c r="DA3589" s="18" t="str">
        <v>Invest</v>
      </c>
    </row>
    <row r="3590" spans="99:105" ht="23.5">
      <c r="CU3590" s="45">
        <v>3586</v>
      </c>
      <c r="CV3590" s="18">
        <v>18.337512716399928</v>
      </c>
      <c r="CW3590" s="18" t="str">
        <v>Invest</v>
      </c>
      <c r="CY3590" s="45">
        <v>3586</v>
      </c>
      <c r="CZ3590" s="18">
        <v>0</v>
      </c>
      <c r="DA3590" s="18" t="str">
        <v>Nothing</v>
      </c>
    </row>
    <row r="3591" spans="99:105" ht="23.5">
      <c r="CU3591" s="45">
        <v>3587</v>
      </c>
      <c r="CV3591" s="18">
        <v>1.0920700199221525</v>
      </c>
      <c r="CW3591" s="18" t="str">
        <v>Invest</v>
      </c>
      <c r="CY3591" s="45">
        <v>3587</v>
      </c>
      <c r="CZ3591" s="18">
        <v>0</v>
      </c>
      <c r="DA3591" s="18" t="str">
        <v>Nothing</v>
      </c>
    </row>
    <row r="3592" spans="99:105" ht="23.5">
      <c r="CU3592" s="45">
        <v>3588</v>
      </c>
      <c r="CV3592" s="18">
        <v>25.133014500066352</v>
      </c>
      <c r="CW3592" s="18" t="str">
        <v>Invest</v>
      </c>
      <c r="CY3592" s="45">
        <v>3588</v>
      </c>
      <c r="CZ3592" s="18">
        <v>0</v>
      </c>
      <c r="DA3592" s="18" t="str">
        <v>Nothing</v>
      </c>
    </row>
    <row r="3593" spans="99:105" ht="23.5">
      <c r="CU3593" s="45">
        <v>3589</v>
      </c>
      <c r="CV3593" s="18">
        <v>39.217243849762099</v>
      </c>
      <c r="CW3593" s="18" t="str">
        <v>Invest</v>
      </c>
      <c r="CY3593" s="45">
        <v>3589</v>
      </c>
      <c r="CZ3593" s="18">
        <v>55.348743691558113</v>
      </c>
      <c r="DA3593" s="18" t="str">
        <v>Invest</v>
      </c>
    </row>
    <row r="3594" spans="99:105" ht="23.5">
      <c r="CU3594" s="45">
        <v>3590</v>
      </c>
      <c r="CV3594" s="18">
        <v>20.102589264028154</v>
      </c>
      <c r="CW3594" s="18" t="str">
        <v>Invest</v>
      </c>
      <c r="CY3594" s="45">
        <v>3590</v>
      </c>
      <c r="CZ3594" s="18">
        <v>37.675956247428573</v>
      </c>
      <c r="DA3594" s="18" t="str">
        <v>Invest</v>
      </c>
    </row>
    <row r="3595" spans="99:105" ht="23.5">
      <c r="CU3595" s="45">
        <v>3591</v>
      </c>
      <c r="CV3595" s="18">
        <v>0</v>
      </c>
      <c r="CW3595" s="18" t="str">
        <v>Nothing</v>
      </c>
      <c r="CY3595" s="45">
        <v>3591</v>
      </c>
      <c r="CZ3595" s="18">
        <v>0.77756258831756675</v>
      </c>
      <c r="DA3595" s="18" t="str">
        <v>Invest</v>
      </c>
    </row>
    <row r="3596" spans="99:105" ht="23.5">
      <c r="CU3596" s="45">
        <v>3592</v>
      </c>
      <c r="CV3596" s="18">
        <v>0</v>
      </c>
      <c r="CW3596" s="18" t="str">
        <v>Nothing</v>
      </c>
      <c r="CY3596" s="45">
        <v>3592</v>
      </c>
      <c r="CZ3596" s="18">
        <v>6.1157488783647036</v>
      </c>
      <c r="DA3596" s="18" t="str">
        <v>Invest</v>
      </c>
    </row>
    <row r="3597" spans="99:105" ht="23.5">
      <c r="CU3597" s="45">
        <v>3593</v>
      </c>
      <c r="CV3597" s="18">
        <v>24.670393948171906</v>
      </c>
      <c r="CW3597" s="18" t="str">
        <v>Invest</v>
      </c>
      <c r="CY3597" s="45">
        <v>3593</v>
      </c>
      <c r="CZ3597" s="18">
        <v>38.019693950267929</v>
      </c>
      <c r="DA3597" s="18" t="str">
        <v>Invest</v>
      </c>
    </row>
    <row r="3598" spans="99:105" ht="23.5">
      <c r="CU3598" s="45">
        <v>3594</v>
      </c>
      <c r="CV3598" s="18">
        <v>56.112444358592903</v>
      </c>
      <c r="CW3598" s="18" t="str">
        <v>Invest</v>
      </c>
      <c r="CY3598" s="45">
        <v>3594</v>
      </c>
      <c r="CZ3598" s="18">
        <v>0</v>
      </c>
      <c r="DA3598" s="18" t="str">
        <v>Nothing</v>
      </c>
    </row>
    <row r="3599" spans="99:105" ht="23.5">
      <c r="CU3599" s="45">
        <v>3595</v>
      </c>
      <c r="CV3599" s="18">
        <v>0</v>
      </c>
      <c r="CW3599" s="18" t="str">
        <v>Nothing</v>
      </c>
      <c r="CY3599" s="45">
        <v>3595</v>
      </c>
      <c r="CZ3599" s="18">
        <v>23.489365427508211</v>
      </c>
      <c r="DA3599" s="18" t="str">
        <v>Invest</v>
      </c>
    </row>
    <row r="3600" spans="99:105" ht="23.5">
      <c r="CU3600" s="45">
        <v>3596</v>
      </c>
      <c r="CV3600" s="18">
        <v>42.999496245250683</v>
      </c>
      <c r="CW3600" s="18" t="str">
        <v>Invest</v>
      </c>
      <c r="CY3600" s="45">
        <v>3596</v>
      </c>
      <c r="CZ3600" s="18">
        <v>39.044215976899615</v>
      </c>
      <c r="DA3600" s="18" t="str">
        <v>Invest</v>
      </c>
    </row>
    <row r="3601" spans="99:105" ht="23.5">
      <c r="CU3601" s="45">
        <v>3597</v>
      </c>
      <c r="CV3601" s="18">
        <v>58.482342557026463</v>
      </c>
      <c r="CW3601" s="18" t="str">
        <v>Invest</v>
      </c>
      <c r="CY3601" s="45">
        <v>3597</v>
      </c>
      <c r="CZ3601" s="18">
        <v>58.406825316690302</v>
      </c>
      <c r="DA3601" s="18" t="str">
        <v>Invest</v>
      </c>
    </row>
    <row r="3602" spans="99:105" ht="23.5">
      <c r="CU3602" s="45">
        <v>3598</v>
      </c>
      <c r="CV3602" s="18">
        <v>21.935404373568652</v>
      </c>
      <c r="CW3602" s="18" t="str">
        <v>Invest</v>
      </c>
      <c r="CY3602" s="45">
        <v>3598</v>
      </c>
      <c r="CZ3602" s="18">
        <v>35.190208030716107</v>
      </c>
      <c r="DA3602" s="18" t="str">
        <v>Invest</v>
      </c>
    </row>
    <row r="3603" spans="99:105" ht="23.5">
      <c r="CU3603" s="45">
        <v>3599</v>
      </c>
      <c r="CV3603" s="18">
        <v>56.213088446642878</v>
      </c>
      <c r="CW3603" s="18" t="str">
        <v>Invest</v>
      </c>
      <c r="CY3603" s="45">
        <v>3599</v>
      </c>
      <c r="CZ3603" s="18">
        <v>39.740248635506333</v>
      </c>
      <c r="DA3603" s="18" t="str">
        <v>Invest</v>
      </c>
    </row>
    <row r="3604" spans="99:105" ht="23.5">
      <c r="CU3604" s="45">
        <v>3600</v>
      </c>
      <c r="CV3604" s="18">
        <v>8.7095773475590192</v>
      </c>
      <c r="CW3604" s="18" t="str">
        <v>Invest</v>
      </c>
      <c r="CY3604" s="45">
        <v>3600</v>
      </c>
      <c r="CZ3604" s="18">
        <v>23.045611236158077</v>
      </c>
      <c r="DA3604" s="18" t="str">
        <v>Invest</v>
      </c>
    </row>
    <row r="3605" spans="99:105" ht="23.5">
      <c r="CU3605" s="45">
        <v>3601</v>
      </c>
      <c r="CV3605" s="18">
        <v>17.982302449443463</v>
      </c>
      <c r="CW3605" s="18" t="str">
        <v>Invest</v>
      </c>
      <c r="CY3605" s="45">
        <v>3601</v>
      </c>
      <c r="CZ3605" s="18">
        <v>6.5262311764396639</v>
      </c>
      <c r="DA3605" s="18" t="str">
        <v>Invest</v>
      </c>
    </row>
    <row r="3606" spans="99:105" ht="23.5">
      <c r="CU3606" s="45">
        <v>3602</v>
      </c>
      <c r="CV3606" s="18">
        <v>37.766056609994237</v>
      </c>
      <c r="CW3606" s="18" t="str">
        <v>Invest</v>
      </c>
      <c r="CY3606" s="45">
        <v>3602</v>
      </c>
      <c r="CZ3606" s="18">
        <v>15.754198901107888</v>
      </c>
      <c r="DA3606" s="18" t="str">
        <v>Invest</v>
      </c>
    </row>
    <row r="3607" spans="99:105" ht="23.5">
      <c r="CU3607" s="45">
        <v>3603</v>
      </c>
      <c r="CV3607" s="18">
        <v>0</v>
      </c>
      <c r="CW3607" s="18" t="str">
        <v>Nothing</v>
      </c>
      <c r="CY3607" s="45">
        <v>3603</v>
      </c>
      <c r="CZ3607" s="18">
        <v>22.694449866638188</v>
      </c>
      <c r="DA3607" s="18" t="str">
        <v>Invest</v>
      </c>
    </row>
    <row r="3608" spans="99:105" ht="23.5">
      <c r="CU3608" s="45">
        <v>3604</v>
      </c>
      <c r="CV3608" s="18">
        <v>21.13637792548473</v>
      </c>
      <c r="CW3608" s="18" t="str">
        <v>Invest</v>
      </c>
      <c r="CY3608" s="45">
        <v>3604</v>
      </c>
      <c r="CZ3608" s="18">
        <v>2.7959594013903448</v>
      </c>
      <c r="DA3608" s="18" t="str">
        <v>Invest</v>
      </c>
    </row>
    <row r="3609" spans="99:105" ht="23.5">
      <c r="CU3609" s="45">
        <v>3605</v>
      </c>
      <c r="CV3609" s="18">
        <v>14.27152931455112</v>
      </c>
      <c r="CW3609" s="18" t="str">
        <v>Invest</v>
      </c>
      <c r="CY3609" s="45">
        <v>3605</v>
      </c>
      <c r="CZ3609" s="18">
        <v>0</v>
      </c>
      <c r="DA3609" s="18" t="str">
        <v>Nothing</v>
      </c>
    </row>
    <row r="3610" spans="99:105" ht="23.5">
      <c r="CU3610" s="45">
        <v>3606</v>
      </c>
      <c r="CV3610" s="18">
        <v>4.9397486847107537</v>
      </c>
      <c r="CW3610" s="18" t="str">
        <v>Invest</v>
      </c>
      <c r="CY3610" s="45">
        <v>3606</v>
      </c>
      <c r="CZ3610" s="18">
        <v>45.741801322126477</v>
      </c>
      <c r="DA3610" s="18" t="str">
        <v>Invest</v>
      </c>
    </row>
    <row r="3611" spans="99:105" ht="23.5">
      <c r="CU3611" s="45">
        <v>3607</v>
      </c>
      <c r="CV3611" s="18">
        <v>0</v>
      </c>
      <c r="CW3611" s="18" t="str">
        <v>Nothing</v>
      </c>
      <c r="CY3611" s="45">
        <v>3607</v>
      </c>
      <c r="CZ3611" s="18">
        <v>38.11842322266989</v>
      </c>
      <c r="DA3611" s="18" t="str">
        <v>Invest</v>
      </c>
    </row>
    <row r="3612" spans="99:105" ht="23.5">
      <c r="CU3612" s="45">
        <v>3608</v>
      </c>
      <c r="CV3612" s="18">
        <v>31.179371990196831</v>
      </c>
      <c r="CW3612" s="18" t="str">
        <v>Invest</v>
      </c>
      <c r="CY3612" s="45">
        <v>3608</v>
      </c>
      <c r="CZ3612" s="18">
        <v>25.459189815469138</v>
      </c>
      <c r="DA3612" s="18" t="str">
        <v>Invest</v>
      </c>
    </row>
    <row r="3613" spans="99:105" ht="23.5">
      <c r="CU3613" s="45">
        <v>3609</v>
      </c>
      <c r="CV3613" s="18">
        <v>3.2558669622855909</v>
      </c>
      <c r="CW3613" s="18" t="str">
        <v>Invest</v>
      </c>
      <c r="CY3613" s="45">
        <v>3609</v>
      </c>
      <c r="CZ3613" s="18">
        <v>34.363016800957126</v>
      </c>
      <c r="DA3613" s="18" t="str">
        <v>Invest</v>
      </c>
    </row>
    <row r="3614" spans="99:105" ht="23.5">
      <c r="CU3614" s="45">
        <v>3610</v>
      </c>
      <c r="CV3614" s="18">
        <v>41.174488418305252</v>
      </c>
      <c r="CW3614" s="18" t="str">
        <v>Invest</v>
      </c>
      <c r="CY3614" s="45">
        <v>3610</v>
      </c>
      <c r="CZ3614" s="18">
        <v>0</v>
      </c>
      <c r="DA3614" s="18" t="str">
        <v>Nothing</v>
      </c>
    </row>
    <row r="3615" spans="99:105" ht="23.5">
      <c r="CU3615" s="45">
        <v>3611</v>
      </c>
      <c r="CV3615" s="18">
        <v>51.141911965563821</v>
      </c>
      <c r="CW3615" s="18" t="str">
        <v>Invest</v>
      </c>
      <c r="CY3615" s="45">
        <v>3611</v>
      </c>
      <c r="CZ3615" s="18">
        <v>6.6179700086952238</v>
      </c>
      <c r="DA3615" s="18" t="str">
        <v>Invest</v>
      </c>
    </row>
    <row r="3616" spans="99:105" ht="23.5">
      <c r="CU3616" s="45">
        <v>3612</v>
      </c>
      <c r="CV3616" s="18">
        <v>0</v>
      </c>
      <c r="CW3616" s="18" t="str">
        <v>Nothing</v>
      </c>
      <c r="CY3616" s="45">
        <v>3612</v>
      </c>
      <c r="CZ3616" s="18">
        <v>0</v>
      </c>
      <c r="DA3616" s="18" t="str">
        <v>Nothing</v>
      </c>
    </row>
    <row r="3617" spans="99:105" ht="23.5">
      <c r="CU3617" s="45">
        <v>3613</v>
      </c>
      <c r="CV3617" s="18">
        <v>0</v>
      </c>
      <c r="CW3617" s="18" t="str">
        <v>Nothing</v>
      </c>
      <c r="CY3617" s="45">
        <v>3613</v>
      </c>
      <c r="CZ3617" s="18">
        <v>42.736472826607198</v>
      </c>
      <c r="DA3617" s="18" t="str">
        <v>Invest</v>
      </c>
    </row>
    <row r="3618" spans="99:105" ht="23.5">
      <c r="CU3618" s="45">
        <v>3614</v>
      </c>
      <c r="CV3618" s="18">
        <v>37.060278336155065</v>
      </c>
      <c r="CW3618" s="18" t="str">
        <v>Invest</v>
      </c>
      <c r="CY3618" s="45">
        <v>3614</v>
      </c>
      <c r="CZ3618" s="18">
        <v>0</v>
      </c>
      <c r="DA3618" s="18" t="str">
        <v>Nothing</v>
      </c>
    </row>
    <row r="3619" spans="99:105" ht="23.5">
      <c r="CU3619" s="45">
        <v>3615</v>
      </c>
      <c r="CV3619" s="18">
        <v>0</v>
      </c>
      <c r="CW3619" s="18" t="str">
        <v>Nothing</v>
      </c>
      <c r="CY3619" s="45">
        <v>3615</v>
      </c>
      <c r="CZ3619" s="18">
        <v>31.531248914852721</v>
      </c>
      <c r="DA3619" s="18" t="str">
        <v>Invest</v>
      </c>
    </row>
    <row r="3620" spans="99:105" ht="23.5">
      <c r="CU3620" s="45">
        <v>3616</v>
      </c>
      <c r="CV3620" s="18">
        <v>0</v>
      </c>
      <c r="CW3620" s="18" t="str">
        <v>Nothing</v>
      </c>
      <c r="CY3620" s="45">
        <v>3616</v>
      </c>
      <c r="CZ3620" s="18">
        <v>11.989372655434208</v>
      </c>
      <c r="DA3620" s="18" t="str">
        <v>Invest</v>
      </c>
    </row>
    <row r="3621" spans="99:105" ht="23.5">
      <c r="CU3621" s="45">
        <v>3617</v>
      </c>
      <c r="CV3621" s="18">
        <v>7.8577906609558603</v>
      </c>
      <c r="CW3621" s="18" t="str">
        <v>Invest</v>
      </c>
      <c r="CY3621" s="45">
        <v>3617</v>
      </c>
      <c r="CZ3621" s="18">
        <v>0</v>
      </c>
      <c r="DA3621" s="18" t="str">
        <v>Nothing</v>
      </c>
    </row>
    <row r="3622" spans="99:105" ht="23.5">
      <c r="CU3622" s="45">
        <v>3618</v>
      </c>
      <c r="CV3622" s="18">
        <v>26.48580029517295</v>
      </c>
      <c r="CW3622" s="18" t="str">
        <v>Invest</v>
      </c>
      <c r="CY3622" s="45">
        <v>3618</v>
      </c>
      <c r="CZ3622" s="18">
        <v>4.0392689380340308</v>
      </c>
      <c r="DA3622" s="18" t="str">
        <v>Invest</v>
      </c>
    </row>
    <row r="3623" spans="99:105" ht="23.5">
      <c r="CU3623" s="45">
        <v>3619</v>
      </c>
      <c r="CV3623" s="18">
        <v>0</v>
      </c>
      <c r="CW3623" s="18" t="str">
        <v>Nothing</v>
      </c>
      <c r="CY3623" s="45">
        <v>3619</v>
      </c>
      <c r="CZ3623" s="18">
        <v>1.4212289904915281</v>
      </c>
      <c r="DA3623" s="18" t="str">
        <v>Invest</v>
      </c>
    </row>
    <row r="3624" spans="99:105" ht="23.5">
      <c r="CU3624" s="45">
        <v>3620</v>
      </c>
      <c r="CV3624" s="18">
        <v>28.944502278861453</v>
      </c>
      <c r="CW3624" s="18" t="str">
        <v>Invest</v>
      </c>
      <c r="CY3624" s="45">
        <v>3620</v>
      </c>
      <c r="CZ3624" s="18">
        <v>0</v>
      </c>
      <c r="DA3624" s="18" t="str">
        <v>Nothing</v>
      </c>
    </row>
    <row r="3625" spans="99:105" ht="23.5">
      <c r="CU3625" s="45">
        <v>3621</v>
      </c>
      <c r="CV3625" s="18">
        <v>6.728262048056866</v>
      </c>
      <c r="CW3625" s="18" t="str">
        <v>Invest</v>
      </c>
      <c r="CY3625" s="45">
        <v>3621</v>
      </c>
      <c r="CZ3625" s="18">
        <v>0</v>
      </c>
      <c r="DA3625" s="18" t="str">
        <v>Nothing</v>
      </c>
    </row>
    <row r="3626" spans="99:105" ht="23.5">
      <c r="CU3626" s="45">
        <v>3622</v>
      </c>
      <c r="CV3626" s="18">
        <v>11.770887101497507</v>
      </c>
      <c r="CW3626" s="18" t="str">
        <v>Invest</v>
      </c>
      <c r="CY3626" s="45">
        <v>3622</v>
      </c>
      <c r="CZ3626" s="18">
        <v>8.0862093634120864</v>
      </c>
      <c r="DA3626" s="18" t="str">
        <v>Invest</v>
      </c>
    </row>
    <row r="3627" spans="99:105" ht="23.5">
      <c r="CU3627" s="45">
        <v>3623</v>
      </c>
      <c r="CV3627" s="18">
        <v>19.227703203460258</v>
      </c>
      <c r="CW3627" s="18" t="str">
        <v>Invest</v>
      </c>
      <c r="CY3627" s="45">
        <v>3623</v>
      </c>
      <c r="CZ3627" s="18">
        <v>58.332030089158039</v>
      </c>
      <c r="DA3627" s="18" t="str">
        <v>Invest</v>
      </c>
    </row>
    <row r="3628" spans="99:105" ht="23.5">
      <c r="CU3628" s="45">
        <v>3624</v>
      </c>
      <c r="CV3628" s="18">
        <v>0.86264459559674123</v>
      </c>
      <c r="CW3628" s="18" t="str">
        <v>Invest</v>
      </c>
      <c r="CY3628" s="45">
        <v>3624</v>
      </c>
      <c r="CZ3628" s="18">
        <v>43.004893618389985</v>
      </c>
      <c r="DA3628" s="18" t="str">
        <v>Invest</v>
      </c>
    </row>
    <row r="3629" spans="99:105" ht="23.5">
      <c r="CU3629" s="45">
        <v>3625</v>
      </c>
      <c r="CV3629" s="18">
        <v>6.2187251296046551</v>
      </c>
      <c r="CW3629" s="18" t="str">
        <v>Invest</v>
      </c>
      <c r="CY3629" s="45">
        <v>3625</v>
      </c>
      <c r="CZ3629" s="18">
        <v>66.015402237873928</v>
      </c>
      <c r="DA3629" s="18" t="str">
        <v>Invest</v>
      </c>
    </row>
    <row r="3630" spans="99:105" ht="23.5">
      <c r="CU3630" s="45">
        <v>3626</v>
      </c>
      <c r="CV3630" s="18">
        <v>0</v>
      </c>
      <c r="CW3630" s="18" t="str">
        <v>Nothing</v>
      </c>
      <c r="CY3630" s="45">
        <v>3626</v>
      </c>
      <c r="CZ3630" s="18">
        <v>25.675702080618301</v>
      </c>
      <c r="DA3630" s="18" t="str">
        <v>Invest</v>
      </c>
    </row>
    <row r="3631" spans="99:105" ht="23.5">
      <c r="CU3631" s="45">
        <v>3627</v>
      </c>
      <c r="CV3631" s="18">
        <v>0</v>
      </c>
      <c r="CW3631" s="18" t="str">
        <v>Nothing</v>
      </c>
      <c r="CY3631" s="45">
        <v>3627</v>
      </c>
      <c r="CZ3631" s="18">
        <v>7.1919639967216966</v>
      </c>
      <c r="DA3631" s="18" t="str">
        <v>Invest</v>
      </c>
    </row>
    <row r="3632" spans="99:105" ht="23.5">
      <c r="CU3632" s="45">
        <v>3628</v>
      </c>
      <c r="CV3632" s="18">
        <v>37.611457335733753</v>
      </c>
      <c r="CW3632" s="18" t="str">
        <v>Invest</v>
      </c>
      <c r="CY3632" s="45">
        <v>3628</v>
      </c>
      <c r="CZ3632" s="18">
        <v>10.715573636506997</v>
      </c>
      <c r="DA3632" s="18" t="str">
        <v>Invest</v>
      </c>
    </row>
    <row r="3633" spans="99:105" ht="23.5">
      <c r="CU3633" s="45">
        <v>3629</v>
      </c>
      <c r="CV3633" s="18">
        <v>47.195440609258974</v>
      </c>
      <c r="CW3633" s="18" t="str">
        <v>Invest</v>
      </c>
      <c r="CY3633" s="45">
        <v>3629</v>
      </c>
      <c r="CZ3633" s="18">
        <v>1.6688323489206205</v>
      </c>
      <c r="DA3633" s="18" t="str">
        <v>Invest</v>
      </c>
    </row>
    <row r="3634" spans="99:105" ht="23.5">
      <c r="CU3634" s="45">
        <v>3630</v>
      </c>
      <c r="CV3634" s="18">
        <v>41.838335796281839</v>
      </c>
      <c r="CW3634" s="18" t="str">
        <v>Invest</v>
      </c>
      <c r="CY3634" s="45">
        <v>3630</v>
      </c>
      <c r="CZ3634" s="18">
        <v>37.683604965650666</v>
      </c>
      <c r="DA3634" s="18" t="str">
        <v>Invest</v>
      </c>
    </row>
    <row r="3635" spans="99:105" ht="23.5">
      <c r="CU3635" s="45">
        <v>3631</v>
      </c>
      <c r="CV3635" s="18">
        <v>0</v>
      </c>
      <c r="CW3635" s="18" t="str">
        <v>Nothing</v>
      </c>
      <c r="CY3635" s="45">
        <v>3631</v>
      </c>
      <c r="CZ3635" s="18">
        <v>0.72313094599464023</v>
      </c>
      <c r="DA3635" s="18" t="str">
        <v>Invest</v>
      </c>
    </row>
    <row r="3636" spans="99:105" ht="23.5">
      <c r="CU3636" s="45">
        <v>3632</v>
      </c>
      <c r="CV3636" s="18">
        <v>8.6359931972799853</v>
      </c>
      <c r="CW3636" s="18" t="str">
        <v>Invest</v>
      </c>
      <c r="CY3636" s="45">
        <v>3632</v>
      </c>
      <c r="CZ3636" s="18">
        <v>45.295360391000003</v>
      </c>
      <c r="DA3636" s="18" t="str">
        <v>Invest</v>
      </c>
    </row>
    <row r="3637" spans="99:105" ht="23.5">
      <c r="CU3637" s="45">
        <v>3633</v>
      </c>
      <c r="CV3637" s="18">
        <v>3.0507706195306721</v>
      </c>
      <c r="CW3637" s="18" t="str">
        <v>Invest</v>
      </c>
      <c r="CY3637" s="45">
        <v>3633</v>
      </c>
      <c r="CZ3637" s="18">
        <v>0</v>
      </c>
      <c r="DA3637" s="18" t="str">
        <v>Nothing</v>
      </c>
    </row>
    <row r="3638" spans="99:105" ht="23.5">
      <c r="CU3638" s="45">
        <v>3634</v>
      </c>
      <c r="CV3638" s="18">
        <v>46.22216582085975</v>
      </c>
      <c r="CW3638" s="18" t="str">
        <v>Invest</v>
      </c>
      <c r="CY3638" s="45">
        <v>3634</v>
      </c>
      <c r="CZ3638" s="18">
        <v>44.024734534692563</v>
      </c>
      <c r="DA3638" s="18" t="str">
        <v>Invest</v>
      </c>
    </row>
    <row r="3639" spans="99:105" ht="23.5">
      <c r="CU3639" s="45">
        <v>3635</v>
      </c>
      <c r="CV3639" s="18">
        <v>32.788114586215428</v>
      </c>
      <c r="CW3639" s="18" t="str">
        <v>Invest</v>
      </c>
      <c r="CY3639" s="45">
        <v>3635</v>
      </c>
      <c r="CZ3639" s="18">
        <v>0</v>
      </c>
      <c r="DA3639" s="18" t="str">
        <v>Nothing</v>
      </c>
    </row>
    <row r="3640" spans="99:105" ht="23.5">
      <c r="CU3640" s="45">
        <v>3636</v>
      </c>
      <c r="CV3640" s="18">
        <v>10.783239105084306</v>
      </c>
      <c r="CW3640" s="18" t="str">
        <v>Invest</v>
      </c>
      <c r="CY3640" s="45">
        <v>3636</v>
      </c>
      <c r="CZ3640" s="18">
        <v>5.1980571618094276</v>
      </c>
      <c r="DA3640" s="18" t="str">
        <v>Invest</v>
      </c>
    </row>
    <row r="3641" spans="99:105" ht="23.5">
      <c r="CU3641" s="45">
        <v>3637</v>
      </c>
      <c r="CV3641" s="18">
        <v>0</v>
      </c>
      <c r="CW3641" s="18" t="str">
        <v>Nothing</v>
      </c>
      <c r="CY3641" s="45">
        <v>3637</v>
      </c>
      <c r="CZ3641" s="18">
        <v>35.302613827967988</v>
      </c>
      <c r="DA3641" s="18" t="str">
        <v>Invest</v>
      </c>
    </row>
    <row r="3642" spans="99:105" ht="23.5">
      <c r="CU3642" s="45">
        <v>3638</v>
      </c>
      <c r="CV3642" s="18">
        <v>16.005127715261931</v>
      </c>
      <c r="CW3642" s="18" t="str">
        <v>Invest</v>
      </c>
      <c r="CY3642" s="45">
        <v>3638</v>
      </c>
      <c r="CZ3642" s="18">
        <v>0</v>
      </c>
      <c r="DA3642" s="18" t="str">
        <v>Nothing</v>
      </c>
    </row>
    <row r="3643" spans="99:105" ht="23.5">
      <c r="CU3643" s="45">
        <v>3639</v>
      </c>
      <c r="CV3643" s="18">
        <v>27.651972333756721</v>
      </c>
      <c r="CW3643" s="18" t="str">
        <v>Invest</v>
      </c>
      <c r="CY3643" s="45">
        <v>3639</v>
      </c>
      <c r="CZ3643" s="18">
        <v>25.603392955649433</v>
      </c>
      <c r="DA3643" s="18" t="str">
        <v>Invest</v>
      </c>
    </row>
    <row r="3644" spans="99:105" ht="23.5">
      <c r="CU3644" s="45">
        <v>3640</v>
      </c>
      <c r="CV3644" s="18">
        <v>33.194034320758618</v>
      </c>
      <c r="CW3644" s="18" t="str">
        <v>Invest</v>
      </c>
      <c r="CY3644" s="45">
        <v>3640</v>
      </c>
      <c r="CZ3644" s="18">
        <v>0</v>
      </c>
      <c r="DA3644" s="18" t="str">
        <v>Nothing</v>
      </c>
    </row>
    <row r="3645" spans="99:105" ht="23.5">
      <c r="CU3645" s="45">
        <v>3641</v>
      </c>
      <c r="CV3645" s="18">
        <v>0</v>
      </c>
      <c r="CW3645" s="18" t="str">
        <v>Nothing</v>
      </c>
      <c r="CY3645" s="45">
        <v>3641</v>
      </c>
      <c r="CZ3645" s="18">
        <v>0</v>
      </c>
      <c r="DA3645" s="18" t="str">
        <v>Nothing</v>
      </c>
    </row>
    <row r="3646" spans="99:105" ht="23.5">
      <c r="CU3646" s="45">
        <v>3642</v>
      </c>
      <c r="CV3646" s="18">
        <v>23.653803695301882</v>
      </c>
      <c r="CW3646" s="18" t="str">
        <v>Invest</v>
      </c>
      <c r="CY3646" s="45">
        <v>3642</v>
      </c>
      <c r="CZ3646" s="18">
        <v>30.396087043861492</v>
      </c>
      <c r="DA3646" s="18" t="str">
        <v>Invest</v>
      </c>
    </row>
    <row r="3647" spans="99:105" ht="23.5">
      <c r="CU3647" s="45">
        <v>3643</v>
      </c>
      <c r="CV3647" s="18">
        <v>22.933944668557718</v>
      </c>
      <c r="CW3647" s="18" t="str">
        <v>Invest</v>
      </c>
      <c r="CY3647" s="45">
        <v>3643</v>
      </c>
      <c r="CZ3647" s="18">
        <v>38.028828954612251</v>
      </c>
      <c r="DA3647" s="18" t="str">
        <v>Invest</v>
      </c>
    </row>
    <row r="3648" spans="99:105" ht="23.5">
      <c r="CU3648" s="45">
        <v>3644</v>
      </c>
      <c r="CV3648" s="18">
        <v>0</v>
      </c>
      <c r="CW3648" s="18" t="str">
        <v>Nothing</v>
      </c>
      <c r="CY3648" s="45">
        <v>3644</v>
      </c>
      <c r="CZ3648" s="18">
        <v>48.799584598179912</v>
      </c>
      <c r="DA3648" s="18" t="str">
        <v>Invest</v>
      </c>
    </row>
    <row r="3649" spans="99:105" ht="23.5">
      <c r="CU3649" s="45">
        <v>3645</v>
      </c>
      <c r="CV3649" s="18">
        <v>15.057295072718404</v>
      </c>
      <c r="CW3649" s="18" t="str">
        <v>Invest</v>
      </c>
      <c r="CY3649" s="45">
        <v>3645</v>
      </c>
      <c r="CZ3649" s="18">
        <v>0.82353252067566984</v>
      </c>
      <c r="DA3649" s="18" t="str">
        <v>Invest</v>
      </c>
    </row>
    <row r="3650" spans="99:105" ht="23.5">
      <c r="CU3650" s="45">
        <v>3646</v>
      </c>
      <c r="CV3650" s="18">
        <v>18.168360068828505</v>
      </c>
      <c r="CW3650" s="18" t="str">
        <v>Invest</v>
      </c>
      <c r="CY3650" s="45">
        <v>3646</v>
      </c>
      <c r="CZ3650" s="18">
        <v>24.901993967266591</v>
      </c>
      <c r="DA3650" s="18" t="str">
        <v>Invest</v>
      </c>
    </row>
    <row r="3651" spans="99:105" ht="23.5">
      <c r="CU3651" s="45">
        <v>3647</v>
      </c>
      <c r="CV3651" s="18">
        <v>16.840815475490331</v>
      </c>
      <c r="CW3651" s="18" t="str">
        <v>Invest</v>
      </c>
      <c r="CY3651" s="45">
        <v>3647</v>
      </c>
      <c r="CZ3651" s="18">
        <v>24.892519620338582</v>
      </c>
      <c r="DA3651" s="18" t="str">
        <v>Invest</v>
      </c>
    </row>
    <row r="3652" spans="99:105" ht="23.5">
      <c r="CU3652" s="45">
        <v>3648</v>
      </c>
      <c r="CV3652" s="18">
        <v>3.9530071252534178</v>
      </c>
      <c r="CW3652" s="18" t="str">
        <v>Invest</v>
      </c>
      <c r="CY3652" s="45">
        <v>3648</v>
      </c>
      <c r="CZ3652" s="18">
        <v>31.259370433129227</v>
      </c>
      <c r="DA3652" s="18" t="str">
        <v>Invest</v>
      </c>
    </row>
    <row r="3653" spans="99:105" ht="23.5">
      <c r="CU3653" s="45">
        <v>3649</v>
      </c>
      <c r="CV3653" s="18">
        <v>16.951240277693259</v>
      </c>
      <c r="CW3653" s="18" t="str">
        <v>Invest</v>
      </c>
      <c r="CY3653" s="45">
        <v>3649</v>
      </c>
      <c r="CZ3653" s="18">
        <v>26.093474605059537</v>
      </c>
      <c r="DA3653" s="18" t="str">
        <v>Invest</v>
      </c>
    </row>
    <row r="3654" spans="99:105" ht="23.5">
      <c r="CU3654" s="45">
        <v>3650</v>
      </c>
      <c r="CV3654" s="18">
        <v>49.555946834670159</v>
      </c>
      <c r="CW3654" s="18" t="str">
        <v>Invest</v>
      </c>
      <c r="CY3654" s="45">
        <v>3650</v>
      </c>
      <c r="CZ3654" s="18">
        <v>19.713809213872299</v>
      </c>
      <c r="DA3654" s="18" t="str">
        <v>Invest</v>
      </c>
    </row>
    <row r="3655" spans="99:105" ht="23.5">
      <c r="CU3655" s="45">
        <v>3651</v>
      </c>
      <c r="CV3655" s="18">
        <v>12.948718768130423</v>
      </c>
      <c r="CW3655" s="18" t="str">
        <v>Invest</v>
      </c>
      <c r="CY3655" s="45">
        <v>3651</v>
      </c>
      <c r="CZ3655" s="18">
        <v>21.157561970617309</v>
      </c>
      <c r="DA3655" s="18" t="str">
        <v>Invest</v>
      </c>
    </row>
    <row r="3656" spans="99:105" ht="23.5">
      <c r="CU3656" s="45">
        <v>3652</v>
      </c>
      <c r="CV3656" s="18">
        <v>38.824057249586808</v>
      </c>
      <c r="CW3656" s="18" t="str">
        <v>Invest</v>
      </c>
      <c r="CY3656" s="45">
        <v>3652</v>
      </c>
      <c r="CZ3656" s="18">
        <v>8.4170533311057252</v>
      </c>
      <c r="DA3656" s="18" t="str">
        <v>Invest</v>
      </c>
    </row>
    <row r="3657" spans="99:105" ht="23.5">
      <c r="CU3657" s="45">
        <v>3653</v>
      </c>
      <c r="CV3657" s="18">
        <v>15.011458631688363</v>
      </c>
      <c r="CW3657" s="18" t="str">
        <v>Invest</v>
      </c>
      <c r="CY3657" s="45">
        <v>3653</v>
      </c>
      <c r="CZ3657" s="18">
        <v>18.178536271722418</v>
      </c>
      <c r="DA3657" s="18" t="str">
        <v>Invest</v>
      </c>
    </row>
    <row r="3658" spans="99:105" ht="23.5">
      <c r="CU3658" s="45">
        <v>3654</v>
      </c>
      <c r="CV3658" s="18">
        <v>41.530632253358405</v>
      </c>
      <c r="CW3658" s="18" t="str">
        <v>Invest</v>
      </c>
      <c r="CY3658" s="45">
        <v>3654</v>
      </c>
      <c r="CZ3658" s="18">
        <v>23.645312698277941</v>
      </c>
      <c r="DA3658" s="18" t="str">
        <v>Invest</v>
      </c>
    </row>
    <row r="3659" spans="99:105" ht="23.5">
      <c r="CU3659" s="45">
        <v>3655</v>
      </c>
      <c r="CV3659" s="18">
        <v>0</v>
      </c>
      <c r="CW3659" s="18" t="str">
        <v>Nothing</v>
      </c>
      <c r="CY3659" s="45">
        <v>3655</v>
      </c>
      <c r="CZ3659" s="18">
        <v>12.409192801133237</v>
      </c>
      <c r="DA3659" s="18" t="str">
        <v>Invest</v>
      </c>
    </row>
    <row r="3660" spans="99:105" ht="23.5">
      <c r="CU3660" s="45">
        <v>3656</v>
      </c>
      <c r="CV3660" s="18">
        <v>33.350439312518475</v>
      </c>
      <c r="CW3660" s="18" t="str">
        <v>Invest</v>
      </c>
      <c r="CY3660" s="45">
        <v>3656</v>
      </c>
      <c r="CZ3660" s="18">
        <v>0</v>
      </c>
      <c r="DA3660" s="18" t="str">
        <v>Nothing</v>
      </c>
    </row>
    <row r="3661" spans="99:105" ht="23.5">
      <c r="CU3661" s="45">
        <v>3657</v>
      </c>
      <c r="CV3661" s="18">
        <v>42.70267036659714</v>
      </c>
      <c r="CW3661" s="18" t="str">
        <v>Invest</v>
      </c>
      <c r="CY3661" s="45">
        <v>3657</v>
      </c>
      <c r="CZ3661" s="18">
        <v>13.697652720660702</v>
      </c>
      <c r="DA3661" s="18" t="str">
        <v>Invest</v>
      </c>
    </row>
    <row r="3662" spans="99:105" ht="23.5">
      <c r="CU3662" s="45">
        <v>3658</v>
      </c>
      <c r="CV3662" s="18">
        <v>26.353156290747201</v>
      </c>
      <c r="CW3662" s="18" t="str">
        <v>Invest</v>
      </c>
      <c r="CY3662" s="45">
        <v>3658</v>
      </c>
      <c r="CZ3662" s="18">
        <v>33.945353551863747</v>
      </c>
      <c r="DA3662" s="18" t="str">
        <v>Invest</v>
      </c>
    </row>
    <row r="3663" spans="99:105" ht="23.5">
      <c r="CU3663" s="45">
        <v>3659</v>
      </c>
      <c r="CV3663" s="18">
        <v>21.783064321712452</v>
      </c>
      <c r="CW3663" s="18" t="str">
        <v>Invest</v>
      </c>
      <c r="CY3663" s="45">
        <v>3659</v>
      </c>
      <c r="CZ3663" s="18">
        <v>37.820617724648422</v>
      </c>
      <c r="DA3663" s="18" t="str">
        <v>Invest</v>
      </c>
    </row>
    <row r="3664" spans="99:105" ht="23.5">
      <c r="CU3664" s="45">
        <v>3660</v>
      </c>
      <c r="CV3664" s="18">
        <v>0.55767758605849238</v>
      </c>
      <c r="CW3664" s="18" t="str">
        <v>Invest</v>
      </c>
      <c r="CY3664" s="45">
        <v>3660</v>
      </c>
      <c r="CZ3664" s="18">
        <v>58.593401419553793</v>
      </c>
      <c r="DA3664" s="18" t="str">
        <v>Invest</v>
      </c>
    </row>
    <row r="3665" spans="99:105" ht="23.5">
      <c r="CU3665" s="45">
        <v>3661</v>
      </c>
      <c r="CV3665" s="18">
        <v>0</v>
      </c>
      <c r="CW3665" s="18" t="str">
        <v>Nothing</v>
      </c>
      <c r="CY3665" s="45">
        <v>3661</v>
      </c>
      <c r="CZ3665" s="18">
        <v>13.103711937766409</v>
      </c>
      <c r="DA3665" s="18" t="str">
        <v>Invest</v>
      </c>
    </row>
    <row r="3666" spans="99:105" ht="23.5">
      <c r="CU3666" s="45">
        <v>3662</v>
      </c>
      <c r="CV3666" s="18">
        <v>0</v>
      </c>
      <c r="CW3666" s="18" t="str">
        <v>Nothing</v>
      </c>
      <c r="CY3666" s="45">
        <v>3662</v>
      </c>
      <c r="CZ3666" s="18">
        <v>39.202397975326427</v>
      </c>
      <c r="DA3666" s="18" t="str">
        <v>Invest</v>
      </c>
    </row>
    <row r="3667" spans="99:105" ht="23.5">
      <c r="CU3667" s="45">
        <v>3663</v>
      </c>
      <c r="CV3667" s="18">
        <v>0</v>
      </c>
      <c r="CW3667" s="18" t="str">
        <v>Nothing</v>
      </c>
      <c r="CY3667" s="45">
        <v>3663</v>
      </c>
      <c r="CZ3667" s="18">
        <v>0</v>
      </c>
      <c r="DA3667" s="18" t="str">
        <v>Nothing</v>
      </c>
    </row>
    <row r="3668" spans="99:105" ht="23.5">
      <c r="CU3668" s="45">
        <v>3664</v>
      </c>
      <c r="CV3668" s="18">
        <v>16.45580776255494</v>
      </c>
      <c r="CW3668" s="18" t="str">
        <v>Invest</v>
      </c>
      <c r="CY3668" s="45">
        <v>3664</v>
      </c>
      <c r="CZ3668" s="18">
        <v>21.800695457148656</v>
      </c>
      <c r="DA3668" s="18" t="str">
        <v>Invest</v>
      </c>
    </row>
    <row r="3669" spans="99:105" ht="23.5">
      <c r="CU3669" s="45">
        <v>3665</v>
      </c>
      <c r="CV3669" s="18">
        <v>32.557431695513813</v>
      </c>
      <c r="CW3669" s="18" t="str">
        <v>Invest</v>
      </c>
      <c r="CY3669" s="45">
        <v>3665</v>
      </c>
      <c r="CZ3669" s="18">
        <v>38.85908654482914</v>
      </c>
      <c r="DA3669" s="18" t="str">
        <v>Invest</v>
      </c>
    </row>
    <row r="3670" spans="99:105" ht="23.5">
      <c r="CU3670" s="45">
        <v>3666</v>
      </c>
      <c r="CV3670" s="18">
        <v>4.663581259604026</v>
      </c>
      <c r="CW3670" s="18" t="str">
        <v>Invest</v>
      </c>
      <c r="CY3670" s="45">
        <v>3666</v>
      </c>
      <c r="CZ3670" s="18">
        <v>0</v>
      </c>
      <c r="DA3670" s="18" t="str">
        <v>Nothing</v>
      </c>
    </row>
    <row r="3671" spans="99:105" ht="23.5">
      <c r="CU3671" s="45">
        <v>3667</v>
      </c>
      <c r="CV3671" s="18">
        <v>45.739304549672468</v>
      </c>
      <c r="CW3671" s="18" t="str">
        <v>Invest</v>
      </c>
      <c r="CY3671" s="45">
        <v>3667</v>
      </c>
      <c r="CZ3671" s="18">
        <v>0</v>
      </c>
      <c r="DA3671" s="18" t="str">
        <v>Nothing</v>
      </c>
    </row>
    <row r="3672" spans="99:105" ht="23.5">
      <c r="CU3672" s="45">
        <v>3668</v>
      </c>
      <c r="CV3672" s="18">
        <v>6.1687742397829872</v>
      </c>
      <c r="CW3672" s="18" t="str">
        <v>Invest</v>
      </c>
      <c r="CY3672" s="45">
        <v>3668</v>
      </c>
      <c r="CZ3672" s="18">
        <v>15.807836707726914</v>
      </c>
      <c r="DA3672" s="18" t="str">
        <v>Invest</v>
      </c>
    </row>
    <row r="3673" spans="99:105" ht="23.5">
      <c r="CU3673" s="45">
        <v>3669</v>
      </c>
      <c r="CV3673" s="18">
        <v>8.2166105816508761</v>
      </c>
      <c r="CW3673" s="18" t="str">
        <v>Invest</v>
      </c>
      <c r="CY3673" s="45">
        <v>3669</v>
      </c>
      <c r="CZ3673" s="18">
        <v>39.038721039462004</v>
      </c>
      <c r="DA3673" s="18" t="str">
        <v>Invest</v>
      </c>
    </row>
    <row r="3674" spans="99:105" ht="23.5">
      <c r="CU3674" s="45">
        <v>3670</v>
      </c>
      <c r="CV3674" s="18">
        <v>22.098798639028381</v>
      </c>
      <c r="CW3674" s="18" t="str">
        <v>Invest</v>
      </c>
      <c r="CY3674" s="45">
        <v>3670</v>
      </c>
      <c r="CZ3674" s="18">
        <v>19.482838328731894</v>
      </c>
      <c r="DA3674" s="18" t="str">
        <v>Invest</v>
      </c>
    </row>
    <row r="3675" spans="99:105" ht="23.5">
      <c r="CU3675" s="45">
        <v>3671</v>
      </c>
      <c r="CV3675" s="18">
        <v>0</v>
      </c>
      <c r="CW3675" s="18" t="str">
        <v>Nothing</v>
      </c>
      <c r="CY3675" s="45">
        <v>3671</v>
      </c>
      <c r="CZ3675" s="18">
        <v>25.701059575464505</v>
      </c>
      <c r="DA3675" s="18" t="str">
        <v>Invest</v>
      </c>
    </row>
    <row r="3676" spans="99:105" ht="23.5">
      <c r="CU3676" s="45">
        <v>3672</v>
      </c>
      <c r="CV3676" s="18">
        <v>0</v>
      </c>
      <c r="CW3676" s="18" t="str">
        <v>Nothing</v>
      </c>
      <c r="CY3676" s="45">
        <v>3672</v>
      </c>
      <c r="CZ3676" s="18">
        <v>47.025491568920721</v>
      </c>
      <c r="DA3676" s="18" t="str">
        <v>Invest</v>
      </c>
    </row>
    <row r="3677" spans="99:105" ht="23.5">
      <c r="CU3677" s="45">
        <v>3673</v>
      </c>
      <c r="CV3677" s="18">
        <v>5.5690689846529935</v>
      </c>
      <c r="CW3677" s="18" t="str">
        <v>Invest</v>
      </c>
      <c r="CY3677" s="45">
        <v>3673</v>
      </c>
      <c r="CZ3677" s="18">
        <v>11.396903070433538</v>
      </c>
      <c r="DA3677" s="18" t="str">
        <v>Invest</v>
      </c>
    </row>
    <row r="3678" spans="99:105" ht="23.5">
      <c r="CU3678" s="45">
        <v>3674</v>
      </c>
      <c r="CV3678" s="18">
        <v>5.6525368177355499</v>
      </c>
      <c r="CW3678" s="18" t="str">
        <v>Invest</v>
      </c>
      <c r="CY3678" s="45">
        <v>3674</v>
      </c>
      <c r="CZ3678" s="18">
        <v>21.454225792204852</v>
      </c>
      <c r="DA3678" s="18" t="str">
        <v>Invest</v>
      </c>
    </row>
    <row r="3679" spans="99:105" ht="23.5">
      <c r="CU3679" s="45">
        <v>3675</v>
      </c>
      <c r="CV3679" s="18">
        <v>0</v>
      </c>
      <c r="CW3679" s="18" t="str">
        <v>Nothing</v>
      </c>
      <c r="CY3679" s="45">
        <v>3675</v>
      </c>
      <c r="CZ3679" s="18">
        <v>0</v>
      </c>
      <c r="DA3679" s="18" t="str">
        <v>Nothing</v>
      </c>
    </row>
    <row r="3680" spans="99:105" ht="23.5">
      <c r="CU3680" s="45">
        <v>3676</v>
      </c>
      <c r="CV3680" s="18">
        <v>24.600177379416039</v>
      </c>
      <c r="CW3680" s="18" t="str">
        <v>Invest</v>
      </c>
      <c r="CY3680" s="45">
        <v>3676</v>
      </c>
      <c r="CZ3680" s="18">
        <v>0</v>
      </c>
      <c r="DA3680" s="18" t="str">
        <v>Nothing</v>
      </c>
    </row>
    <row r="3681" spans="99:105" ht="23.5">
      <c r="CU3681" s="45">
        <v>3677</v>
      </c>
      <c r="CV3681" s="18">
        <v>15.805510579351825</v>
      </c>
      <c r="CW3681" s="18" t="str">
        <v>Invest</v>
      </c>
      <c r="CY3681" s="45">
        <v>3677</v>
      </c>
      <c r="CZ3681" s="18">
        <v>0</v>
      </c>
      <c r="DA3681" s="18" t="str">
        <v>Nothing</v>
      </c>
    </row>
    <row r="3682" spans="99:105" ht="23.5">
      <c r="CU3682" s="45">
        <v>3678</v>
      </c>
      <c r="CV3682" s="18">
        <v>24.218591438782489</v>
      </c>
      <c r="CW3682" s="18" t="str">
        <v>Invest</v>
      </c>
      <c r="CY3682" s="45">
        <v>3678</v>
      </c>
      <c r="CZ3682" s="18">
        <v>9.5388373620884579</v>
      </c>
      <c r="DA3682" s="18" t="str">
        <v>Invest</v>
      </c>
    </row>
    <row r="3683" spans="99:105" ht="23.5">
      <c r="CU3683" s="45">
        <v>3679</v>
      </c>
      <c r="CV3683" s="18">
        <v>49.294302288289607</v>
      </c>
      <c r="CW3683" s="18" t="str">
        <v>Invest</v>
      </c>
      <c r="CY3683" s="45">
        <v>3679</v>
      </c>
      <c r="CZ3683" s="18">
        <v>7.9343804145487304</v>
      </c>
      <c r="DA3683" s="18" t="str">
        <v>Invest</v>
      </c>
    </row>
    <row r="3684" spans="99:105" ht="23.5">
      <c r="CU3684" s="45">
        <v>3680</v>
      </c>
      <c r="CV3684" s="18">
        <v>7.6573571032828305</v>
      </c>
      <c r="CW3684" s="18" t="str">
        <v>Invest</v>
      </c>
      <c r="CY3684" s="45">
        <v>3680</v>
      </c>
      <c r="CZ3684" s="18">
        <v>17.925659822583071</v>
      </c>
      <c r="DA3684" s="18" t="str">
        <v>Invest</v>
      </c>
    </row>
    <row r="3685" spans="99:105" ht="23.5">
      <c r="CU3685" s="45">
        <v>3681</v>
      </c>
      <c r="CV3685" s="18">
        <v>47.80878005880507</v>
      </c>
      <c r="CW3685" s="18" t="str">
        <v>Invest</v>
      </c>
      <c r="CY3685" s="45">
        <v>3681</v>
      </c>
      <c r="CZ3685" s="18">
        <v>2.338404175705616</v>
      </c>
      <c r="DA3685" s="18" t="str">
        <v>Invest</v>
      </c>
    </row>
    <row r="3686" spans="99:105" ht="23.5">
      <c r="CU3686" s="45">
        <v>3682</v>
      </c>
      <c r="CV3686" s="18">
        <v>16.114192911088416</v>
      </c>
      <c r="CW3686" s="18" t="str">
        <v>Invest</v>
      </c>
      <c r="CY3686" s="45">
        <v>3682</v>
      </c>
      <c r="CZ3686" s="18">
        <v>14.719043733332285</v>
      </c>
      <c r="DA3686" s="18" t="str">
        <v>Invest</v>
      </c>
    </row>
    <row r="3687" spans="99:105" ht="23.5">
      <c r="CU3687" s="45">
        <v>3683</v>
      </c>
      <c r="CV3687" s="18">
        <v>24.373826288662002</v>
      </c>
      <c r="CW3687" s="18" t="str">
        <v>Invest</v>
      </c>
      <c r="CY3687" s="45">
        <v>3683</v>
      </c>
      <c r="CZ3687" s="18">
        <v>61.127345058942971</v>
      </c>
      <c r="DA3687" s="18" t="str">
        <v>Invest</v>
      </c>
    </row>
    <row r="3688" spans="99:105" ht="23.5">
      <c r="CU3688" s="45">
        <v>3684</v>
      </c>
      <c r="CV3688" s="18">
        <v>0</v>
      </c>
      <c r="CW3688" s="18" t="str">
        <v>Nothing</v>
      </c>
      <c r="CY3688" s="45">
        <v>3684</v>
      </c>
      <c r="CZ3688" s="18">
        <v>31.297233095054235</v>
      </c>
      <c r="DA3688" s="18" t="str">
        <v>Invest</v>
      </c>
    </row>
    <row r="3689" spans="99:105" ht="23.5">
      <c r="CU3689" s="45">
        <v>3685</v>
      </c>
      <c r="CV3689" s="18">
        <v>0</v>
      </c>
      <c r="CW3689" s="18" t="str">
        <v>Nothing</v>
      </c>
      <c r="CY3689" s="45">
        <v>3685</v>
      </c>
      <c r="CZ3689" s="18">
        <v>27.31667471652942</v>
      </c>
      <c r="DA3689" s="18" t="str">
        <v>Invest</v>
      </c>
    </row>
    <row r="3690" spans="99:105" ht="23.5">
      <c r="CU3690" s="45">
        <v>3686</v>
      </c>
      <c r="CV3690" s="18">
        <v>14.158148414053789</v>
      </c>
      <c r="CW3690" s="18" t="str">
        <v>Invest</v>
      </c>
      <c r="CY3690" s="45">
        <v>3686</v>
      </c>
      <c r="CZ3690" s="18">
        <v>4.1176117274481818</v>
      </c>
      <c r="DA3690" s="18" t="str">
        <v>Invest</v>
      </c>
    </row>
    <row r="3691" spans="99:105" ht="23.5">
      <c r="CU3691" s="45">
        <v>3687</v>
      </c>
      <c r="CV3691" s="18">
        <v>21.829918123594314</v>
      </c>
      <c r="CW3691" s="18" t="str">
        <v>Invest</v>
      </c>
      <c r="CY3691" s="45">
        <v>3687</v>
      </c>
      <c r="CZ3691" s="18">
        <v>44.472470169614866</v>
      </c>
      <c r="DA3691" s="18" t="str">
        <v>Invest</v>
      </c>
    </row>
    <row r="3692" spans="99:105" ht="23.5">
      <c r="CU3692" s="45">
        <v>3688</v>
      </c>
      <c r="CV3692" s="18">
        <v>52.083867867689889</v>
      </c>
      <c r="CW3692" s="18" t="str">
        <v>Invest</v>
      </c>
      <c r="CY3692" s="45">
        <v>3688</v>
      </c>
      <c r="CZ3692" s="18">
        <v>0</v>
      </c>
      <c r="DA3692" s="18" t="str">
        <v>Nothing</v>
      </c>
    </row>
    <row r="3693" spans="99:105" ht="23.5">
      <c r="CU3693" s="45">
        <v>3689</v>
      </c>
      <c r="CV3693" s="18">
        <v>0</v>
      </c>
      <c r="CW3693" s="18" t="str">
        <v>Nothing</v>
      </c>
      <c r="CY3693" s="45">
        <v>3689</v>
      </c>
      <c r="CZ3693" s="18">
        <v>0</v>
      </c>
      <c r="DA3693" s="18" t="str">
        <v>Nothing</v>
      </c>
    </row>
    <row r="3694" spans="99:105" ht="23.5">
      <c r="CU3694" s="45">
        <v>3690</v>
      </c>
      <c r="CV3694" s="18">
        <v>0</v>
      </c>
      <c r="CW3694" s="18" t="str">
        <v>Nothing</v>
      </c>
      <c r="CY3694" s="45">
        <v>3690</v>
      </c>
      <c r="CZ3694" s="18">
        <v>19.749143754004553</v>
      </c>
      <c r="DA3694" s="18" t="str">
        <v>Invest</v>
      </c>
    </row>
    <row r="3695" spans="99:105" ht="23.5">
      <c r="CU3695" s="45">
        <v>3691</v>
      </c>
      <c r="CV3695" s="18">
        <v>15.071707214582702</v>
      </c>
      <c r="CW3695" s="18" t="str">
        <v>Invest</v>
      </c>
      <c r="CY3695" s="45">
        <v>3691</v>
      </c>
      <c r="CZ3695" s="18">
        <v>27.383471001329681</v>
      </c>
      <c r="DA3695" s="18" t="str">
        <v>Invest</v>
      </c>
    </row>
    <row r="3696" spans="99:105" ht="23.5">
      <c r="CU3696" s="45">
        <v>3692</v>
      </c>
      <c r="CV3696" s="18">
        <v>36.353474381195973</v>
      </c>
      <c r="CW3696" s="18" t="str">
        <v>Invest</v>
      </c>
      <c r="CY3696" s="45">
        <v>3692</v>
      </c>
      <c r="CZ3696" s="18">
        <v>0</v>
      </c>
      <c r="DA3696" s="18" t="str">
        <v>Nothing</v>
      </c>
    </row>
    <row r="3697" spans="99:105" ht="23.5">
      <c r="CU3697" s="45">
        <v>3693</v>
      </c>
      <c r="CV3697" s="18">
        <v>11.774714554935908</v>
      </c>
      <c r="CW3697" s="18" t="str">
        <v>Invest</v>
      </c>
      <c r="CY3697" s="45">
        <v>3693</v>
      </c>
      <c r="CZ3697" s="18">
        <v>5.0582578020797069</v>
      </c>
      <c r="DA3697" s="18" t="str">
        <v>Invest</v>
      </c>
    </row>
    <row r="3698" spans="99:105" ht="23.5">
      <c r="CU3698" s="45">
        <v>3694</v>
      </c>
      <c r="CV3698" s="18">
        <v>0</v>
      </c>
      <c r="CW3698" s="18" t="str">
        <v>Nothing</v>
      </c>
      <c r="CY3698" s="45">
        <v>3694</v>
      </c>
      <c r="CZ3698" s="18">
        <v>0</v>
      </c>
      <c r="DA3698" s="18" t="str">
        <v>Nothing</v>
      </c>
    </row>
    <row r="3699" spans="99:105" ht="23.5">
      <c r="CU3699" s="45">
        <v>3695</v>
      </c>
      <c r="CV3699" s="18">
        <v>19.047549058816895</v>
      </c>
      <c r="CW3699" s="18" t="str">
        <v>Invest</v>
      </c>
      <c r="CY3699" s="45">
        <v>3695</v>
      </c>
      <c r="CZ3699" s="18">
        <v>0</v>
      </c>
      <c r="DA3699" s="18" t="str">
        <v>Nothing</v>
      </c>
    </row>
    <row r="3700" spans="99:105" ht="23.5">
      <c r="CU3700" s="45">
        <v>3696</v>
      </c>
      <c r="CV3700" s="18">
        <v>13.194584399209782</v>
      </c>
      <c r="CW3700" s="18" t="str">
        <v>Invest</v>
      </c>
      <c r="CY3700" s="45">
        <v>3696</v>
      </c>
      <c r="CZ3700" s="18">
        <v>10.179856569135733</v>
      </c>
      <c r="DA3700" s="18" t="str">
        <v>Invest</v>
      </c>
    </row>
    <row r="3701" spans="99:105" ht="23.5">
      <c r="CU3701" s="45">
        <v>3697</v>
      </c>
      <c r="CV3701" s="18">
        <v>26.733032758738869</v>
      </c>
      <c r="CW3701" s="18" t="str">
        <v>Invest</v>
      </c>
      <c r="CY3701" s="45">
        <v>3697</v>
      </c>
      <c r="CZ3701" s="18">
        <v>0.99277535390879734</v>
      </c>
      <c r="DA3701" s="18" t="str">
        <v>Invest</v>
      </c>
    </row>
    <row r="3702" spans="99:105" ht="23.5">
      <c r="CU3702" s="45">
        <v>3698</v>
      </c>
      <c r="CV3702" s="18">
        <v>0</v>
      </c>
      <c r="CW3702" s="18" t="str">
        <v>Nothing</v>
      </c>
      <c r="CY3702" s="45">
        <v>3698</v>
      </c>
      <c r="CZ3702" s="18">
        <v>0</v>
      </c>
      <c r="DA3702" s="18" t="str">
        <v>Nothing</v>
      </c>
    </row>
    <row r="3703" spans="99:105" ht="23.5">
      <c r="CU3703" s="45">
        <v>3699</v>
      </c>
      <c r="CV3703" s="18">
        <v>11.789526646705646</v>
      </c>
      <c r="CW3703" s="18" t="str">
        <v>Invest</v>
      </c>
      <c r="CY3703" s="45">
        <v>3699</v>
      </c>
      <c r="CZ3703" s="18">
        <v>0</v>
      </c>
      <c r="DA3703" s="18" t="str">
        <v>Nothing</v>
      </c>
    </row>
    <row r="3704" spans="99:105" ht="23.5">
      <c r="CU3704" s="45">
        <v>3700</v>
      </c>
      <c r="CV3704" s="18">
        <v>16.721413072597471</v>
      </c>
      <c r="CW3704" s="18" t="str">
        <v>Invest</v>
      </c>
      <c r="CY3704" s="45">
        <v>3700</v>
      </c>
      <c r="CZ3704" s="18">
        <v>29.032233452903629</v>
      </c>
      <c r="DA3704" s="18" t="str">
        <v>Invest</v>
      </c>
    </row>
    <row r="3705" spans="99:105" ht="23.5">
      <c r="CU3705" s="45">
        <v>3701</v>
      </c>
      <c r="CV3705" s="18">
        <v>28.453269336965924</v>
      </c>
      <c r="CW3705" s="18" t="str">
        <v>Invest</v>
      </c>
      <c r="CY3705" s="45">
        <v>3701</v>
      </c>
      <c r="CZ3705" s="18">
        <v>31.731279010652841</v>
      </c>
      <c r="DA3705" s="18" t="str">
        <v>Invest</v>
      </c>
    </row>
    <row r="3706" spans="99:105" ht="23.5">
      <c r="CU3706" s="45">
        <v>3702</v>
      </c>
      <c r="CV3706" s="18">
        <v>12.340602936205574</v>
      </c>
      <c r="CW3706" s="18" t="str">
        <v>Invest</v>
      </c>
      <c r="CY3706" s="45">
        <v>3702</v>
      </c>
      <c r="CZ3706" s="18">
        <v>22.488216406080777</v>
      </c>
      <c r="DA3706" s="18" t="str">
        <v>Invest</v>
      </c>
    </row>
    <row r="3707" spans="99:105" ht="23.5">
      <c r="CU3707" s="45">
        <v>3703</v>
      </c>
      <c r="CV3707" s="18">
        <v>33.95754371022656</v>
      </c>
      <c r="CW3707" s="18" t="str">
        <v>Invest</v>
      </c>
      <c r="CY3707" s="45">
        <v>3703</v>
      </c>
      <c r="CZ3707" s="18">
        <v>13.178162075825997</v>
      </c>
      <c r="DA3707" s="18" t="str">
        <v>Invest</v>
      </c>
    </row>
    <row r="3708" spans="99:105" ht="23.5">
      <c r="CU3708" s="45">
        <v>3704</v>
      </c>
      <c r="CV3708" s="18">
        <v>11.699196204923352</v>
      </c>
      <c r="CW3708" s="18" t="str">
        <v>Invest</v>
      </c>
      <c r="CY3708" s="45">
        <v>3704</v>
      </c>
      <c r="CZ3708" s="18">
        <v>0</v>
      </c>
      <c r="DA3708" s="18" t="str">
        <v>Nothing</v>
      </c>
    </row>
    <row r="3709" spans="99:105" ht="23.5">
      <c r="CU3709" s="45">
        <v>3705</v>
      </c>
      <c r="CV3709" s="18">
        <v>0</v>
      </c>
      <c r="CW3709" s="18" t="str">
        <v>Nothing</v>
      </c>
      <c r="CY3709" s="45">
        <v>3705</v>
      </c>
      <c r="CZ3709" s="18">
        <v>2.7583729523677807</v>
      </c>
      <c r="DA3709" s="18" t="str">
        <v>Invest</v>
      </c>
    </row>
    <row r="3710" spans="99:105" ht="23.5">
      <c r="CU3710" s="45">
        <v>3706</v>
      </c>
      <c r="CV3710" s="18">
        <v>24.345691923463498</v>
      </c>
      <c r="CW3710" s="18" t="str">
        <v>Invest</v>
      </c>
      <c r="CY3710" s="45">
        <v>3706</v>
      </c>
      <c r="CZ3710" s="18">
        <v>20.438655103351806</v>
      </c>
      <c r="DA3710" s="18" t="str">
        <v>Invest</v>
      </c>
    </row>
    <row r="3711" spans="99:105" ht="23.5">
      <c r="CU3711" s="45">
        <v>3707</v>
      </c>
      <c r="CV3711" s="18">
        <v>0</v>
      </c>
      <c r="CW3711" s="18" t="str">
        <v>Nothing</v>
      </c>
      <c r="CY3711" s="45">
        <v>3707</v>
      </c>
      <c r="CZ3711" s="18">
        <v>22.345710110234023</v>
      </c>
      <c r="DA3711" s="18" t="str">
        <v>Invest</v>
      </c>
    </row>
    <row r="3712" spans="99:105" ht="23.5">
      <c r="CU3712" s="45">
        <v>3708</v>
      </c>
      <c r="CV3712" s="18">
        <v>0</v>
      </c>
      <c r="CW3712" s="18" t="str">
        <v>Nothing</v>
      </c>
      <c r="CY3712" s="45">
        <v>3708</v>
      </c>
      <c r="CZ3712" s="18">
        <v>27.080431778791421</v>
      </c>
      <c r="DA3712" s="18" t="str">
        <v>Invest</v>
      </c>
    </row>
    <row r="3713" spans="99:105" ht="23.5">
      <c r="CU3713" s="45">
        <v>3709</v>
      </c>
      <c r="CV3713" s="18">
        <v>0</v>
      </c>
      <c r="CW3713" s="18" t="str">
        <v>Nothing</v>
      </c>
      <c r="CY3713" s="45">
        <v>3709</v>
      </c>
      <c r="CZ3713" s="18">
        <v>18.511670315355886</v>
      </c>
      <c r="DA3713" s="18" t="str">
        <v>Invest</v>
      </c>
    </row>
    <row r="3714" spans="99:105" ht="23.5">
      <c r="CU3714" s="45">
        <v>3710</v>
      </c>
      <c r="CV3714" s="18">
        <v>17.735776153944094</v>
      </c>
      <c r="CW3714" s="18" t="str">
        <v>Invest</v>
      </c>
      <c r="CY3714" s="45">
        <v>3710</v>
      </c>
      <c r="CZ3714" s="18">
        <v>13.581099921020341</v>
      </c>
      <c r="DA3714" s="18" t="str">
        <v>Invest</v>
      </c>
    </row>
    <row r="3715" spans="99:105" ht="23.5">
      <c r="CU3715" s="45">
        <v>3711</v>
      </c>
      <c r="CV3715" s="18">
        <v>16.28055023605738</v>
      </c>
      <c r="CW3715" s="18" t="str">
        <v>Invest</v>
      </c>
      <c r="CY3715" s="45">
        <v>3711</v>
      </c>
      <c r="CZ3715" s="18">
        <v>0</v>
      </c>
      <c r="DA3715" s="18" t="str">
        <v>Nothing</v>
      </c>
    </row>
    <row r="3716" spans="99:105" ht="23.5">
      <c r="CU3716" s="45">
        <v>3712</v>
      </c>
      <c r="CV3716" s="18">
        <v>7.2539321471700102</v>
      </c>
      <c r="CW3716" s="18" t="str">
        <v>Invest</v>
      </c>
      <c r="CY3716" s="45">
        <v>3712</v>
      </c>
      <c r="CZ3716" s="18">
        <v>0</v>
      </c>
      <c r="DA3716" s="18" t="str">
        <v>Nothing</v>
      </c>
    </row>
    <row r="3717" spans="99:105" ht="23.5">
      <c r="CU3717" s="45">
        <v>3713</v>
      </c>
      <c r="CV3717" s="18">
        <v>5.0291414724191696</v>
      </c>
      <c r="CW3717" s="18" t="str">
        <v>Invest</v>
      </c>
      <c r="CY3717" s="45">
        <v>3713</v>
      </c>
      <c r="CZ3717" s="18">
        <v>0</v>
      </c>
      <c r="DA3717" s="18" t="str">
        <v>Nothing</v>
      </c>
    </row>
    <row r="3718" spans="99:105" ht="23.5">
      <c r="CU3718" s="45">
        <v>3714</v>
      </c>
      <c r="CV3718" s="18">
        <v>0</v>
      </c>
      <c r="CW3718" s="18" t="str">
        <v>Nothing</v>
      </c>
      <c r="CY3718" s="45">
        <v>3714</v>
      </c>
      <c r="CZ3718" s="18">
        <v>5.5976318737868782</v>
      </c>
      <c r="DA3718" s="18" t="str">
        <v>Invest</v>
      </c>
    </row>
    <row r="3719" spans="99:105" ht="23.5">
      <c r="CU3719" s="45">
        <v>3715</v>
      </c>
      <c r="CV3719" s="18">
        <v>53.087230831382719</v>
      </c>
      <c r="CW3719" s="18" t="str">
        <v>Invest</v>
      </c>
      <c r="CY3719" s="45">
        <v>3715</v>
      </c>
      <c r="CZ3719" s="18">
        <v>30.698742239451093</v>
      </c>
      <c r="DA3719" s="18" t="str">
        <v>Invest</v>
      </c>
    </row>
    <row r="3720" spans="99:105" ht="23.5">
      <c r="CU3720" s="45">
        <v>3716</v>
      </c>
      <c r="CV3720" s="18">
        <v>11.710892194257738</v>
      </c>
      <c r="CW3720" s="18" t="str">
        <v>Invest</v>
      </c>
      <c r="CY3720" s="45">
        <v>3716</v>
      </c>
      <c r="CZ3720" s="18">
        <v>27.62578506725642</v>
      </c>
      <c r="DA3720" s="18" t="str">
        <v>Invest</v>
      </c>
    </row>
    <row r="3721" spans="99:105" ht="23.5">
      <c r="CU3721" s="45">
        <v>3717</v>
      </c>
      <c r="CV3721" s="18">
        <v>31.372487622280762</v>
      </c>
      <c r="CW3721" s="18" t="str">
        <v>Invest</v>
      </c>
      <c r="CY3721" s="45">
        <v>3717</v>
      </c>
      <c r="CZ3721" s="18">
        <v>62.972165444777076</v>
      </c>
      <c r="DA3721" s="18" t="str">
        <v>Invest</v>
      </c>
    </row>
    <row r="3722" spans="99:105" ht="23.5">
      <c r="CU3722" s="45">
        <v>3718</v>
      </c>
      <c r="CV3722" s="18">
        <v>14.568386001862637</v>
      </c>
      <c r="CW3722" s="18" t="str">
        <v>Invest</v>
      </c>
      <c r="CY3722" s="45">
        <v>3718</v>
      </c>
      <c r="CZ3722" s="18">
        <v>0</v>
      </c>
      <c r="DA3722" s="18" t="str">
        <v>Nothing</v>
      </c>
    </row>
    <row r="3723" spans="99:105" ht="23.5">
      <c r="CU3723" s="45">
        <v>3719</v>
      </c>
      <c r="CV3723" s="18">
        <v>15.26755035783812</v>
      </c>
      <c r="CW3723" s="18" t="str">
        <v>Invest</v>
      </c>
      <c r="CY3723" s="45">
        <v>3719</v>
      </c>
      <c r="CZ3723" s="18">
        <v>57.161947401996841</v>
      </c>
      <c r="DA3723" s="18" t="str">
        <v>Invest</v>
      </c>
    </row>
    <row r="3724" spans="99:105" ht="23.5">
      <c r="CU3724" s="45">
        <v>3720</v>
      </c>
      <c r="CV3724" s="18">
        <v>38.023795760103219</v>
      </c>
      <c r="CW3724" s="18" t="str">
        <v>Invest</v>
      </c>
      <c r="CY3724" s="45">
        <v>3720</v>
      </c>
      <c r="CZ3724" s="18">
        <v>21.050874061729328</v>
      </c>
      <c r="DA3724" s="18" t="str">
        <v>Invest</v>
      </c>
    </row>
    <row r="3725" spans="99:105" ht="23.5">
      <c r="CU3725" s="45">
        <v>3721</v>
      </c>
      <c r="CV3725" s="18">
        <v>26.529183231612834</v>
      </c>
      <c r="CW3725" s="18" t="str">
        <v>Invest</v>
      </c>
      <c r="CY3725" s="45">
        <v>3721</v>
      </c>
      <c r="CZ3725" s="18">
        <v>25.29719016812637</v>
      </c>
      <c r="DA3725" s="18" t="str">
        <v>Invest</v>
      </c>
    </row>
    <row r="3726" spans="99:105" ht="23.5">
      <c r="CU3726" s="45">
        <v>3722</v>
      </c>
      <c r="CV3726" s="18">
        <v>0</v>
      </c>
      <c r="CW3726" s="18" t="str">
        <v>Nothing</v>
      </c>
      <c r="CY3726" s="45">
        <v>3722</v>
      </c>
      <c r="CZ3726" s="18">
        <v>7.9707929525358097</v>
      </c>
      <c r="DA3726" s="18" t="str">
        <v>Invest</v>
      </c>
    </row>
    <row r="3727" spans="99:105" ht="23.5">
      <c r="CU3727" s="45">
        <v>3723</v>
      </c>
      <c r="CV3727" s="18">
        <v>6.5269875116244851</v>
      </c>
      <c r="CW3727" s="18" t="str">
        <v>Invest</v>
      </c>
      <c r="CY3727" s="45">
        <v>3723</v>
      </c>
      <c r="CZ3727" s="18">
        <v>26.584098619626573</v>
      </c>
      <c r="DA3727" s="18" t="str">
        <v>Invest</v>
      </c>
    </row>
    <row r="3728" spans="99:105" ht="23.5">
      <c r="CU3728" s="45">
        <v>3724</v>
      </c>
      <c r="CV3728" s="18">
        <v>0</v>
      </c>
      <c r="CW3728" s="18" t="str">
        <v>Nothing</v>
      </c>
      <c r="CY3728" s="45">
        <v>3724</v>
      </c>
      <c r="CZ3728" s="18">
        <v>24.362725073254609</v>
      </c>
      <c r="DA3728" s="18" t="str">
        <v>Invest</v>
      </c>
    </row>
    <row r="3729" spans="99:105" ht="23.5">
      <c r="CU3729" s="45">
        <v>3725</v>
      </c>
      <c r="CV3729" s="18">
        <v>38.996208281108331</v>
      </c>
      <c r="CW3729" s="18" t="str">
        <v>Invest</v>
      </c>
      <c r="CY3729" s="45">
        <v>3725</v>
      </c>
      <c r="CZ3729" s="18">
        <v>52.63682421746541</v>
      </c>
      <c r="DA3729" s="18" t="str">
        <v>Invest</v>
      </c>
    </row>
    <row r="3730" spans="99:105" ht="23.5">
      <c r="CU3730" s="45">
        <v>3726</v>
      </c>
      <c r="CV3730" s="18">
        <v>27.410139361180111</v>
      </c>
      <c r="CW3730" s="18" t="str">
        <v>Invest</v>
      </c>
      <c r="CY3730" s="45">
        <v>3726</v>
      </c>
      <c r="CZ3730" s="18">
        <v>35.782132943375117</v>
      </c>
      <c r="DA3730" s="18" t="str">
        <v>Invest</v>
      </c>
    </row>
    <row r="3731" spans="99:105" ht="23.5">
      <c r="CU3731" s="45">
        <v>3727</v>
      </c>
      <c r="CV3731" s="18">
        <v>18.710695023326956</v>
      </c>
      <c r="CW3731" s="18" t="str">
        <v>Invest</v>
      </c>
      <c r="CY3731" s="45">
        <v>3727</v>
      </c>
      <c r="CZ3731" s="18">
        <v>0</v>
      </c>
      <c r="DA3731" s="18" t="str">
        <v>Nothing</v>
      </c>
    </row>
    <row r="3732" spans="99:105" ht="23.5">
      <c r="CU3732" s="45">
        <v>3728</v>
      </c>
      <c r="CV3732" s="18">
        <v>0</v>
      </c>
      <c r="CW3732" s="18" t="str">
        <v>Nothing</v>
      </c>
      <c r="CY3732" s="45">
        <v>3728</v>
      </c>
      <c r="CZ3732" s="18">
        <v>20.539814071216171</v>
      </c>
      <c r="DA3732" s="18" t="str">
        <v>Invest</v>
      </c>
    </row>
    <row r="3733" spans="99:105" ht="23.5">
      <c r="CU3733" s="45">
        <v>3729</v>
      </c>
      <c r="CV3733" s="18">
        <v>0</v>
      </c>
      <c r="CW3733" s="18" t="str">
        <v>Nothing</v>
      </c>
      <c r="CY3733" s="45">
        <v>3729</v>
      </c>
      <c r="CZ3733" s="18">
        <v>17.679933013809631</v>
      </c>
      <c r="DA3733" s="18" t="str">
        <v>Invest</v>
      </c>
    </row>
    <row r="3734" spans="99:105" ht="23.5">
      <c r="CU3734" s="45">
        <v>3730</v>
      </c>
      <c r="CV3734" s="18">
        <v>16.579462330276897</v>
      </c>
      <c r="CW3734" s="18" t="str">
        <v>Invest</v>
      </c>
      <c r="CY3734" s="45">
        <v>3730</v>
      </c>
      <c r="CZ3734" s="18">
        <v>0</v>
      </c>
      <c r="DA3734" s="18" t="str">
        <v>Nothing</v>
      </c>
    </row>
    <row r="3735" spans="99:105" ht="23.5">
      <c r="CU3735" s="45">
        <v>3731</v>
      </c>
      <c r="CV3735" s="18">
        <v>4.8916310827009859</v>
      </c>
      <c r="CW3735" s="18" t="str">
        <v>Invest</v>
      </c>
      <c r="CY3735" s="45">
        <v>3731</v>
      </c>
      <c r="CZ3735" s="18">
        <v>19.955259294011718</v>
      </c>
      <c r="DA3735" s="18" t="str">
        <v>Invest</v>
      </c>
    </row>
    <row r="3736" spans="99:105" ht="23.5">
      <c r="CU3736" s="45">
        <v>3732</v>
      </c>
      <c r="CV3736" s="18">
        <v>0</v>
      </c>
      <c r="CW3736" s="18" t="str">
        <v>Nothing</v>
      </c>
      <c r="CY3736" s="45">
        <v>3732</v>
      </c>
      <c r="CZ3736" s="18">
        <v>5.0381482056240259</v>
      </c>
      <c r="DA3736" s="18" t="str">
        <v>Invest</v>
      </c>
    </row>
    <row r="3737" spans="99:105" ht="23.5">
      <c r="CU3737" s="45">
        <v>3733</v>
      </c>
      <c r="CV3737" s="18">
        <v>32.502184396492751</v>
      </c>
      <c r="CW3737" s="18" t="str">
        <v>Invest</v>
      </c>
      <c r="CY3737" s="45">
        <v>3733</v>
      </c>
      <c r="CZ3737" s="18">
        <v>4.0278204160842037</v>
      </c>
      <c r="DA3737" s="18" t="str">
        <v>Invest</v>
      </c>
    </row>
    <row r="3738" spans="99:105" ht="23.5">
      <c r="CU3738" s="45">
        <v>3734</v>
      </c>
      <c r="CV3738" s="18">
        <v>40.704623093706154</v>
      </c>
      <c r="CW3738" s="18" t="str">
        <v>Invest</v>
      </c>
      <c r="CY3738" s="45">
        <v>3734</v>
      </c>
      <c r="CZ3738" s="18">
        <v>7.1861630148391571</v>
      </c>
      <c r="DA3738" s="18" t="str">
        <v>Invest</v>
      </c>
    </row>
    <row r="3739" spans="99:105" ht="23.5">
      <c r="CU3739" s="45">
        <v>3735</v>
      </c>
      <c r="CV3739" s="18">
        <v>10.658845626177603</v>
      </c>
      <c r="CW3739" s="18" t="str">
        <v>Invest</v>
      </c>
      <c r="CY3739" s="45">
        <v>3735</v>
      </c>
      <c r="CZ3739" s="18">
        <v>45.716213110789475</v>
      </c>
      <c r="DA3739" s="18" t="str">
        <v>Invest</v>
      </c>
    </row>
    <row r="3740" spans="99:105" ht="23.5">
      <c r="CU3740" s="45">
        <v>3736</v>
      </c>
      <c r="CV3740" s="18">
        <v>45.97487742750404</v>
      </c>
      <c r="CW3740" s="18" t="str">
        <v>Invest</v>
      </c>
      <c r="CY3740" s="45">
        <v>3736</v>
      </c>
      <c r="CZ3740" s="18">
        <v>4.6864878694833552</v>
      </c>
      <c r="DA3740" s="18" t="str">
        <v>Invest</v>
      </c>
    </row>
    <row r="3741" spans="99:105" ht="23.5">
      <c r="CU3741" s="45">
        <v>3737</v>
      </c>
      <c r="CV3741" s="18">
        <v>9.1231307287854335</v>
      </c>
      <c r="CW3741" s="18" t="str">
        <v>Invest</v>
      </c>
      <c r="CY3741" s="45">
        <v>3737</v>
      </c>
      <c r="CZ3741" s="18">
        <v>16.88106191514353</v>
      </c>
      <c r="DA3741" s="18" t="str">
        <v>Invest</v>
      </c>
    </row>
    <row r="3742" spans="99:105" ht="23.5">
      <c r="CU3742" s="45">
        <v>3738</v>
      </c>
      <c r="CV3742" s="18">
        <v>27.208493350025158</v>
      </c>
      <c r="CW3742" s="18" t="str">
        <v>Invest</v>
      </c>
      <c r="CY3742" s="45">
        <v>3738</v>
      </c>
      <c r="CZ3742" s="18">
        <v>23.43741777150851</v>
      </c>
      <c r="DA3742" s="18" t="str">
        <v>Invest</v>
      </c>
    </row>
    <row r="3743" spans="99:105" ht="23.5">
      <c r="CU3743" s="45">
        <v>3739</v>
      </c>
      <c r="CV3743" s="18">
        <v>14.584577246209175</v>
      </c>
      <c r="CW3743" s="18" t="str">
        <v>Invest</v>
      </c>
      <c r="CY3743" s="45">
        <v>3739</v>
      </c>
      <c r="CZ3743" s="18">
        <v>24.751371028047895</v>
      </c>
      <c r="DA3743" s="18" t="str">
        <v>Invest</v>
      </c>
    </row>
    <row r="3744" spans="99:105" ht="23.5">
      <c r="CU3744" s="45">
        <v>3740</v>
      </c>
      <c r="CV3744" s="18">
        <v>56.894568466385273</v>
      </c>
      <c r="CW3744" s="18" t="str">
        <v>Invest</v>
      </c>
      <c r="CY3744" s="45">
        <v>3740</v>
      </c>
      <c r="CZ3744" s="18">
        <v>22.697264505524416</v>
      </c>
      <c r="DA3744" s="18" t="str">
        <v>Invest</v>
      </c>
    </row>
    <row r="3745" spans="99:105" ht="23.5">
      <c r="CU3745" s="45">
        <v>3741</v>
      </c>
      <c r="CV3745" s="18">
        <v>21.28398092307965</v>
      </c>
      <c r="CW3745" s="18" t="str">
        <v>Invest</v>
      </c>
      <c r="CY3745" s="45">
        <v>3741</v>
      </c>
      <c r="CZ3745" s="18">
        <v>8.410936738474085</v>
      </c>
      <c r="DA3745" s="18" t="str">
        <v>Invest</v>
      </c>
    </row>
    <row r="3746" spans="99:105" ht="23.5">
      <c r="CU3746" s="45">
        <v>3742</v>
      </c>
      <c r="CV3746" s="18">
        <v>0</v>
      </c>
      <c r="CW3746" s="18" t="str">
        <v>Nothing</v>
      </c>
      <c r="CY3746" s="45">
        <v>3742</v>
      </c>
      <c r="CZ3746" s="18">
        <v>14.528603900826734</v>
      </c>
      <c r="DA3746" s="18" t="str">
        <v>Invest</v>
      </c>
    </row>
    <row r="3747" spans="99:105" ht="23.5">
      <c r="CU3747" s="45">
        <v>3743</v>
      </c>
      <c r="CV3747" s="18">
        <v>55.554387022202533</v>
      </c>
      <c r="CW3747" s="18" t="str">
        <v>Invest</v>
      </c>
      <c r="CY3747" s="45">
        <v>3743</v>
      </c>
      <c r="CZ3747" s="18">
        <v>0</v>
      </c>
      <c r="DA3747" s="18" t="str">
        <v>Nothing</v>
      </c>
    </row>
    <row r="3748" spans="99:105" ht="23.5">
      <c r="CU3748" s="45">
        <v>3744</v>
      </c>
      <c r="CV3748" s="18">
        <v>14.098383913863573</v>
      </c>
      <c r="CW3748" s="18" t="str">
        <v>Invest</v>
      </c>
      <c r="CY3748" s="45">
        <v>3744</v>
      </c>
      <c r="CZ3748" s="18">
        <v>29.987374569323393</v>
      </c>
      <c r="DA3748" s="18" t="str">
        <v>Invest</v>
      </c>
    </row>
    <row r="3749" spans="99:105" ht="23.5">
      <c r="CU3749" s="45">
        <v>3745</v>
      </c>
      <c r="CV3749" s="18">
        <v>27.527702055395743</v>
      </c>
      <c r="CW3749" s="18" t="str">
        <v>Invest</v>
      </c>
      <c r="CY3749" s="45">
        <v>3745</v>
      </c>
      <c r="CZ3749" s="18">
        <v>28.159938856382357</v>
      </c>
      <c r="DA3749" s="18" t="str">
        <v>Invest</v>
      </c>
    </row>
    <row r="3750" spans="99:105" ht="23.5">
      <c r="CU3750" s="45">
        <v>3746</v>
      </c>
      <c r="CV3750" s="18">
        <v>33.554207216036339</v>
      </c>
      <c r="CW3750" s="18" t="str">
        <v>Invest</v>
      </c>
      <c r="CY3750" s="45">
        <v>3746</v>
      </c>
      <c r="CZ3750" s="18">
        <v>0</v>
      </c>
      <c r="DA3750" s="18" t="str">
        <v>Nothing</v>
      </c>
    </row>
    <row r="3751" spans="99:105" ht="23.5">
      <c r="CU3751" s="45">
        <v>3747</v>
      </c>
      <c r="CV3751" s="18">
        <v>0</v>
      </c>
      <c r="CW3751" s="18" t="str">
        <v>Nothing</v>
      </c>
      <c r="CY3751" s="45">
        <v>3747</v>
      </c>
      <c r="CZ3751" s="18">
        <v>36.849724924966459</v>
      </c>
      <c r="DA3751" s="18" t="str">
        <v>Invest</v>
      </c>
    </row>
    <row r="3752" spans="99:105" ht="23.5">
      <c r="CU3752" s="45">
        <v>3748</v>
      </c>
      <c r="CV3752" s="18">
        <v>12.306929093889828</v>
      </c>
      <c r="CW3752" s="18" t="str">
        <v>Invest</v>
      </c>
      <c r="CY3752" s="45">
        <v>3748</v>
      </c>
      <c r="CZ3752" s="18">
        <v>2.1242199793894159</v>
      </c>
      <c r="DA3752" s="18" t="str">
        <v>Invest</v>
      </c>
    </row>
    <row r="3753" spans="99:105" ht="23.5">
      <c r="CU3753" s="45">
        <v>3749</v>
      </c>
      <c r="CV3753" s="18">
        <v>0</v>
      </c>
      <c r="CW3753" s="18" t="str">
        <v>Nothing</v>
      </c>
      <c r="CY3753" s="45">
        <v>3749</v>
      </c>
      <c r="CZ3753" s="18">
        <v>15.597906939592177</v>
      </c>
      <c r="DA3753" s="18" t="str">
        <v>Invest</v>
      </c>
    </row>
    <row r="3754" spans="99:105" ht="23.5">
      <c r="CU3754" s="45">
        <v>3750</v>
      </c>
      <c r="CV3754" s="18">
        <v>15.386944066072328</v>
      </c>
      <c r="CW3754" s="18" t="str">
        <v>Invest</v>
      </c>
      <c r="CY3754" s="45">
        <v>3750</v>
      </c>
      <c r="CZ3754" s="18">
        <v>11.817639387103128</v>
      </c>
      <c r="DA3754" s="18" t="str">
        <v>Invest</v>
      </c>
    </row>
    <row r="3755" spans="99:105" ht="23.5">
      <c r="CU3755" s="45">
        <v>3751</v>
      </c>
      <c r="CV3755" s="18">
        <v>39.370428143781517</v>
      </c>
      <c r="CW3755" s="18" t="str">
        <v>Invest</v>
      </c>
      <c r="CY3755" s="45">
        <v>3751</v>
      </c>
      <c r="CZ3755" s="18">
        <v>34.198462944333613</v>
      </c>
      <c r="DA3755" s="18" t="str">
        <v>Invest</v>
      </c>
    </row>
    <row r="3756" spans="99:105" ht="23.5">
      <c r="CU3756" s="45">
        <v>3752</v>
      </c>
      <c r="CV3756" s="18">
        <v>14.313235688367776</v>
      </c>
      <c r="CW3756" s="18" t="str">
        <v>Invest</v>
      </c>
      <c r="CY3756" s="45">
        <v>3752</v>
      </c>
      <c r="CZ3756" s="18">
        <v>0</v>
      </c>
      <c r="DA3756" s="18" t="str">
        <v>Nothing</v>
      </c>
    </row>
    <row r="3757" spans="99:105" ht="23.5">
      <c r="CU3757" s="45">
        <v>3753</v>
      </c>
      <c r="CV3757" s="18">
        <v>0</v>
      </c>
      <c r="CW3757" s="18" t="str">
        <v>Nothing</v>
      </c>
      <c r="CY3757" s="45">
        <v>3753</v>
      </c>
      <c r="CZ3757" s="18">
        <v>0</v>
      </c>
      <c r="DA3757" s="18" t="str">
        <v>Nothing</v>
      </c>
    </row>
    <row r="3758" spans="99:105" ht="23.5">
      <c r="CU3758" s="45">
        <v>3754</v>
      </c>
      <c r="CV3758" s="18">
        <v>0</v>
      </c>
      <c r="CW3758" s="18" t="str">
        <v>Nothing</v>
      </c>
      <c r="CY3758" s="45">
        <v>3754</v>
      </c>
      <c r="CZ3758" s="18">
        <v>3.5478593937875611</v>
      </c>
      <c r="DA3758" s="18" t="str">
        <v>Invest</v>
      </c>
    </row>
    <row r="3759" spans="99:105" ht="23.5">
      <c r="CU3759" s="45">
        <v>3755</v>
      </c>
      <c r="CV3759" s="18">
        <v>29.003784190937438</v>
      </c>
      <c r="CW3759" s="18" t="str">
        <v>Invest</v>
      </c>
      <c r="CY3759" s="45">
        <v>3755</v>
      </c>
      <c r="CZ3759" s="18">
        <v>41.084484941463259</v>
      </c>
      <c r="DA3759" s="18" t="str">
        <v>Invest</v>
      </c>
    </row>
    <row r="3760" spans="99:105" ht="23.5">
      <c r="CU3760" s="45">
        <v>3756</v>
      </c>
      <c r="CV3760" s="18">
        <v>22.035198834005662</v>
      </c>
      <c r="CW3760" s="18" t="str">
        <v>Invest</v>
      </c>
      <c r="CY3760" s="45">
        <v>3756</v>
      </c>
      <c r="CZ3760" s="18">
        <v>2.2580608886089415</v>
      </c>
      <c r="DA3760" s="18" t="str">
        <v>Invest</v>
      </c>
    </row>
    <row r="3761" spans="99:105" ht="23.5">
      <c r="CU3761" s="45">
        <v>3757</v>
      </c>
      <c r="CV3761" s="18">
        <v>6.8368142527395541</v>
      </c>
      <c r="CW3761" s="18" t="str">
        <v>Invest</v>
      </c>
      <c r="CY3761" s="45">
        <v>3757</v>
      </c>
      <c r="CZ3761" s="18">
        <v>0</v>
      </c>
      <c r="DA3761" s="18" t="str">
        <v>Nothing</v>
      </c>
    </row>
    <row r="3762" spans="99:105" ht="23.5">
      <c r="CU3762" s="45">
        <v>3758</v>
      </c>
      <c r="CV3762" s="18">
        <v>0</v>
      </c>
      <c r="CW3762" s="18" t="str">
        <v>Nothing</v>
      </c>
      <c r="CY3762" s="45">
        <v>3758</v>
      </c>
      <c r="CZ3762" s="18">
        <v>0</v>
      </c>
      <c r="DA3762" s="18" t="str">
        <v>Nothing</v>
      </c>
    </row>
    <row r="3763" spans="99:105" ht="23.5">
      <c r="CU3763" s="45">
        <v>3759</v>
      </c>
      <c r="CV3763" s="18">
        <v>48.533527908700847</v>
      </c>
      <c r="CW3763" s="18" t="str">
        <v>Invest</v>
      </c>
      <c r="CY3763" s="45">
        <v>3759</v>
      </c>
      <c r="CZ3763" s="18">
        <v>31.457476863644956</v>
      </c>
      <c r="DA3763" s="18" t="str">
        <v>Invest</v>
      </c>
    </row>
    <row r="3764" spans="99:105" ht="23.5">
      <c r="CU3764" s="45">
        <v>3760</v>
      </c>
      <c r="CV3764" s="18">
        <v>0</v>
      </c>
      <c r="CW3764" s="18" t="str">
        <v>Nothing</v>
      </c>
      <c r="CY3764" s="45">
        <v>3760</v>
      </c>
      <c r="CZ3764" s="18">
        <v>0</v>
      </c>
      <c r="DA3764" s="18" t="str">
        <v>Nothing</v>
      </c>
    </row>
    <row r="3765" spans="99:105" ht="23.5">
      <c r="CU3765" s="45">
        <v>3761</v>
      </c>
      <c r="CV3765" s="18">
        <v>21.533204102168348</v>
      </c>
      <c r="CW3765" s="18" t="str">
        <v>Invest</v>
      </c>
      <c r="CY3765" s="45">
        <v>3761</v>
      </c>
      <c r="CZ3765" s="18">
        <v>0</v>
      </c>
      <c r="DA3765" s="18" t="str">
        <v>Nothing</v>
      </c>
    </row>
    <row r="3766" spans="99:105" ht="23.5">
      <c r="CU3766" s="45">
        <v>3762</v>
      </c>
      <c r="CV3766" s="18">
        <v>23.031039356280782</v>
      </c>
      <c r="CW3766" s="18" t="str">
        <v>Invest</v>
      </c>
      <c r="CY3766" s="45">
        <v>3762</v>
      </c>
      <c r="CZ3766" s="18">
        <v>0</v>
      </c>
      <c r="DA3766" s="18" t="str">
        <v>Nothing</v>
      </c>
    </row>
    <row r="3767" spans="99:105" ht="23.5">
      <c r="CU3767" s="45">
        <v>3763</v>
      </c>
      <c r="CV3767" s="18">
        <v>0</v>
      </c>
      <c r="CW3767" s="18" t="str">
        <v>Nothing</v>
      </c>
      <c r="CY3767" s="45">
        <v>3763</v>
      </c>
      <c r="CZ3767" s="18">
        <v>11.596423549052222</v>
      </c>
      <c r="DA3767" s="18" t="str">
        <v>Invest</v>
      </c>
    </row>
    <row r="3768" spans="99:105" ht="23.5">
      <c r="CU3768" s="45">
        <v>3764</v>
      </c>
      <c r="CV3768" s="18">
        <v>0</v>
      </c>
      <c r="CW3768" s="18" t="str">
        <v>Nothing</v>
      </c>
      <c r="CY3768" s="45">
        <v>3764</v>
      </c>
      <c r="CZ3768" s="18">
        <v>0</v>
      </c>
      <c r="DA3768" s="18" t="str">
        <v>Nothing</v>
      </c>
    </row>
    <row r="3769" spans="99:105" ht="23.5">
      <c r="CU3769" s="45">
        <v>3765</v>
      </c>
      <c r="CV3769" s="18">
        <v>16.228485669851398</v>
      </c>
      <c r="CW3769" s="18" t="str">
        <v>Invest</v>
      </c>
      <c r="CY3769" s="45">
        <v>3765</v>
      </c>
      <c r="CZ3769" s="18">
        <v>23.900997722393534</v>
      </c>
      <c r="DA3769" s="18" t="str">
        <v>Invest</v>
      </c>
    </row>
    <row r="3770" spans="99:105" ht="23.5">
      <c r="CU3770" s="45">
        <v>3766</v>
      </c>
      <c r="CV3770" s="18">
        <v>0</v>
      </c>
      <c r="CW3770" s="18" t="str">
        <v>Nothing</v>
      </c>
      <c r="CY3770" s="45">
        <v>3766</v>
      </c>
      <c r="CZ3770" s="18">
        <v>2.2974816776222511</v>
      </c>
      <c r="DA3770" s="18" t="str">
        <v>Invest</v>
      </c>
    </row>
    <row r="3771" spans="99:105" ht="23.5">
      <c r="CU3771" s="45">
        <v>3767</v>
      </c>
      <c r="CV3771" s="18">
        <v>0</v>
      </c>
      <c r="CW3771" s="18" t="str">
        <v>Nothing</v>
      </c>
      <c r="CY3771" s="45">
        <v>3767</v>
      </c>
      <c r="CZ3771" s="18">
        <v>64.640455254993228</v>
      </c>
      <c r="DA3771" s="18" t="str">
        <v>Invest</v>
      </c>
    </row>
    <row r="3772" spans="99:105" ht="23.5">
      <c r="CU3772" s="45">
        <v>3768</v>
      </c>
      <c r="CV3772" s="18">
        <v>0</v>
      </c>
      <c r="CW3772" s="18" t="str">
        <v>Nothing</v>
      </c>
      <c r="CY3772" s="45">
        <v>3768</v>
      </c>
      <c r="CZ3772" s="18">
        <v>3.3809272897637612</v>
      </c>
      <c r="DA3772" s="18" t="str">
        <v>Invest</v>
      </c>
    </row>
    <row r="3773" spans="99:105" ht="23.5">
      <c r="CU3773" s="45">
        <v>3769</v>
      </c>
      <c r="CV3773" s="18">
        <v>22.912325106751588</v>
      </c>
      <c r="CW3773" s="18" t="str">
        <v>Invest</v>
      </c>
      <c r="CY3773" s="45">
        <v>3769</v>
      </c>
      <c r="CZ3773" s="18">
        <v>20.603707069255798</v>
      </c>
      <c r="DA3773" s="18" t="str">
        <v>Invest</v>
      </c>
    </row>
    <row r="3774" spans="99:105" ht="23.5">
      <c r="CU3774" s="45">
        <v>3770</v>
      </c>
      <c r="CV3774" s="18">
        <v>5.0232566448211271</v>
      </c>
      <c r="CW3774" s="18" t="str">
        <v>Invest</v>
      </c>
      <c r="CY3774" s="45">
        <v>3770</v>
      </c>
      <c r="CZ3774" s="18">
        <v>39.762592507446477</v>
      </c>
      <c r="DA3774" s="18" t="str">
        <v>Invest</v>
      </c>
    </row>
    <row r="3775" spans="99:105" ht="23.5">
      <c r="CU3775" s="45">
        <v>3771</v>
      </c>
      <c r="CV3775" s="18">
        <v>0</v>
      </c>
      <c r="CW3775" s="18" t="str">
        <v>Nothing</v>
      </c>
      <c r="CY3775" s="45">
        <v>3771</v>
      </c>
      <c r="CZ3775" s="18">
        <v>14.613668902055474</v>
      </c>
      <c r="DA3775" s="18" t="str">
        <v>Invest</v>
      </c>
    </row>
    <row r="3776" spans="99:105" ht="23.5">
      <c r="CU3776" s="45">
        <v>3772</v>
      </c>
      <c r="CV3776" s="18">
        <v>13.328952828108344</v>
      </c>
      <c r="CW3776" s="18" t="str">
        <v>Invest</v>
      </c>
      <c r="CY3776" s="45">
        <v>3772</v>
      </c>
      <c r="CZ3776" s="18">
        <v>0</v>
      </c>
      <c r="DA3776" s="18" t="str">
        <v>Nothing</v>
      </c>
    </row>
    <row r="3777" spans="99:105" ht="23.5">
      <c r="CU3777" s="45">
        <v>3773</v>
      </c>
      <c r="CV3777" s="18">
        <v>16.712809008314405</v>
      </c>
      <c r="CW3777" s="18" t="str">
        <v>Invest</v>
      </c>
      <c r="CY3777" s="45">
        <v>3773</v>
      </c>
      <c r="CZ3777" s="18">
        <v>28.27788487462551</v>
      </c>
      <c r="DA3777" s="18" t="str">
        <v>Invest</v>
      </c>
    </row>
    <row r="3778" spans="99:105" ht="23.5">
      <c r="CU3778" s="45">
        <v>3774</v>
      </c>
      <c r="CV3778" s="18">
        <v>0</v>
      </c>
      <c r="CW3778" s="18" t="str">
        <v>Nothing</v>
      </c>
      <c r="CY3778" s="45">
        <v>3774</v>
      </c>
      <c r="CZ3778" s="18">
        <v>38.826493374273817</v>
      </c>
      <c r="DA3778" s="18" t="str">
        <v>Invest</v>
      </c>
    </row>
    <row r="3779" spans="99:105" ht="23.5">
      <c r="CU3779" s="45">
        <v>3775</v>
      </c>
      <c r="CV3779" s="18">
        <v>0</v>
      </c>
      <c r="CW3779" s="18" t="str">
        <v>Nothing</v>
      </c>
      <c r="CY3779" s="45">
        <v>3775</v>
      </c>
      <c r="CZ3779" s="18">
        <v>3.4777991870940284</v>
      </c>
      <c r="DA3779" s="18" t="str">
        <v>Invest</v>
      </c>
    </row>
    <row r="3780" spans="99:105" ht="23.5">
      <c r="CU3780" s="45">
        <v>3776</v>
      </c>
      <c r="CV3780" s="18">
        <v>0</v>
      </c>
      <c r="CW3780" s="18" t="str">
        <v>Nothing</v>
      </c>
      <c r="CY3780" s="45">
        <v>3776</v>
      </c>
      <c r="CZ3780" s="18">
        <v>0</v>
      </c>
      <c r="DA3780" s="18" t="str">
        <v>Nothing</v>
      </c>
    </row>
    <row r="3781" spans="99:105" ht="23.5">
      <c r="CU3781" s="45">
        <v>3777</v>
      </c>
      <c r="CV3781" s="18">
        <v>23.84714333237212</v>
      </c>
      <c r="CW3781" s="18" t="str">
        <v>Invest</v>
      </c>
      <c r="CY3781" s="45">
        <v>3777</v>
      </c>
      <c r="CZ3781" s="18">
        <v>14.68624536892931</v>
      </c>
      <c r="DA3781" s="18" t="str">
        <v>Invest</v>
      </c>
    </row>
    <row r="3782" spans="99:105" ht="23.5">
      <c r="CU3782" s="45">
        <v>3778</v>
      </c>
      <c r="CV3782" s="18">
        <v>0</v>
      </c>
      <c r="CW3782" s="18" t="str">
        <v>Nothing</v>
      </c>
      <c r="CY3782" s="45">
        <v>3778</v>
      </c>
      <c r="CZ3782" s="18">
        <v>11.854310127654202</v>
      </c>
      <c r="DA3782" s="18" t="str">
        <v>Invest</v>
      </c>
    </row>
    <row r="3783" spans="99:105" ht="23.5">
      <c r="CU3783" s="45">
        <v>3779</v>
      </c>
      <c r="CV3783" s="18">
        <v>5.7609861008893812</v>
      </c>
      <c r="CW3783" s="18" t="str">
        <v>Invest</v>
      </c>
      <c r="CY3783" s="45">
        <v>3779</v>
      </c>
      <c r="CZ3783" s="18">
        <v>4.8153803674409499</v>
      </c>
      <c r="DA3783" s="18" t="str">
        <v>Invest</v>
      </c>
    </row>
    <row r="3784" spans="99:105" ht="23.5">
      <c r="CU3784" s="45">
        <v>3780</v>
      </c>
      <c r="CV3784" s="18">
        <v>4.3257270535346279</v>
      </c>
      <c r="CW3784" s="18" t="str">
        <v>Invest</v>
      </c>
      <c r="CY3784" s="45">
        <v>3780</v>
      </c>
      <c r="CZ3784" s="18">
        <v>35.190525088700205</v>
      </c>
      <c r="DA3784" s="18" t="str">
        <v>Invest</v>
      </c>
    </row>
    <row r="3785" spans="99:105" ht="23.5">
      <c r="CU3785" s="45">
        <v>3781</v>
      </c>
      <c r="CV3785" s="18">
        <v>11.511470180437875</v>
      </c>
      <c r="CW3785" s="18" t="str">
        <v>Invest</v>
      </c>
      <c r="CY3785" s="45">
        <v>3781</v>
      </c>
      <c r="CZ3785" s="18">
        <v>49.74633886045271</v>
      </c>
      <c r="DA3785" s="18" t="str">
        <v>Invest</v>
      </c>
    </row>
    <row r="3786" spans="99:105" ht="23.5">
      <c r="CU3786" s="45">
        <v>3782</v>
      </c>
      <c r="CV3786" s="18">
        <v>11.259588942660997</v>
      </c>
      <c r="CW3786" s="18" t="str">
        <v>Invest</v>
      </c>
      <c r="CY3786" s="45">
        <v>3782</v>
      </c>
      <c r="CZ3786" s="18">
        <v>22.85140937910473</v>
      </c>
      <c r="DA3786" s="18" t="str">
        <v>Invest</v>
      </c>
    </row>
    <row r="3787" spans="99:105" ht="23.5">
      <c r="CU3787" s="45">
        <v>3783</v>
      </c>
      <c r="CV3787" s="18">
        <v>50.188014288565917</v>
      </c>
      <c r="CW3787" s="18" t="str">
        <v>Invest</v>
      </c>
      <c r="CY3787" s="45">
        <v>3783</v>
      </c>
      <c r="CZ3787" s="18">
        <v>34.380288572969228</v>
      </c>
      <c r="DA3787" s="18" t="str">
        <v>Invest</v>
      </c>
    </row>
    <row r="3788" spans="99:105" ht="23.5">
      <c r="CU3788" s="45">
        <v>3784</v>
      </c>
      <c r="CV3788" s="18">
        <v>0</v>
      </c>
      <c r="CW3788" s="18" t="str">
        <v>Nothing</v>
      </c>
      <c r="CY3788" s="45">
        <v>3784</v>
      </c>
      <c r="CZ3788" s="18">
        <v>26.836446723896927</v>
      </c>
      <c r="DA3788" s="18" t="str">
        <v>Invest</v>
      </c>
    </row>
    <row r="3789" spans="99:105" ht="23.5">
      <c r="CU3789" s="45">
        <v>3785</v>
      </c>
      <c r="CV3789" s="18">
        <v>48.341023468331251</v>
      </c>
      <c r="CW3789" s="18" t="str">
        <v>Invest</v>
      </c>
      <c r="CY3789" s="45">
        <v>3785</v>
      </c>
      <c r="CZ3789" s="18">
        <v>45.019439153746546</v>
      </c>
      <c r="DA3789" s="18" t="str">
        <v>Invest</v>
      </c>
    </row>
    <row r="3790" spans="99:105" ht="23.5">
      <c r="CU3790" s="45">
        <v>3786</v>
      </c>
      <c r="CV3790" s="18">
        <v>27.847753753414892</v>
      </c>
      <c r="CW3790" s="18" t="str">
        <v>Invest</v>
      </c>
      <c r="CY3790" s="45">
        <v>3786</v>
      </c>
      <c r="CZ3790" s="18">
        <v>14.542771040453442</v>
      </c>
      <c r="DA3790" s="18" t="str">
        <v>Invest</v>
      </c>
    </row>
    <row r="3791" spans="99:105" ht="23.5">
      <c r="CU3791" s="45">
        <v>3787</v>
      </c>
      <c r="CV3791" s="18">
        <v>14.358672059954149</v>
      </c>
      <c r="CW3791" s="18" t="str">
        <v>Invest</v>
      </c>
      <c r="CY3791" s="45">
        <v>3787</v>
      </c>
      <c r="CZ3791" s="18">
        <v>0</v>
      </c>
      <c r="DA3791" s="18" t="str">
        <v>Nothing</v>
      </c>
    </row>
    <row r="3792" spans="99:105" ht="23.5">
      <c r="CU3792" s="45">
        <v>3788</v>
      </c>
      <c r="CV3792" s="18">
        <v>21.595445832600188</v>
      </c>
      <c r="CW3792" s="18" t="str">
        <v>Invest</v>
      </c>
      <c r="CY3792" s="45">
        <v>3788</v>
      </c>
      <c r="CZ3792" s="18">
        <v>46.448790143957126</v>
      </c>
      <c r="DA3792" s="18" t="str">
        <v>Invest</v>
      </c>
    </row>
    <row r="3793" spans="99:105" ht="23.5">
      <c r="CU3793" s="45">
        <v>3789</v>
      </c>
      <c r="CV3793" s="18">
        <v>3.9329768019333855</v>
      </c>
      <c r="CW3793" s="18" t="str">
        <v>Invest</v>
      </c>
      <c r="CY3793" s="45">
        <v>3789</v>
      </c>
      <c r="CZ3793" s="18">
        <v>0</v>
      </c>
      <c r="DA3793" s="18" t="str">
        <v>Nothing</v>
      </c>
    </row>
    <row r="3794" spans="99:105" ht="23.5">
      <c r="CU3794" s="45">
        <v>3790</v>
      </c>
      <c r="CV3794" s="18">
        <v>4.4668395038311495</v>
      </c>
      <c r="CW3794" s="18" t="str">
        <v>Invest</v>
      </c>
      <c r="CY3794" s="45">
        <v>3790</v>
      </c>
      <c r="CZ3794" s="18">
        <v>14.350652110136785</v>
      </c>
      <c r="DA3794" s="18" t="str">
        <v>Invest</v>
      </c>
    </row>
    <row r="3795" spans="99:105" ht="23.5">
      <c r="CU3795" s="45">
        <v>3791</v>
      </c>
      <c r="CV3795" s="18">
        <v>42.321349991473753</v>
      </c>
      <c r="CW3795" s="18" t="str">
        <v>Invest</v>
      </c>
      <c r="CY3795" s="45">
        <v>3791</v>
      </c>
      <c r="CZ3795" s="18">
        <v>14.243276255173754</v>
      </c>
      <c r="DA3795" s="18" t="str">
        <v>Invest</v>
      </c>
    </row>
    <row r="3796" spans="99:105" ht="23.5">
      <c r="CU3796" s="45">
        <v>3792</v>
      </c>
      <c r="CV3796" s="18">
        <v>41.85941363291127</v>
      </c>
      <c r="CW3796" s="18" t="str">
        <v>Invest</v>
      </c>
      <c r="CY3796" s="45">
        <v>3792</v>
      </c>
      <c r="CZ3796" s="18">
        <v>1.9557513060421328</v>
      </c>
      <c r="DA3796" s="18" t="str">
        <v>Invest</v>
      </c>
    </row>
    <row r="3797" spans="99:105" ht="23.5">
      <c r="CU3797" s="45">
        <v>3793</v>
      </c>
      <c r="CV3797" s="18">
        <v>20.770137505932716</v>
      </c>
      <c r="CW3797" s="18" t="str">
        <v>Invest</v>
      </c>
      <c r="CY3797" s="45">
        <v>3793</v>
      </c>
      <c r="CZ3797" s="18">
        <v>5.6868505912857925</v>
      </c>
      <c r="DA3797" s="18" t="str">
        <v>Invest</v>
      </c>
    </row>
    <row r="3798" spans="99:105" ht="23.5">
      <c r="CU3798" s="45">
        <v>3794</v>
      </c>
      <c r="CV3798" s="18">
        <v>0</v>
      </c>
      <c r="CW3798" s="18" t="str">
        <v>Nothing</v>
      </c>
      <c r="CY3798" s="45">
        <v>3794</v>
      </c>
      <c r="CZ3798" s="18">
        <v>30.433246665481533</v>
      </c>
      <c r="DA3798" s="18" t="str">
        <v>Invest</v>
      </c>
    </row>
    <row r="3799" spans="99:105" ht="23.5">
      <c r="CU3799" s="45">
        <v>3795</v>
      </c>
      <c r="CV3799" s="18">
        <v>8.5312817219539205</v>
      </c>
      <c r="CW3799" s="18" t="str">
        <v>Invest</v>
      </c>
      <c r="CY3799" s="45">
        <v>3795</v>
      </c>
      <c r="CZ3799" s="18">
        <v>12.472485464351051</v>
      </c>
      <c r="DA3799" s="18" t="str">
        <v>Invest</v>
      </c>
    </row>
    <row r="3800" spans="99:105" ht="23.5">
      <c r="CU3800" s="45">
        <v>3796</v>
      </c>
      <c r="CV3800" s="18">
        <v>0</v>
      </c>
      <c r="CW3800" s="18" t="str">
        <v>Nothing</v>
      </c>
      <c r="CY3800" s="45">
        <v>3796</v>
      </c>
      <c r="CZ3800" s="18">
        <v>8.506133088420194</v>
      </c>
      <c r="DA3800" s="18" t="str">
        <v>Invest</v>
      </c>
    </row>
    <row r="3801" spans="99:105" ht="23.5">
      <c r="CU3801" s="45">
        <v>3797</v>
      </c>
      <c r="CV3801" s="18">
        <v>8.0421249713522176</v>
      </c>
      <c r="CW3801" s="18" t="str">
        <v>Invest</v>
      </c>
      <c r="CY3801" s="45">
        <v>3797</v>
      </c>
      <c r="CZ3801" s="18">
        <v>6.1600765089736349</v>
      </c>
      <c r="DA3801" s="18" t="str">
        <v>Invest</v>
      </c>
    </row>
    <row r="3802" spans="99:105" ht="23.5">
      <c r="CU3802" s="45">
        <v>3798</v>
      </c>
      <c r="CV3802" s="18">
        <v>0</v>
      </c>
      <c r="CW3802" s="18" t="str">
        <v>Nothing</v>
      </c>
      <c r="CY3802" s="45">
        <v>3798</v>
      </c>
      <c r="CZ3802" s="18">
        <v>6.4976282348559984</v>
      </c>
      <c r="DA3802" s="18" t="str">
        <v>Invest</v>
      </c>
    </row>
    <row r="3803" spans="99:105" ht="23.5">
      <c r="CU3803" s="45">
        <v>3799</v>
      </c>
      <c r="CV3803" s="18">
        <v>0</v>
      </c>
      <c r="CW3803" s="18" t="str">
        <v>Nothing</v>
      </c>
      <c r="CY3803" s="45">
        <v>3799</v>
      </c>
      <c r="CZ3803" s="18">
        <v>23.696290334566811</v>
      </c>
      <c r="DA3803" s="18" t="str">
        <v>Invest</v>
      </c>
    </row>
    <row r="3804" spans="99:105" ht="23.5">
      <c r="CU3804" s="45">
        <v>3800</v>
      </c>
      <c r="CV3804" s="18">
        <v>23.765487248759754</v>
      </c>
      <c r="CW3804" s="18" t="str">
        <v>Invest</v>
      </c>
      <c r="CY3804" s="45">
        <v>3800</v>
      </c>
      <c r="CZ3804" s="18">
        <v>31.710801691527266</v>
      </c>
      <c r="DA3804" s="18" t="str">
        <v>Invest</v>
      </c>
    </row>
    <row r="3805" spans="99:105" ht="23.5">
      <c r="CU3805" s="45">
        <v>3801</v>
      </c>
      <c r="CV3805" s="18">
        <v>0</v>
      </c>
      <c r="CW3805" s="18" t="str">
        <v>Nothing</v>
      </c>
      <c r="CY3805" s="45">
        <v>3801</v>
      </c>
      <c r="CZ3805" s="18">
        <v>10.498139830609563</v>
      </c>
      <c r="DA3805" s="18" t="str">
        <v>Invest</v>
      </c>
    </row>
    <row r="3806" spans="99:105" ht="23.5">
      <c r="CU3806" s="45">
        <v>3802</v>
      </c>
      <c r="CV3806" s="18">
        <v>48.909224021226038</v>
      </c>
      <c r="CW3806" s="18" t="str">
        <v>Invest</v>
      </c>
      <c r="CY3806" s="45">
        <v>3802</v>
      </c>
      <c r="CZ3806" s="18">
        <v>0</v>
      </c>
      <c r="DA3806" s="18" t="str">
        <v>Nothing</v>
      </c>
    </row>
    <row r="3807" spans="99:105" ht="23.5">
      <c r="CU3807" s="45">
        <v>3803</v>
      </c>
      <c r="CV3807" s="18">
        <v>46.012482153949307</v>
      </c>
      <c r="CW3807" s="18" t="str">
        <v>Invest</v>
      </c>
      <c r="CY3807" s="45">
        <v>3803</v>
      </c>
      <c r="CZ3807" s="18">
        <v>0</v>
      </c>
      <c r="DA3807" s="18" t="str">
        <v>Nothing</v>
      </c>
    </row>
    <row r="3808" spans="99:105" ht="23.5">
      <c r="CU3808" s="45">
        <v>3804</v>
      </c>
      <c r="CV3808" s="18">
        <v>23.290725419485696</v>
      </c>
      <c r="CW3808" s="18" t="str">
        <v>Invest</v>
      </c>
      <c r="CY3808" s="45">
        <v>3804</v>
      </c>
      <c r="CZ3808" s="18">
        <v>0</v>
      </c>
      <c r="DA3808" s="18" t="str">
        <v>Nothing</v>
      </c>
    </row>
    <row r="3809" spans="99:105" ht="23.5">
      <c r="CU3809" s="45">
        <v>3805</v>
      </c>
      <c r="CV3809" s="18">
        <v>26.643102201031596</v>
      </c>
      <c r="CW3809" s="18" t="str">
        <v>Invest</v>
      </c>
      <c r="CY3809" s="45">
        <v>3805</v>
      </c>
      <c r="CZ3809" s="18">
        <v>7.1090918786417241</v>
      </c>
      <c r="DA3809" s="18" t="str">
        <v>Invest</v>
      </c>
    </row>
    <row r="3810" spans="99:105" ht="23.5">
      <c r="CU3810" s="45">
        <v>3806</v>
      </c>
      <c r="CV3810" s="18">
        <v>0</v>
      </c>
      <c r="CW3810" s="18" t="str">
        <v>Nothing</v>
      </c>
      <c r="CY3810" s="45">
        <v>3806</v>
      </c>
      <c r="CZ3810" s="18">
        <v>2.5572712018989083</v>
      </c>
      <c r="DA3810" s="18" t="str">
        <v>Invest</v>
      </c>
    </row>
    <row r="3811" spans="99:105" ht="23.5">
      <c r="CU3811" s="45">
        <v>3807</v>
      </c>
      <c r="CV3811" s="18">
        <v>20.621549743622481</v>
      </c>
      <c r="CW3811" s="18" t="str">
        <v>Invest</v>
      </c>
      <c r="CY3811" s="45">
        <v>3807</v>
      </c>
      <c r="CZ3811" s="18">
        <v>8.1580899591133722</v>
      </c>
      <c r="DA3811" s="18" t="str">
        <v>Invest</v>
      </c>
    </row>
    <row r="3812" spans="99:105" ht="23.5">
      <c r="CU3812" s="45">
        <v>3808</v>
      </c>
      <c r="CV3812" s="18">
        <v>0</v>
      </c>
      <c r="CW3812" s="18" t="str">
        <v>Nothing</v>
      </c>
      <c r="CY3812" s="45">
        <v>3808</v>
      </c>
      <c r="CZ3812" s="18">
        <v>4.9336861200559534</v>
      </c>
      <c r="DA3812" s="18" t="str">
        <v>Invest</v>
      </c>
    </row>
    <row r="3813" spans="99:105" ht="23.5">
      <c r="CU3813" s="45">
        <v>3809</v>
      </c>
      <c r="CV3813" s="18">
        <v>0</v>
      </c>
      <c r="CW3813" s="18" t="str">
        <v>Nothing</v>
      </c>
      <c r="CY3813" s="45">
        <v>3809</v>
      </c>
      <c r="CZ3813" s="18">
        <v>17.653980496478098</v>
      </c>
      <c r="DA3813" s="18" t="str">
        <v>Invest</v>
      </c>
    </row>
    <row r="3814" spans="99:105" ht="23.5">
      <c r="CU3814" s="45">
        <v>3810</v>
      </c>
      <c r="CV3814" s="18">
        <v>8.680901429038185</v>
      </c>
      <c r="CW3814" s="18" t="str">
        <v>Invest</v>
      </c>
      <c r="CY3814" s="45">
        <v>3810</v>
      </c>
      <c r="CZ3814" s="18">
        <v>38.265527372364474</v>
      </c>
      <c r="DA3814" s="18" t="str">
        <v>Invest</v>
      </c>
    </row>
    <row r="3815" spans="99:105" ht="23.5">
      <c r="CU3815" s="45">
        <v>3811</v>
      </c>
      <c r="CV3815" s="18">
        <v>0</v>
      </c>
      <c r="CW3815" s="18" t="str">
        <v>Nothing</v>
      </c>
      <c r="CY3815" s="45">
        <v>3811</v>
      </c>
      <c r="CZ3815" s="18">
        <v>11.061081118682269</v>
      </c>
      <c r="DA3815" s="18" t="str">
        <v>Invest</v>
      </c>
    </row>
    <row r="3816" spans="99:105" ht="23.5">
      <c r="CU3816" s="45">
        <v>3812</v>
      </c>
      <c r="CV3816" s="18">
        <v>35.955829577944399</v>
      </c>
      <c r="CW3816" s="18" t="str">
        <v>Invest</v>
      </c>
      <c r="CY3816" s="45">
        <v>3812</v>
      </c>
      <c r="CZ3816" s="18">
        <v>0</v>
      </c>
      <c r="DA3816" s="18" t="str">
        <v>Nothing</v>
      </c>
    </row>
    <row r="3817" spans="99:105" ht="23.5">
      <c r="CU3817" s="45">
        <v>3813</v>
      </c>
      <c r="CV3817" s="18">
        <v>1.3425551484658111</v>
      </c>
      <c r="CW3817" s="18" t="str">
        <v>Invest</v>
      </c>
      <c r="CY3817" s="45">
        <v>3813</v>
      </c>
      <c r="CZ3817" s="18">
        <v>30.193034571972248</v>
      </c>
      <c r="DA3817" s="18" t="str">
        <v>Invest</v>
      </c>
    </row>
    <row r="3818" spans="99:105" ht="23.5">
      <c r="CU3818" s="45">
        <v>3814</v>
      </c>
      <c r="CV3818" s="18">
        <v>0</v>
      </c>
      <c r="CW3818" s="18" t="str">
        <v>Nothing</v>
      </c>
      <c r="CY3818" s="45">
        <v>3814</v>
      </c>
      <c r="CZ3818" s="18">
        <v>15.826960027451582</v>
      </c>
      <c r="DA3818" s="18" t="str">
        <v>Invest</v>
      </c>
    </row>
    <row r="3819" spans="99:105" ht="23.5">
      <c r="CU3819" s="45">
        <v>3815</v>
      </c>
      <c r="CV3819" s="18">
        <v>9.8176234833883473</v>
      </c>
      <c r="CW3819" s="18" t="str">
        <v>Invest</v>
      </c>
      <c r="CY3819" s="45">
        <v>3815</v>
      </c>
      <c r="CZ3819" s="18">
        <v>35.878940114049001</v>
      </c>
      <c r="DA3819" s="18" t="str">
        <v>Invest</v>
      </c>
    </row>
    <row r="3820" spans="99:105" ht="23.5">
      <c r="CU3820" s="45">
        <v>3816</v>
      </c>
      <c r="CV3820" s="18">
        <v>0</v>
      </c>
      <c r="CW3820" s="18" t="str">
        <v>Nothing</v>
      </c>
      <c r="CY3820" s="45">
        <v>3816</v>
      </c>
      <c r="CZ3820" s="18">
        <v>49.514144416928971</v>
      </c>
      <c r="DA3820" s="18" t="str">
        <v>Invest</v>
      </c>
    </row>
    <row r="3821" spans="99:105" ht="23.5">
      <c r="CU3821" s="45">
        <v>3817</v>
      </c>
      <c r="CV3821" s="18">
        <v>0</v>
      </c>
      <c r="CW3821" s="18" t="str">
        <v>Nothing</v>
      </c>
      <c r="CY3821" s="45">
        <v>3817</v>
      </c>
      <c r="CZ3821" s="18">
        <v>25.762685872463457</v>
      </c>
      <c r="DA3821" s="18" t="str">
        <v>Invest</v>
      </c>
    </row>
    <row r="3822" spans="99:105" ht="23.5">
      <c r="CU3822" s="45">
        <v>3818</v>
      </c>
      <c r="CV3822" s="18">
        <v>15.011255990415387</v>
      </c>
      <c r="CW3822" s="18" t="str">
        <v>Invest</v>
      </c>
      <c r="CY3822" s="45">
        <v>3818</v>
      </c>
      <c r="CZ3822" s="18">
        <v>13.596316323722586</v>
      </c>
      <c r="DA3822" s="18" t="str">
        <v>Invest</v>
      </c>
    </row>
    <row r="3823" spans="99:105" ht="23.5">
      <c r="CU3823" s="45">
        <v>3819</v>
      </c>
      <c r="CV3823" s="18">
        <v>13.637775507574986</v>
      </c>
      <c r="CW3823" s="18" t="str">
        <v>Invest</v>
      </c>
      <c r="CY3823" s="45">
        <v>3819</v>
      </c>
      <c r="CZ3823" s="18">
        <v>10.590287846948975</v>
      </c>
      <c r="DA3823" s="18" t="str">
        <v>Invest</v>
      </c>
    </row>
    <row r="3824" spans="99:105" ht="23.5">
      <c r="CU3824" s="45">
        <v>3820</v>
      </c>
      <c r="CV3824" s="18">
        <v>12.363067497551434</v>
      </c>
      <c r="CW3824" s="18" t="str">
        <v>Invest</v>
      </c>
      <c r="CY3824" s="45">
        <v>3820</v>
      </c>
      <c r="CZ3824" s="18">
        <v>30.9829787308813</v>
      </c>
      <c r="DA3824" s="18" t="str">
        <v>Invest</v>
      </c>
    </row>
    <row r="3825" spans="99:105" ht="23.5">
      <c r="CU3825" s="45">
        <v>3821</v>
      </c>
      <c r="CV3825" s="18">
        <v>17.092567577131408</v>
      </c>
      <c r="CW3825" s="18" t="str">
        <v>Invest</v>
      </c>
      <c r="CY3825" s="45">
        <v>3821</v>
      </c>
      <c r="CZ3825" s="18">
        <v>17.808616589320319</v>
      </c>
      <c r="DA3825" s="18" t="str">
        <v>Invest</v>
      </c>
    </row>
    <row r="3826" spans="99:105" ht="23.5">
      <c r="CU3826" s="45">
        <v>3822</v>
      </c>
      <c r="CV3826" s="18">
        <v>3.1851553496789897</v>
      </c>
      <c r="CW3826" s="18" t="str">
        <v>Invest</v>
      </c>
      <c r="CY3826" s="45">
        <v>3822</v>
      </c>
      <c r="CZ3826" s="18">
        <v>55.161023900752554</v>
      </c>
      <c r="DA3826" s="18" t="str">
        <v>Invest</v>
      </c>
    </row>
    <row r="3827" spans="99:105" ht="23.5">
      <c r="CU3827" s="45">
        <v>3823</v>
      </c>
      <c r="CV3827" s="18">
        <v>13.684965200322655</v>
      </c>
      <c r="CW3827" s="18" t="str">
        <v>Invest</v>
      </c>
      <c r="CY3827" s="45">
        <v>3823</v>
      </c>
      <c r="CZ3827" s="18">
        <v>27.731815055205086</v>
      </c>
      <c r="DA3827" s="18" t="str">
        <v>Invest</v>
      </c>
    </row>
    <row r="3828" spans="99:105" ht="23.5">
      <c r="CU3828" s="45">
        <v>3824</v>
      </c>
      <c r="CV3828" s="18">
        <v>17.490749627755925</v>
      </c>
      <c r="CW3828" s="18" t="str">
        <v>Invest</v>
      </c>
      <c r="CY3828" s="45">
        <v>3824</v>
      </c>
      <c r="CZ3828" s="18">
        <v>0</v>
      </c>
      <c r="DA3828" s="18" t="str">
        <v>Nothing</v>
      </c>
    </row>
    <row r="3829" spans="99:105" ht="23.5">
      <c r="CU3829" s="45">
        <v>3825</v>
      </c>
      <c r="CV3829" s="18">
        <v>0</v>
      </c>
      <c r="CW3829" s="18" t="str">
        <v>Nothing</v>
      </c>
      <c r="CY3829" s="45">
        <v>3825</v>
      </c>
      <c r="CZ3829" s="18">
        <v>0</v>
      </c>
      <c r="DA3829" s="18" t="str">
        <v>Nothing</v>
      </c>
    </row>
    <row r="3830" spans="99:105" ht="23.5">
      <c r="CU3830" s="45">
        <v>3826</v>
      </c>
      <c r="CV3830" s="18">
        <v>0</v>
      </c>
      <c r="CW3830" s="18" t="str">
        <v>Nothing</v>
      </c>
      <c r="CY3830" s="45">
        <v>3826</v>
      </c>
      <c r="CZ3830" s="18">
        <v>32.00223691153905</v>
      </c>
      <c r="DA3830" s="18" t="str">
        <v>Invest</v>
      </c>
    </row>
    <row r="3831" spans="99:105" ht="23.5">
      <c r="CU3831" s="45">
        <v>3827</v>
      </c>
      <c r="CV3831" s="18">
        <v>0</v>
      </c>
      <c r="CW3831" s="18" t="str">
        <v>Nothing</v>
      </c>
      <c r="CY3831" s="45">
        <v>3827</v>
      </c>
      <c r="CZ3831" s="18">
        <v>23.245183820478456</v>
      </c>
      <c r="DA3831" s="18" t="str">
        <v>Invest</v>
      </c>
    </row>
    <row r="3832" spans="99:105" ht="23.5">
      <c r="CU3832" s="45">
        <v>3828</v>
      </c>
      <c r="CV3832" s="18">
        <v>0</v>
      </c>
      <c r="CW3832" s="18" t="str">
        <v>Nothing</v>
      </c>
      <c r="CY3832" s="45">
        <v>3828</v>
      </c>
      <c r="CZ3832" s="18">
        <v>0</v>
      </c>
      <c r="DA3832" s="18" t="str">
        <v>Nothing</v>
      </c>
    </row>
    <row r="3833" spans="99:105" ht="23.5">
      <c r="CU3833" s="45">
        <v>3829</v>
      </c>
      <c r="CV3833" s="18">
        <v>16.343474079462872</v>
      </c>
      <c r="CW3833" s="18" t="str">
        <v>Invest</v>
      </c>
      <c r="CY3833" s="45">
        <v>3829</v>
      </c>
      <c r="CZ3833" s="18">
        <v>17.584839405525369</v>
      </c>
      <c r="DA3833" s="18" t="str">
        <v>Invest</v>
      </c>
    </row>
    <row r="3834" spans="99:105" ht="23.5">
      <c r="CU3834" s="45">
        <v>3830</v>
      </c>
      <c r="CV3834" s="18">
        <v>1.9997676648304079</v>
      </c>
      <c r="CW3834" s="18" t="str">
        <v>Invest</v>
      </c>
      <c r="CY3834" s="45">
        <v>3830</v>
      </c>
      <c r="CZ3834" s="18">
        <v>34.922943656850187</v>
      </c>
      <c r="DA3834" s="18" t="str">
        <v>Invest</v>
      </c>
    </row>
    <row r="3835" spans="99:105" ht="23.5">
      <c r="CU3835" s="45">
        <v>3831</v>
      </c>
      <c r="CV3835" s="18">
        <v>27.642432748190899</v>
      </c>
      <c r="CW3835" s="18" t="str">
        <v>Invest</v>
      </c>
      <c r="CY3835" s="45">
        <v>3831</v>
      </c>
      <c r="CZ3835" s="18">
        <v>11.897026973809307</v>
      </c>
      <c r="DA3835" s="18" t="str">
        <v>Invest</v>
      </c>
    </row>
    <row r="3836" spans="99:105" ht="23.5">
      <c r="CU3836" s="45">
        <v>3832</v>
      </c>
      <c r="CV3836" s="18">
        <v>19.729355309939649</v>
      </c>
      <c r="CW3836" s="18" t="str">
        <v>Invest</v>
      </c>
      <c r="CY3836" s="45">
        <v>3832</v>
      </c>
      <c r="CZ3836" s="18">
        <v>36.553882455752579</v>
      </c>
      <c r="DA3836" s="18" t="str">
        <v>Invest</v>
      </c>
    </row>
    <row r="3837" spans="99:105" ht="23.5">
      <c r="CU3837" s="45">
        <v>3833</v>
      </c>
      <c r="CV3837" s="18">
        <v>0</v>
      </c>
      <c r="CW3837" s="18" t="str">
        <v>Nothing</v>
      </c>
      <c r="CY3837" s="45">
        <v>3833</v>
      </c>
      <c r="CZ3837" s="18">
        <v>0</v>
      </c>
      <c r="DA3837" s="18" t="str">
        <v>Nothing</v>
      </c>
    </row>
    <row r="3838" spans="99:105" ht="23.5">
      <c r="CU3838" s="45">
        <v>3834</v>
      </c>
      <c r="CV3838" s="18">
        <v>17.878533226259826</v>
      </c>
      <c r="CW3838" s="18" t="str">
        <v>Invest</v>
      </c>
      <c r="CY3838" s="45">
        <v>3834</v>
      </c>
      <c r="CZ3838" s="18">
        <v>16.894621495739987</v>
      </c>
      <c r="DA3838" s="18" t="str">
        <v>Invest</v>
      </c>
    </row>
    <row r="3839" spans="99:105" ht="23.5">
      <c r="CU3839" s="45">
        <v>3835</v>
      </c>
      <c r="CV3839" s="18">
        <v>15.696107131284641</v>
      </c>
      <c r="CW3839" s="18" t="str">
        <v>Invest</v>
      </c>
      <c r="CY3839" s="45">
        <v>3835</v>
      </c>
      <c r="CZ3839" s="18">
        <v>0</v>
      </c>
      <c r="DA3839" s="18" t="str">
        <v>Nothing</v>
      </c>
    </row>
    <row r="3840" spans="99:105" ht="23.5">
      <c r="CU3840" s="45">
        <v>3836</v>
      </c>
      <c r="CV3840" s="18">
        <v>1.4779425777746393</v>
      </c>
      <c r="CW3840" s="18" t="str">
        <v>Invest</v>
      </c>
      <c r="CY3840" s="45">
        <v>3836</v>
      </c>
      <c r="CZ3840" s="18">
        <v>13.016032674856628</v>
      </c>
      <c r="DA3840" s="18" t="str">
        <v>Invest</v>
      </c>
    </row>
    <row r="3841" spans="99:105" ht="23.5">
      <c r="CU3841" s="45">
        <v>3837</v>
      </c>
      <c r="CV3841" s="18">
        <v>0</v>
      </c>
      <c r="CW3841" s="18" t="str">
        <v>Nothing</v>
      </c>
      <c r="CY3841" s="45">
        <v>3837</v>
      </c>
      <c r="CZ3841" s="18">
        <v>6.1316672949999127</v>
      </c>
      <c r="DA3841" s="18" t="str">
        <v>Invest</v>
      </c>
    </row>
    <row r="3842" spans="99:105" ht="23.5">
      <c r="CU3842" s="45">
        <v>3838</v>
      </c>
      <c r="CV3842" s="18">
        <v>21.009557320061965</v>
      </c>
      <c r="CW3842" s="18" t="str">
        <v>Invest</v>
      </c>
      <c r="CY3842" s="45">
        <v>3838</v>
      </c>
      <c r="CZ3842" s="18">
        <v>39.092448100717874</v>
      </c>
      <c r="DA3842" s="18" t="str">
        <v>Invest</v>
      </c>
    </row>
    <row r="3843" spans="99:105" ht="23.5">
      <c r="CU3843" s="45">
        <v>3839</v>
      </c>
      <c r="CV3843" s="18">
        <v>9.7729931675779298</v>
      </c>
      <c r="CW3843" s="18" t="str">
        <v>Invest</v>
      </c>
      <c r="CY3843" s="45">
        <v>3839</v>
      </c>
      <c r="CZ3843" s="18">
        <v>22.233879362669111</v>
      </c>
      <c r="DA3843" s="18" t="str">
        <v>Invest</v>
      </c>
    </row>
    <row r="3844" spans="99:105" ht="23.5">
      <c r="CU3844" s="45">
        <v>3840</v>
      </c>
      <c r="CV3844" s="18">
        <v>0.19519587984841857</v>
      </c>
      <c r="CW3844" s="18" t="str">
        <v>Invest</v>
      </c>
      <c r="CY3844" s="45">
        <v>3840</v>
      </c>
      <c r="CZ3844" s="18">
        <v>0</v>
      </c>
      <c r="DA3844" s="18" t="str">
        <v>Nothing</v>
      </c>
    </row>
    <row r="3845" spans="99:105" ht="23.5">
      <c r="CU3845" s="45">
        <v>3841</v>
      </c>
      <c r="CV3845" s="18">
        <v>28.681522357851051</v>
      </c>
      <c r="CW3845" s="18" t="str">
        <v>Invest</v>
      </c>
      <c r="CY3845" s="45">
        <v>3841</v>
      </c>
      <c r="CZ3845" s="18">
        <v>17.822275854524271</v>
      </c>
      <c r="DA3845" s="18" t="str">
        <v>Invest</v>
      </c>
    </row>
    <row r="3846" spans="99:105" ht="23.5">
      <c r="CU3846" s="45">
        <v>3842</v>
      </c>
      <c r="CV3846" s="18">
        <v>23.298558064289807</v>
      </c>
      <c r="CW3846" s="18" t="str">
        <v>Invest</v>
      </c>
      <c r="CY3846" s="45">
        <v>3842</v>
      </c>
      <c r="CZ3846" s="18">
        <v>2.5601398243930298</v>
      </c>
      <c r="DA3846" s="18" t="str">
        <v>Invest</v>
      </c>
    </row>
    <row r="3847" spans="99:105" ht="23.5">
      <c r="CU3847" s="45">
        <v>3843</v>
      </c>
      <c r="CV3847" s="18">
        <v>29.570755968755932</v>
      </c>
      <c r="CW3847" s="18" t="str">
        <v>Invest</v>
      </c>
      <c r="CY3847" s="45">
        <v>3843</v>
      </c>
      <c r="CZ3847" s="18">
        <v>0</v>
      </c>
      <c r="DA3847" s="18" t="str">
        <v>Nothing</v>
      </c>
    </row>
    <row r="3848" spans="99:105" ht="23.5">
      <c r="CU3848" s="45">
        <v>3844</v>
      </c>
      <c r="CV3848" s="18">
        <v>2.5747466589286176</v>
      </c>
      <c r="CW3848" s="18" t="str">
        <v>Invest</v>
      </c>
      <c r="CY3848" s="45">
        <v>3844</v>
      </c>
      <c r="CZ3848" s="18">
        <v>25.716510795827169</v>
      </c>
      <c r="DA3848" s="18" t="str">
        <v>Invest</v>
      </c>
    </row>
    <row r="3849" spans="99:105" ht="23.5">
      <c r="CU3849" s="45">
        <v>3845</v>
      </c>
      <c r="CV3849" s="18">
        <v>20.960055731350245</v>
      </c>
      <c r="CW3849" s="18" t="str">
        <v>Invest</v>
      </c>
      <c r="CY3849" s="45">
        <v>3845</v>
      </c>
      <c r="CZ3849" s="18">
        <v>8.42304317114219</v>
      </c>
      <c r="DA3849" s="18" t="str">
        <v>Invest</v>
      </c>
    </row>
    <row r="3850" spans="99:105" ht="23.5">
      <c r="CU3850" s="45">
        <v>3846</v>
      </c>
      <c r="CV3850" s="18">
        <v>20.745921725501148</v>
      </c>
      <c r="CW3850" s="18" t="str">
        <v>Invest</v>
      </c>
      <c r="CY3850" s="45">
        <v>3846</v>
      </c>
      <c r="CZ3850" s="18">
        <v>22.22687393438628</v>
      </c>
      <c r="DA3850" s="18" t="str">
        <v>Invest</v>
      </c>
    </row>
    <row r="3851" spans="99:105" ht="23.5">
      <c r="CU3851" s="45">
        <v>3847</v>
      </c>
      <c r="CV3851" s="18">
        <v>25.580401012163691</v>
      </c>
      <c r="CW3851" s="18" t="str">
        <v>Invest</v>
      </c>
      <c r="CY3851" s="45">
        <v>3847</v>
      </c>
      <c r="CZ3851" s="18">
        <v>25.2699830422292</v>
      </c>
      <c r="DA3851" s="18" t="str">
        <v>Invest</v>
      </c>
    </row>
    <row r="3852" spans="99:105" ht="23.5">
      <c r="CU3852" s="45">
        <v>3848</v>
      </c>
      <c r="CV3852" s="18">
        <v>5.0171045822933058</v>
      </c>
      <c r="CW3852" s="18" t="str">
        <v>Invest</v>
      </c>
      <c r="CY3852" s="45">
        <v>3848</v>
      </c>
      <c r="CZ3852" s="18">
        <v>0</v>
      </c>
      <c r="DA3852" s="18" t="str">
        <v>Nothing</v>
      </c>
    </row>
    <row r="3853" spans="99:105" ht="23.5">
      <c r="CU3853" s="45">
        <v>3849</v>
      </c>
      <c r="CV3853" s="18">
        <v>12.983385383127015</v>
      </c>
      <c r="CW3853" s="18" t="str">
        <v>Invest</v>
      </c>
      <c r="CY3853" s="45">
        <v>3849</v>
      </c>
      <c r="CZ3853" s="18">
        <v>54.887326267897478</v>
      </c>
      <c r="DA3853" s="18" t="str">
        <v>Invest</v>
      </c>
    </row>
    <row r="3854" spans="99:105" ht="23.5">
      <c r="CU3854" s="45">
        <v>3850</v>
      </c>
      <c r="CV3854" s="18">
        <v>16.582120051036497</v>
      </c>
      <c r="CW3854" s="18" t="str">
        <v>Invest</v>
      </c>
      <c r="CY3854" s="45">
        <v>3850</v>
      </c>
      <c r="CZ3854" s="18">
        <v>5.7809259407949725</v>
      </c>
      <c r="DA3854" s="18" t="str">
        <v>Invest</v>
      </c>
    </row>
    <row r="3855" spans="99:105" ht="23.5">
      <c r="CU3855" s="45">
        <v>3851</v>
      </c>
      <c r="CV3855" s="18">
        <v>29.806585186667235</v>
      </c>
      <c r="CW3855" s="18" t="str">
        <v>Invest</v>
      </c>
      <c r="CY3855" s="45">
        <v>3851</v>
      </c>
      <c r="CZ3855" s="18">
        <v>19.323341145713506</v>
      </c>
      <c r="DA3855" s="18" t="str">
        <v>Invest</v>
      </c>
    </row>
    <row r="3856" spans="99:105" ht="23.5">
      <c r="CU3856" s="45">
        <v>3852</v>
      </c>
      <c r="CV3856" s="18">
        <v>23.263134124992856</v>
      </c>
      <c r="CW3856" s="18" t="str">
        <v>Invest</v>
      </c>
      <c r="CY3856" s="45">
        <v>3852</v>
      </c>
      <c r="CZ3856" s="18">
        <v>15.322499054443842</v>
      </c>
      <c r="DA3856" s="18" t="str">
        <v>Invest</v>
      </c>
    </row>
    <row r="3857" spans="99:105" ht="23.5">
      <c r="CU3857" s="45">
        <v>3853</v>
      </c>
      <c r="CV3857" s="18">
        <v>22.645986716715136</v>
      </c>
      <c r="CW3857" s="18" t="str">
        <v>Invest</v>
      </c>
      <c r="CY3857" s="45">
        <v>3853</v>
      </c>
      <c r="CZ3857" s="18">
        <v>29.480556789630164</v>
      </c>
      <c r="DA3857" s="18" t="str">
        <v>Invest</v>
      </c>
    </row>
    <row r="3858" spans="99:105" ht="23.5">
      <c r="CU3858" s="45">
        <v>3854</v>
      </c>
      <c r="CV3858" s="18">
        <v>38.247763895738444</v>
      </c>
      <c r="CW3858" s="18" t="str">
        <v>Invest</v>
      </c>
      <c r="CY3858" s="45">
        <v>3854</v>
      </c>
      <c r="CZ3858" s="18">
        <v>19.46539017642295</v>
      </c>
      <c r="DA3858" s="18" t="str">
        <v>Invest</v>
      </c>
    </row>
    <row r="3859" spans="99:105" ht="23.5">
      <c r="CU3859" s="45">
        <v>3855</v>
      </c>
      <c r="CV3859" s="18">
        <v>0</v>
      </c>
      <c r="CW3859" s="18" t="str">
        <v>Nothing</v>
      </c>
      <c r="CY3859" s="45">
        <v>3855</v>
      </c>
      <c r="CZ3859" s="18">
        <v>32.942303557915061</v>
      </c>
      <c r="DA3859" s="18" t="str">
        <v>Invest</v>
      </c>
    </row>
    <row r="3860" spans="99:105" ht="23.5">
      <c r="CU3860" s="45">
        <v>3856</v>
      </c>
      <c r="CV3860" s="18">
        <v>14.32282890909806</v>
      </c>
      <c r="CW3860" s="18" t="str">
        <v>Invest</v>
      </c>
      <c r="CY3860" s="45">
        <v>3856</v>
      </c>
      <c r="CZ3860" s="18">
        <v>13.343902185983417</v>
      </c>
      <c r="DA3860" s="18" t="str">
        <v>Invest</v>
      </c>
    </row>
    <row r="3861" spans="99:105" ht="23.5">
      <c r="CU3861" s="45">
        <v>3857</v>
      </c>
      <c r="CV3861" s="18">
        <v>14.148502340659938</v>
      </c>
      <c r="CW3861" s="18" t="str">
        <v>Invest</v>
      </c>
      <c r="CY3861" s="45">
        <v>3857</v>
      </c>
      <c r="CZ3861" s="18">
        <v>14.780169431273182</v>
      </c>
      <c r="DA3861" s="18" t="str">
        <v>Invest</v>
      </c>
    </row>
    <row r="3862" spans="99:105" ht="23.5">
      <c r="CU3862" s="45">
        <v>3858</v>
      </c>
      <c r="CV3862" s="18">
        <v>6.6635679246579489</v>
      </c>
      <c r="CW3862" s="18" t="str">
        <v>Invest</v>
      </c>
      <c r="CY3862" s="45">
        <v>3858</v>
      </c>
      <c r="CZ3862" s="18">
        <v>11.09216732171938</v>
      </c>
      <c r="DA3862" s="18" t="str">
        <v>Invest</v>
      </c>
    </row>
    <row r="3863" spans="99:105" ht="23.5">
      <c r="CU3863" s="45">
        <v>3859</v>
      </c>
      <c r="CV3863" s="18">
        <v>19.075968855241442</v>
      </c>
      <c r="CW3863" s="18" t="str">
        <v>Invest</v>
      </c>
      <c r="CY3863" s="45">
        <v>3859</v>
      </c>
      <c r="CZ3863" s="18">
        <v>6.1949541640435815</v>
      </c>
      <c r="DA3863" s="18" t="str">
        <v>Invest</v>
      </c>
    </row>
    <row r="3864" spans="99:105" ht="23.5">
      <c r="CU3864" s="45">
        <v>3860</v>
      </c>
      <c r="CV3864" s="18">
        <v>11.85082481383796</v>
      </c>
      <c r="CW3864" s="18" t="str">
        <v>Invest</v>
      </c>
      <c r="CY3864" s="45">
        <v>3860</v>
      </c>
      <c r="CZ3864" s="18">
        <v>0</v>
      </c>
      <c r="DA3864" s="18" t="str">
        <v>Nothing</v>
      </c>
    </row>
    <row r="3865" spans="99:105" ht="23.5">
      <c r="CU3865" s="45">
        <v>3861</v>
      </c>
      <c r="CV3865" s="18">
        <v>11.69390867269126</v>
      </c>
      <c r="CW3865" s="18" t="str">
        <v>Invest</v>
      </c>
      <c r="CY3865" s="45">
        <v>3861</v>
      </c>
      <c r="CZ3865" s="18">
        <v>0</v>
      </c>
      <c r="DA3865" s="18" t="str">
        <v>Nothing</v>
      </c>
    </row>
    <row r="3866" spans="99:105" ht="23.5">
      <c r="CU3866" s="45">
        <v>3862</v>
      </c>
      <c r="CV3866" s="18">
        <v>0</v>
      </c>
      <c r="CW3866" s="18" t="str">
        <v>Nothing</v>
      </c>
      <c r="CY3866" s="45">
        <v>3862</v>
      </c>
      <c r="CZ3866" s="18">
        <v>56.747892837464271</v>
      </c>
      <c r="DA3866" s="18" t="str">
        <v>Invest</v>
      </c>
    </row>
    <row r="3867" spans="99:105" ht="23.5">
      <c r="CU3867" s="45">
        <v>3863</v>
      </c>
      <c r="CV3867" s="18">
        <v>35.124900584192453</v>
      </c>
      <c r="CW3867" s="18" t="str">
        <v>Invest</v>
      </c>
      <c r="CY3867" s="45">
        <v>3863</v>
      </c>
      <c r="CZ3867" s="18">
        <v>0.69139146050152078</v>
      </c>
      <c r="DA3867" s="18" t="str">
        <v>Invest</v>
      </c>
    </row>
    <row r="3868" spans="99:105" ht="23.5">
      <c r="CU3868" s="45">
        <v>3864</v>
      </c>
      <c r="CV3868" s="18">
        <v>13.580099432511293</v>
      </c>
      <c r="CW3868" s="18" t="str">
        <v>Invest</v>
      </c>
      <c r="CY3868" s="45">
        <v>3864</v>
      </c>
      <c r="CZ3868" s="18">
        <v>0</v>
      </c>
      <c r="DA3868" s="18" t="str">
        <v>Nothing</v>
      </c>
    </row>
    <row r="3869" spans="99:105" ht="23.5">
      <c r="CU3869" s="45">
        <v>3865</v>
      </c>
      <c r="CV3869" s="18">
        <v>4.3203057009463102</v>
      </c>
      <c r="CW3869" s="18" t="str">
        <v>Invest</v>
      </c>
      <c r="CY3869" s="45">
        <v>3865</v>
      </c>
      <c r="CZ3869" s="18">
        <v>44.503032538885222</v>
      </c>
      <c r="DA3869" s="18" t="str">
        <v>Invest</v>
      </c>
    </row>
    <row r="3870" spans="99:105" ht="23.5">
      <c r="CU3870" s="45">
        <v>3866</v>
      </c>
      <c r="CV3870" s="18">
        <v>24.855814335987795</v>
      </c>
      <c r="CW3870" s="18" t="str">
        <v>Invest</v>
      </c>
      <c r="CY3870" s="45">
        <v>3866</v>
      </c>
      <c r="CZ3870" s="18">
        <v>0</v>
      </c>
      <c r="DA3870" s="18" t="str">
        <v>Nothing</v>
      </c>
    </row>
    <row r="3871" spans="99:105" ht="23.5">
      <c r="CU3871" s="45">
        <v>3867</v>
      </c>
      <c r="CV3871" s="18">
        <v>29.090360242922898</v>
      </c>
      <c r="CW3871" s="18" t="str">
        <v>Invest</v>
      </c>
      <c r="CY3871" s="45">
        <v>3867</v>
      </c>
      <c r="CZ3871" s="18">
        <v>63.92541825244065</v>
      </c>
      <c r="DA3871" s="18" t="str">
        <v>Invest</v>
      </c>
    </row>
    <row r="3872" spans="99:105" ht="23.5">
      <c r="CU3872" s="45">
        <v>3868</v>
      </c>
      <c r="CV3872" s="18">
        <v>9.7957486770805602</v>
      </c>
      <c r="CW3872" s="18" t="str">
        <v>Invest</v>
      </c>
      <c r="CY3872" s="45">
        <v>3868</v>
      </c>
      <c r="CZ3872" s="18">
        <v>36.097287118411913</v>
      </c>
      <c r="DA3872" s="18" t="str">
        <v>Invest</v>
      </c>
    </row>
    <row r="3873" spans="99:105" ht="23.5">
      <c r="CU3873" s="45">
        <v>3869</v>
      </c>
      <c r="CV3873" s="18">
        <v>0</v>
      </c>
      <c r="CW3873" s="18" t="str">
        <v>Nothing</v>
      </c>
      <c r="CY3873" s="45">
        <v>3869</v>
      </c>
      <c r="CZ3873" s="18">
        <v>12.093930387078341</v>
      </c>
      <c r="DA3873" s="18" t="str">
        <v>Invest</v>
      </c>
    </row>
    <row r="3874" spans="99:105" ht="23.5">
      <c r="CU3874" s="45">
        <v>3870</v>
      </c>
      <c r="CV3874" s="18">
        <v>1.2254100381162019</v>
      </c>
      <c r="CW3874" s="18" t="str">
        <v>Invest</v>
      </c>
      <c r="CY3874" s="45">
        <v>3870</v>
      </c>
      <c r="CZ3874" s="18">
        <v>50.90540644848366</v>
      </c>
      <c r="DA3874" s="18" t="str">
        <v>Invest</v>
      </c>
    </row>
    <row r="3875" spans="99:105" ht="23.5">
      <c r="CU3875" s="45">
        <v>3871</v>
      </c>
      <c r="CV3875" s="18">
        <v>6.5844043108344632</v>
      </c>
      <c r="CW3875" s="18" t="str">
        <v>Invest</v>
      </c>
      <c r="CY3875" s="45">
        <v>3871</v>
      </c>
      <c r="CZ3875" s="18">
        <v>7.5921939121011945</v>
      </c>
      <c r="DA3875" s="18" t="str">
        <v>Invest</v>
      </c>
    </row>
    <row r="3876" spans="99:105" ht="23.5">
      <c r="CU3876" s="45">
        <v>3872</v>
      </c>
      <c r="CV3876" s="18">
        <v>8.1954028083686126</v>
      </c>
      <c r="CW3876" s="18" t="str">
        <v>Invest</v>
      </c>
      <c r="CY3876" s="45">
        <v>3872</v>
      </c>
      <c r="CZ3876" s="18">
        <v>0</v>
      </c>
      <c r="DA3876" s="18" t="str">
        <v>Nothing</v>
      </c>
    </row>
    <row r="3877" spans="99:105" ht="23.5">
      <c r="CU3877" s="45">
        <v>3873</v>
      </c>
      <c r="CV3877" s="18">
        <v>16.796391718062758</v>
      </c>
      <c r="CW3877" s="18" t="str">
        <v>Invest</v>
      </c>
      <c r="CY3877" s="45">
        <v>3873</v>
      </c>
      <c r="CZ3877" s="18">
        <v>0</v>
      </c>
      <c r="DA3877" s="18" t="str">
        <v>Nothing</v>
      </c>
    </row>
    <row r="3878" spans="99:105" ht="23.5">
      <c r="CU3878" s="45">
        <v>3874</v>
      </c>
      <c r="CV3878" s="18">
        <v>6.9191788030695349</v>
      </c>
      <c r="CW3878" s="18" t="str">
        <v>Invest</v>
      </c>
      <c r="CY3878" s="45">
        <v>3874</v>
      </c>
      <c r="CZ3878" s="18">
        <v>30.403963434396609</v>
      </c>
      <c r="DA3878" s="18" t="str">
        <v>Invest</v>
      </c>
    </row>
    <row r="3879" spans="99:105" ht="23.5">
      <c r="CU3879" s="45">
        <v>3875</v>
      </c>
      <c r="CV3879" s="18">
        <v>12.77552168367912</v>
      </c>
      <c r="CW3879" s="18" t="str">
        <v>Invest</v>
      </c>
      <c r="CY3879" s="45">
        <v>3875</v>
      </c>
      <c r="CZ3879" s="18">
        <v>0</v>
      </c>
      <c r="DA3879" s="18" t="str">
        <v>Nothing</v>
      </c>
    </row>
    <row r="3880" spans="99:105" ht="23.5">
      <c r="CU3880" s="45">
        <v>3876</v>
      </c>
      <c r="CV3880" s="18">
        <v>0</v>
      </c>
      <c r="CW3880" s="18" t="str">
        <v>Nothing</v>
      </c>
      <c r="CY3880" s="45">
        <v>3876</v>
      </c>
      <c r="CZ3880" s="18">
        <v>2.9306957070167732</v>
      </c>
      <c r="DA3880" s="18" t="str">
        <v>Invest</v>
      </c>
    </row>
    <row r="3881" spans="99:105" ht="23.5">
      <c r="CU3881" s="45">
        <v>3877</v>
      </c>
      <c r="CV3881" s="18">
        <v>22.731772401520086</v>
      </c>
      <c r="CW3881" s="18" t="str">
        <v>Invest</v>
      </c>
      <c r="CY3881" s="45">
        <v>3877</v>
      </c>
      <c r="CZ3881" s="18">
        <v>28.196289129377735</v>
      </c>
      <c r="DA3881" s="18" t="str">
        <v>Invest</v>
      </c>
    </row>
    <row r="3882" spans="99:105" ht="23.5">
      <c r="CU3882" s="45">
        <v>3878</v>
      </c>
      <c r="CV3882" s="18">
        <v>10.108197075319119</v>
      </c>
      <c r="CW3882" s="18" t="str">
        <v>Invest</v>
      </c>
      <c r="CY3882" s="45">
        <v>3878</v>
      </c>
      <c r="CZ3882" s="18">
        <v>42.441490468366645</v>
      </c>
      <c r="DA3882" s="18" t="str">
        <v>Invest</v>
      </c>
    </row>
    <row r="3883" spans="99:105" ht="23.5">
      <c r="CU3883" s="45">
        <v>3879</v>
      </c>
      <c r="CV3883" s="18">
        <v>25.298939544707398</v>
      </c>
      <c r="CW3883" s="18" t="str">
        <v>Invest</v>
      </c>
      <c r="CY3883" s="45">
        <v>3879</v>
      </c>
      <c r="CZ3883" s="18">
        <v>21.207731133001676</v>
      </c>
      <c r="DA3883" s="18" t="str">
        <v>Invest</v>
      </c>
    </row>
    <row r="3884" spans="99:105" ht="23.5">
      <c r="CU3884" s="45">
        <v>3880</v>
      </c>
      <c r="CV3884" s="18">
        <v>0</v>
      </c>
      <c r="CW3884" s="18" t="str">
        <v>Nothing</v>
      </c>
      <c r="CY3884" s="45">
        <v>3880</v>
      </c>
      <c r="CZ3884" s="18">
        <v>2.1649991981841987</v>
      </c>
      <c r="DA3884" s="18" t="str">
        <v>Invest</v>
      </c>
    </row>
    <row r="3885" spans="99:105" ht="23.5">
      <c r="CU3885" s="45">
        <v>3881</v>
      </c>
      <c r="CV3885" s="18">
        <v>16.246312923422579</v>
      </c>
      <c r="CW3885" s="18" t="str">
        <v>Invest</v>
      </c>
      <c r="CY3885" s="45">
        <v>3881</v>
      </c>
      <c r="CZ3885" s="18">
        <v>12.108859048612473</v>
      </c>
      <c r="DA3885" s="18" t="str">
        <v>Invest</v>
      </c>
    </row>
    <row r="3886" spans="99:105" ht="23.5">
      <c r="CU3886" s="45">
        <v>3882</v>
      </c>
      <c r="CV3886" s="18">
        <v>0</v>
      </c>
      <c r="CW3886" s="18" t="str">
        <v>Nothing</v>
      </c>
      <c r="CY3886" s="45">
        <v>3882</v>
      </c>
      <c r="CZ3886" s="18">
        <v>2.6388051744167651</v>
      </c>
      <c r="DA3886" s="18" t="str">
        <v>Invest</v>
      </c>
    </row>
    <row r="3887" spans="99:105" ht="23.5">
      <c r="CU3887" s="45">
        <v>3883</v>
      </c>
      <c r="CV3887" s="18">
        <v>0</v>
      </c>
      <c r="CW3887" s="18" t="str">
        <v>Nothing</v>
      </c>
      <c r="CY3887" s="45">
        <v>3883</v>
      </c>
      <c r="CZ3887" s="18">
        <v>3.0922056711160355</v>
      </c>
      <c r="DA3887" s="18" t="str">
        <v>Invest</v>
      </c>
    </row>
    <row r="3888" spans="99:105" ht="23.5">
      <c r="CU3888" s="45">
        <v>3884</v>
      </c>
      <c r="CV3888" s="18">
        <v>19.869060177632459</v>
      </c>
      <c r="CW3888" s="18" t="str">
        <v>Invest</v>
      </c>
      <c r="CY3888" s="45">
        <v>3884</v>
      </c>
      <c r="CZ3888" s="18">
        <v>19.093957007173451</v>
      </c>
      <c r="DA3888" s="18" t="str">
        <v>Invest</v>
      </c>
    </row>
    <row r="3889" spans="99:105" ht="23.5">
      <c r="CU3889" s="45">
        <v>3885</v>
      </c>
      <c r="CV3889" s="18">
        <v>38.624684243748092</v>
      </c>
      <c r="CW3889" s="18" t="str">
        <v>Invest</v>
      </c>
      <c r="CY3889" s="45">
        <v>3885</v>
      </c>
      <c r="CZ3889" s="18">
        <v>0</v>
      </c>
      <c r="DA3889" s="18" t="str">
        <v>Nothing</v>
      </c>
    </row>
    <row r="3890" spans="99:105" ht="23.5">
      <c r="CU3890" s="45">
        <v>3886</v>
      </c>
      <c r="CV3890" s="18">
        <v>35.856135858934636</v>
      </c>
      <c r="CW3890" s="18" t="str">
        <v>Invest</v>
      </c>
      <c r="CY3890" s="45">
        <v>3886</v>
      </c>
      <c r="CZ3890" s="18">
        <v>7.7667150356731671</v>
      </c>
      <c r="DA3890" s="18" t="str">
        <v>Invest</v>
      </c>
    </row>
    <row r="3891" spans="99:105" ht="23.5">
      <c r="CU3891" s="45">
        <v>3887</v>
      </c>
      <c r="CV3891" s="18">
        <v>0.42714632594040403</v>
      </c>
      <c r="CW3891" s="18" t="str">
        <v>Invest</v>
      </c>
      <c r="CY3891" s="45">
        <v>3887</v>
      </c>
      <c r="CZ3891" s="18">
        <v>41.26028188968418</v>
      </c>
      <c r="DA3891" s="18" t="str">
        <v>Invest</v>
      </c>
    </row>
    <row r="3892" spans="99:105" ht="23.5">
      <c r="CU3892" s="45">
        <v>3888</v>
      </c>
      <c r="CV3892" s="18">
        <v>0</v>
      </c>
      <c r="CW3892" s="18" t="str">
        <v>Nothing</v>
      </c>
      <c r="CY3892" s="45">
        <v>3888</v>
      </c>
      <c r="CZ3892" s="18">
        <v>23.781738688164609</v>
      </c>
      <c r="DA3892" s="18" t="str">
        <v>Invest</v>
      </c>
    </row>
    <row r="3893" spans="99:105" ht="23.5">
      <c r="CU3893" s="45">
        <v>3889</v>
      </c>
      <c r="CV3893" s="18">
        <v>40.581918416182383</v>
      </c>
      <c r="CW3893" s="18" t="str">
        <v>Invest</v>
      </c>
      <c r="CY3893" s="45">
        <v>3889</v>
      </c>
      <c r="CZ3893" s="18">
        <v>14.782909034722667</v>
      </c>
      <c r="DA3893" s="18" t="str">
        <v>Invest</v>
      </c>
    </row>
    <row r="3894" spans="99:105" ht="23.5">
      <c r="CU3894" s="45">
        <v>3890</v>
      </c>
      <c r="CV3894" s="18">
        <v>32.230496552266665</v>
      </c>
      <c r="CW3894" s="18" t="str">
        <v>Invest</v>
      </c>
      <c r="CY3894" s="45">
        <v>3890</v>
      </c>
      <c r="CZ3894" s="18">
        <v>22.253600315114895</v>
      </c>
      <c r="DA3894" s="18" t="str">
        <v>Invest</v>
      </c>
    </row>
    <row r="3895" spans="99:105" ht="23.5">
      <c r="CU3895" s="45">
        <v>3891</v>
      </c>
      <c r="CV3895" s="18">
        <v>0</v>
      </c>
      <c r="CW3895" s="18" t="str">
        <v>Nothing</v>
      </c>
      <c r="CY3895" s="45">
        <v>3891</v>
      </c>
      <c r="CZ3895" s="18">
        <v>22.030550780311707</v>
      </c>
      <c r="DA3895" s="18" t="str">
        <v>Invest</v>
      </c>
    </row>
    <row r="3896" spans="99:105" ht="23.5">
      <c r="CU3896" s="45">
        <v>3892</v>
      </c>
      <c r="CV3896" s="18">
        <v>0</v>
      </c>
      <c r="CW3896" s="18" t="str">
        <v>Nothing</v>
      </c>
      <c r="CY3896" s="45">
        <v>3892</v>
      </c>
      <c r="CZ3896" s="18">
        <v>0</v>
      </c>
      <c r="DA3896" s="18" t="str">
        <v>Nothing</v>
      </c>
    </row>
    <row r="3897" spans="99:105" ht="23.5">
      <c r="CU3897" s="45">
        <v>3893</v>
      </c>
      <c r="CV3897" s="18">
        <v>14.265087209751684</v>
      </c>
      <c r="CW3897" s="18" t="str">
        <v>Invest</v>
      </c>
      <c r="CY3897" s="45">
        <v>3893</v>
      </c>
      <c r="CZ3897" s="18">
        <v>23.172906408866602</v>
      </c>
      <c r="DA3897" s="18" t="str">
        <v>Invest</v>
      </c>
    </row>
    <row r="3898" spans="99:105" ht="23.5">
      <c r="CU3898" s="45">
        <v>3894</v>
      </c>
      <c r="CV3898" s="18">
        <v>1.6964531130537885</v>
      </c>
      <c r="CW3898" s="18" t="str">
        <v>Invest</v>
      </c>
      <c r="CY3898" s="45">
        <v>3894</v>
      </c>
      <c r="CZ3898" s="18">
        <v>0</v>
      </c>
      <c r="DA3898" s="18" t="str">
        <v>Nothing</v>
      </c>
    </row>
    <row r="3899" spans="99:105" ht="23.5">
      <c r="CU3899" s="45">
        <v>3895</v>
      </c>
      <c r="CV3899" s="18">
        <v>0</v>
      </c>
      <c r="CW3899" s="18" t="str">
        <v>Nothing</v>
      </c>
      <c r="CY3899" s="45">
        <v>3895</v>
      </c>
      <c r="CZ3899" s="18">
        <v>21.115051217905947</v>
      </c>
      <c r="DA3899" s="18" t="str">
        <v>Invest</v>
      </c>
    </row>
    <row r="3900" spans="99:105" ht="23.5">
      <c r="CU3900" s="45">
        <v>3896</v>
      </c>
      <c r="CV3900" s="18">
        <v>19.648145620861904</v>
      </c>
      <c r="CW3900" s="18" t="str">
        <v>Invest</v>
      </c>
      <c r="CY3900" s="45">
        <v>3896</v>
      </c>
      <c r="CZ3900" s="18">
        <v>37.853883788262337</v>
      </c>
      <c r="DA3900" s="18" t="str">
        <v>Invest</v>
      </c>
    </row>
    <row r="3901" spans="99:105" ht="23.5">
      <c r="CU3901" s="45">
        <v>3897</v>
      </c>
      <c r="CV3901" s="18">
        <v>0</v>
      </c>
      <c r="CW3901" s="18" t="str">
        <v>Nothing</v>
      </c>
      <c r="CY3901" s="45">
        <v>3897</v>
      </c>
      <c r="CZ3901" s="18">
        <v>0</v>
      </c>
      <c r="DA3901" s="18" t="str">
        <v>Nothing</v>
      </c>
    </row>
    <row r="3902" spans="99:105" ht="23.5">
      <c r="CU3902" s="45">
        <v>3898</v>
      </c>
      <c r="CV3902" s="18">
        <v>19.489338561315158</v>
      </c>
      <c r="CW3902" s="18" t="str">
        <v>Invest</v>
      </c>
      <c r="CY3902" s="45">
        <v>3898</v>
      </c>
      <c r="CZ3902" s="18">
        <v>0</v>
      </c>
      <c r="DA3902" s="18" t="str">
        <v>Nothing</v>
      </c>
    </row>
    <row r="3903" spans="99:105" ht="23.5">
      <c r="CU3903" s="45">
        <v>3899</v>
      </c>
      <c r="CV3903" s="18">
        <v>63.577012912183612</v>
      </c>
      <c r="CW3903" s="18" t="str">
        <v>Invest</v>
      </c>
      <c r="CY3903" s="45">
        <v>3899</v>
      </c>
      <c r="CZ3903" s="18">
        <v>25.64297929145787</v>
      </c>
      <c r="DA3903" s="18" t="str">
        <v>Invest</v>
      </c>
    </row>
    <row r="3904" spans="99:105" ht="23.5">
      <c r="CU3904" s="45">
        <v>3900</v>
      </c>
      <c r="CV3904" s="18">
        <v>41.732907819003678</v>
      </c>
      <c r="CW3904" s="18" t="str">
        <v>Invest</v>
      </c>
      <c r="CY3904" s="45">
        <v>3900</v>
      </c>
      <c r="CZ3904" s="18">
        <v>20.268307875907446</v>
      </c>
      <c r="DA3904" s="18" t="str">
        <v>Invest</v>
      </c>
    </row>
    <row r="3905" spans="99:105" ht="23.5">
      <c r="CU3905" s="45">
        <v>3901</v>
      </c>
      <c r="CV3905" s="18">
        <v>4.1313784357065373</v>
      </c>
      <c r="CW3905" s="18" t="str">
        <v>Invest</v>
      </c>
      <c r="CY3905" s="45">
        <v>3901</v>
      </c>
      <c r="CZ3905" s="18">
        <v>0</v>
      </c>
      <c r="DA3905" s="18" t="str">
        <v>Nothing</v>
      </c>
    </row>
    <row r="3906" spans="99:105" ht="23.5">
      <c r="CU3906" s="45">
        <v>3902</v>
      </c>
      <c r="CV3906" s="18">
        <v>0</v>
      </c>
      <c r="CW3906" s="18" t="str">
        <v>Nothing</v>
      </c>
      <c r="CY3906" s="45">
        <v>3902</v>
      </c>
      <c r="CZ3906" s="18">
        <v>8.0862168584836116</v>
      </c>
      <c r="DA3906" s="18" t="str">
        <v>Invest</v>
      </c>
    </row>
    <row r="3907" spans="99:105" ht="23.5">
      <c r="CU3907" s="45">
        <v>3903</v>
      </c>
      <c r="CV3907" s="18">
        <v>11.632821680421184</v>
      </c>
      <c r="CW3907" s="18" t="str">
        <v>Invest</v>
      </c>
      <c r="CY3907" s="45">
        <v>3903</v>
      </c>
      <c r="CZ3907" s="18">
        <v>0</v>
      </c>
      <c r="DA3907" s="18" t="str">
        <v>Nothing</v>
      </c>
    </row>
    <row r="3908" spans="99:105" ht="23.5">
      <c r="CU3908" s="45">
        <v>3904</v>
      </c>
      <c r="CV3908" s="18">
        <v>6.7558423535320573</v>
      </c>
      <c r="CW3908" s="18" t="str">
        <v>Invest</v>
      </c>
      <c r="CY3908" s="45">
        <v>3904</v>
      </c>
      <c r="CZ3908" s="18">
        <v>1.402206113469207</v>
      </c>
      <c r="DA3908" s="18" t="str">
        <v>Invest</v>
      </c>
    </row>
    <row r="3909" spans="99:105" ht="23.5">
      <c r="CU3909" s="45">
        <v>3905</v>
      </c>
      <c r="CV3909" s="18">
        <v>12.974687116634559</v>
      </c>
      <c r="CW3909" s="18" t="str">
        <v>Invest</v>
      </c>
      <c r="CY3909" s="45">
        <v>3905</v>
      </c>
      <c r="CZ3909" s="18">
        <v>18.307988834754834</v>
      </c>
      <c r="DA3909" s="18" t="str">
        <v>Invest</v>
      </c>
    </row>
    <row r="3910" spans="99:105" ht="23.5">
      <c r="CU3910" s="45">
        <v>3906</v>
      </c>
      <c r="CV3910" s="18">
        <v>32.440783614132258</v>
      </c>
      <c r="CW3910" s="18" t="str">
        <v>Invest</v>
      </c>
      <c r="CY3910" s="45">
        <v>3906</v>
      </c>
      <c r="CZ3910" s="18">
        <v>47.59904391233502</v>
      </c>
      <c r="DA3910" s="18" t="str">
        <v>Invest</v>
      </c>
    </row>
    <row r="3911" spans="99:105" ht="23.5">
      <c r="CU3911" s="45">
        <v>3907</v>
      </c>
      <c r="CV3911" s="18">
        <v>47.11274030240768</v>
      </c>
      <c r="CW3911" s="18" t="str">
        <v>Invest</v>
      </c>
      <c r="CY3911" s="45">
        <v>3907</v>
      </c>
      <c r="CZ3911" s="18">
        <v>0</v>
      </c>
      <c r="DA3911" s="18" t="str">
        <v>Nothing</v>
      </c>
    </row>
    <row r="3912" spans="99:105" ht="23.5">
      <c r="CU3912" s="45">
        <v>3908</v>
      </c>
      <c r="CV3912" s="18">
        <v>28.85824556987054</v>
      </c>
      <c r="CW3912" s="18" t="str">
        <v>Invest</v>
      </c>
      <c r="CY3912" s="45">
        <v>3908</v>
      </c>
      <c r="CZ3912" s="18">
        <v>0</v>
      </c>
      <c r="DA3912" s="18" t="str">
        <v>Nothing</v>
      </c>
    </row>
    <row r="3913" spans="99:105" ht="23.5">
      <c r="CU3913" s="45">
        <v>3909</v>
      </c>
      <c r="CV3913" s="18">
        <v>4.674609285221802</v>
      </c>
      <c r="CW3913" s="18" t="str">
        <v>Invest</v>
      </c>
      <c r="CY3913" s="45">
        <v>3909</v>
      </c>
      <c r="CZ3913" s="18">
        <v>12.227431835342022</v>
      </c>
      <c r="DA3913" s="18" t="str">
        <v>Invest</v>
      </c>
    </row>
    <row r="3914" spans="99:105" ht="23.5">
      <c r="CU3914" s="45">
        <v>3910</v>
      </c>
      <c r="CV3914" s="18">
        <v>52.214388483240221</v>
      </c>
      <c r="CW3914" s="18" t="str">
        <v>Invest</v>
      </c>
      <c r="CY3914" s="45">
        <v>3910</v>
      </c>
      <c r="CZ3914" s="18">
        <v>38.78061089414259</v>
      </c>
      <c r="DA3914" s="18" t="str">
        <v>Invest</v>
      </c>
    </row>
    <row r="3915" spans="99:105" ht="23.5">
      <c r="CU3915" s="45">
        <v>3911</v>
      </c>
      <c r="CV3915" s="18">
        <v>5.1157926648548635</v>
      </c>
      <c r="CW3915" s="18" t="str">
        <v>Invest</v>
      </c>
      <c r="CY3915" s="45">
        <v>3911</v>
      </c>
      <c r="CZ3915" s="18">
        <v>16.979332532784529</v>
      </c>
      <c r="DA3915" s="18" t="str">
        <v>Invest</v>
      </c>
    </row>
    <row r="3916" spans="99:105" ht="23.5">
      <c r="CU3916" s="45">
        <v>3912</v>
      </c>
      <c r="CV3916" s="18">
        <v>0</v>
      </c>
      <c r="CW3916" s="18" t="str">
        <v>Nothing</v>
      </c>
      <c r="CY3916" s="45">
        <v>3912</v>
      </c>
      <c r="CZ3916" s="18">
        <v>12.312216860272022</v>
      </c>
      <c r="DA3916" s="18" t="str">
        <v>Invest</v>
      </c>
    </row>
    <row r="3917" spans="99:105" ht="23.5">
      <c r="CU3917" s="45">
        <v>3913</v>
      </c>
      <c r="CV3917" s="18">
        <v>33.736414253931663</v>
      </c>
      <c r="CW3917" s="18" t="str">
        <v>Invest</v>
      </c>
      <c r="CY3917" s="45">
        <v>3913</v>
      </c>
      <c r="CZ3917" s="18">
        <v>38.239421490012674</v>
      </c>
      <c r="DA3917" s="18" t="str">
        <v>Invest</v>
      </c>
    </row>
    <row r="3918" spans="99:105" ht="23.5">
      <c r="CU3918" s="45">
        <v>3914</v>
      </c>
      <c r="CV3918" s="18">
        <v>0</v>
      </c>
      <c r="CW3918" s="18" t="str">
        <v>Nothing</v>
      </c>
      <c r="CY3918" s="45">
        <v>3914</v>
      </c>
      <c r="CZ3918" s="18">
        <v>27.317103276331821</v>
      </c>
      <c r="DA3918" s="18" t="str">
        <v>Invest</v>
      </c>
    </row>
    <row r="3919" spans="99:105" ht="23.5">
      <c r="CU3919" s="45">
        <v>3915</v>
      </c>
      <c r="CV3919" s="18">
        <v>52.317711041541074</v>
      </c>
      <c r="CW3919" s="18" t="str">
        <v>Invest</v>
      </c>
      <c r="CY3919" s="45">
        <v>3915</v>
      </c>
      <c r="CZ3919" s="18">
        <v>4.832819666753692</v>
      </c>
      <c r="DA3919" s="18" t="str">
        <v>Invest</v>
      </c>
    </row>
    <row r="3920" spans="99:105" ht="23.5">
      <c r="CU3920" s="45">
        <v>3916</v>
      </c>
      <c r="CV3920" s="18">
        <v>1.9482089866616761</v>
      </c>
      <c r="CW3920" s="18" t="str">
        <v>Invest</v>
      </c>
      <c r="CY3920" s="45">
        <v>3916</v>
      </c>
      <c r="CZ3920" s="18">
        <v>0</v>
      </c>
      <c r="DA3920" s="18" t="str">
        <v>Nothing</v>
      </c>
    </row>
    <row r="3921" spans="99:105" ht="23.5">
      <c r="CU3921" s="45">
        <v>3917</v>
      </c>
      <c r="CV3921" s="18">
        <v>0</v>
      </c>
      <c r="CW3921" s="18" t="str">
        <v>Nothing</v>
      </c>
      <c r="CY3921" s="45">
        <v>3917</v>
      </c>
      <c r="CZ3921" s="18">
        <v>31.275302710982977</v>
      </c>
      <c r="DA3921" s="18" t="str">
        <v>Invest</v>
      </c>
    </row>
    <row r="3922" spans="99:105" ht="23.5">
      <c r="CU3922" s="45">
        <v>3918</v>
      </c>
      <c r="CV3922" s="18">
        <v>32.804449679308789</v>
      </c>
      <c r="CW3922" s="18" t="str">
        <v>Invest</v>
      </c>
      <c r="CY3922" s="45">
        <v>3918</v>
      </c>
      <c r="CZ3922" s="18">
        <v>21.257915000691302</v>
      </c>
      <c r="DA3922" s="18" t="str">
        <v>Invest</v>
      </c>
    </row>
    <row r="3923" spans="99:105" ht="23.5">
      <c r="CU3923" s="45">
        <v>3919</v>
      </c>
      <c r="CV3923" s="18">
        <v>0</v>
      </c>
      <c r="CW3923" s="18" t="str">
        <v>Nothing</v>
      </c>
      <c r="CY3923" s="45">
        <v>3919</v>
      </c>
      <c r="CZ3923" s="18">
        <v>0</v>
      </c>
      <c r="DA3923" s="18" t="str">
        <v>Nothing</v>
      </c>
    </row>
    <row r="3924" spans="99:105" ht="23.5">
      <c r="CU3924" s="45">
        <v>3920</v>
      </c>
      <c r="CV3924" s="18">
        <v>4.6023877706572414</v>
      </c>
      <c r="CW3924" s="18" t="str">
        <v>Invest</v>
      </c>
      <c r="CY3924" s="45">
        <v>3920</v>
      </c>
      <c r="CZ3924" s="18">
        <v>0</v>
      </c>
      <c r="DA3924" s="18" t="str">
        <v>Nothing</v>
      </c>
    </row>
    <row r="3925" spans="99:105" ht="23.5">
      <c r="CU3925" s="45">
        <v>3921</v>
      </c>
      <c r="CV3925" s="18">
        <v>41.347701587816815</v>
      </c>
      <c r="CW3925" s="18" t="str">
        <v>Invest</v>
      </c>
      <c r="CY3925" s="45">
        <v>3921</v>
      </c>
      <c r="CZ3925" s="18">
        <v>23.783003306977736</v>
      </c>
      <c r="DA3925" s="18" t="str">
        <v>Invest</v>
      </c>
    </row>
    <row r="3926" spans="99:105" ht="23.5">
      <c r="CU3926" s="45">
        <v>3922</v>
      </c>
      <c r="CV3926" s="18">
        <v>46.58029615726042</v>
      </c>
      <c r="CW3926" s="18" t="str">
        <v>Invest</v>
      </c>
      <c r="CY3926" s="45">
        <v>3922</v>
      </c>
      <c r="CZ3926" s="18">
        <v>6.4885616962061796</v>
      </c>
      <c r="DA3926" s="18" t="str">
        <v>Invest</v>
      </c>
    </row>
    <row r="3927" spans="99:105" ht="23.5">
      <c r="CU3927" s="45">
        <v>3923</v>
      </c>
      <c r="CV3927" s="18">
        <v>27.21561289137496</v>
      </c>
      <c r="CW3927" s="18" t="str">
        <v>Invest</v>
      </c>
      <c r="CY3927" s="45">
        <v>3923</v>
      </c>
      <c r="CZ3927" s="18">
        <v>31.431505606217822</v>
      </c>
      <c r="DA3927" s="18" t="str">
        <v>Invest</v>
      </c>
    </row>
    <row r="3928" spans="99:105" ht="23.5">
      <c r="CU3928" s="45">
        <v>3924</v>
      </c>
      <c r="CV3928" s="18">
        <v>0</v>
      </c>
      <c r="CW3928" s="18" t="str">
        <v>Nothing</v>
      </c>
      <c r="CY3928" s="45">
        <v>3924</v>
      </c>
      <c r="CZ3928" s="18">
        <v>18.900449796144386</v>
      </c>
      <c r="DA3928" s="18" t="str">
        <v>Invest</v>
      </c>
    </row>
    <row r="3929" spans="99:105" ht="23.5">
      <c r="CU3929" s="45">
        <v>3925</v>
      </c>
      <c r="CV3929" s="18">
        <v>0</v>
      </c>
      <c r="CW3929" s="18" t="str">
        <v>Nothing</v>
      </c>
      <c r="CY3929" s="45">
        <v>3925</v>
      </c>
      <c r="CZ3929" s="18">
        <v>8.2389716492426075</v>
      </c>
      <c r="DA3929" s="18" t="str">
        <v>Invest</v>
      </c>
    </row>
    <row r="3930" spans="99:105" ht="23.5">
      <c r="CU3930" s="45">
        <v>3926</v>
      </c>
      <c r="CV3930" s="18">
        <v>42.171959514191286</v>
      </c>
      <c r="CW3930" s="18" t="str">
        <v>Invest</v>
      </c>
      <c r="CY3930" s="45">
        <v>3926</v>
      </c>
      <c r="CZ3930" s="18">
        <v>51.799556782418939</v>
      </c>
      <c r="DA3930" s="18" t="str">
        <v>Invest</v>
      </c>
    </row>
    <row r="3931" spans="99:105" ht="23.5">
      <c r="CU3931" s="45">
        <v>3927</v>
      </c>
      <c r="CV3931" s="18">
        <v>0</v>
      </c>
      <c r="CW3931" s="18" t="str">
        <v>Nothing</v>
      </c>
      <c r="CY3931" s="45">
        <v>3927</v>
      </c>
      <c r="CZ3931" s="18">
        <v>45.576964882124841</v>
      </c>
      <c r="DA3931" s="18" t="str">
        <v>Invest</v>
      </c>
    </row>
    <row r="3932" spans="99:105" ht="23.5">
      <c r="CU3932" s="45">
        <v>3928</v>
      </c>
      <c r="CV3932" s="18">
        <v>38.26042214759142</v>
      </c>
      <c r="CW3932" s="18" t="str">
        <v>Invest</v>
      </c>
      <c r="CY3932" s="45">
        <v>3928</v>
      </c>
      <c r="CZ3932" s="18">
        <v>23.158992838903039</v>
      </c>
      <c r="DA3932" s="18" t="str">
        <v>Invest</v>
      </c>
    </row>
    <row r="3933" spans="99:105" ht="23.5">
      <c r="CU3933" s="45">
        <v>3929</v>
      </c>
      <c r="CV3933" s="18">
        <v>0</v>
      </c>
      <c r="CW3933" s="18" t="str">
        <v>Nothing</v>
      </c>
      <c r="CY3933" s="45">
        <v>3929</v>
      </c>
      <c r="CZ3933" s="18">
        <v>5.2306866867923674</v>
      </c>
      <c r="DA3933" s="18" t="str">
        <v>Invest</v>
      </c>
    </row>
    <row r="3934" spans="99:105" ht="23.5">
      <c r="CU3934" s="45">
        <v>3930</v>
      </c>
      <c r="CV3934" s="18">
        <v>11.336753367433509</v>
      </c>
      <c r="CW3934" s="18" t="str">
        <v>Invest</v>
      </c>
      <c r="CY3934" s="45">
        <v>3930</v>
      </c>
      <c r="CZ3934" s="18">
        <v>0.18918556972482303</v>
      </c>
      <c r="DA3934" s="18" t="str">
        <v>Invest</v>
      </c>
    </row>
    <row r="3935" spans="99:105" ht="23.5">
      <c r="CU3935" s="45">
        <v>3931</v>
      </c>
      <c r="CV3935" s="18">
        <v>52.356619069156153</v>
      </c>
      <c r="CW3935" s="18" t="str">
        <v>Invest</v>
      </c>
      <c r="CY3935" s="45">
        <v>3931</v>
      </c>
      <c r="CZ3935" s="18">
        <v>0</v>
      </c>
      <c r="DA3935" s="18" t="str">
        <v>Nothing</v>
      </c>
    </row>
    <row r="3936" spans="99:105" ht="23.5">
      <c r="CU3936" s="45">
        <v>3932</v>
      </c>
      <c r="CV3936" s="18">
        <v>7.0591227048752856</v>
      </c>
      <c r="CW3936" s="18" t="str">
        <v>Invest</v>
      </c>
      <c r="CY3936" s="45">
        <v>3932</v>
      </c>
      <c r="CZ3936" s="18">
        <v>42.896117702550598</v>
      </c>
      <c r="DA3936" s="18" t="str">
        <v>Invest</v>
      </c>
    </row>
    <row r="3937" spans="99:105" ht="23.5">
      <c r="CU3937" s="45">
        <v>3933</v>
      </c>
      <c r="CV3937" s="18">
        <v>12.913949723607068</v>
      </c>
      <c r="CW3937" s="18" t="str">
        <v>Invest</v>
      </c>
      <c r="CY3937" s="45">
        <v>3933</v>
      </c>
      <c r="CZ3937" s="18">
        <v>0</v>
      </c>
      <c r="DA3937" s="18" t="str">
        <v>Nothing</v>
      </c>
    </row>
    <row r="3938" spans="99:105" ht="23.5">
      <c r="CU3938" s="45">
        <v>3934</v>
      </c>
      <c r="CV3938" s="18">
        <v>0</v>
      </c>
      <c r="CW3938" s="18" t="str">
        <v>Nothing</v>
      </c>
      <c r="CY3938" s="45">
        <v>3934</v>
      </c>
      <c r="CZ3938" s="18">
        <v>30.306840239312884</v>
      </c>
      <c r="DA3938" s="18" t="str">
        <v>Invest</v>
      </c>
    </row>
    <row r="3939" spans="99:105" ht="23.5">
      <c r="CU3939" s="45">
        <v>3935</v>
      </c>
      <c r="CV3939" s="18">
        <v>22.036021550456255</v>
      </c>
      <c r="CW3939" s="18" t="str">
        <v>Invest</v>
      </c>
      <c r="CY3939" s="45">
        <v>3935</v>
      </c>
      <c r="CZ3939" s="18">
        <v>23.386511459787116</v>
      </c>
      <c r="DA3939" s="18" t="str">
        <v>Invest</v>
      </c>
    </row>
    <row r="3940" spans="99:105" ht="23.5">
      <c r="CU3940" s="45">
        <v>3936</v>
      </c>
      <c r="CV3940" s="18">
        <v>31.218511047609873</v>
      </c>
      <c r="CW3940" s="18" t="str">
        <v>Invest</v>
      </c>
      <c r="CY3940" s="45">
        <v>3936</v>
      </c>
      <c r="CZ3940" s="18">
        <v>0</v>
      </c>
      <c r="DA3940" s="18" t="str">
        <v>Nothing</v>
      </c>
    </row>
    <row r="3941" spans="99:105" ht="23.5">
      <c r="CU3941" s="45">
        <v>3937</v>
      </c>
      <c r="CV3941" s="18">
        <v>5.0130109118824269</v>
      </c>
      <c r="CW3941" s="18" t="str">
        <v>Invest</v>
      </c>
      <c r="CY3941" s="45">
        <v>3937</v>
      </c>
      <c r="CZ3941" s="18">
        <v>24.001700956975533</v>
      </c>
      <c r="DA3941" s="18" t="str">
        <v>Invest</v>
      </c>
    </row>
    <row r="3942" spans="99:105" ht="23.5">
      <c r="CU3942" s="45">
        <v>3938</v>
      </c>
      <c r="CV3942" s="18">
        <v>30.74817113673879</v>
      </c>
      <c r="CW3942" s="18" t="str">
        <v>Invest</v>
      </c>
      <c r="CY3942" s="45">
        <v>3938</v>
      </c>
      <c r="CZ3942" s="18">
        <v>22.889099340270224</v>
      </c>
      <c r="DA3942" s="18" t="str">
        <v>Invest</v>
      </c>
    </row>
    <row r="3943" spans="99:105" ht="23.5">
      <c r="CU3943" s="45">
        <v>3939</v>
      </c>
      <c r="CV3943" s="18">
        <v>0</v>
      </c>
      <c r="CW3943" s="18" t="str">
        <v>Nothing</v>
      </c>
      <c r="CY3943" s="45">
        <v>3939</v>
      </c>
      <c r="CZ3943" s="18">
        <v>24.020449631830768</v>
      </c>
      <c r="DA3943" s="18" t="str">
        <v>Invest</v>
      </c>
    </row>
    <row r="3944" spans="99:105" ht="23.5">
      <c r="CU3944" s="45">
        <v>3940</v>
      </c>
      <c r="CV3944" s="18">
        <v>39.011267800230598</v>
      </c>
      <c r="CW3944" s="18" t="str">
        <v>Invest</v>
      </c>
      <c r="CY3944" s="45">
        <v>3940</v>
      </c>
      <c r="CZ3944" s="18">
        <v>26.438374958884751</v>
      </c>
      <c r="DA3944" s="18" t="str">
        <v>Invest</v>
      </c>
    </row>
    <row r="3945" spans="99:105" ht="23.5">
      <c r="CU3945" s="45">
        <v>3941</v>
      </c>
      <c r="CV3945" s="18">
        <v>27.839175579752158</v>
      </c>
      <c r="CW3945" s="18" t="str">
        <v>Invest</v>
      </c>
      <c r="CY3945" s="45">
        <v>3941</v>
      </c>
      <c r="CZ3945" s="18">
        <v>52.983944508980386</v>
      </c>
      <c r="DA3945" s="18" t="str">
        <v>Invest</v>
      </c>
    </row>
    <row r="3946" spans="99:105" ht="23.5">
      <c r="CU3946" s="45">
        <v>3942</v>
      </c>
      <c r="CV3946" s="18">
        <v>31.40141291578572</v>
      </c>
      <c r="CW3946" s="18" t="str">
        <v>Invest</v>
      </c>
      <c r="CY3946" s="45">
        <v>3942</v>
      </c>
      <c r="CZ3946" s="18">
        <v>11.313211986616952</v>
      </c>
      <c r="DA3946" s="18" t="str">
        <v>Invest</v>
      </c>
    </row>
    <row r="3947" spans="99:105" ht="23.5">
      <c r="CU3947" s="45">
        <v>3943</v>
      </c>
      <c r="CV3947" s="18">
        <v>23.09723175479877</v>
      </c>
      <c r="CW3947" s="18" t="str">
        <v>Invest</v>
      </c>
      <c r="CY3947" s="45">
        <v>3943</v>
      </c>
      <c r="CZ3947" s="18">
        <v>8.8080189735731231</v>
      </c>
      <c r="DA3947" s="18" t="str">
        <v>Invest</v>
      </c>
    </row>
    <row r="3948" spans="99:105" ht="23.5">
      <c r="CU3948" s="45">
        <v>3944</v>
      </c>
      <c r="CV3948" s="18">
        <v>14.101564695294895</v>
      </c>
      <c r="CW3948" s="18" t="str">
        <v>Invest</v>
      </c>
      <c r="CY3948" s="45">
        <v>3944</v>
      </c>
      <c r="CZ3948" s="18">
        <v>9.2105496009691379</v>
      </c>
      <c r="DA3948" s="18" t="str">
        <v>Invest</v>
      </c>
    </row>
    <row r="3949" spans="99:105" ht="23.5">
      <c r="CU3949" s="45">
        <v>3945</v>
      </c>
      <c r="CV3949" s="18">
        <v>0</v>
      </c>
      <c r="CW3949" s="18" t="str">
        <v>Nothing</v>
      </c>
      <c r="CY3949" s="45">
        <v>3945</v>
      </c>
      <c r="CZ3949" s="18">
        <v>0</v>
      </c>
      <c r="DA3949" s="18" t="str">
        <v>Nothing</v>
      </c>
    </row>
    <row r="3950" spans="99:105" ht="23.5">
      <c r="CU3950" s="45">
        <v>3946</v>
      </c>
      <c r="CV3950" s="18">
        <v>39.448723861781382</v>
      </c>
      <c r="CW3950" s="18" t="str">
        <v>Invest</v>
      </c>
      <c r="CY3950" s="45">
        <v>3946</v>
      </c>
      <c r="CZ3950" s="18">
        <v>34.116796247954994</v>
      </c>
      <c r="DA3950" s="18" t="str">
        <v>Invest</v>
      </c>
    </row>
    <row r="3951" spans="99:105" ht="23.5">
      <c r="CU3951" s="45">
        <v>3947</v>
      </c>
      <c r="CV3951" s="18">
        <v>43.092902532956984</v>
      </c>
      <c r="CW3951" s="18" t="str">
        <v>Invest</v>
      </c>
      <c r="CY3951" s="45">
        <v>3947</v>
      </c>
      <c r="CZ3951" s="18">
        <v>0</v>
      </c>
      <c r="DA3951" s="18" t="str">
        <v>Nothing</v>
      </c>
    </row>
    <row r="3952" spans="99:105" ht="23.5">
      <c r="CU3952" s="45">
        <v>3948</v>
      </c>
      <c r="CV3952" s="18">
        <v>12.999753630913617</v>
      </c>
      <c r="CW3952" s="18" t="str">
        <v>Invest</v>
      </c>
      <c r="CY3952" s="45">
        <v>3948</v>
      </c>
      <c r="CZ3952" s="18">
        <v>38.596489897731288</v>
      </c>
      <c r="DA3952" s="18" t="str">
        <v>Invest</v>
      </c>
    </row>
    <row r="3953" spans="99:105" ht="23.5">
      <c r="CU3953" s="45">
        <v>3949</v>
      </c>
      <c r="CV3953" s="18">
        <v>8.6656039403348792</v>
      </c>
      <c r="CW3953" s="18" t="str">
        <v>Invest</v>
      </c>
      <c r="CY3953" s="45">
        <v>3949</v>
      </c>
      <c r="CZ3953" s="18">
        <v>0</v>
      </c>
      <c r="DA3953" s="18" t="str">
        <v>Nothing</v>
      </c>
    </row>
    <row r="3954" spans="99:105" ht="23.5">
      <c r="CU3954" s="45">
        <v>3950</v>
      </c>
      <c r="CV3954" s="18">
        <v>0</v>
      </c>
      <c r="CW3954" s="18" t="str">
        <v>Nothing</v>
      </c>
      <c r="CY3954" s="45">
        <v>3950</v>
      </c>
      <c r="CZ3954" s="18">
        <v>2.7154573041002497</v>
      </c>
      <c r="DA3954" s="18" t="str">
        <v>Invest</v>
      </c>
    </row>
    <row r="3955" spans="99:105" ht="23.5">
      <c r="CU3955" s="45">
        <v>3951</v>
      </c>
      <c r="CV3955" s="18">
        <v>28.195294598897426</v>
      </c>
      <c r="CW3955" s="18" t="str">
        <v>Invest</v>
      </c>
      <c r="CY3955" s="45">
        <v>3951</v>
      </c>
      <c r="CZ3955" s="18">
        <v>0</v>
      </c>
      <c r="DA3955" s="18" t="str">
        <v>Nothing</v>
      </c>
    </row>
    <row r="3956" spans="99:105" ht="23.5">
      <c r="CU3956" s="45">
        <v>3952</v>
      </c>
      <c r="CV3956" s="18">
        <v>32.255973241841161</v>
      </c>
      <c r="CW3956" s="18" t="str">
        <v>Invest</v>
      </c>
      <c r="CY3956" s="45">
        <v>3952</v>
      </c>
      <c r="CZ3956" s="18">
        <v>0</v>
      </c>
      <c r="DA3956" s="18" t="str">
        <v>Nothing</v>
      </c>
    </row>
    <row r="3957" spans="99:105" ht="23.5">
      <c r="CU3957" s="45">
        <v>3953</v>
      </c>
      <c r="CV3957" s="18">
        <v>24.658909319982385</v>
      </c>
      <c r="CW3957" s="18" t="str">
        <v>Invest</v>
      </c>
      <c r="CY3957" s="45">
        <v>3953</v>
      </c>
      <c r="CZ3957" s="18">
        <v>57.107113061990027</v>
      </c>
      <c r="DA3957" s="18" t="str">
        <v>Invest</v>
      </c>
    </row>
    <row r="3958" spans="99:105" ht="23.5">
      <c r="CU3958" s="45">
        <v>3954</v>
      </c>
      <c r="CV3958" s="18">
        <v>9.4771379138819754</v>
      </c>
      <c r="CW3958" s="18" t="str">
        <v>Invest</v>
      </c>
      <c r="CY3958" s="45">
        <v>3954</v>
      </c>
      <c r="CZ3958" s="18">
        <v>45.729453615516398</v>
      </c>
      <c r="DA3958" s="18" t="str">
        <v>Invest</v>
      </c>
    </row>
    <row r="3959" spans="99:105" ht="23.5">
      <c r="CU3959" s="45">
        <v>3955</v>
      </c>
      <c r="CV3959" s="18">
        <v>35.642404132643968</v>
      </c>
      <c r="CW3959" s="18" t="str">
        <v>Invest</v>
      </c>
      <c r="CY3959" s="45">
        <v>3955</v>
      </c>
      <c r="CZ3959" s="18">
        <v>24.6675842650703</v>
      </c>
      <c r="DA3959" s="18" t="str">
        <v>Invest</v>
      </c>
    </row>
    <row r="3960" spans="99:105" ht="23.5">
      <c r="CU3960" s="45">
        <v>3956</v>
      </c>
      <c r="CV3960" s="18">
        <v>0</v>
      </c>
      <c r="CW3960" s="18" t="str">
        <v>Nothing</v>
      </c>
      <c r="CY3960" s="45">
        <v>3956</v>
      </c>
      <c r="CZ3960" s="18">
        <v>47.192831435230914</v>
      </c>
      <c r="DA3960" s="18" t="str">
        <v>Invest</v>
      </c>
    </row>
    <row r="3961" spans="99:105" ht="23.5">
      <c r="CU3961" s="45">
        <v>3957</v>
      </c>
      <c r="CV3961" s="18">
        <v>0</v>
      </c>
      <c r="CW3961" s="18" t="str">
        <v>Nothing</v>
      </c>
      <c r="CY3961" s="45">
        <v>3957</v>
      </c>
      <c r="CZ3961" s="18">
        <v>0</v>
      </c>
      <c r="DA3961" s="18" t="str">
        <v>Nothing</v>
      </c>
    </row>
    <row r="3962" spans="99:105" ht="23.5">
      <c r="CU3962" s="45">
        <v>3958</v>
      </c>
      <c r="CV3962" s="18">
        <v>0</v>
      </c>
      <c r="CW3962" s="18" t="str">
        <v>Nothing</v>
      </c>
      <c r="CY3962" s="45">
        <v>3958</v>
      </c>
      <c r="CZ3962" s="18">
        <v>21.660738805485998</v>
      </c>
      <c r="DA3962" s="18" t="str">
        <v>Invest</v>
      </c>
    </row>
    <row r="3963" spans="99:105" ht="23.5">
      <c r="CU3963" s="45">
        <v>3959</v>
      </c>
      <c r="CV3963" s="18">
        <v>35.40327426486499</v>
      </c>
      <c r="CW3963" s="18" t="str">
        <v>Invest</v>
      </c>
      <c r="CY3963" s="45">
        <v>3959</v>
      </c>
      <c r="CZ3963" s="18">
        <v>15.354162807186608</v>
      </c>
      <c r="DA3963" s="18" t="str">
        <v>Invest</v>
      </c>
    </row>
    <row r="3964" spans="99:105" ht="23.5">
      <c r="CU3964" s="45">
        <v>3960</v>
      </c>
      <c r="CV3964" s="18">
        <v>21.955836798693657</v>
      </c>
      <c r="CW3964" s="18" t="str">
        <v>Invest</v>
      </c>
      <c r="CY3964" s="45">
        <v>3960</v>
      </c>
      <c r="CZ3964" s="18">
        <v>13.792453476441835</v>
      </c>
      <c r="DA3964" s="18" t="str">
        <v>Invest</v>
      </c>
    </row>
    <row r="3965" spans="99:105" ht="23.5">
      <c r="CU3965" s="45">
        <v>3961</v>
      </c>
      <c r="CV3965" s="18">
        <v>12.85865004733467</v>
      </c>
      <c r="CW3965" s="18" t="str">
        <v>Invest</v>
      </c>
      <c r="CY3965" s="45">
        <v>3961</v>
      </c>
      <c r="CZ3965" s="18">
        <v>15.009057224647048</v>
      </c>
      <c r="DA3965" s="18" t="str">
        <v>Invest</v>
      </c>
    </row>
    <row r="3966" spans="99:105" ht="23.5">
      <c r="CU3966" s="45">
        <v>3962</v>
      </c>
      <c r="CV3966" s="18">
        <v>32.913883206727725</v>
      </c>
      <c r="CW3966" s="18" t="str">
        <v>Invest</v>
      </c>
      <c r="CY3966" s="45">
        <v>3962</v>
      </c>
      <c r="CZ3966" s="18">
        <v>33.192215879847105</v>
      </c>
      <c r="DA3966" s="18" t="str">
        <v>Invest</v>
      </c>
    </row>
    <row r="3967" spans="99:105" ht="23.5">
      <c r="CU3967" s="45">
        <v>3963</v>
      </c>
      <c r="CV3967" s="18">
        <v>31.391629033436438</v>
      </c>
      <c r="CW3967" s="18" t="str">
        <v>Invest</v>
      </c>
      <c r="CY3967" s="45">
        <v>3963</v>
      </c>
      <c r="CZ3967" s="18">
        <v>0</v>
      </c>
      <c r="DA3967" s="18" t="str">
        <v>Nothing</v>
      </c>
    </row>
    <row r="3968" spans="99:105" ht="23.5">
      <c r="CU3968" s="45">
        <v>3964</v>
      </c>
      <c r="CV3968" s="18">
        <v>20.082934785180552</v>
      </c>
      <c r="CW3968" s="18" t="str">
        <v>Invest</v>
      </c>
      <c r="CY3968" s="45">
        <v>3964</v>
      </c>
      <c r="CZ3968" s="18">
        <v>6.6926267133794859</v>
      </c>
      <c r="DA3968" s="18" t="str">
        <v>Invest</v>
      </c>
    </row>
    <row r="3969" spans="99:105" ht="23.5">
      <c r="CU3969" s="45">
        <v>3965</v>
      </c>
      <c r="CV3969" s="18">
        <v>1.3025975004919559</v>
      </c>
      <c r="CW3969" s="18" t="str">
        <v>Invest</v>
      </c>
      <c r="CY3969" s="45">
        <v>3965</v>
      </c>
      <c r="CZ3969" s="18">
        <v>14.250798968675143</v>
      </c>
      <c r="DA3969" s="18" t="str">
        <v>Invest</v>
      </c>
    </row>
    <row r="3970" spans="99:105" ht="23.5">
      <c r="CU3970" s="45">
        <v>3966</v>
      </c>
      <c r="CV3970" s="18">
        <v>0.74239929522141423</v>
      </c>
      <c r="CW3970" s="18" t="str">
        <v>Invest</v>
      </c>
      <c r="CY3970" s="45">
        <v>3966</v>
      </c>
      <c r="CZ3970" s="18">
        <v>25.231157469797605</v>
      </c>
      <c r="DA3970" s="18" t="str">
        <v>Invest</v>
      </c>
    </row>
    <row r="3971" spans="99:105" ht="23.5">
      <c r="CU3971" s="45">
        <v>3967</v>
      </c>
      <c r="CV3971" s="18">
        <v>47.359026746849807</v>
      </c>
      <c r="CW3971" s="18" t="str">
        <v>Invest</v>
      </c>
      <c r="CY3971" s="45">
        <v>3967</v>
      </c>
      <c r="CZ3971" s="18">
        <v>5.2105451725545695</v>
      </c>
      <c r="DA3971" s="18" t="str">
        <v>Invest</v>
      </c>
    </row>
    <row r="3972" spans="99:105" ht="23.5">
      <c r="CU3972" s="45">
        <v>3968</v>
      </c>
      <c r="CV3972" s="18">
        <v>24.43431716571164</v>
      </c>
      <c r="CW3972" s="18" t="str">
        <v>Invest</v>
      </c>
      <c r="CY3972" s="45">
        <v>3968</v>
      </c>
      <c r="CZ3972" s="18">
        <v>0</v>
      </c>
      <c r="DA3972" s="18" t="str">
        <v>Nothing</v>
      </c>
    </row>
    <row r="3973" spans="99:105" ht="23.5">
      <c r="CU3973" s="45">
        <v>3969</v>
      </c>
      <c r="CV3973" s="18">
        <v>0</v>
      </c>
      <c r="CW3973" s="18" t="str">
        <v>Nothing</v>
      </c>
      <c r="CY3973" s="45">
        <v>3969</v>
      </c>
      <c r="CZ3973" s="18">
        <v>0.43440699932761007</v>
      </c>
      <c r="DA3973" s="18" t="str">
        <v>Invest</v>
      </c>
    </row>
    <row r="3974" spans="99:105" ht="23.5">
      <c r="CU3974" s="45">
        <v>3970</v>
      </c>
      <c r="CV3974" s="18">
        <v>0</v>
      </c>
      <c r="CW3974" s="18" t="str">
        <v>Nothing</v>
      </c>
      <c r="CY3974" s="45">
        <v>3970</v>
      </c>
      <c r="CZ3974" s="18">
        <v>1.1563886423020864</v>
      </c>
      <c r="DA3974" s="18" t="str">
        <v>Invest</v>
      </c>
    </row>
    <row r="3975" spans="99:105" ht="23.5">
      <c r="CU3975" s="45">
        <v>3971</v>
      </c>
      <c r="CV3975" s="18">
        <v>0</v>
      </c>
      <c r="CW3975" s="18" t="str">
        <v>Nothing</v>
      </c>
      <c r="CY3975" s="45">
        <v>3971</v>
      </c>
      <c r="CZ3975" s="18">
        <v>0</v>
      </c>
      <c r="DA3975" s="18" t="str">
        <v>Nothing</v>
      </c>
    </row>
    <row r="3976" spans="99:105" ht="23.5">
      <c r="CU3976" s="45">
        <v>3972</v>
      </c>
      <c r="CV3976" s="18">
        <v>34.347163995743422</v>
      </c>
      <c r="CW3976" s="18" t="str">
        <v>Invest</v>
      </c>
      <c r="CY3976" s="45">
        <v>3972</v>
      </c>
      <c r="CZ3976" s="18">
        <v>0</v>
      </c>
      <c r="DA3976" s="18" t="str">
        <v>Nothing</v>
      </c>
    </row>
    <row r="3977" spans="99:105" ht="23.5">
      <c r="CU3977" s="45">
        <v>3973</v>
      </c>
      <c r="CV3977" s="18">
        <v>0</v>
      </c>
      <c r="CW3977" s="18" t="str">
        <v>Nothing</v>
      </c>
      <c r="CY3977" s="45">
        <v>3973</v>
      </c>
      <c r="CZ3977" s="18">
        <v>16.125961056466345</v>
      </c>
      <c r="DA3977" s="18" t="str">
        <v>Invest</v>
      </c>
    </row>
    <row r="3978" spans="99:105" ht="23.5">
      <c r="CU3978" s="45">
        <v>3974</v>
      </c>
      <c r="CV3978" s="18">
        <v>14.193998328040836</v>
      </c>
      <c r="CW3978" s="18" t="str">
        <v>Invest</v>
      </c>
      <c r="CY3978" s="45">
        <v>3974</v>
      </c>
      <c r="CZ3978" s="18">
        <v>58.273592635816271</v>
      </c>
      <c r="DA3978" s="18" t="str">
        <v>Invest</v>
      </c>
    </row>
    <row r="3979" spans="99:105" ht="23.5">
      <c r="CU3979" s="45">
        <v>3975</v>
      </c>
      <c r="CV3979" s="18">
        <v>13.182922890377601</v>
      </c>
      <c r="CW3979" s="18" t="str">
        <v>Invest</v>
      </c>
      <c r="CY3979" s="45">
        <v>3975</v>
      </c>
      <c r="CZ3979" s="18">
        <v>0</v>
      </c>
      <c r="DA3979" s="18" t="str">
        <v>Nothing</v>
      </c>
    </row>
    <row r="3980" spans="99:105" ht="23.5">
      <c r="CU3980" s="45">
        <v>3976</v>
      </c>
      <c r="CV3980" s="18">
        <v>26.916681782675461</v>
      </c>
      <c r="CW3980" s="18" t="str">
        <v>Invest</v>
      </c>
      <c r="CY3980" s="45">
        <v>3976</v>
      </c>
      <c r="CZ3980" s="18">
        <v>45.433029424085468</v>
      </c>
      <c r="DA3980" s="18" t="str">
        <v>Invest</v>
      </c>
    </row>
    <row r="3981" spans="99:105" ht="23.5">
      <c r="CU3981" s="45">
        <v>3977</v>
      </c>
      <c r="CV3981" s="18">
        <v>25.370159079934243</v>
      </c>
      <c r="CW3981" s="18" t="str">
        <v>Invest</v>
      </c>
      <c r="CY3981" s="45">
        <v>3977</v>
      </c>
      <c r="CZ3981" s="18">
        <v>15.38957119051771</v>
      </c>
      <c r="DA3981" s="18" t="str">
        <v>Invest</v>
      </c>
    </row>
    <row r="3982" spans="99:105" ht="23.5">
      <c r="CU3982" s="45">
        <v>3978</v>
      </c>
      <c r="CV3982" s="18">
        <v>0</v>
      </c>
      <c r="CW3982" s="18" t="str">
        <v>Nothing</v>
      </c>
      <c r="CY3982" s="45">
        <v>3978</v>
      </c>
      <c r="CZ3982" s="18">
        <v>20.902800227500574</v>
      </c>
      <c r="DA3982" s="18" t="str">
        <v>Invest</v>
      </c>
    </row>
    <row r="3983" spans="99:105" ht="23.5">
      <c r="CU3983" s="45">
        <v>3979</v>
      </c>
      <c r="CV3983" s="18">
        <v>49.279201888566895</v>
      </c>
      <c r="CW3983" s="18" t="str">
        <v>Invest</v>
      </c>
      <c r="CY3983" s="45">
        <v>3979</v>
      </c>
      <c r="CZ3983" s="18">
        <v>19.544716058312058</v>
      </c>
      <c r="DA3983" s="18" t="str">
        <v>Invest</v>
      </c>
    </row>
    <row r="3984" spans="99:105" ht="23.5">
      <c r="CU3984" s="45">
        <v>3980</v>
      </c>
      <c r="CV3984" s="18">
        <v>0</v>
      </c>
      <c r="CW3984" s="18" t="str">
        <v>Nothing</v>
      </c>
      <c r="CY3984" s="45">
        <v>3980</v>
      </c>
      <c r="CZ3984" s="18">
        <v>20.021082452701421</v>
      </c>
      <c r="DA3984" s="18" t="str">
        <v>Invest</v>
      </c>
    </row>
    <row r="3985" spans="99:105" ht="23.5">
      <c r="CU3985" s="45">
        <v>3981</v>
      </c>
      <c r="CV3985" s="18">
        <v>38.339925609714207</v>
      </c>
      <c r="CW3985" s="18" t="str">
        <v>Invest</v>
      </c>
      <c r="CY3985" s="45">
        <v>3981</v>
      </c>
      <c r="CZ3985" s="18">
        <v>42.189008184480862</v>
      </c>
      <c r="DA3985" s="18" t="str">
        <v>Invest</v>
      </c>
    </row>
    <row r="3986" spans="99:105" ht="23.5">
      <c r="CU3986" s="45">
        <v>3982</v>
      </c>
      <c r="CV3986" s="18">
        <v>33.053575884571302</v>
      </c>
      <c r="CW3986" s="18" t="str">
        <v>Invest</v>
      </c>
      <c r="CY3986" s="45">
        <v>3982</v>
      </c>
      <c r="CZ3986" s="18">
        <v>53.079833094579072</v>
      </c>
      <c r="DA3986" s="18" t="str">
        <v>Invest</v>
      </c>
    </row>
    <row r="3987" spans="99:105" ht="23.5">
      <c r="CU3987" s="45">
        <v>3983</v>
      </c>
      <c r="CV3987" s="18">
        <v>7.0516358693952306</v>
      </c>
      <c r="CW3987" s="18" t="str">
        <v>Invest</v>
      </c>
      <c r="CY3987" s="45">
        <v>3983</v>
      </c>
      <c r="CZ3987" s="18">
        <v>14.861224480134418</v>
      </c>
      <c r="DA3987" s="18" t="str">
        <v>Invest</v>
      </c>
    </row>
    <row r="3988" spans="99:105" ht="23.5">
      <c r="CU3988" s="45">
        <v>3984</v>
      </c>
      <c r="CV3988" s="18">
        <v>13.490007014224737</v>
      </c>
      <c r="CW3988" s="18" t="str">
        <v>Invest</v>
      </c>
      <c r="CY3988" s="45">
        <v>3984</v>
      </c>
      <c r="CZ3988" s="18">
        <v>11.44942518543276</v>
      </c>
      <c r="DA3988" s="18" t="str">
        <v>Invest</v>
      </c>
    </row>
    <row r="3989" spans="99:105" ht="23.5">
      <c r="CU3989" s="45">
        <v>3985</v>
      </c>
      <c r="CV3989" s="18">
        <v>0</v>
      </c>
      <c r="CW3989" s="18" t="str">
        <v>Nothing</v>
      </c>
      <c r="CY3989" s="45">
        <v>3985</v>
      </c>
      <c r="CZ3989" s="18">
        <v>6.515965009109852</v>
      </c>
      <c r="DA3989" s="18" t="str">
        <v>Invest</v>
      </c>
    </row>
    <row r="3990" spans="99:105" ht="23.5">
      <c r="CU3990" s="45">
        <v>3986</v>
      </c>
      <c r="CV3990" s="18">
        <v>0</v>
      </c>
      <c r="CW3990" s="18" t="str">
        <v>Nothing</v>
      </c>
      <c r="CY3990" s="45">
        <v>3986</v>
      </c>
      <c r="CZ3990" s="18">
        <v>0</v>
      </c>
      <c r="DA3990" s="18" t="str">
        <v>Nothing</v>
      </c>
    </row>
    <row r="3991" spans="99:105" ht="23.5">
      <c r="CU3991" s="45">
        <v>3987</v>
      </c>
      <c r="CV3991" s="18">
        <v>0</v>
      </c>
      <c r="CW3991" s="18" t="str">
        <v>Nothing</v>
      </c>
      <c r="CY3991" s="45">
        <v>3987</v>
      </c>
      <c r="CZ3991" s="18">
        <v>3.3937213836041042</v>
      </c>
      <c r="DA3991" s="18" t="str">
        <v>Invest</v>
      </c>
    </row>
    <row r="3992" spans="99:105" ht="23.5">
      <c r="CU3992" s="45">
        <v>3988</v>
      </c>
      <c r="CV3992" s="18">
        <v>26.738812872506607</v>
      </c>
      <c r="CW3992" s="18" t="str">
        <v>Invest</v>
      </c>
      <c r="CY3992" s="45">
        <v>3988</v>
      </c>
      <c r="CZ3992" s="18">
        <v>23.047954265685867</v>
      </c>
      <c r="DA3992" s="18" t="str">
        <v>Invest</v>
      </c>
    </row>
    <row r="3993" spans="99:105" ht="23.5">
      <c r="CU3993" s="45">
        <v>3989</v>
      </c>
      <c r="CV3993" s="18">
        <v>9.7383870122236775</v>
      </c>
      <c r="CW3993" s="18" t="str">
        <v>Invest</v>
      </c>
      <c r="CY3993" s="45">
        <v>3989</v>
      </c>
      <c r="CZ3993" s="18">
        <v>39.28663514008759</v>
      </c>
      <c r="DA3993" s="18" t="str">
        <v>Invest</v>
      </c>
    </row>
    <row r="3994" spans="99:105" ht="23.5">
      <c r="CU3994" s="45">
        <v>3990</v>
      </c>
      <c r="CV3994" s="18">
        <v>30.318589065347847</v>
      </c>
      <c r="CW3994" s="18" t="str">
        <v>Invest</v>
      </c>
      <c r="CY3994" s="45">
        <v>3990</v>
      </c>
      <c r="CZ3994" s="18">
        <v>12.104966651712946</v>
      </c>
      <c r="DA3994" s="18" t="str">
        <v>Invest</v>
      </c>
    </row>
    <row r="3995" spans="99:105" ht="23.5">
      <c r="CU3995" s="45">
        <v>3991</v>
      </c>
      <c r="CV3995" s="18">
        <v>27.297580469840856</v>
      </c>
      <c r="CW3995" s="18" t="str">
        <v>Invest</v>
      </c>
      <c r="CY3995" s="45">
        <v>3991</v>
      </c>
      <c r="CZ3995" s="18">
        <v>26.117599253347429</v>
      </c>
      <c r="DA3995" s="18" t="str">
        <v>Invest</v>
      </c>
    </row>
    <row r="3996" spans="99:105" ht="23.5">
      <c r="CU3996" s="45">
        <v>3992</v>
      </c>
      <c r="CV3996" s="18">
        <v>17.878789715600984</v>
      </c>
      <c r="CW3996" s="18" t="str">
        <v>Invest</v>
      </c>
      <c r="CY3996" s="45">
        <v>3992</v>
      </c>
      <c r="CZ3996" s="18">
        <v>20.727150560445793</v>
      </c>
      <c r="DA3996" s="18" t="str">
        <v>Invest</v>
      </c>
    </row>
    <row r="3997" spans="99:105" ht="23.5">
      <c r="CU3997" s="45">
        <v>3993</v>
      </c>
      <c r="CV3997" s="18">
        <v>19.96073372520026</v>
      </c>
      <c r="CW3997" s="18" t="str">
        <v>Invest</v>
      </c>
      <c r="CY3997" s="45">
        <v>3993</v>
      </c>
      <c r="CZ3997" s="18">
        <v>12.49065034357103</v>
      </c>
      <c r="DA3997" s="18" t="str">
        <v>Invest</v>
      </c>
    </row>
    <row r="3998" spans="99:105" ht="23.5">
      <c r="CU3998" s="45">
        <v>3994</v>
      </c>
      <c r="CV3998" s="18">
        <v>0</v>
      </c>
      <c r="CW3998" s="18" t="str">
        <v>Nothing</v>
      </c>
      <c r="CY3998" s="45">
        <v>3994</v>
      </c>
      <c r="CZ3998" s="18">
        <v>16.828860291205814</v>
      </c>
      <c r="DA3998" s="18" t="str">
        <v>Invest</v>
      </c>
    </row>
    <row r="3999" spans="99:105" ht="23.5">
      <c r="CU3999" s="45">
        <v>3995</v>
      </c>
      <c r="CV3999" s="18">
        <v>9.7195560095774614</v>
      </c>
      <c r="CW3999" s="18" t="str">
        <v>Invest</v>
      </c>
      <c r="CY3999" s="45">
        <v>3995</v>
      </c>
      <c r="CZ3999" s="18">
        <v>0</v>
      </c>
      <c r="DA3999" s="18" t="str">
        <v>Nothing</v>
      </c>
    </row>
    <row r="4000" spans="99:105" ht="23.5">
      <c r="CU4000" s="45">
        <v>3996</v>
      </c>
      <c r="CV4000" s="18">
        <v>3.2717542945648841</v>
      </c>
      <c r="CW4000" s="18" t="str">
        <v>Invest</v>
      </c>
      <c r="CY4000" s="45">
        <v>3996</v>
      </c>
      <c r="CZ4000" s="18">
        <v>0</v>
      </c>
      <c r="DA4000" s="18" t="str">
        <v>Nothing</v>
      </c>
    </row>
    <row r="4001" spans="99:105" ht="23.5">
      <c r="CU4001" s="45">
        <v>3997</v>
      </c>
      <c r="CV4001" s="18">
        <v>42.721959695276851</v>
      </c>
      <c r="CW4001" s="18" t="str">
        <v>Invest</v>
      </c>
      <c r="CY4001" s="45">
        <v>3997</v>
      </c>
      <c r="CZ4001" s="18">
        <v>27.61611086144967</v>
      </c>
      <c r="DA4001" s="18" t="str">
        <v>Invest</v>
      </c>
    </row>
    <row r="4002" spans="99:105" ht="23.5">
      <c r="CU4002" s="45">
        <v>3998</v>
      </c>
      <c r="CV4002" s="18">
        <v>7.5007705167760763</v>
      </c>
      <c r="CW4002" s="18" t="str">
        <v>Invest</v>
      </c>
      <c r="CY4002" s="45">
        <v>3998</v>
      </c>
      <c r="CZ4002" s="18">
        <v>0</v>
      </c>
      <c r="DA4002" s="18" t="str">
        <v>Nothing</v>
      </c>
    </row>
    <row r="4003" spans="99:105" ht="23.5">
      <c r="CU4003" s="45">
        <v>3999</v>
      </c>
      <c r="CV4003" s="18">
        <v>17.303789921013312</v>
      </c>
      <c r="CW4003" s="18" t="str">
        <v>Invest</v>
      </c>
      <c r="CY4003" s="45">
        <v>3999</v>
      </c>
      <c r="CZ4003" s="18">
        <v>0</v>
      </c>
      <c r="DA4003" s="18" t="str">
        <v>Nothing</v>
      </c>
    </row>
    <row r="4004" spans="99:105" ht="23.5">
      <c r="CU4004" s="45">
        <v>4000</v>
      </c>
      <c r="CV4004" s="18">
        <v>0</v>
      </c>
      <c r="CW4004" s="18" t="str">
        <v>Nothing</v>
      </c>
      <c r="CY4004" s="45">
        <v>4000</v>
      </c>
      <c r="CZ4004" s="18">
        <v>16.306908624299091</v>
      </c>
      <c r="DA4004" s="18" t="str">
        <v>Invest</v>
      </c>
    </row>
    <row r="4005" spans="99:105" ht="23.5">
      <c r="CY4005" s="45">
        <v>4001</v>
      </c>
      <c r="CZ4005" s="18">
        <v>12.578259784073655</v>
      </c>
      <c r="DA4005" s="18" t="str">
        <v>Invest</v>
      </c>
    </row>
    <row r="4006" spans="99:105" ht="23.5">
      <c r="CY4006" s="45">
        <v>4002</v>
      </c>
      <c r="CZ4006" s="18">
        <v>0</v>
      </c>
      <c r="DA4006" s="18" t="str">
        <v>Nothing</v>
      </c>
    </row>
    <row r="4007" spans="99:105" ht="23.5">
      <c r="CY4007" s="45">
        <v>4003</v>
      </c>
      <c r="CZ4007" s="18">
        <v>11.851697208768336</v>
      </c>
      <c r="DA4007" s="18" t="str">
        <v>Invest</v>
      </c>
    </row>
    <row r="4008" spans="99:105" ht="23.5">
      <c r="CY4008" s="45">
        <v>4004</v>
      </c>
      <c r="CZ4008" s="18">
        <v>13.80941251585452</v>
      </c>
      <c r="DA4008" s="18" t="str">
        <v>Invest</v>
      </c>
    </row>
    <row r="4009" spans="99:105" ht="23.5">
      <c r="CY4009" s="45">
        <v>4005</v>
      </c>
      <c r="CZ4009" s="18">
        <v>0</v>
      </c>
      <c r="DA4009" s="18" t="str">
        <v>Nothing</v>
      </c>
    </row>
    <row r="4010" spans="99:105" ht="23.5">
      <c r="CY4010" s="45">
        <v>4006</v>
      </c>
      <c r="CZ4010" s="18">
        <v>0</v>
      </c>
      <c r="DA4010" s="18" t="str">
        <v>Nothing</v>
      </c>
    </row>
    <row r="4011" spans="99:105" ht="23.5">
      <c r="CY4011" s="45">
        <v>4007</v>
      </c>
      <c r="CZ4011" s="18">
        <v>0</v>
      </c>
      <c r="DA4011" s="18" t="str">
        <v>Nothing</v>
      </c>
    </row>
    <row r="4012" spans="99:105" ht="23.5">
      <c r="CY4012" s="45">
        <v>4008</v>
      </c>
      <c r="CZ4012" s="18">
        <v>42.920692546193571</v>
      </c>
      <c r="DA4012" s="18" t="str">
        <v>Invest</v>
      </c>
    </row>
    <row r="4013" spans="99:105" ht="23.5">
      <c r="CY4013" s="45">
        <v>4009</v>
      </c>
      <c r="CZ4013" s="18">
        <v>28.570228474878419</v>
      </c>
      <c r="DA4013" s="18" t="str">
        <v>Invest</v>
      </c>
    </row>
    <row r="4014" spans="99:105" ht="23.5">
      <c r="CY4014" s="45">
        <v>4010</v>
      </c>
      <c r="CZ4014" s="18">
        <v>17.082335500567616</v>
      </c>
      <c r="DA4014" s="18" t="str">
        <v>Invest</v>
      </c>
    </row>
    <row r="4015" spans="99:105" ht="23.5">
      <c r="CY4015" s="45">
        <v>4011</v>
      </c>
      <c r="CZ4015" s="18">
        <v>0</v>
      </c>
      <c r="DA4015" s="18" t="str">
        <v>Nothing</v>
      </c>
    </row>
    <row r="4016" spans="99:105" ht="23.5">
      <c r="CY4016" s="45">
        <v>4012</v>
      </c>
      <c r="CZ4016" s="18">
        <v>0</v>
      </c>
      <c r="DA4016" s="18" t="str">
        <v>Nothing</v>
      </c>
    </row>
    <row r="4017" spans="103:105" ht="23.5">
      <c r="CY4017" s="45">
        <v>4013</v>
      </c>
      <c r="CZ4017" s="18">
        <v>0</v>
      </c>
      <c r="DA4017" s="18" t="str">
        <v>Nothing</v>
      </c>
    </row>
    <row r="4018" spans="103:105" ht="23.5">
      <c r="CY4018" s="45">
        <v>4014</v>
      </c>
      <c r="CZ4018" s="18">
        <v>4.8638596130150269</v>
      </c>
      <c r="DA4018" s="18" t="str">
        <v>Invest</v>
      </c>
    </row>
    <row r="4019" spans="103:105" ht="23.5">
      <c r="CY4019" s="45">
        <v>4015</v>
      </c>
      <c r="CZ4019" s="18">
        <v>43.731662343613387</v>
      </c>
      <c r="DA4019" s="18" t="str">
        <v>Invest</v>
      </c>
    </row>
    <row r="4020" spans="103:105" ht="23.5">
      <c r="CY4020" s="45">
        <v>4016</v>
      </c>
      <c r="CZ4020" s="18">
        <v>0</v>
      </c>
      <c r="DA4020" s="18" t="str">
        <v>Nothing</v>
      </c>
    </row>
    <row r="4021" spans="103:105" ht="23.5">
      <c r="CY4021" s="45">
        <v>4017</v>
      </c>
      <c r="CZ4021" s="18">
        <v>14.519397426563163</v>
      </c>
      <c r="DA4021" s="18" t="str">
        <v>Invest</v>
      </c>
    </row>
    <row r="4022" spans="103:105" ht="23.5">
      <c r="CY4022" s="45">
        <v>4018</v>
      </c>
      <c r="CZ4022" s="18">
        <v>7.5230350689197607</v>
      </c>
      <c r="DA4022" s="18" t="str">
        <v>Invest</v>
      </c>
    </row>
    <row r="4023" spans="103:105" ht="23.5">
      <c r="CY4023" s="45">
        <v>4019</v>
      </c>
      <c r="CZ4023" s="18">
        <v>6.2597507293721399</v>
      </c>
      <c r="DA4023" s="18" t="str">
        <v>Invest</v>
      </c>
    </row>
    <row r="4024" spans="103:105" ht="23.5">
      <c r="CY4024" s="45">
        <v>4020</v>
      </c>
      <c r="CZ4024" s="18">
        <v>17.122830941957524</v>
      </c>
      <c r="DA4024" s="18" t="str">
        <v>Invest</v>
      </c>
    </row>
    <row r="4025" spans="103:105" ht="23.5">
      <c r="CY4025" s="45">
        <v>4021</v>
      </c>
      <c r="CZ4025" s="18">
        <v>0</v>
      </c>
      <c r="DA4025" s="18" t="str">
        <v>Nothing</v>
      </c>
    </row>
    <row r="4026" spans="103:105" ht="23.5">
      <c r="CY4026" s="45">
        <v>4022</v>
      </c>
      <c r="CZ4026" s="18">
        <v>0.18012261133138985</v>
      </c>
      <c r="DA4026" s="18" t="str">
        <v>Invest</v>
      </c>
    </row>
    <row r="4027" spans="103:105" ht="23.5">
      <c r="CY4027" s="45">
        <v>4023</v>
      </c>
      <c r="CZ4027" s="18">
        <v>0</v>
      </c>
      <c r="DA4027" s="18" t="str">
        <v>Nothing</v>
      </c>
    </row>
    <row r="4028" spans="103:105" ht="23.5">
      <c r="CY4028" s="45">
        <v>4024</v>
      </c>
      <c r="CZ4028" s="18">
        <v>14.698091191733159</v>
      </c>
      <c r="DA4028" s="18" t="str">
        <v>Invest</v>
      </c>
    </row>
    <row r="4029" spans="103:105" ht="23.5">
      <c r="CY4029" s="45">
        <v>4025</v>
      </c>
      <c r="CZ4029" s="18">
        <v>43.754214826113696</v>
      </c>
      <c r="DA4029" s="18" t="str">
        <v>Invest</v>
      </c>
    </row>
    <row r="4030" spans="103:105" ht="23.5">
      <c r="CY4030" s="45">
        <v>4026</v>
      </c>
      <c r="CZ4030" s="18">
        <v>0</v>
      </c>
      <c r="DA4030" s="18" t="str">
        <v>Nothing</v>
      </c>
    </row>
    <row r="4031" spans="103:105" ht="23.5">
      <c r="CY4031" s="45">
        <v>4027</v>
      </c>
      <c r="CZ4031" s="18">
        <v>0</v>
      </c>
      <c r="DA4031" s="18" t="str">
        <v>Nothing</v>
      </c>
    </row>
    <row r="4032" spans="103:105" ht="23.5">
      <c r="CY4032" s="45">
        <v>4028</v>
      </c>
      <c r="CZ4032" s="18">
        <v>16.487305260758124</v>
      </c>
      <c r="DA4032" s="18" t="str">
        <v>Invest</v>
      </c>
    </row>
    <row r="4033" spans="103:105" ht="23.5">
      <c r="CY4033" s="45">
        <v>4029</v>
      </c>
      <c r="CZ4033" s="18">
        <v>21.91017248601921</v>
      </c>
      <c r="DA4033" s="18" t="str">
        <v>Invest</v>
      </c>
    </row>
    <row r="4034" spans="103:105" ht="23.5">
      <c r="CY4034" s="45">
        <v>4030</v>
      </c>
      <c r="CZ4034" s="18">
        <v>9.3276991766896433</v>
      </c>
      <c r="DA4034" s="18" t="str">
        <v>Invest</v>
      </c>
    </row>
    <row r="4035" spans="103:105" ht="23.5">
      <c r="CY4035" s="45">
        <v>4031</v>
      </c>
      <c r="CZ4035" s="18">
        <v>0</v>
      </c>
      <c r="DA4035" s="18" t="str">
        <v>Nothing</v>
      </c>
    </row>
    <row r="4036" spans="103:105" ht="23.5">
      <c r="CY4036" s="45">
        <v>4032</v>
      </c>
      <c r="CZ4036" s="18">
        <v>0</v>
      </c>
      <c r="DA4036" s="18" t="str">
        <v>Nothing</v>
      </c>
    </row>
    <row r="4037" spans="103:105" ht="23.5">
      <c r="CY4037" s="45">
        <v>4033</v>
      </c>
      <c r="CZ4037" s="18">
        <v>22.900619936795618</v>
      </c>
      <c r="DA4037" s="18" t="str">
        <v>Invest</v>
      </c>
    </row>
    <row r="4038" spans="103:105" ht="23.5">
      <c r="CY4038" s="45">
        <v>4034</v>
      </c>
      <c r="CZ4038" s="18">
        <v>13.880822531506428</v>
      </c>
      <c r="DA4038" s="18" t="str">
        <v>Invest</v>
      </c>
    </row>
    <row r="4039" spans="103:105" ht="23.5">
      <c r="CY4039" s="45">
        <v>4035</v>
      </c>
      <c r="CZ4039" s="18">
        <v>0</v>
      </c>
      <c r="DA4039" s="18" t="str">
        <v>Nothing</v>
      </c>
    </row>
    <row r="4040" spans="103:105" ht="23.5">
      <c r="CY4040" s="45">
        <v>4036</v>
      </c>
      <c r="CZ4040" s="18">
        <v>3.171633276058734</v>
      </c>
      <c r="DA4040" s="18" t="str">
        <v>Invest</v>
      </c>
    </row>
    <row r="4041" spans="103:105" ht="23.5">
      <c r="CY4041" s="45">
        <v>4037</v>
      </c>
      <c r="CZ4041" s="18">
        <v>31.501493000456822</v>
      </c>
      <c r="DA4041" s="18" t="str">
        <v>Invest</v>
      </c>
    </row>
    <row r="4042" spans="103:105" ht="23.5">
      <c r="CY4042" s="45">
        <v>4038</v>
      </c>
      <c r="CZ4042" s="18">
        <v>35.735294102875685</v>
      </c>
      <c r="DA4042" s="18" t="str">
        <v>Invest</v>
      </c>
    </row>
    <row r="4043" spans="103:105" ht="23.5">
      <c r="CY4043" s="45">
        <v>4039</v>
      </c>
      <c r="CZ4043" s="18">
        <v>45.13770027885198</v>
      </c>
      <c r="DA4043" s="18" t="str">
        <v>Invest</v>
      </c>
    </row>
    <row r="4044" spans="103:105" ht="23.5">
      <c r="CY4044" s="45">
        <v>4040</v>
      </c>
      <c r="CZ4044" s="18">
        <v>19.468424116366688</v>
      </c>
      <c r="DA4044" s="18" t="str">
        <v>Invest</v>
      </c>
    </row>
    <row r="4045" spans="103:105" ht="23.5">
      <c r="CY4045" s="45">
        <v>4041</v>
      </c>
      <c r="CZ4045" s="18">
        <v>1.9317807381607253</v>
      </c>
      <c r="DA4045" s="18" t="str">
        <v>Invest</v>
      </c>
    </row>
    <row r="4046" spans="103:105" ht="23.5">
      <c r="CY4046" s="45">
        <v>4042</v>
      </c>
      <c r="CZ4046" s="18">
        <v>12.482969348154391</v>
      </c>
      <c r="DA4046" s="18" t="str">
        <v>Invest</v>
      </c>
    </row>
    <row r="4047" spans="103:105" ht="23.5">
      <c r="CY4047" s="45">
        <v>4043</v>
      </c>
      <c r="CZ4047" s="18">
        <v>0</v>
      </c>
      <c r="DA4047" s="18" t="str">
        <v>Nothing</v>
      </c>
    </row>
    <row r="4048" spans="103:105" ht="23.5">
      <c r="CY4048" s="45">
        <v>4044</v>
      </c>
      <c r="CZ4048" s="18">
        <v>5.7396455831817796</v>
      </c>
      <c r="DA4048" s="18" t="str">
        <v>Invest</v>
      </c>
    </row>
    <row r="4049" spans="103:105" ht="23.5">
      <c r="CY4049" s="45">
        <v>4045</v>
      </c>
      <c r="CZ4049" s="18">
        <v>36.654766238510028</v>
      </c>
      <c r="DA4049" s="18" t="str">
        <v>Invest</v>
      </c>
    </row>
    <row r="4050" spans="103:105" ht="23.5">
      <c r="CY4050" s="45">
        <v>4046</v>
      </c>
      <c r="CZ4050" s="18">
        <v>5.6246226568787279</v>
      </c>
      <c r="DA4050" s="18" t="str">
        <v>Invest</v>
      </c>
    </row>
    <row r="4051" spans="103:105" ht="23.5">
      <c r="CY4051" s="45">
        <v>4047</v>
      </c>
      <c r="CZ4051" s="18">
        <v>32.373186879695226</v>
      </c>
      <c r="DA4051" s="18" t="str">
        <v>Invest</v>
      </c>
    </row>
    <row r="4052" spans="103:105" ht="23.5">
      <c r="CY4052" s="45">
        <v>4048</v>
      </c>
      <c r="CZ4052" s="18">
        <v>11.036785346710641</v>
      </c>
      <c r="DA4052" s="18" t="str">
        <v>Invest</v>
      </c>
    </row>
    <row r="4053" spans="103:105" ht="23.5">
      <c r="CY4053" s="45">
        <v>4049</v>
      </c>
      <c r="CZ4053" s="18">
        <v>54.524753232712165</v>
      </c>
      <c r="DA4053" s="18" t="str">
        <v>Invest</v>
      </c>
    </row>
    <row r="4054" spans="103:105" ht="23.5">
      <c r="CY4054" s="45">
        <v>4050</v>
      </c>
      <c r="CZ4054" s="18">
        <v>31.550352834350555</v>
      </c>
      <c r="DA4054" s="18" t="str">
        <v>Invest</v>
      </c>
    </row>
    <row r="4055" spans="103:105" ht="23.5">
      <c r="CY4055" s="45">
        <v>4051</v>
      </c>
      <c r="CZ4055" s="18">
        <v>12.281961432328618</v>
      </c>
      <c r="DA4055" s="18" t="str">
        <v>Invest</v>
      </c>
    </row>
    <row r="4056" spans="103:105" ht="23.5">
      <c r="CY4056" s="45">
        <v>4052</v>
      </c>
      <c r="CZ4056" s="18">
        <v>10.015410405140271</v>
      </c>
      <c r="DA4056" s="18" t="str">
        <v>Invest</v>
      </c>
    </row>
    <row r="4057" spans="103:105" ht="23.5">
      <c r="CY4057" s="45">
        <v>4053</v>
      </c>
      <c r="CZ4057" s="18">
        <v>63.681488961380495</v>
      </c>
      <c r="DA4057" s="18" t="str">
        <v>Invest</v>
      </c>
    </row>
    <row r="4058" spans="103:105" ht="23.5">
      <c r="CY4058" s="45">
        <v>4054</v>
      </c>
      <c r="CZ4058" s="18">
        <v>0.78666107845952737</v>
      </c>
      <c r="DA4058" s="18" t="str">
        <v>Invest</v>
      </c>
    </row>
    <row r="4059" spans="103:105" ht="23.5">
      <c r="CY4059" s="45">
        <v>4055</v>
      </c>
      <c r="CZ4059" s="18">
        <v>0</v>
      </c>
      <c r="DA4059" s="18" t="str">
        <v>Nothing</v>
      </c>
    </row>
    <row r="4060" spans="103:105" ht="23.5">
      <c r="CY4060" s="45">
        <v>4056</v>
      </c>
      <c r="CZ4060" s="18">
        <v>33.755820241514265</v>
      </c>
      <c r="DA4060" s="18" t="str">
        <v>Invest</v>
      </c>
    </row>
    <row r="4061" spans="103:105" ht="23.5">
      <c r="CY4061" s="45">
        <v>4057</v>
      </c>
      <c r="CZ4061" s="18">
        <v>40.129179858381804</v>
      </c>
      <c r="DA4061" s="18" t="str">
        <v>Invest</v>
      </c>
    </row>
    <row r="4062" spans="103:105" ht="23.5">
      <c r="CY4062" s="45">
        <v>4058</v>
      </c>
      <c r="CZ4062" s="18">
        <v>0</v>
      </c>
      <c r="DA4062" s="18" t="str">
        <v>Nothing</v>
      </c>
    </row>
    <row r="4063" spans="103:105" ht="23.5">
      <c r="CY4063" s="45">
        <v>4059</v>
      </c>
      <c r="CZ4063" s="18">
        <v>33.02391365284965</v>
      </c>
      <c r="DA4063" s="18" t="str">
        <v>Invest</v>
      </c>
    </row>
    <row r="4064" spans="103:105" ht="23.5">
      <c r="CY4064" s="45">
        <v>4060</v>
      </c>
      <c r="CZ4064" s="18">
        <v>7.255103622579945</v>
      </c>
      <c r="DA4064" s="18" t="str">
        <v>Invest</v>
      </c>
    </row>
    <row r="4065" spans="103:105" ht="23.5">
      <c r="CY4065" s="45">
        <v>4061</v>
      </c>
      <c r="CZ4065" s="18">
        <v>43.639512270392316</v>
      </c>
      <c r="DA4065" s="18" t="str">
        <v>Invest</v>
      </c>
    </row>
    <row r="4066" spans="103:105" ht="23.5">
      <c r="CY4066" s="45">
        <v>4062</v>
      </c>
      <c r="CZ4066" s="18">
        <v>1.1628857964902188</v>
      </c>
      <c r="DA4066" s="18" t="str">
        <v>Invest</v>
      </c>
    </row>
    <row r="4067" spans="103:105" ht="23.5">
      <c r="CY4067" s="45">
        <v>4063</v>
      </c>
      <c r="CZ4067" s="18">
        <v>45.71562308638179</v>
      </c>
      <c r="DA4067" s="18" t="str">
        <v>Invest</v>
      </c>
    </row>
    <row r="4068" spans="103:105" ht="23.5">
      <c r="CY4068" s="45">
        <v>4064</v>
      </c>
      <c r="CZ4068" s="18">
        <v>34.338668984823705</v>
      </c>
      <c r="DA4068" s="18" t="str">
        <v>Invest</v>
      </c>
    </row>
    <row r="4069" spans="103:105" ht="23.5">
      <c r="CY4069" s="45">
        <v>4065</v>
      </c>
      <c r="CZ4069" s="18">
        <v>20.332636507623434</v>
      </c>
      <c r="DA4069" s="18" t="str">
        <v>Invest</v>
      </c>
    </row>
    <row r="4070" spans="103:105" ht="23.5">
      <c r="CY4070" s="45">
        <v>4066</v>
      </c>
      <c r="CZ4070" s="18">
        <v>0</v>
      </c>
      <c r="DA4070" s="18" t="str">
        <v>Nothing</v>
      </c>
    </row>
    <row r="4071" spans="103:105" ht="23.5">
      <c r="CY4071" s="45">
        <v>4067</v>
      </c>
      <c r="CZ4071" s="18">
        <v>8.5860949322782147</v>
      </c>
      <c r="DA4071" s="18" t="str">
        <v>Invest</v>
      </c>
    </row>
    <row r="4072" spans="103:105" ht="23.5">
      <c r="CY4072" s="45">
        <v>4068</v>
      </c>
      <c r="CZ4072" s="18">
        <v>0</v>
      </c>
      <c r="DA4072" s="18" t="str">
        <v>Nothing</v>
      </c>
    </row>
    <row r="4073" spans="103:105" ht="23.5">
      <c r="CY4073" s="45">
        <v>4069</v>
      </c>
      <c r="CZ4073" s="18">
        <v>0</v>
      </c>
      <c r="DA4073" s="18" t="str">
        <v>Nothing</v>
      </c>
    </row>
    <row r="4074" spans="103:105" ht="23.5">
      <c r="CY4074" s="45">
        <v>4070</v>
      </c>
      <c r="CZ4074" s="18">
        <v>51.68395660737724</v>
      </c>
      <c r="DA4074" s="18" t="str">
        <v>Invest</v>
      </c>
    </row>
    <row r="4075" spans="103:105" ht="23.5">
      <c r="CY4075" s="45">
        <v>4071</v>
      </c>
      <c r="CZ4075" s="18">
        <v>44.969165171560633</v>
      </c>
      <c r="DA4075" s="18" t="str">
        <v>Invest</v>
      </c>
    </row>
    <row r="4076" spans="103:105" ht="23.5">
      <c r="CY4076" s="45">
        <v>4072</v>
      </c>
      <c r="CZ4076" s="18">
        <v>44.507880449739673</v>
      </c>
      <c r="DA4076" s="18" t="str">
        <v>Invest</v>
      </c>
    </row>
    <row r="4077" spans="103:105" ht="23.5">
      <c r="CY4077" s="45">
        <v>4073</v>
      </c>
      <c r="CZ4077" s="18">
        <v>45.995566232323647</v>
      </c>
      <c r="DA4077" s="18" t="str">
        <v>Invest</v>
      </c>
    </row>
    <row r="4078" spans="103:105" ht="23.5">
      <c r="CY4078" s="45">
        <v>4074</v>
      </c>
      <c r="CZ4078" s="18">
        <v>0</v>
      </c>
      <c r="DA4078" s="18" t="str">
        <v>Nothing</v>
      </c>
    </row>
    <row r="4079" spans="103:105" ht="23.5">
      <c r="CY4079" s="45">
        <v>4075</v>
      </c>
      <c r="CZ4079" s="18">
        <v>33.099378507890066</v>
      </c>
      <c r="DA4079" s="18" t="str">
        <v>Invest</v>
      </c>
    </row>
    <row r="4080" spans="103:105" ht="23.5">
      <c r="CY4080" s="45">
        <v>4076</v>
      </c>
      <c r="CZ4080" s="18">
        <v>0</v>
      </c>
      <c r="DA4080" s="18" t="str">
        <v>Nothing</v>
      </c>
    </row>
    <row r="4081" spans="103:105" ht="23.5">
      <c r="CY4081" s="45">
        <v>4077</v>
      </c>
      <c r="CZ4081" s="18">
        <v>0</v>
      </c>
      <c r="DA4081" s="18" t="str">
        <v>Nothing</v>
      </c>
    </row>
    <row r="4082" spans="103:105" ht="23.5">
      <c r="CY4082" s="45">
        <v>4078</v>
      </c>
      <c r="CZ4082" s="18">
        <v>36.637779869460331</v>
      </c>
      <c r="DA4082" s="18" t="str">
        <v>Invest</v>
      </c>
    </row>
    <row r="4083" spans="103:105" ht="23.5">
      <c r="CY4083" s="45">
        <v>4079</v>
      </c>
      <c r="CZ4083" s="18">
        <v>0</v>
      </c>
      <c r="DA4083" s="18" t="str">
        <v>Nothing</v>
      </c>
    </row>
    <row r="4084" spans="103:105" ht="23.5">
      <c r="CY4084" s="45">
        <v>4080</v>
      </c>
      <c r="CZ4084" s="18">
        <v>22.706097728748873</v>
      </c>
      <c r="DA4084" s="18" t="str">
        <v>Invest</v>
      </c>
    </row>
    <row r="4085" spans="103:105" ht="23.5">
      <c r="CY4085" s="45">
        <v>4081</v>
      </c>
      <c r="CZ4085" s="18">
        <v>13.499960418336336</v>
      </c>
      <c r="DA4085" s="18" t="str">
        <v>Invest</v>
      </c>
    </row>
    <row r="4086" spans="103:105" ht="23.5">
      <c r="CY4086" s="45">
        <v>4082</v>
      </c>
      <c r="CZ4086" s="18">
        <v>0</v>
      </c>
      <c r="DA4086" s="18" t="str">
        <v>Nothing</v>
      </c>
    </row>
    <row r="4087" spans="103:105" ht="23.5">
      <c r="CY4087" s="45">
        <v>4083</v>
      </c>
      <c r="CZ4087" s="18">
        <v>38.089311947520812</v>
      </c>
      <c r="DA4087" s="18" t="str">
        <v>Invest</v>
      </c>
    </row>
    <row r="4088" spans="103:105" ht="23.5">
      <c r="CY4088" s="45">
        <v>4084</v>
      </c>
      <c r="CZ4088" s="18">
        <v>50.87349673698823</v>
      </c>
      <c r="DA4088" s="18" t="str">
        <v>Invest</v>
      </c>
    </row>
    <row r="4089" spans="103:105" ht="23.5">
      <c r="CY4089" s="45">
        <v>4085</v>
      </c>
      <c r="CZ4089" s="18">
        <v>0</v>
      </c>
      <c r="DA4089" s="18" t="str">
        <v>Nothing</v>
      </c>
    </row>
    <row r="4090" spans="103:105" ht="23.5">
      <c r="CY4090" s="45">
        <v>4086</v>
      </c>
      <c r="CZ4090" s="18">
        <v>7.8044352985160472</v>
      </c>
      <c r="DA4090" s="18" t="str">
        <v>Invest</v>
      </c>
    </row>
    <row r="4091" spans="103:105" ht="23.5">
      <c r="CY4091" s="45">
        <v>4087</v>
      </c>
      <c r="CZ4091" s="18">
        <v>39.85791829439178</v>
      </c>
      <c r="DA4091" s="18" t="str">
        <v>Invest</v>
      </c>
    </row>
    <row r="4092" spans="103:105" ht="23.5">
      <c r="CY4092" s="45">
        <v>4088</v>
      </c>
      <c r="CZ4092" s="18">
        <v>9.6225423666226906</v>
      </c>
      <c r="DA4092" s="18" t="str">
        <v>Invest</v>
      </c>
    </row>
    <row r="4093" spans="103:105" ht="23.5">
      <c r="CY4093" s="45">
        <v>4089</v>
      </c>
      <c r="CZ4093" s="18">
        <v>15.163320328999408</v>
      </c>
      <c r="DA4093" s="18" t="str">
        <v>Invest</v>
      </c>
    </row>
    <row r="4094" spans="103:105" ht="23.5">
      <c r="CY4094" s="45">
        <v>4090</v>
      </c>
      <c r="CZ4094" s="18">
        <v>57.652057294228079</v>
      </c>
      <c r="DA4094" s="18" t="str">
        <v>Invest</v>
      </c>
    </row>
    <row r="4095" spans="103:105" ht="23.5">
      <c r="CY4095" s="45">
        <v>4091</v>
      </c>
      <c r="CZ4095" s="18">
        <v>0</v>
      </c>
      <c r="DA4095" s="18" t="str">
        <v>Nothing</v>
      </c>
    </row>
    <row r="4096" spans="103:105" ht="23.5">
      <c r="CY4096" s="45">
        <v>4092</v>
      </c>
      <c r="CZ4096" s="18">
        <v>31.55509780084391</v>
      </c>
      <c r="DA4096" s="18" t="str">
        <v>Invest</v>
      </c>
    </row>
    <row r="4097" spans="103:105" ht="23.5">
      <c r="CY4097" s="45">
        <v>4093</v>
      </c>
      <c r="CZ4097" s="18">
        <v>0</v>
      </c>
      <c r="DA4097" s="18" t="str">
        <v>Nothing</v>
      </c>
    </row>
    <row r="4098" spans="103:105" ht="23.5">
      <c r="CY4098" s="45">
        <v>4094</v>
      </c>
      <c r="CZ4098" s="18">
        <v>38.275367648544396</v>
      </c>
      <c r="DA4098" s="18" t="str">
        <v>Invest</v>
      </c>
    </row>
    <row r="4099" spans="103:105" ht="23.5">
      <c r="CY4099" s="45">
        <v>4095</v>
      </c>
      <c r="CZ4099" s="18">
        <v>13.887453995694392</v>
      </c>
      <c r="DA4099" s="18" t="str">
        <v>Invest</v>
      </c>
    </row>
    <row r="4100" spans="103:105" ht="23.5">
      <c r="CY4100" s="45">
        <v>4096</v>
      </c>
      <c r="CZ4100" s="18">
        <v>0</v>
      </c>
      <c r="DA4100" s="18" t="str">
        <v>Nothing</v>
      </c>
    </row>
    <row r="4101" spans="103:105" ht="23.5">
      <c r="CY4101" s="45">
        <v>4097</v>
      </c>
      <c r="CZ4101" s="18">
        <v>14.011839882793403</v>
      </c>
      <c r="DA4101" s="18" t="str">
        <v>Invest</v>
      </c>
    </row>
    <row r="4102" spans="103:105" ht="23.5">
      <c r="CY4102" s="45">
        <v>4098</v>
      </c>
      <c r="CZ4102" s="18">
        <v>10.430724320527982</v>
      </c>
      <c r="DA4102" s="18" t="str">
        <v>Invest</v>
      </c>
    </row>
    <row r="4103" spans="103:105" ht="23.5">
      <c r="CY4103" s="45">
        <v>4099</v>
      </c>
      <c r="CZ4103" s="18">
        <v>22.90010763741919</v>
      </c>
      <c r="DA4103" s="18" t="str">
        <v>Invest</v>
      </c>
    </row>
    <row r="4104" spans="103:105" ht="23.5">
      <c r="CY4104" s="45">
        <v>4100</v>
      </c>
      <c r="CZ4104" s="18">
        <v>11.150211998732544</v>
      </c>
      <c r="DA4104" s="18" t="str">
        <v>Invest</v>
      </c>
    </row>
    <row r="4105" spans="103:105" ht="23.5">
      <c r="CY4105" s="45">
        <v>4101</v>
      </c>
      <c r="CZ4105" s="18">
        <v>5.1085538660097534</v>
      </c>
      <c r="DA4105" s="18" t="str">
        <v>Invest</v>
      </c>
    </row>
    <row r="4106" spans="103:105" ht="23.5">
      <c r="CY4106" s="45">
        <v>4102</v>
      </c>
      <c r="CZ4106" s="18">
        <v>0</v>
      </c>
      <c r="DA4106" s="18" t="str">
        <v>Nothing</v>
      </c>
    </row>
    <row r="4107" spans="103:105" ht="23.5">
      <c r="CY4107" s="45">
        <v>4103</v>
      </c>
      <c r="CZ4107" s="18">
        <v>7.1803386466054455</v>
      </c>
      <c r="DA4107" s="18" t="str">
        <v>Invest</v>
      </c>
    </row>
    <row r="4108" spans="103:105" ht="23.5">
      <c r="CY4108" s="45">
        <v>4104</v>
      </c>
      <c r="CZ4108" s="18">
        <v>8.2664728101083895</v>
      </c>
      <c r="DA4108" s="18" t="str">
        <v>Invest</v>
      </c>
    </row>
    <row r="4109" spans="103:105" ht="23.5">
      <c r="CY4109" s="45">
        <v>4105</v>
      </c>
      <c r="CZ4109" s="18">
        <v>4.1881154595516721</v>
      </c>
      <c r="DA4109" s="18" t="str">
        <v>Invest</v>
      </c>
    </row>
    <row r="4110" spans="103:105" ht="23.5">
      <c r="CY4110" s="45">
        <v>4106</v>
      </c>
      <c r="CZ4110" s="18">
        <v>3.7464360762139712</v>
      </c>
      <c r="DA4110" s="18" t="str">
        <v>Invest</v>
      </c>
    </row>
    <row r="4111" spans="103:105" ht="23.5">
      <c r="CY4111" s="45">
        <v>4107</v>
      </c>
      <c r="CZ4111" s="18">
        <v>24.338049976735682</v>
      </c>
      <c r="DA4111" s="18" t="str">
        <v>Invest</v>
      </c>
    </row>
    <row r="4112" spans="103:105" ht="23.5">
      <c r="CY4112" s="45">
        <v>4108</v>
      </c>
      <c r="CZ4112" s="18">
        <v>11.833381458971157</v>
      </c>
      <c r="DA4112" s="18" t="str">
        <v>Invest</v>
      </c>
    </row>
    <row r="4113" spans="103:105" ht="23.5">
      <c r="CY4113" s="45">
        <v>4109</v>
      </c>
      <c r="CZ4113" s="18">
        <v>31.374613917665108</v>
      </c>
      <c r="DA4113" s="18" t="str">
        <v>Invest</v>
      </c>
    </row>
    <row r="4114" spans="103:105" ht="23.5">
      <c r="CY4114" s="45">
        <v>4110</v>
      </c>
      <c r="CZ4114" s="18">
        <v>0</v>
      </c>
      <c r="DA4114" s="18" t="str">
        <v>Nothing</v>
      </c>
    </row>
    <row r="4115" spans="103:105" ht="23.5">
      <c r="CY4115" s="45">
        <v>4111</v>
      </c>
      <c r="CZ4115" s="18">
        <v>23.391986402246015</v>
      </c>
      <c r="DA4115" s="18" t="str">
        <v>Invest</v>
      </c>
    </row>
    <row r="4116" spans="103:105" ht="23.5">
      <c r="CY4116" s="45">
        <v>4112</v>
      </c>
      <c r="CZ4116" s="18">
        <v>0</v>
      </c>
      <c r="DA4116" s="18" t="str">
        <v>Nothing</v>
      </c>
    </row>
    <row r="4117" spans="103:105" ht="23.5">
      <c r="CY4117" s="45">
        <v>4113</v>
      </c>
      <c r="CZ4117" s="18">
        <v>38.450045832186191</v>
      </c>
      <c r="DA4117" s="18" t="str">
        <v>Invest</v>
      </c>
    </row>
    <row r="4118" spans="103:105" ht="23.5">
      <c r="CY4118" s="45">
        <v>4114</v>
      </c>
      <c r="CZ4118" s="18">
        <v>13.836795983691285</v>
      </c>
      <c r="DA4118" s="18" t="str">
        <v>Invest</v>
      </c>
    </row>
    <row r="4119" spans="103:105" ht="23.5">
      <c r="CY4119" s="45">
        <v>4115</v>
      </c>
      <c r="CZ4119" s="18">
        <v>7.7323182410517148</v>
      </c>
      <c r="DA4119" s="18" t="str">
        <v>Invest</v>
      </c>
    </row>
    <row r="4120" spans="103:105" ht="23.5">
      <c r="CY4120" s="45">
        <v>4116</v>
      </c>
      <c r="CZ4120" s="18">
        <v>45.288349744462877</v>
      </c>
      <c r="DA4120" s="18" t="str">
        <v>Invest</v>
      </c>
    </row>
    <row r="4121" spans="103:105" ht="23.5">
      <c r="CY4121" s="45">
        <v>4117</v>
      </c>
      <c r="CZ4121" s="18">
        <v>17.319006423130922</v>
      </c>
      <c r="DA4121" s="18" t="str">
        <v>Invest</v>
      </c>
    </row>
    <row r="4122" spans="103:105" ht="23.5">
      <c r="CY4122" s="45">
        <v>4118</v>
      </c>
      <c r="CZ4122" s="18">
        <v>0</v>
      </c>
      <c r="DA4122" s="18" t="str">
        <v>Nothing</v>
      </c>
    </row>
    <row r="4123" spans="103:105" ht="23.5">
      <c r="CY4123" s="45">
        <v>4119</v>
      </c>
      <c r="CZ4123" s="18">
        <v>0</v>
      </c>
      <c r="DA4123" s="18" t="str">
        <v>Nothing</v>
      </c>
    </row>
    <row r="4124" spans="103:105" ht="23.5">
      <c r="CY4124" s="45">
        <v>4120</v>
      </c>
      <c r="CZ4124" s="18">
        <v>14.851836239218503</v>
      </c>
      <c r="DA4124" s="18" t="str">
        <v>Invest</v>
      </c>
    </row>
    <row r="4125" spans="103:105" ht="23.5">
      <c r="CY4125" s="45">
        <v>4121</v>
      </c>
      <c r="CZ4125" s="18">
        <v>27.815817265272329</v>
      </c>
      <c r="DA4125" s="18" t="str">
        <v>Invest</v>
      </c>
    </row>
    <row r="4126" spans="103:105" ht="23.5">
      <c r="CY4126" s="45">
        <v>4122</v>
      </c>
      <c r="CZ4126" s="18">
        <v>0</v>
      </c>
      <c r="DA4126" s="18" t="str">
        <v>Nothing</v>
      </c>
    </row>
    <row r="4127" spans="103:105" ht="23.5">
      <c r="CY4127" s="45">
        <v>4123</v>
      </c>
      <c r="CZ4127" s="18">
        <v>31.024944565013918</v>
      </c>
      <c r="DA4127" s="18" t="str">
        <v>Invest</v>
      </c>
    </row>
    <row r="4128" spans="103:105" ht="23.5">
      <c r="CY4128" s="45">
        <v>4124</v>
      </c>
      <c r="CZ4128" s="18">
        <v>0</v>
      </c>
      <c r="DA4128" s="18" t="str">
        <v>Nothing</v>
      </c>
    </row>
    <row r="4129" spans="103:105" ht="23.5">
      <c r="CY4129" s="45">
        <v>4125</v>
      </c>
      <c r="CZ4129" s="18">
        <v>2.8559802785004358</v>
      </c>
      <c r="DA4129" s="18" t="str">
        <v>Invest</v>
      </c>
    </row>
    <row r="4130" spans="103:105" ht="23.5">
      <c r="CY4130" s="45">
        <v>4126</v>
      </c>
      <c r="CZ4130" s="18">
        <v>14.228513281526077</v>
      </c>
      <c r="DA4130" s="18" t="str">
        <v>Invest</v>
      </c>
    </row>
    <row r="4131" spans="103:105" ht="23.5">
      <c r="CY4131" s="45">
        <v>4127</v>
      </c>
      <c r="CZ4131" s="18">
        <v>50.449338785289363</v>
      </c>
      <c r="DA4131" s="18" t="str">
        <v>Invest</v>
      </c>
    </row>
    <row r="4132" spans="103:105" ht="23.5">
      <c r="CY4132" s="45">
        <v>4128</v>
      </c>
      <c r="CZ4132" s="18">
        <v>39.182229496630107</v>
      </c>
      <c r="DA4132" s="18" t="str">
        <v>Invest</v>
      </c>
    </row>
    <row r="4133" spans="103:105" ht="23.5">
      <c r="CY4133" s="45">
        <v>4129</v>
      </c>
      <c r="CZ4133" s="18">
        <v>14.004700857711775</v>
      </c>
      <c r="DA4133" s="18" t="str">
        <v>Invest</v>
      </c>
    </row>
    <row r="4134" spans="103:105" ht="23.5">
      <c r="CY4134" s="45">
        <v>4130</v>
      </c>
      <c r="CZ4134" s="18">
        <v>11.981164380864408</v>
      </c>
      <c r="DA4134" s="18" t="str">
        <v>Invest</v>
      </c>
    </row>
    <row r="4135" spans="103:105" ht="23.5">
      <c r="CY4135" s="45">
        <v>4131</v>
      </c>
      <c r="CZ4135" s="18">
        <v>0</v>
      </c>
      <c r="DA4135" s="18" t="str">
        <v>Nothing</v>
      </c>
    </row>
    <row r="4136" spans="103:105" ht="23.5">
      <c r="CY4136" s="45">
        <v>4132</v>
      </c>
      <c r="CZ4136" s="18">
        <v>2.7950205766086746</v>
      </c>
      <c r="DA4136" s="18" t="str">
        <v>Invest</v>
      </c>
    </row>
    <row r="4137" spans="103:105" ht="23.5">
      <c r="CY4137" s="45">
        <v>4133</v>
      </c>
      <c r="CZ4137" s="18">
        <v>41.670113839930451</v>
      </c>
      <c r="DA4137" s="18" t="str">
        <v>Invest</v>
      </c>
    </row>
    <row r="4138" spans="103:105" ht="23.5">
      <c r="CY4138" s="45">
        <v>4134</v>
      </c>
      <c r="CZ4138" s="18">
        <v>25.999319587338288</v>
      </c>
      <c r="DA4138" s="18" t="str">
        <v>Invest</v>
      </c>
    </row>
    <row r="4139" spans="103:105" ht="23.5">
      <c r="CY4139" s="45">
        <v>4135</v>
      </c>
      <c r="CZ4139" s="18">
        <v>63.047443511757237</v>
      </c>
      <c r="DA4139" s="18" t="str">
        <v>Invest</v>
      </c>
    </row>
    <row r="4140" spans="103:105" ht="23.5">
      <c r="CY4140" s="45">
        <v>4136</v>
      </c>
      <c r="CZ4140" s="18">
        <v>0</v>
      </c>
      <c r="DA4140" s="18" t="str">
        <v>Nothing</v>
      </c>
    </row>
    <row r="4141" spans="103:105" ht="23.5">
      <c r="CY4141" s="45">
        <v>4137</v>
      </c>
      <c r="CZ4141" s="18">
        <v>8.9823275852775382</v>
      </c>
      <c r="DA4141" s="18" t="str">
        <v>Invest</v>
      </c>
    </row>
    <row r="4142" spans="103:105" ht="23.5">
      <c r="CY4142" s="45">
        <v>4138</v>
      </c>
      <c r="CZ4142" s="18">
        <v>0</v>
      </c>
      <c r="DA4142" s="18" t="str">
        <v>Nothing</v>
      </c>
    </row>
    <row r="4143" spans="103:105" ht="23.5">
      <c r="CY4143" s="45">
        <v>4139</v>
      </c>
      <c r="CZ4143" s="18">
        <v>49.996752438795831</v>
      </c>
      <c r="DA4143" s="18" t="str">
        <v>Invest</v>
      </c>
    </row>
    <row r="4144" spans="103:105" ht="23.5">
      <c r="CY4144" s="45">
        <v>4140</v>
      </c>
      <c r="CZ4144" s="18">
        <v>14.920523484936059</v>
      </c>
      <c r="DA4144" s="18" t="str">
        <v>Invest</v>
      </c>
    </row>
    <row r="4145" spans="103:105" ht="23.5">
      <c r="CY4145" s="45">
        <v>4141</v>
      </c>
      <c r="CZ4145" s="18">
        <v>41.287879482946046</v>
      </c>
      <c r="DA4145" s="18" t="str">
        <v>Invest</v>
      </c>
    </row>
    <row r="4146" spans="103:105" ht="23.5">
      <c r="CY4146" s="45">
        <v>4142</v>
      </c>
      <c r="CZ4146" s="18">
        <v>14.974984539242737</v>
      </c>
      <c r="DA4146" s="18" t="str">
        <v>Invest</v>
      </c>
    </row>
    <row r="4147" spans="103:105" ht="23.5">
      <c r="CY4147" s="45">
        <v>4143</v>
      </c>
      <c r="CZ4147" s="18">
        <v>19.730099858406309</v>
      </c>
      <c r="DA4147" s="18" t="str">
        <v>Invest</v>
      </c>
    </row>
    <row r="4148" spans="103:105" ht="23.5">
      <c r="CY4148" s="45">
        <v>4144</v>
      </c>
      <c r="CZ4148" s="18">
        <v>30.20146293528353</v>
      </c>
      <c r="DA4148" s="18" t="str">
        <v>Invest</v>
      </c>
    </row>
    <row r="4149" spans="103:105" ht="23.5">
      <c r="CY4149" s="45">
        <v>4145</v>
      </c>
      <c r="CZ4149" s="18">
        <v>26.609308465556538</v>
      </c>
      <c r="DA4149" s="18" t="str">
        <v>Invest</v>
      </c>
    </row>
    <row r="4150" spans="103:105" ht="23.5">
      <c r="CY4150" s="45">
        <v>4146</v>
      </c>
      <c r="CZ4150" s="18">
        <v>0</v>
      </c>
      <c r="DA4150" s="18" t="str">
        <v>Nothing</v>
      </c>
    </row>
    <row r="4151" spans="103:105" ht="23.5">
      <c r="CY4151" s="45">
        <v>4147</v>
      </c>
      <c r="CZ4151" s="18">
        <v>0</v>
      </c>
      <c r="DA4151" s="18" t="str">
        <v>Nothing</v>
      </c>
    </row>
    <row r="4152" spans="103:105" ht="23.5">
      <c r="CY4152" s="45">
        <v>4148</v>
      </c>
      <c r="CZ4152" s="18">
        <v>0</v>
      </c>
      <c r="DA4152" s="18" t="str">
        <v>Nothing</v>
      </c>
    </row>
    <row r="4153" spans="103:105" ht="23.5">
      <c r="CY4153" s="45">
        <v>4149</v>
      </c>
      <c r="CZ4153" s="18">
        <v>1.1438329951736037</v>
      </c>
      <c r="DA4153" s="18" t="str">
        <v>Invest</v>
      </c>
    </row>
    <row r="4154" spans="103:105" ht="23.5">
      <c r="CY4154" s="45">
        <v>4150</v>
      </c>
      <c r="CZ4154" s="18">
        <v>7.3593115663928721</v>
      </c>
      <c r="DA4154" s="18" t="str">
        <v>Invest</v>
      </c>
    </row>
    <row r="4155" spans="103:105" ht="23.5">
      <c r="CY4155" s="45">
        <v>4151</v>
      </c>
      <c r="CZ4155" s="18">
        <v>56.727687630825756</v>
      </c>
      <c r="DA4155" s="18" t="str">
        <v>Invest</v>
      </c>
    </row>
    <row r="4156" spans="103:105" ht="23.5">
      <c r="CY4156" s="45">
        <v>4152</v>
      </c>
      <c r="CZ4156" s="18">
        <v>2.1444898033659543</v>
      </c>
      <c r="DA4156" s="18" t="str">
        <v>Invest</v>
      </c>
    </row>
    <row r="4157" spans="103:105" ht="23.5">
      <c r="CY4157" s="45">
        <v>4153</v>
      </c>
      <c r="CZ4157" s="18">
        <v>0</v>
      </c>
      <c r="DA4157" s="18" t="str">
        <v>Nothing</v>
      </c>
    </row>
    <row r="4158" spans="103:105" ht="23.5">
      <c r="CY4158" s="45">
        <v>4154</v>
      </c>
      <c r="CZ4158" s="18">
        <v>21.254268107764908</v>
      </c>
      <c r="DA4158" s="18" t="str">
        <v>Invest</v>
      </c>
    </row>
    <row r="4159" spans="103:105" ht="23.5">
      <c r="CY4159" s="45">
        <v>4155</v>
      </c>
      <c r="CZ4159" s="18">
        <v>25.278832776908864</v>
      </c>
      <c r="DA4159" s="18" t="str">
        <v>Invest</v>
      </c>
    </row>
    <row r="4160" spans="103:105" ht="23.5">
      <c r="CY4160" s="45">
        <v>4156</v>
      </c>
      <c r="CZ4160" s="18">
        <v>32.080674123473464</v>
      </c>
      <c r="DA4160" s="18" t="str">
        <v>Invest</v>
      </c>
    </row>
    <row r="4161" spans="103:105" ht="23.5">
      <c r="CY4161" s="45">
        <v>4157</v>
      </c>
      <c r="CZ4161" s="18">
        <v>3.9933633978458474</v>
      </c>
      <c r="DA4161" s="18" t="str">
        <v>Invest</v>
      </c>
    </row>
    <row r="4162" spans="103:105" ht="23.5">
      <c r="CY4162" s="45">
        <v>4158</v>
      </c>
      <c r="CZ4162" s="18">
        <v>35.477635446640932</v>
      </c>
      <c r="DA4162" s="18" t="str">
        <v>Invest</v>
      </c>
    </row>
    <row r="4163" spans="103:105" ht="23.5">
      <c r="CY4163" s="45">
        <v>4159</v>
      </c>
      <c r="CZ4163" s="18">
        <v>24.414381214632652</v>
      </c>
      <c r="DA4163" s="18" t="str">
        <v>Invest</v>
      </c>
    </row>
    <row r="4164" spans="103:105" ht="23.5">
      <c r="CY4164" s="45">
        <v>4160</v>
      </c>
      <c r="CZ4164" s="18">
        <v>0</v>
      </c>
      <c r="DA4164" s="18" t="str">
        <v>Nothing</v>
      </c>
    </row>
    <row r="4165" spans="103:105" ht="23.5">
      <c r="CY4165" s="45">
        <v>4161</v>
      </c>
      <c r="CZ4165" s="18">
        <v>59.641703820249248</v>
      </c>
      <c r="DA4165" s="18" t="str">
        <v>Invest</v>
      </c>
    </row>
    <row r="4166" spans="103:105" ht="23.5">
      <c r="CY4166" s="45">
        <v>4162</v>
      </c>
      <c r="CZ4166" s="18">
        <v>16.016718222551241</v>
      </c>
      <c r="DA4166" s="18" t="str">
        <v>Invest</v>
      </c>
    </row>
    <row r="4167" spans="103:105" ht="23.5">
      <c r="CY4167" s="45">
        <v>4163</v>
      </c>
      <c r="CZ4167" s="18">
        <v>33.784553676896053</v>
      </c>
      <c r="DA4167" s="18" t="str">
        <v>Invest</v>
      </c>
    </row>
    <row r="4168" spans="103:105" ht="23.5">
      <c r="CY4168" s="45">
        <v>4164</v>
      </c>
      <c r="CZ4168" s="18">
        <v>0</v>
      </c>
      <c r="DA4168" s="18" t="str">
        <v>Nothing</v>
      </c>
    </row>
    <row r="4169" spans="103:105" ht="23.5">
      <c r="CY4169" s="45">
        <v>4165</v>
      </c>
      <c r="CZ4169" s="18">
        <v>0</v>
      </c>
      <c r="DA4169" s="18" t="str">
        <v>Nothing</v>
      </c>
    </row>
    <row r="4170" spans="103:105" ht="23.5">
      <c r="CY4170" s="45">
        <v>4166</v>
      </c>
      <c r="CZ4170" s="18">
        <v>10.585804375445534</v>
      </c>
      <c r="DA4170" s="18" t="str">
        <v>Invest</v>
      </c>
    </row>
    <row r="4171" spans="103:105" ht="23.5">
      <c r="CY4171" s="45">
        <v>4167</v>
      </c>
      <c r="CZ4171" s="18">
        <v>11.30769684994987</v>
      </c>
      <c r="DA4171" s="18" t="str">
        <v>Invest</v>
      </c>
    </row>
    <row r="4172" spans="103:105" ht="23.5">
      <c r="CY4172" s="45">
        <v>4168</v>
      </c>
      <c r="CZ4172" s="18">
        <v>0</v>
      </c>
      <c r="DA4172" s="18" t="str">
        <v>Nothing</v>
      </c>
    </row>
    <row r="4173" spans="103:105" ht="23.5">
      <c r="CY4173" s="45">
        <v>4169</v>
      </c>
      <c r="CZ4173" s="18">
        <v>0</v>
      </c>
      <c r="DA4173" s="18" t="str">
        <v>Nothing</v>
      </c>
    </row>
    <row r="4174" spans="103:105" ht="23.5">
      <c r="CY4174" s="45">
        <v>4170</v>
      </c>
      <c r="CZ4174" s="18">
        <v>0</v>
      </c>
      <c r="DA4174" s="18" t="str">
        <v>Nothing</v>
      </c>
    </row>
    <row r="4175" spans="103:105" ht="23.5">
      <c r="CY4175" s="45">
        <v>4171</v>
      </c>
      <c r="CZ4175" s="18">
        <v>49.604355854780842</v>
      </c>
      <c r="DA4175" s="18" t="str">
        <v>Invest</v>
      </c>
    </row>
    <row r="4176" spans="103:105" ht="23.5">
      <c r="CY4176" s="45">
        <v>4172</v>
      </c>
      <c r="CZ4176" s="18">
        <v>0.51513343641545362</v>
      </c>
      <c r="DA4176" s="18" t="str">
        <v>Invest</v>
      </c>
    </row>
    <row r="4177" spans="103:105" ht="23.5">
      <c r="CY4177" s="45">
        <v>4173</v>
      </c>
      <c r="CZ4177" s="18">
        <v>0</v>
      </c>
      <c r="DA4177" s="18" t="str">
        <v>Nothing</v>
      </c>
    </row>
    <row r="4178" spans="103:105" ht="23.5">
      <c r="CY4178" s="45">
        <v>4174</v>
      </c>
      <c r="CZ4178" s="18">
        <v>11.569367989312234</v>
      </c>
      <c r="DA4178" s="18" t="str">
        <v>Invest</v>
      </c>
    </row>
    <row r="4179" spans="103:105" ht="23.5">
      <c r="CY4179" s="45">
        <v>4175</v>
      </c>
      <c r="CZ4179" s="18">
        <v>20.522205398869779</v>
      </c>
      <c r="DA4179" s="18" t="str">
        <v>Invest</v>
      </c>
    </row>
    <row r="4180" spans="103:105" ht="23.5">
      <c r="CY4180" s="45">
        <v>4176</v>
      </c>
      <c r="CZ4180" s="18">
        <v>60.806646740320581</v>
      </c>
      <c r="DA4180" s="18" t="str">
        <v>Invest</v>
      </c>
    </row>
    <row r="4181" spans="103:105" ht="23.5">
      <c r="CY4181" s="45">
        <v>4177</v>
      </c>
      <c r="CZ4181" s="18">
        <v>15.159091488066974</v>
      </c>
      <c r="DA4181" s="18" t="str">
        <v>Invest</v>
      </c>
    </row>
    <row r="4182" spans="103:105" ht="23.5">
      <c r="CY4182" s="45">
        <v>4178</v>
      </c>
      <c r="CZ4182" s="18">
        <v>8.4911903874048527</v>
      </c>
      <c r="DA4182" s="18" t="str">
        <v>Invest</v>
      </c>
    </row>
    <row r="4183" spans="103:105" ht="23.5">
      <c r="CY4183" s="45">
        <v>4179</v>
      </c>
      <c r="CZ4183" s="18">
        <v>3.5210640318565432</v>
      </c>
      <c r="DA4183" s="18" t="str">
        <v>Invest</v>
      </c>
    </row>
    <row r="4184" spans="103:105" ht="23.5">
      <c r="CY4184" s="45">
        <v>4180</v>
      </c>
      <c r="CZ4184" s="18">
        <v>3.2482687250648006</v>
      </c>
      <c r="DA4184" s="18" t="str">
        <v>Invest</v>
      </c>
    </row>
    <row r="4185" spans="103:105" ht="23.5">
      <c r="CY4185" s="45">
        <v>4181</v>
      </c>
      <c r="CZ4185" s="18">
        <v>3.3724165616578325</v>
      </c>
      <c r="DA4185" s="18" t="str">
        <v>Invest</v>
      </c>
    </row>
    <row r="4186" spans="103:105" ht="23.5">
      <c r="CY4186" s="45">
        <v>4182</v>
      </c>
      <c r="CZ4186" s="18">
        <v>31.782727587309513</v>
      </c>
      <c r="DA4186" s="18" t="str">
        <v>Invest</v>
      </c>
    </row>
    <row r="4187" spans="103:105" ht="23.5">
      <c r="CY4187" s="45">
        <v>4183</v>
      </c>
      <c r="CZ4187" s="18">
        <v>29.518618426508176</v>
      </c>
      <c r="DA4187" s="18" t="str">
        <v>Invest</v>
      </c>
    </row>
    <row r="4188" spans="103:105" ht="23.5">
      <c r="CY4188" s="45">
        <v>4184</v>
      </c>
      <c r="CZ4188" s="18">
        <v>11.680289705985601</v>
      </c>
      <c r="DA4188" s="18" t="str">
        <v>Invest</v>
      </c>
    </row>
    <row r="4189" spans="103:105" ht="23.5">
      <c r="CY4189" s="45">
        <v>4185</v>
      </c>
      <c r="CZ4189" s="18">
        <v>9.7767611991628058</v>
      </c>
      <c r="DA4189" s="18" t="str">
        <v>Invest</v>
      </c>
    </row>
    <row r="4190" spans="103:105" ht="23.5">
      <c r="CY4190" s="45">
        <v>4186</v>
      </c>
      <c r="CZ4190" s="18">
        <v>0</v>
      </c>
      <c r="DA4190" s="18" t="str">
        <v>Nothing</v>
      </c>
    </row>
    <row r="4191" spans="103:105" ht="23.5">
      <c r="CY4191" s="45">
        <v>4187</v>
      </c>
      <c r="CZ4191" s="18">
        <v>23.293061438487101</v>
      </c>
      <c r="DA4191" s="18" t="str">
        <v>Invest</v>
      </c>
    </row>
    <row r="4192" spans="103:105" ht="23.5">
      <c r="CY4192" s="45">
        <v>4188</v>
      </c>
      <c r="CZ4192" s="18">
        <v>18.921441818222455</v>
      </c>
      <c r="DA4192" s="18" t="str">
        <v>Invest</v>
      </c>
    </row>
    <row r="4193" spans="103:105" ht="23.5">
      <c r="CY4193" s="45">
        <v>4189</v>
      </c>
      <c r="CZ4193" s="18">
        <v>4.7938896307306056</v>
      </c>
      <c r="DA4193" s="18" t="str">
        <v>Invest</v>
      </c>
    </row>
    <row r="4194" spans="103:105" ht="23.5">
      <c r="CY4194" s="45">
        <v>4190</v>
      </c>
      <c r="CZ4194" s="18">
        <v>33.141248085306671</v>
      </c>
      <c r="DA4194" s="18" t="str">
        <v>Invest</v>
      </c>
    </row>
    <row r="4195" spans="103:105" ht="23.5">
      <c r="CY4195" s="45">
        <v>4191</v>
      </c>
      <c r="CZ4195" s="18">
        <v>24.76194363489055</v>
      </c>
      <c r="DA4195" s="18" t="str">
        <v>Invest</v>
      </c>
    </row>
    <row r="4196" spans="103:105" ht="23.5">
      <c r="CY4196" s="45">
        <v>4192</v>
      </c>
      <c r="CZ4196" s="18">
        <v>0</v>
      </c>
      <c r="DA4196" s="18" t="str">
        <v>Nothing</v>
      </c>
    </row>
    <row r="4197" spans="103:105" ht="23.5">
      <c r="CY4197" s="45">
        <v>4193</v>
      </c>
      <c r="CZ4197" s="18">
        <v>14.188687308673632</v>
      </c>
      <c r="DA4197" s="18" t="str">
        <v>Invest</v>
      </c>
    </row>
    <row r="4198" spans="103:105" ht="23.5">
      <c r="CY4198" s="45">
        <v>4194</v>
      </c>
      <c r="CZ4198" s="18">
        <v>0</v>
      </c>
      <c r="DA4198" s="18" t="str">
        <v>Nothing</v>
      </c>
    </row>
    <row r="4199" spans="103:105" ht="23.5">
      <c r="CY4199" s="45">
        <v>4195</v>
      </c>
      <c r="CZ4199" s="18">
        <v>0</v>
      </c>
      <c r="DA4199" s="18" t="str">
        <v>Nothing</v>
      </c>
    </row>
    <row r="4200" spans="103:105" ht="23.5">
      <c r="CY4200" s="45">
        <v>4196</v>
      </c>
      <c r="CZ4200" s="18">
        <v>0</v>
      </c>
      <c r="DA4200" s="18" t="str">
        <v>Nothing</v>
      </c>
    </row>
    <row r="4201" spans="103:105" ht="23.5">
      <c r="CY4201" s="45">
        <v>4197</v>
      </c>
      <c r="CZ4201" s="18">
        <v>22.020878815833868</v>
      </c>
      <c r="DA4201" s="18" t="str">
        <v>Invest</v>
      </c>
    </row>
    <row r="4202" spans="103:105" ht="23.5">
      <c r="CY4202" s="45">
        <v>4198</v>
      </c>
      <c r="CZ4202" s="18">
        <v>19.031518179476873</v>
      </c>
      <c r="DA4202" s="18" t="str">
        <v>Invest</v>
      </c>
    </row>
    <row r="4203" spans="103:105" ht="23.5">
      <c r="CY4203" s="45">
        <v>4199</v>
      </c>
      <c r="CZ4203" s="18">
        <v>0</v>
      </c>
      <c r="DA4203" s="18" t="str">
        <v>Nothing</v>
      </c>
    </row>
    <row r="4204" spans="103:105" ht="23.5">
      <c r="CY4204" s="45">
        <v>4200</v>
      </c>
      <c r="CZ4204" s="18">
        <v>43.686004966267959</v>
      </c>
      <c r="DA4204" s="18" t="str">
        <v>Invest</v>
      </c>
    </row>
    <row r="4205" spans="103:105" ht="23.5">
      <c r="CY4205" s="45">
        <v>4201</v>
      </c>
      <c r="CZ4205" s="18">
        <v>0</v>
      </c>
      <c r="DA4205" s="18" t="str">
        <v>Nothing</v>
      </c>
    </row>
    <row r="4206" spans="103:105" ht="23.5">
      <c r="CY4206" s="45">
        <v>4202</v>
      </c>
      <c r="CZ4206" s="18">
        <v>18.036352215294563</v>
      </c>
      <c r="DA4206" s="18" t="str">
        <v>Invest</v>
      </c>
    </row>
    <row r="4207" spans="103:105" ht="23.5">
      <c r="CY4207" s="45">
        <v>4203</v>
      </c>
      <c r="CZ4207" s="18">
        <v>33.043775356210674</v>
      </c>
      <c r="DA4207" s="18" t="str">
        <v>Invest</v>
      </c>
    </row>
    <row r="4208" spans="103:105" ht="23.5">
      <c r="CY4208" s="45">
        <v>4204</v>
      </c>
      <c r="CZ4208" s="18">
        <v>32.455011589162602</v>
      </c>
      <c r="DA4208" s="18" t="str">
        <v>Invest</v>
      </c>
    </row>
    <row r="4209" spans="103:105" ht="23.5">
      <c r="CY4209" s="45">
        <v>4205</v>
      </c>
      <c r="CZ4209" s="18">
        <v>0</v>
      </c>
      <c r="DA4209" s="18" t="str">
        <v>Nothing</v>
      </c>
    </row>
    <row r="4210" spans="103:105" ht="23.5">
      <c r="CY4210" s="45">
        <v>4206</v>
      </c>
      <c r="CZ4210" s="18">
        <v>27.093422721336523</v>
      </c>
      <c r="DA4210" s="18" t="str">
        <v>Invest</v>
      </c>
    </row>
    <row r="4211" spans="103:105" ht="23.5">
      <c r="CY4211" s="45">
        <v>4207</v>
      </c>
      <c r="CZ4211" s="18">
        <v>0</v>
      </c>
      <c r="DA4211" s="18" t="str">
        <v>Nothing</v>
      </c>
    </row>
    <row r="4212" spans="103:105" ht="23.5">
      <c r="CY4212" s="45">
        <v>4208</v>
      </c>
      <c r="CZ4212" s="18">
        <v>25.695987179848316</v>
      </c>
      <c r="DA4212" s="18" t="str">
        <v>Invest</v>
      </c>
    </row>
    <row r="4213" spans="103:105" ht="23.5">
      <c r="CY4213" s="45">
        <v>4209</v>
      </c>
      <c r="CZ4213" s="18">
        <v>1.3576587163022191</v>
      </c>
      <c r="DA4213" s="18" t="str">
        <v>Invest</v>
      </c>
    </row>
    <row r="4214" spans="103:105" ht="23.5">
      <c r="CY4214" s="45">
        <v>4210</v>
      </c>
      <c r="CZ4214" s="18">
        <v>24.087507134239928</v>
      </c>
      <c r="DA4214" s="18" t="str">
        <v>Invest</v>
      </c>
    </row>
    <row r="4215" spans="103:105" ht="23.5">
      <c r="CY4215" s="45">
        <v>4211</v>
      </c>
      <c r="CZ4215" s="18">
        <v>9.2794355610738464</v>
      </c>
      <c r="DA4215" s="18" t="str">
        <v>Invest</v>
      </c>
    </row>
    <row r="4216" spans="103:105" ht="23.5">
      <c r="CY4216" s="45">
        <v>4212</v>
      </c>
      <c r="CZ4216" s="18">
        <v>62.325106646119188</v>
      </c>
      <c r="DA4216" s="18" t="str">
        <v>Invest</v>
      </c>
    </row>
    <row r="4217" spans="103:105" ht="23.5">
      <c r="CY4217" s="45">
        <v>4213</v>
      </c>
      <c r="CZ4217" s="18">
        <v>32.710598827791202</v>
      </c>
      <c r="DA4217" s="18" t="str">
        <v>Invest</v>
      </c>
    </row>
    <row r="4218" spans="103:105" ht="23.5">
      <c r="CY4218" s="45">
        <v>4214</v>
      </c>
      <c r="CZ4218" s="18">
        <v>2.6623591157267246</v>
      </c>
      <c r="DA4218" s="18" t="str">
        <v>Invest</v>
      </c>
    </row>
    <row r="4219" spans="103:105" ht="23.5">
      <c r="CY4219" s="45">
        <v>4215</v>
      </c>
      <c r="CZ4219" s="18">
        <v>0</v>
      </c>
      <c r="DA4219" s="18" t="str">
        <v>Nothing</v>
      </c>
    </row>
    <row r="4220" spans="103:105" ht="23.5">
      <c r="CY4220" s="45">
        <v>4216</v>
      </c>
      <c r="CZ4220" s="18">
        <v>56.030962910655575</v>
      </c>
      <c r="DA4220" s="18" t="str">
        <v>Invest</v>
      </c>
    </row>
    <row r="4221" spans="103:105" ht="23.5">
      <c r="CY4221" s="45">
        <v>4217</v>
      </c>
      <c r="CZ4221" s="18">
        <v>60.074952992619764</v>
      </c>
      <c r="DA4221" s="18" t="str">
        <v>Invest</v>
      </c>
    </row>
    <row r="4222" spans="103:105" ht="23.5">
      <c r="CY4222" s="45">
        <v>4218</v>
      </c>
      <c r="CZ4222" s="18">
        <v>6.6138114164885877</v>
      </c>
      <c r="DA4222" s="18" t="str">
        <v>Invest</v>
      </c>
    </row>
    <row r="4223" spans="103:105" ht="23.5">
      <c r="CY4223" s="45">
        <v>4219</v>
      </c>
      <c r="CZ4223" s="18">
        <v>20.992455650280689</v>
      </c>
      <c r="DA4223" s="18" t="str">
        <v>Invest</v>
      </c>
    </row>
    <row r="4224" spans="103:105" ht="23.5">
      <c r="CY4224" s="45">
        <v>4220</v>
      </c>
      <c r="CZ4224" s="18">
        <v>0</v>
      </c>
      <c r="DA4224" s="18" t="str">
        <v>Nothing</v>
      </c>
    </row>
    <row r="4225" spans="103:105" ht="23.5">
      <c r="CY4225" s="45">
        <v>4221</v>
      </c>
      <c r="CZ4225" s="18">
        <v>7.2735789971488689</v>
      </c>
      <c r="DA4225" s="18" t="str">
        <v>Invest</v>
      </c>
    </row>
    <row r="4226" spans="103:105" ht="23.5">
      <c r="CY4226" s="45">
        <v>4222</v>
      </c>
      <c r="CZ4226" s="18">
        <v>0</v>
      </c>
      <c r="DA4226" s="18" t="str">
        <v>Nothing</v>
      </c>
    </row>
    <row r="4227" spans="103:105" ht="23.5">
      <c r="CY4227" s="45">
        <v>4223</v>
      </c>
      <c r="CZ4227" s="18">
        <v>0</v>
      </c>
      <c r="DA4227" s="18" t="str">
        <v>Nothing</v>
      </c>
    </row>
    <row r="4228" spans="103:105" ht="23.5">
      <c r="CY4228" s="45">
        <v>4224</v>
      </c>
      <c r="CZ4228" s="18">
        <v>34.022676412251982</v>
      </c>
      <c r="DA4228" s="18" t="str">
        <v>Invest</v>
      </c>
    </row>
    <row r="4229" spans="103:105" ht="23.5">
      <c r="CY4229" s="45">
        <v>4225</v>
      </c>
      <c r="CZ4229" s="18">
        <v>20.596557635481755</v>
      </c>
      <c r="DA4229" s="18" t="str">
        <v>Invest</v>
      </c>
    </row>
    <row r="4230" spans="103:105" ht="23.5">
      <c r="CY4230" s="45">
        <v>4226</v>
      </c>
      <c r="CZ4230" s="18">
        <v>48.199674747914777</v>
      </c>
      <c r="DA4230" s="18" t="str">
        <v>Invest</v>
      </c>
    </row>
    <row r="4231" spans="103:105" ht="23.5">
      <c r="CY4231" s="45">
        <v>4227</v>
      </c>
      <c r="CZ4231" s="18">
        <v>0</v>
      </c>
      <c r="DA4231" s="18" t="str">
        <v>Nothing</v>
      </c>
    </row>
    <row r="4232" spans="103:105" ht="23.5">
      <c r="CY4232" s="45">
        <v>4228</v>
      </c>
      <c r="CZ4232" s="18">
        <v>0</v>
      </c>
      <c r="DA4232" s="18" t="str">
        <v>Nothing</v>
      </c>
    </row>
    <row r="4233" spans="103:105" ht="23.5">
      <c r="CY4233" s="45">
        <v>4229</v>
      </c>
      <c r="CZ4233" s="18">
        <v>0</v>
      </c>
      <c r="DA4233" s="18" t="str">
        <v>Nothing</v>
      </c>
    </row>
    <row r="4234" spans="103:105" ht="23.5">
      <c r="CY4234" s="45">
        <v>4230</v>
      </c>
      <c r="CZ4234" s="18">
        <v>0</v>
      </c>
      <c r="DA4234" s="18" t="str">
        <v>Nothing</v>
      </c>
    </row>
    <row r="4235" spans="103:105" ht="23.5">
      <c r="CY4235" s="45">
        <v>4231</v>
      </c>
      <c r="CZ4235" s="18">
        <v>25.301504194091486</v>
      </c>
      <c r="DA4235" s="18" t="str">
        <v>Invest</v>
      </c>
    </row>
    <row r="4236" spans="103:105" ht="23.5">
      <c r="CY4236" s="45">
        <v>4232</v>
      </c>
      <c r="CZ4236" s="18">
        <v>0</v>
      </c>
      <c r="DA4236" s="18" t="str">
        <v>Nothing</v>
      </c>
    </row>
    <row r="4237" spans="103:105" ht="23.5">
      <c r="CY4237" s="45">
        <v>4233</v>
      </c>
      <c r="CZ4237" s="18">
        <v>53.338102440879268</v>
      </c>
      <c r="DA4237" s="18" t="str">
        <v>Invest</v>
      </c>
    </row>
    <row r="4238" spans="103:105" ht="23.5">
      <c r="CY4238" s="45">
        <v>4234</v>
      </c>
      <c r="CZ4238" s="18">
        <v>0.43488896891403073</v>
      </c>
      <c r="DA4238" s="18" t="str">
        <v>Invest</v>
      </c>
    </row>
    <row r="4239" spans="103:105" ht="23.5">
      <c r="CY4239" s="45">
        <v>4235</v>
      </c>
      <c r="CZ4239" s="18">
        <v>0</v>
      </c>
      <c r="DA4239" s="18" t="str">
        <v>Nothing</v>
      </c>
    </row>
    <row r="4240" spans="103:105" ht="23.5">
      <c r="CY4240" s="45">
        <v>4236</v>
      </c>
      <c r="CZ4240" s="18">
        <v>7.9314780101367415</v>
      </c>
      <c r="DA4240" s="18" t="str">
        <v>Invest</v>
      </c>
    </row>
    <row r="4241" spans="103:105" ht="23.5">
      <c r="CY4241" s="45">
        <v>4237</v>
      </c>
      <c r="CZ4241" s="18">
        <v>18.089914742088681</v>
      </c>
      <c r="DA4241" s="18" t="str">
        <v>Invest</v>
      </c>
    </row>
    <row r="4242" spans="103:105" ht="23.5">
      <c r="CY4242" s="45">
        <v>4238</v>
      </c>
      <c r="CZ4242" s="18">
        <v>2.4550357009656283</v>
      </c>
      <c r="DA4242" s="18" t="str">
        <v>Invest</v>
      </c>
    </row>
    <row r="4243" spans="103:105" ht="23.5">
      <c r="CY4243" s="45">
        <v>4239</v>
      </c>
      <c r="CZ4243" s="18">
        <v>19.397637819599073</v>
      </c>
      <c r="DA4243" s="18" t="str">
        <v>Invest</v>
      </c>
    </row>
    <row r="4244" spans="103:105" ht="23.5">
      <c r="CY4244" s="45">
        <v>4240</v>
      </c>
      <c r="CZ4244" s="18">
        <v>0</v>
      </c>
      <c r="DA4244" s="18" t="str">
        <v>Nothing</v>
      </c>
    </row>
    <row r="4245" spans="103:105" ht="23.5">
      <c r="CY4245" s="45">
        <v>4241</v>
      </c>
      <c r="CZ4245" s="18">
        <v>3.6720855207592615</v>
      </c>
      <c r="DA4245" s="18" t="str">
        <v>Invest</v>
      </c>
    </row>
    <row r="4246" spans="103:105" ht="23.5">
      <c r="CY4246" s="45">
        <v>4242</v>
      </c>
      <c r="CZ4246" s="18">
        <v>31.862356373358097</v>
      </c>
      <c r="DA4246" s="18" t="str">
        <v>Invest</v>
      </c>
    </row>
    <row r="4247" spans="103:105" ht="23.5">
      <c r="CY4247" s="45">
        <v>4243</v>
      </c>
      <c r="CZ4247" s="18">
        <v>0</v>
      </c>
      <c r="DA4247" s="18" t="str">
        <v>Nothing</v>
      </c>
    </row>
    <row r="4248" spans="103:105" ht="23.5">
      <c r="CY4248" s="45">
        <v>4244</v>
      </c>
      <c r="CZ4248" s="18">
        <v>0</v>
      </c>
      <c r="DA4248" s="18" t="str">
        <v>Nothing</v>
      </c>
    </row>
    <row r="4249" spans="103:105" ht="23.5">
      <c r="CY4249" s="45">
        <v>4245</v>
      </c>
      <c r="CZ4249" s="18">
        <v>0</v>
      </c>
      <c r="DA4249" s="18" t="str">
        <v>Nothing</v>
      </c>
    </row>
    <row r="4250" spans="103:105" ht="23.5">
      <c r="CY4250" s="45">
        <v>4246</v>
      </c>
      <c r="CZ4250" s="18">
        <v>42.155130177493504</v>
      </c>
      <c r="DA4250" s="18" t="str">
        <v>Invest</v>
      </c>
    </row>
    <row r="4251" spans="103:105" ht="23.5">
      <c r="CY4251" s="45">
        <v>4247</v>
      </c>
      <c r="CZ4251" s="18">
        <v>7.8051551771417316E-2</v>
      </c>
      <c r="DA4251" s="18" t="str">
        <v>Invest</v>
      </c>
    </row>
    <row r="4252" spans="103:105" ht="23.5">
      <c r="CY4252" s="45">
        <v>4248</v>
      </c>
      <c r="CZ4252" s="18">
        <v>27.217487555382526</v>
      </c>
      <c r="DA4252" s="18" t="str">
        <v>Invest</v>
      </c>
    </row>
    <row r="4253" spans="103:105" ht="23.5">
      <c r="CY4253" s="45">
        <v>4249</v>
      </c>
      <c r="CZ4253" s="18">
        <v>55.389142469291151</v>
      </c>
      <c r="DA4253" s="18" t="str">
        <v>Invest</v>
      </c>
    </row>
    <row r="4254" spans="103:105" ht="23.5">
      <c r="CY4254" s="45">
        <v>4250</v>
      </c>
      <c r="CZ4254" s="18">
        <v>12.622581151694503</v>
      </c>
      <c r="DA4254" s="18" t="str">
        <v>Invest</v>
      </c>
    </row>
    <row r="4255" spans="103:105" ht="23.5">
      <c r="CY4255" s="45">
        <v>4251</v>
      </c>
      <c r="CZ4255" s="18">
        <v>26.772564157325654</v>
      </c>
      <c r="DA4255" s="18" t="str">
        <v>Invest</v>
      </c>
    </row>
    <row r="4256" spans="103:105" ht="23.5">
      <c r="CY4256" s="45">
        <v>4252</v>
      </c>
      <c r="CZ4256" s="18">
        <v>6.6377032638153386</v>
      </c>
      <c r="DA4256" s="18" t="str">
        <v>Invest</v>
      </c>
    </row>
    <row r="4257" spans="103:105" ht="23.5">
      <c r="CY4257" s="45">
        <v>4253</v>
      </c>
      <c r="CZ4257" s="18">
        <v>0</v>
      </c>
      <c r="DA4257" s="18" t="str">
        <v>Nothing</v>
      </c>
    </row>
    <row r="4258" spans="103:105" ht="23.5">
      <c r="CY4258" s="45">
        <v>4254</v>
      </c>
      <c r="CZ4258" s="18">
        <v>22.48353971181967</v>
      </c>
      <c r="DA4258" s="18" t="str">
        <v>Invest</v>
      </c>
    </row>
    <row r="4259" spans="103:105" ht="23.5">
      <c r="CY4259" s="45">
        <v>4255</v>
      </c>
      <c r="CZ4259" s="18">
        <v>36.946041049477742</v>
      </c>
      <c r="DA4259" s="18" t="str">
        <v>Invest</v>
      </c>
    </row>
    <row r="4260" spans="103:105" ht="23.5">
      <c r="CY4260" s="45">
        <v>4256</v>
      </c>
      <c r="CZ4260" s="18">
        <v>32.858600023854258</v>
      </c>
      <c r="DA4260" s="18" t="str">
        <v>Invest</v>
      </c>
    </row>
    <row r="4261" spans="103:105" ht="23.5">
      <c r="CY4261" s="45">
        <v>4257</v>
      </c>
      <c r="CZ4261" s="18">
        <v>22.704567065516045</v>
      </c>
      <c r="DA4261" s="18" t="str">
        <v>Invest</v>
      </c>
    </row>
    <row r="4262" spans="103:105" ht="23.5">
      <c r="CY4262" s="45">
        <v>4258</v>
      </c>
      <c r="CZ4262" s="18">
        <v>16.095794757567806</v>
      </c>
      <c r="DA4262" s="18" t="str">
        <v>Invest</v>
      </c>
    </row>
    <row r="4263" spans="103:105" ht="23.5">
      <c r="CY4263" s="45">
        <v>4259</v>
      </c>
      <c r="CZ4263" s="18">
        <v>8.6251610090210917</v>
      </c>
      <c r="DA4263" s="18" t="str">
        <v>Invest</v>
      </c>
    </row>
    <row r="4264" spans="103:105" ht="23.5">
      <c r="CY4264" s="45">
        <v>4260</v>
      </c>
      <c r="CZ4264" s="18">
        <v>10.429746337059866</v>
      </c>
      <c r="DA4264" s="18" t="str">
        <v>Invest</v>
      </c>
    </row>
    <row r="4265" spans="103:105" ht="23.5">
      <c r="CY4265" s="45">
        <v>4261</v>
      </c>
      <c r="CZ4265" s="18">
        <v>12.499731417376791</v>
      </c>
      <c r="DA4265" s="18" t="str">
        <v>Invest</v>
      </c>
    </row>
    <row r="4266" spans="103:105" ht="23.5">
      <c r="CY4266" s="45">
        <v>4262</v>
      </c>
      <c r="CZ4266" s="18">
        <v>8.8489806538503846</v>
      </c>
      <c r="DA4266" s="18" t="str">
        <v>Invest</v>
      </c>
    </row>
    <row r="4267" spans="103:105" ht="23.5">
      <c r="CY4267" s="45">
        <v>4263</v>
      </c>
      <c r="CZ4267" s="18">
        <v>0.64516182341102635</v>
      </c>
      <c r="DA4267" s="18" t="str">
        <v>Invest</v>
      </c>
    </row>
    <row r="4268" spans="103:105" ht="23.5">
      <c r="CY4268" s="45">
        <v>4264</v>
      </c>
      <c r="CZ4268" s="18">
        <v>50.347441157698903</v>
      </c>
      <c r="DA4268" s="18" t="str">
        <v>Invest</v>
      </c>
    </row>
    <row r="4269" spans="103:105" ht="23.5">
      <c r="CY4269" s="45">
        <v>4265</v>
      </c>
      <c r="CZ4269" s="18">
        <v>13.70096253510121</v>
      </c>
      <c r="DA4269" s="18" t="str">
        <v>Invest</v>
      </c>
    </row>
    <row r="4270" spans="103:105" ht="23.5">
      <c r="CY4270" s="45">
        <v>4266</v>
      </c>
      <c r="CZ4270" s="18">
        <v>4.9764059156271578</v>
      </c>
      <c r="DA4270" s="18" t="str">
        <v>Invest</v>
      </c>
    </row>
    <row r="4271" spans="103:105" ht="23.5">
      <c r="CY4271" s="45">
        <v>4267</v>
      </c>
      <c r="CZ4271" s="18">
        <v>0</v>
      </c>
      <c r="DA4271" s="18" t="str">
        <v>Nothing</v>
      </c>
    </row>
    <row r="4272" spans="103:105" ht="23.5">
      <c r="CY4272" s="45">
        <v>4268</v>
      </c>
      <c r="CZ4272" s="18">
        <v>13.15728522264156</v>
      </c>
      <c r="DA4272" s="18" t="str">
        <v>Invest</v>
      </c>
    </row>
    <row r="4273" spans="103:105" ht="23.5">
      <c r="CY4273" s="45">
        <v>4269</v>
      </c>
      <c r="CZ4273" s="18">
        <v>43.054221329575917</v>
      </c>
      <c r="DA4273" s="18" t="str">
        <v>Invest</v>
      </c>
    </row>
    <row r="4274" spans="103:105" ht="23.5">
      <c r="CY4274" s="45">
        <v>4270</v>
      </c>
      <c r="CZ4274" s="18">
        <v>6.8806290123624869</v>
      </c>
      <c r="DA4274" s="18" t="str">
        <v>Invest</v>
      </c>
    </row>
    <row r="4275" spans="103:105" ht="23.5">
      <c r="CY4275" s="45">
        <v>4271</v>
      </c>
      <c r="CZ4275" s="18">
        <v>0</v>
      </c>
      <c r="DA4275" s="18" t="str">
        <v>Nothing</v>
      </c>
    </row>
    <row r="4276" spans="103:105" ht="23.5">
      <c r="CY4276" s="45">
        <v>4272</v>
      </c>
      <c r="CZ4276" s="18">
        <v>19.657264928084093</v>
      </c>
      <c r="DA4276" s="18" t="str">
        <v>Invest</v>
      </c>
    </row>
    <row r="4277" spans="103:105" ht="23.5">
      <c r="CY4277" s="45">
        <v>4273</v>
      </c>
      <c r="CZ4277" s="18">
        <v>0</v>
      </c>
      <c r="DA4277" s="18" t="str">
        <v>Nothing</v>
      </c>
    </row>
    <row r="4278" spans="103:105" ht="23.5">
      <c r="CY4278" s="45">
        <v>4274</v>
      </c>
      <c r="CZ4278" s="18">
        <v>0</v>
      </c>
      <c r="DA4278" s="18" t="str">
        <v>Nothing</v>
      </c>
    </row>
    <row r="4279" spans="103:105" ht="23.5">
      <c r="CY4279" s="45">
        <v>4275</v>
      </c>
      <c r="CZ4279" s="18">
        <v>14.429027476174163</v>
      </c>
      <c r="DA4279" s="18" t="str">
        <v>Invest</v>
      </c>
    </row>
    <row r="4280" spans="103:105" ht="23.5">
      <c r="CY4280" s="45">
        <v>4276</v>
      </c>
      <c r="CZ4280" s="18">
        <v>23.520497665932737</v>
      </c>
      <c r="DA4280" s="18" t="str">
        <v>Invest</v>
      </c>
    </row>
    <row r="4281" spans="103:105" ht="23.5">
      <c r="CY4281" s="45">
        <v>4277</v>
      </c>
      <c r="CZ4281" s="18">
        <v>0</v>
      </c>
      <c r="DA4281" s="18" t="str">
        <v>Nothing</v>
      </c>
    </row>
    <row r="4282" spans="103:105" ht="23.5">
      <c r="CY4282" s="45">
        <v>4278</v>
      </c>
      <c r="CZ4282" s="18">
        <v>21.583734796635959</v>
      </c>
      <c r="DA4282" s="18" t="str">
        <v>Invest</v>
      </c>
    </row>
    <row r="4283" spans="103:105" ht="23.5">
      <c r="CY4283" s="45">
        <v>4279</v>
      </c>
      <c r="CZ4283" s="18">
        <v>0</v>
      </c>
      <c r="DA4283" s="18" t="str">
        <v>Nothing</v>
      </c>
    </row>
    <row r="4284" spans="103:105" ht="23.5">
      <c r="CY4284" s="45">
        <v>4280</v>
      </c>
      <c r="CZ4284" s="18">
        <v>16.780415417745349</v>
      </c>
      <c r="DA4284" s="18" t="str">
        <v>Invest</v>
      </c>
    </row>
    <row r="4285" spans="103:105" ht="23.5">
      <c r="CY4285" s="45">
        <v>4281</v>
      </c>
      <c r="CZ4285" s="18">
        <v>18.606810860031118</v>
      </c>
      <c r="DA4285" s="18" t="str">
        <v>Invest</v>
      </c>
    </row>
    <row r="4286" spans="103:105" ht="23.5">
      <c r="CY4286" s="45">
        <v>4282</v>
      </c>
      <c r="CZ4286" s="18">
        <v>39.349503199889824</v>
      </c>
      <c r="DA4286" s="18" t="str">
        <v>Invest</v>
      </c>
    </row>
    <row r="4287" spans="103:105" ht="23.5">
      <c r="CY4287" s="45">
        <v>4283</v>
      </c>
      <c r="CZ4287" s="18">
        <v>14.144128497912149</v>
      </c>
      <c r="DA4287" s="18" t="str">
        <v>Invest</v>
      </c>
    </row>
    <row r="4288" spans="103:105" ht="23.5">
      <c r="CY4288" s="45">
        <v>4284</v>
      </c>
      <c r="CZ4288" s="18">
        <v>27.280366322629817</v>
      </c>
      <c r="DA4288" s="18" t="str">
        <v>Invest</v>
      </c>
    </row>
    <row r="4289" spans="103:105" ht="23.5">
      <c r="CY4289" s="45">
        <v>4285</v>
      </c>
      <c r="CZ4289" s="18">
        <v>5.6051964758851618</v>
      </c>
      <c r="DA4289" s="18" t="str">
        <v>Invest</v>
      </c>
    </row>
    <row r="4290" spans="103:105" ht="23.5">
      <c r="CY4290" s="45">
        <v>4286</v>
      </c>
      <c r="CZ4290" s="18">
        <v>56.370265163083502</v>
      </c>
      <c r="DA4290" s="18" t="str">
        <v>Invest</v>
      </c>
    </row>
    <row r="4291" spans="103:105" ht="23.5">
      <c r="CY4291" s="45">
        <v>4287</v>
      </c>
      <c r="CZ4291" s="18">
        <v>23.946726579754635</v>
      </c>
      <c r="DA4291" s="18" t="str">
        <v>Invest</v>
      </c>
    </row>
    <row r="4292" spans="103:105" ht="23.5">
      <c r="CY4292" s="45">
        <v>4288</v>
      </c>
      <c r="CZ4292" s="18">
        <v>17.969172240160326</v>
      </c>
      <c r="DA4292" s="18" t="str">
        <v>Invest</v>
      </c>
    </row>
    <row r="4293" spans="103:105" ht="23.5">
      <c r="CY4293" s="45">
        <v>4289</v>
      </c>
      <c r="CZ4293" s="18">
        <v>0</v>
      </c>
      <c r="DA4293" s="18" t="str">
        <v>Nothing</v>
      </c>
    </row>
    <row r="4294" spans="103:105" ht="23.5">
      <c r="CY4294" s="45">
        <v>4290</v>
      </c>
      <c r="CZ4294" s="18">
        <v>6.3727760918156751</v>
      </c>
      <c r="DA4294" s="18" t="str">
        <v>Invest</v>
      </c>
    </row>
    <row r="4295" spans="103:105" ht="23.5">
      <c r="CY4295" s="45">
        <v>4291</v>
      </c>
      <c r="CZ4295" s="18">
        <v>4.7041882674060886</v>
      </c>
      <c r="DA4295" s="18" t="str">
        <v>Invest</v>
      </c>
    </row>
    <row r="4296" spans="103:105" ht="23.5">
      <c r="CY4296" s="45">
        <v>4292</v>
      </c>
      <c r="CZ4296" s="18">
        <v>6.9201919713848259</v>
      </c>
      <c r="DA4296" s="18" t="str">
        <v>Invest</v>
      </c>
    </row>
    <row r="4297" spans="103:105" ht="23.5">
      <c r="CY4297" s="45">
        <v>4293</v>
      </c>
      <c r="CZ4297" s="18">
        <v>0</v>
      </c>
      <c r="DA4297" s="18" t="str">
        <v>Nothing</v>
      </c>
    </row>
    <row r="4298" spans="103:105" ht="23.5">
      <c r="CY4298" s="45">
        <v>4294</v>
      </c>
      <c r="CZ4298" s="18">
        <v>0</v>
      </c>
      <c r="DA4298" s="18" t="str">
        <v>Nothing</v>
      </c>
    </row>
    <row r="4299" spans="103:105" ht="23.5">
      <c r="CY4299" s="45">
        <v>4295</v>
      </c>
      <c r="CZ4299" s="18">
        <v>30.60252869958812</v>
      </c>
      <c r="DA4299" s="18" t="str">
        <v>Invest</v>
      </c>
    </row>
    <row r="4300" spans="103:105" ht="23.5">
      <c r="CY4300" s="45">
        <v>4296</v>
      </c>
      <c r="CZ4300" s="18">
        <v>32.842207168087789</v>
      </c>
      <c r="DA4300" s="18" t="str">
        <v>Invest</v>
      </c>
    </row>
    <row r="4301" spans="103:105" ht="23.5">
      <c r="CY4301" s="45">
        <v>4297</v>
      </c>
      <c r="CZ4301" s="18">
        <v>12.994995218976291</v>
      </c>
      <c r="DA4301" s="18" t="str">
        <v>Invest</v>
      </c>
    </row>
    <row r="4302" spans="103:105" ht="23.5">
      <c r="CY4302" s="45">
        <v>4298</v>
      </c>
      <c r="CZ4302" s="18">
        <v>57.221013252849893</v>
      </c>
      <c r="DA4302" s="18" t="str">
        <v>Invest</v>
      </c>
    </row>
    <row r="4303" spans="103:105" ht="23.5">
      <c r="CY4303" s="45">
        <v>4299</v>
      </c>
      <c r="CZ4303" s="18">
        <v>18.940391976776162</v>
      </c>
      <c r="DA4303" s="18" t="str">
        <v>Invest</v>
      </c>
    </row>
    <row r="4304" spans="103:105" ht="23.5">
      <c r="CY4304" s="45">
        <v>4300</v>
      </c>
      <c r="CZ4304" s="18">
        <v>11.396265084081151</v>
      </c>
      <c r="DA4304" s="18" t="str">
        <v>Invest</v>
      </c>
    </row>
    <row r="4305" spans="103:105" ht="23.5">
      <c r="CY4305" s="45">
        <v>4301</v>
      </c>
      <c r="CZ4305" s="18">
        <v>17.591495380501822</v>
      </c>
      <c r="DA4305" s="18" t="str">
        <v>Invest</v>
      </c>
    </row>
    <row r="4306" spans="103:105" ht="23.5">
      <c r="CY4306" s="45">
        <v>4302</v>
      </c>
      <c r="CZ4306" s="18">
        <v>26.618796049302805</v>
      </c>
      <c r="DA4306" s="18" t="str">
        <v>Invest</v>
      </c>
    </row>
    <row r="4307" spans="103:105" ht="23.5">
      <c r="CY4307" s="45">
        <v>4303</v>
      </c>
      <c r="CZ4307" s="18">
        <v>0</v>
      </c>
      <c r="DA4307" s="18" t="str">
        <v>Nothing</v>
      </c>
    </row>
    <row r="4308" spans="103:105" ht="23.5">
      <c r="CY4308" s="45">
        <v>4304</v>
      </c>
      <c r="CZ4308" s="18">
        <v>23.558429772646736</v>
      </c>
      <c r="DA4308" s="18" t="str">
        <v>Invest</v>
      </c>
    </row>
    <row r="4309" spans="103:105" ht="23.5">
      <c r="CY4309" s="45">
        <v>4305</v>
      </c>
      <c r="CZ4309" s="18">
        <v>6.718755616094974</v>
      </c>
      <c r="DA4309" s="18" t="str">
        <v>Invest</v>
      </c>
    </row>
    <row r="4310" spans="103:105" ht="23.5">
      <c r="CY4310" s="45">
        <v>4306</v>
      </c>
      <c r="CZ4310" s="18">
        <v>1.9572267942628567</v>
      </c>
      <c r="DA4310" s="18" t="str">
        <v>Invest</v>
      </c>
    </row>
    <row r="4311" spans="103:105" ht="23.5">
      <c r="CY4311" s="45">
        <v>4307</v>
      </c>
      <c r="CZ4311" s="18">
        <v>0</v>
      </c>
      <c r="DA4311" s="18" t="str">
        <v>Nothing</v>
      </c>
    </row>
    <row r="4312" spans="103:105" ht="23.5">
      <c r="CY4312" s="45">
        <v>4308</v>
      </c>
      <c r="CZ4312" s="18">
        <v>50.218418032571719</v>
      </c>
      <c r="DA4312" s="18" t="str">
        <v>Invest</v>
      </c>
    </row>
    <row r="4313" spans="103:105" ht="23.5">
      <c r="CY4313" s="45">
        <v>4309</v>
      </c>
      <c r="CZ4313" s="18">
        <v>15.341099944936074</v>
      </c>
      <c r="DA4313" s="18" t="str">
        <v>Invest</v>
      </c>
    </row>
    <row r="4314" spans="103:105" ht="23.5">
      <c r="CY4314" s="45">
        <v>4310</v>
      </c>
      <c r="CZ4314" s="18">
        <v>0</v>
      </c>
      <c r="DA4314" s="18" t="str">
        <v>Nothing</v>
      </c>
    </row>
    <row r="4315" spans="103:105" ht="23.5">
      <c r="CY4315" s="45">
        <v>4311</v>
      </c>
      <c r="CZ4315" s="18">
        <v>6.2311968754344065</v>
      </c>
      <c r="DA4315" s="18" t="str">
        <v>Invest</v>
      </c>
    </row>
    <row r="4316" spans="103:105" ht="23.5">
      <c r="CY4316" s="45">
        <v>4312</v>
      </c>
      <c r="CZ4316" s="18">
        <v>32.407477696364019</v>
      </c>
      <c r="DA4316" s="18" t="str">
        <v>Invest</v>
      </c>
    </row>
    <row r="4317" spans="103:105" ht="23.5">
      <c r="CY4317" s="45">
        <v>4313</v>
      </c>
      <c r="CZ4317" s="18">
        <v>46.011208499661329</v>
      </c>
      <c r="DA4317" s="18" t="str">
        <v>Invest</v>
      </c>
    </row>
    <row r="4318" spans="103:105" ht="23.5">
      <c r="CY4318" s="45">
        <v>4314</v>
      </c>
      <c r="CZ4318" s="18">
        <v>2.9039116054408041</v>
      </c>
      <c r="DA4318" s="18" t="str">
        <v>Invest</v>
      </c>
    </row>
    <row r="4319" spans="103:105" ht="23.5">
      <c r="CY4319" s="45">
        <v>4315</v>
      </c>
      <c r="CZ4319" s="18">
        <v>0</v>
      </c>
      <c r="DA4319" s="18" t="str">
        <v>Nothing</v>
      </c>
    </row>
    <row r="4320" spans="103:105" ht="23.5">
      <c r="CY4320" s="45">
        <v>4316</v>
      </c>
      <c r="CZ4320" s="18">
        <v>10.825688773370485</v>
      </c>
      <c r="DA4320" s="18" t="str">
        <v>Invest</v>
      </c>
    </row>
    <row r="4321" spans="103:105" ht="23.5">
      <c r="CY4321" s="45">
        <v>4317</v>
      </c>
      <c r="CZ4321" s="18">
        <v>23.399854756252328</v>
      </c>
      <c r="DA4321" s="18" t="str">
        <v>Invest</v>
      </c>
    </row>
    <row r="4322" spans="103:105" ht="23.5">
      <c r="CY4322" s="45">
        <v>4318</v>
      </c>
      <c r="CZ4322" s="18">
        <v>0</v>
      </c>
      <c r="DA4322" s="18" t="str">
        <v>Nothing</v>
      </c>
    </row>
    <row r="4323" spans="103:105" ht="23.5">
      <c r="CY4323" s="45">
        <v>4319</v>
      </c>
      <c r="CZ4323" s="18">
        <v>0</v>
      </c>
      <c r="DA4323" s="18" t="str">
        <v>Nothing</v>
      </c>
    </row>
    <row r="4324" spans="103:105" ht="23.5">
      <c r="CY4324" s="45">
        <v>4320</v>
      </c>
      <c r="CZ4324" s="18">
        <v>0</v>
      </c>
      <c r="DA4324" s="18" t="str">
        <v>Nothing</v>
      </c>
    </row>
    <row r="4325" spans="103:105" ht="23.5">
      <c r="CY4325" s="45">
        <v>4321</v>
      </c>
      <c r="CZ4325" s="18">
        <v>32.324800916982085</v>
      </c>
      <c r="DA4325" s="18" t="str">
        <v>Invest</v>
      </c>
    </row>
    <row r="4326" spans="103:105" ht="23.5">
      <c r="CY4326" s="45">
        <v>4322</v>
      </c>
      <c r="CZ4326" s="18">
        <v>0</v>
      </c>
      <c r="DA4326" s="18" t="str">
        <v>Nothing</v>
      </c>
    </row>
    <row r="4327" spans="103:105" ht="23.5">
      <c r="CY4327" s="45">
        <v>4323</v>
      </c>
      <c r="CZ4327" s="18">
        <v>0</v>
      </c>
      <c r="DA4327" s="18" t="str">
        <v>Nothing</v>
      </c>
    </row>
    <row r="4328" spans="103:105" ht="23.5">
      <c r="CY4328" s="45">
        <v>4324</v>
      </c>
      <c r="CZ4328" s="18">
        <v>0</v>
      </c>
      <c r="DA4328" s="18" t="str">
        <v>Nothing</v>
      </c>
    </row>
    <row r="4329" spans="103:105" ht="23.5">
      <c r="CY4329" s="45">
        <v>4325</v>
      </c>
      <c r="CZ4329" s="18">
        <v>0</v>
      </c>
      <c r="DA4329" s="18" t="str">
        <v>Nothing</v>
      </c>
    </row>
    <row r="4330" spans="103:105" ht="23.5">
      <c r="CY4330" s="45">
        <v>4326</v>
      </c>
      <c r="CZ4330" s="18">
        <v>16.648397244190896</v>
      </c>
      <c r="DA4330" s="18" t="str">
        <v>Invest</v>
      </c>
    </row>
    <row r="4331" spans="103:105" ht="23.5">
      <c r="CY4331" s="45">
        <v>4327</v>
      </c>
      <c r="CZ4331" s="18">
        <v>10.787158494708894</v>
      </c>
      <c r="DA4331" s="18" t="str">
        <v>Invest</v>
      </c>
    </row>
    <row r="4332" spans="103:105" ht="23.5">
      <c r="CY4332" s="45">
        <v>4328</v>
      </c>
      <c r="CZ4332" s="18">
        <v>10.960273701234502</v>
      </c>
      <c r="DA4332" s="18" t="str">
        <v>Invest</v>
      </c>
    </row>
    <row r="4333" spans="103:105" ht="23.5">
      <c r="CY4333" s="45">
        <v>4329</v>
      </c>
      <c r="CZ4333" s="18">
        <v>48.402153879479613</v>
      </c>
      <c r="DA4333" s="18" t="str">
        <v>Invest</v>
      </c>
    </row>
    <row r="4334" spans="103:105" ht="23.5">
      <c r="CY4334" s="45">
        <v>4330</v>
      </c>
      <c r="CZ4334" s="18">
        <v>30.048129320292311</v>
      </c>
      <c r="DA4334" s="18" t="str">
        <v>Invest</v>
      </c>
    </row>
    <row r="4335" spans="103:105" ht="23.5">
      <c r="CY4335" s="45">
        <v>4331</v>
      </c>
      <c r="CZ4335" s="18">
        <v>7.9945429134158594</v>
      </c>
      <c r="DA4335" s="18" t="str">
        <v>Invest</v>
      </c>
    </row>
    <row r="4336" spans="103:105" ht="23.5">
      <c r="CY4336" s="45">
        <v>4332</v>
      </c>
      <c r="CZ4336" s="18">
        <v>32.304027723735594</v>
      </c>
      <c r="DA4336" s="18" t="str">
        <v>Invest</v>
      </c>
    </row>
    <row r="4337" spans="103:105" ht="23.5">
      <c r="CY4337" s="45">
        <v>4333</v>
      </c>
      <c r="CZ4337" s="18">
        <v>0</v>
      </c>
      <c r="DA4337" s="18" t="str">
        <v>Nothing</v>
      </c>
    </row>
    <row r="4338" spans="103:105" ht="23.5">
      <c r="CY4338" s="45">
        <v>4334</v>
      </c>
      <c r="CZ4338" s="18">
        <v>0</v>
      </c>
      <c r="DA4338" s="18" t="str">
        <v>Nothing</v>
      </c>
    </row>
    <row r="4339" spans="103:105" ht="23.5">
      <c r="CY4339" s="45">
        <v>4335</v>
      </c>
      <c r="CZ4339" s="18">
        <v>16.730415200488849</v>
      </c>
      <c r="DA4339" s="18" t="str">
        <v>Invest</v>
      </c>
    </row>
    <row r="4340" spans="103:105" ht="23.5">
      <c r="CY4340" s="45">
        <v>4336</v>
      </c>
      <c r="CZ4340" s="18">
        <v>0</v>
      </c>
      <c r="DA4340" s="18" t="str">
        <v>Nothing</v>
      </c>
    </row>
    <row r="4341" spans="103:105" ht="23.5">
      <c r="CY4341" s="45">
        <v>4337</v>
      </c>
      <c r="CZ4341" s="18">
        <v>0</v>
      </c>
      <c r="DA4341" s="18" t="str">
        <v>Nothing</v>
      </c>
    </row>
    <row r="4342" spans="103:105" ht="23.5">
      <c r="CY4342" s="45">
        <v>4338</v>
      </c>
      <c r="CZ4342" s="18">
        <v>33.535012927062212</v>
      </c>
      <c r="DA4342" s="18" t="str">
        <v>Invest</v>
      </c>
    </row>
    <row r="4343" spans="103:105" ht="23.5">
      <c r="CY4343" s="45">
        <v>4339</v>
      </c>
      <c r="CZ4343" s="18">
        <v>15.581992381918907</v>
      </c>
      <c r="DA4343" s="18" t="str">
        <v>Invest</v>
      </c>
    </row>
    <row r="4344" spans="103:105" ht="23.5">
      <c r="CY4344" s="45">
        <v>4340</v>
      </c>
      <c r="CZ4344" s="18">
        <v>0</v>
      </c>
      <c r="DA4344" s="18" t="str">
        <v>Nothing</v>
      </c>
    </row>
    <row r="4345" spans="103:105" ht="23.5">
      <c r="CY4345" s="45">
        <v>4341</v>
      </c>
      <c r="CZ4345" s="18">
        <v>0</v>
      </c>
      <c r="DA4345" s="18" t="str">
        <v>Nothing</v>
      </c>
    </row>
    <row r="4346" spans="103:105" ht="23.5">
      <c r="CY4346" s="45">
        <v>4342</v>
      </c>
      <c r="CZ4346" s="18">
        <v>0</v>
      </c>
      <c r="DA4346" s="18" t="str">
        <v>Nothing</v>
      </c>
    </row>
    <row r="4347" spans="103:105" ht="23.5">
      <c r="CY4347" s="45">
        <v>4343</v>
      </c>
      <c r="CZ4347" s="18">
        <v>29.222018533356383</v>
      </c>
      <c r="DA4347" s="18" t="str">
        <v>Invest</v>
      </c>
    </row>
    <row r="4348" spans="103:105" ht="23.5">
      <c r="CY4348" s="45">
        <v>4344</v>
      </c>
      <c r="CZ4348" s="18">
        <v>49.399255009065229</v>
      </c>
      <c r="DA4348" s="18" t="str">
        <v>Invest</v>
      </c>
    </row>
    <row r="4349" spans="103:105" ht="23.5">
      <c r="CY4349" s="45">
        <v>4345</v>
      </c>
      <c r="CZ4349" s="18">
        <v>10.260035190383762</v>
      </c>
      <c r="DA4349" s="18" t="str">
        <v>Invest</v>
      </c>
    </row>
    <row r="4350" spans="103:105" ht="23.5">
      <c r="CY4350" s="45">
        <v>4346</v>
      </c>
      <c r="CZ4350" s="18">
        <v>0</v>
      </c>
      <c r="DA4350" s="18" t="str">
        <v>Nothing</v>
      </c>
    </row>
    <row r="4351" spans="103:105" ht="23.5">
      <c r="CY4351" s="45">
        <v>4347</v>
      </c>
      <c r="CZ4351" s="18">
        <v>37.585440284159361</v>
      </c>
      <c r="DA4351" s="18" t="str">
        <v>Invest</v>
      </c>
    </row>
    <row r="4352" spans="103:105" ht="23.5">
      <c r="CY4352" s="45">
        <v>4348</v>
      </c>
      <c r="CZ4352" s="18">
        <v>5.3978625442273316</v>
      </c>
      <c r="DA4352" s="18" t="str">
        <v>Invest</v>
      </c>
    </row>
    <row r="4353" spans="103:105" ht="23.5">
      <c r="CY4353" s="45">
        <v>4349</v>
      </c>
      <c r="CZ4353" s="18">
        <v>48.898753245334163</v>
      </c>
      <c r="DA4353" s="18" t="str">
        <v>Invest</v>
      </c>
    </row>
    <row r="4354" spans="103:105" ht="23.5">
      <c r="CY4354" s="45">
        <v>4350</v>
      </c>
      <c r="CZ4354" s="18">
        <v>1.4603015888404052</v>
      </c>
      <c r="DA4354" s="18" t="str">
        <v>Invest</v>
      </c>
    </row>
    <row r="4355" spans="103:105" ht="23.5">
      <c r="CY4355" s="45">
        <v>4351</v>
      </c>
      <c r="CZ4355" s="18">
        <v>8.2620844569066385</v>
      </c>
      <c r="DA4355" s="18" t="str">
        <v>Invest</v>
      </c>
    </row>
    <row r="4356" spans="103:105" ht="23.5">
      <c r="CY4356" s="45">
        <v>4352</v>
      </c>
      <c r="CZ4356" s="18">
        <v>38.856498226152063</v>
      </c>
      <c r="DA4356" s="18" t="str">
        <v>Invest</v>
      </c>
    </row>
    <row r="4357" spans="103:105" ht="23.5">
      <c r="CY4357" s="45">
        <v>4353</v>
      </c>
      <c r="CZ4357" s="18">
        <v>50.346930754018096</v>
      </c>
      <c r="DA4357" s="18" t="str">
        <v>Invest</v>
      </c>
    </row>
    <row r="4358" spans="103:105" ht="23.5">
      <c r="CY4358" s="45">
        <v>4354</v>
      </c>
      <c r="CZ4358" s="18">
        <v>0</v>
      </c>
      <c r="DA4358" s="18" t="str">
        <v>Nothing</v>
      </c>
    </row>
    <row r="4359" spans="103:105" ht="23.5">
      <c r="CY4359" s="45">
        <v>4355</v>
      </c>
      <c r="CZ4359" s="18">
        <v>13.516997074137503</v>
      </c>
      <c r="DA4359" s="18" t="str">
        <v>Invest</v>
      </c>
    </row>
    <row r="4360" spans="103:105" ht="23.5">
      <c r="CY4360" s="45">
        <v>4356</v>
      </c>
      <c r="CZ4360" s="18">
        <v>8.1810258059337606</v>
      </c>
      <c r="DA4360" s="18" t="str">
        <v>Invest</v>
      </c>
    </row>
    <row r="4361" spans="103:105" ht="23.5">
      <c r="CY4361" s="45">
        <v>4357</v>
      </c>
      <c r="CZ4361" s="18">
        <v>1.0346933657761586</v>
      </c>
      <c r="DA4361" s="18" t="str">
        <v>Invest</v>
      </c>
    </row>
    <row r="4362" spans="103:105" ht="23.5">
      <c r="CY4362" s="45">
        <v>4358</v>
      </c>
      <c r="CZ4362" s="18">
        <v>17.361258797631947</v>
      </c>
      <c r="DA4362" s="18" t="str">
        <v>Invest</v>
      </c>
    </row>
    <row r="4363" spans="103:105" ht="23.5">
      <c r="CY4363" s="45">
        <v>4359</v>
      </c>
      <c r="CZ4363" s="18">
        <v>22.611746508296552</v>
      </c>
      <c r="DA4363" s="18" t="str">
        <v>Invest</v>
      </c>
    </row>
    <row r="4364" spans="103:105" ht="23.5">
      <c r="CY4364" s="45">
        <v>4360</v>
      </c>
      <c r="CZ4364" s="18">
        <v>12.703473565647883</v>
      </c>
      <c r="DA4364" s="18" t="str">
        <v>Invest</v>
      </c>
    </row>
    <row r="4365" spans="103:105" ht="23.5">
      <c r="CY4365" s="45">
        <v>4361</v>
      </c>
      <c r="CZ4365" s="18">
        <v>31.756665678642626</v>
      </c>
      <c r="DA4365" s="18" t="str">
        <v>Invest</v>
      </c>
    </row>
    <row r="4366" spans="103:105" ht="23.5">
      <c r="CY4366" s="45">
        <v>4362</v>
      </c>
      <c r="CZ4366" s="18">
        <v>33.308578275490859</v>
      </c>
      <c r="DA4366" s="18" t="str">
        <v>Invest</v>
      </c>
    </row>
    <row r="4367" spans="103:105" ht="23.5">
      <c r="CY4367" s="45">
        <v>4363</v>
      </c>
      <c r="CZ4367" s="18">
        <v>0</v>
      </c>
      <c r="DA4367" s="18" t="str">
        <v>Nothing</v>
      </c>
    </row>
    <row r="4368" spans="103:105" ht="23.5">
      <c r="CY4368" s="45">
        <v>4364</v>
      </c>
      <c r="CZ4368" s="18">
        <v>8.6990652086345559</v>
      </c>
      <c r="DA4368" s="18" t="str">
        <v>Invest</v>
      </c>
    </row>
    <row r="4369" spans="103:105" ht="23.5">
      <c r="CY4369" s="45">
        <v>4365</v>
      </c>
      <c r="CZ4369" s="18">
        <v>0</v>
      </c>
      <c r="DA4369" s="18" t="str">
        <v>Nothing</v>
      </c>
    </row>
    <row r="4370" spans="103:105" ht="23.5">
      <c r="CY4370" s="45">
        <v>4366</v>
      </c>
      <c r="CZ4370" s="18">
        <v>0</v>
      </c>
      <c r="DA4370" s="18" t="str">
        <v>Nothing</v>
      </c>
    </row>
    <row r="4371" spans="103:105" ht="23.5">
      <c r="CY4371" s="45">
        <v>4367</v>
      </c>
      <c r="CZ4371" s="18">
        <v>6.8319442266697852</v>
      </c>
      <c r="DA4371" s="18" t="str">
        <v>Invest</v>
      </c>
    </row>
    <row r="4372" spans="103:105" ht="23.5">
      <c r="CY4372" s="45">
        <v>4368</v>
      </c>
      <c r="CZ4372" s="18">
        <v>17.27644775576379</v>
      </c>
      <c r="DA4372" s="18" t="str">
        <v>Invest</v>
      </c>
    </row>
    <row r="4373" spans="103:105" ht="23.5">
      <c r="CY4373" s="45">
        <v>4369</v>
      </c>
      <c r="CZ4373" s="18">
        <v>0</v>
      </c>
      <c r="DA4373" s="18" t="str">
        <v>Nothing</v>
      </c>
    </row>
    <row r="4374" spans="103:105" ht="23.5">
      <c r="CY4374" s="45">
        <v>4370</v>
      </c>
      <c r="CZ4374" s="18">
        <v>36.841248587880209</v>
      </c>
      <c r="DA4374" s="18" t="str">
        <v>Invest</v>
      </c>
    </row>
    <row r="4375" spans="103:105" ht="23.5">
      <c r="CY4375" s="45">
        <v>4371</v>
      </c>
      <c r="CZ4375" s="18">
        <v>15.928243127993829</v>
      </c>
      <c r="DA4375" s="18" t="str">
        <v>Invest</v>
      </c>
    </row>
    <row r="4376" spans="103:105" ht="23.5">
      <c r="CY4376" s="45">
        <v>4372</v>
      </c>
      <c r="CZ4376" s="18">
        <v>0</v>
      </c>
      <c r="DA4376" s="18" t="str">
        <v>Nothing</v>
      </c>
    </row>
    <row r="4377" spans="103:105" ht="23.5">
      <c r="CY4377" s="45">
        <v>4373</v>
      </c>
      <c r="CZ4377" s="18">
        <v>53.881571940437894</v>
      </c>
      <c r="DA4377" s="18" t="str">
        <v>Invest</v>
      </c>
    </row>
    <row r="4378" spans="103:105" ht="23.5">
      <c r="CY4378" s="45">
        <v>4374</v>
      </c>
      <c r="CZ4378" s="18">
        <v>60.029103152622973</v>
      </c>
      <c r="DA4378" s="18" t="str">
        <v>Invest</v>
      </c>
    </row>
    <row r="4379" spans="103:105" ht="23.5">
      <c r="CY4379" s="45">
        <v>4375</v>
      </c>
      <c r="CZ4379" s="18">
        <v>0</v>
      </c>
      <c r="DA4379" s="18" t="str">
        <v>Nothing</v>
      </c>
    </row>
    <row r="4380" spans="103:105" ht="23.5">
      <c r="CY4380" s="45">
        <v>4376</v>
      </c>
      <c r="CZ4380" s="18">
        <v>0.48246165615319825</v>
      </c>
      <c r="DA4380" s="18" t="str">
        <v>Invest</v>
      </c>
    </row>
    <row r="4381" spans="103:105" ht="23.5">
      <c r="CY4381" s="45">
        <v>4377</v>
      </c>
      <c r="CZ4381" s="18">
        <v>7.5089067699608902</v>
      </c>
      <c r="DA4381" s="18" t="str">
        <v>Invest</v>
      </c>
    </row>
    <row r="4382" spans="103:105" ht="23.5">
      <c r="CY4382" s="45">
        <v>4378</v>
      </c>
      <c r="CZ4382" s="18">
        <v>61.974157215494195</v>
      </c>
      <c r="DA4382" s="18" t="str">
        <v>Invest</v>
      </c>
    </row>
    <row r="4383" spans="103:105" ht="23.5">
      <c r="CY4383" s="45">
        <v>4379</v>
      </c>
      <c r="CZ4383" s="18">
        <v>31.051208671768585</v>
      </c>
      <c r="DA4383" s="18" t="str">
        <v>Invest</v>
      </c>
    </row>
    <row r="4384" spans="103:105" ht="23.5">
      <c r="CY4384" s="45">
        <v>4380</v>
      </c>
      <c r="CZ4384" s="18">
        <v>4.2879667163077073</v>
      </c>
      <c r="DA4384" s="18" t="str">
        <v>Invest</v>
      </c>
    </row>
    <row r="4385" spans="103:105" ht="23.5">
      <c r="CY4385" s="45">
        <v>4381</v>
      </c>
      <c r="CZ4385" s="18">
        <v>59.221890108357613</v>
      </c>
      <c r="DA4385" s="18" t="str">
        <v>Invest</v>
      </c>
    </row>
    <row r="4386" spans="103:105" ht="23.5">
      <c r="CY4386" s="45">
        <v>4382</v>
      </c>
      <c r="CZ4386" s="18">
        <v>41.666965263405601</v>
      </c>
      <c r="DA4386" s="18" t="str">
        <v>Invest</v>
      </c>
    </row>
    <row r="4387" spans="103:105" ht="23.5">
      <c r="CY4387" s="45">
        <v>4383</v>
      </c>
      <c r="CZ4387" s="18">
        <v>11.134480695654682</v>
      </c>
      <c r="DA4387" s="18" t="str">
        <v>Invest</v>
      </c>
    </row>
    <row r="4388" spans="103:105" ht="23.5">
      <c r="CY4388" s="45">
        <v>4384</v>
      </c>
      <c r="CZ4388" s="18">
        <v>14.497352931511546</v>
      </c>
      <c r="DA4388" s="18" t="str">
        <v>Invest</v>
      </c>
    </row>
    <row r="4389" spans="103:105" ht="23.5">
      <c r="CY4389" s="45">
        <v>4385</v>
      </c>
      <c r="CZ4389" s="18">
        <v>15.016190386011385</v>
      </c>
      <c r="DA4389" s="18" t="str">
        <v>Invest</v>
      </c>
    </row>
    <row r="4390" spans="103:105" ht="23.5">
      <c r="CY4390" s="45">
        <v>4386</v>
      </c>
      <c r="CZ4390" s="18">
        <v>11.740776049495771</v>
      </c>
      <c r="DA4390" s="18" t="str">
        <v>Invest</v>
      </c>
    </row>
    <row r="4391" spans="103:105" ht="23.5">
      <c r="CY4391" s="45">
        <v>4387</v>
      </c>
      <c r="CZ4391" s="18">
        <v>28.842756077066916</v>
      </c>
      <c r="DA4391" s="18" t="str">
        <v>Invest</v>
      </c>
    </row>
    <row r="4392" spans="103:105" ht="23.5">
      <c r="CY4392" s="45">
        <v>4388</v>
      </c>
      <c r="CZ4392" s="18">
        <v>21.773316162235204</v>
      </c>
      <c r="DA4392" s="18" t="str">
        <v>Invest</v>
      </c>
    </row>
    <row r="4393" spans="103:105" ht="23.5">
      <c r="CY4393" s="45">
        <v>4389</v>
      </c>
      <c r="CZ4393" s="18">
        <v>6.908423610509681</v>
      </c>
      <c r="DA4393" s="18" t="str">
        <v>Invest</v>
      </c>
    </row>
    <row r="4394" spans="103:105" ht="23.5">
      <c r="CY4394" s="45">
        <v>4390</v>
      </c>
      <c r="CZ4394" s="18">
        <v>6.8430461369401314</v>
      </c>
      <c r="DA4394" s="18" t="str">
        <v>Invest</v>
      </c>
    </row>
    <row r="4395" spans="103:105" ht="23.5">
      <c r="CY4395" s="45">
        <v>4391</v>
      </c>
      <c r="CZ4395" s="18">
        <v>0</v>
      </c>
      <c r="DA4395" s="18" t="str">
        <v>Nothing</v>
      </c>
    </row>
    <row r="4396" spans="103:105" ht="23.5">
      <c r="CY4396" s="45">
        <v>4392</v>
      </c>
      <c r="CZ4396" s="18">
        <v>0</v>
      </c>
      <c r="DA4396" s="18" t="str">
        <v>Nothing</v>
      </c>
    </row>
    <row r="4397" spans="103:105" ht="23.5">
      <c r="CY4397" s="45">
        <v>4393</v>
      </c>
      <c r="CZ4397" s="18">
        <v>1.121731890524325</v>
      </c>
      <c r="DA4397" s="18" t="str">
        <v>Invest</v>
      </c>
    </row>
    <row r="4398" spans="103:105" ht="23.5">
      <c r="CY4398" s="45">
        <v>4394</v>
      </c>
      <c r="CZ4398" s="18">
        <v>14.085249571274284</v>
      </c>
      <c r="DA4398" s="18" t="str">
        <v>Invest</v>
      </c>
    </row>
    <row r="4399" spans="103:105" ht="23.5">
      <c r="CY4399" s="45">
        <v>4395</v>
      </c>
      <c r="CZ4399" s="18">
        <v>34.007904132271548</v>
      </c>
      <c r="DA4399" s="18" t="str">
        <v>Invest</v>
      </c>
    </row>
    <row r="4400" spans="103:105" ht="23.5">
      <c r="CY4400" s="45">
        <v>4396</v>
      </c>
      <c r="CZ4400" s="18">
        <v>6.4774679607204178E-2</v>
      </c>
      <c r="DA4400" s="18" t="str">
        <v>Invest</v>
      </c>
    </row>
    <row r="4401" spans="103:105" ht="23.5">
      <c r="CY4401" s="45">
        <v>4397</v>
      </c>
      <c r="CZ4401" s="18">
        <v>0</v>
      </c>
      <c r="DA4401" s="18" t="str">
        <v>Nothing</v>
      </c>
    </row>
    <row r="4402" spans="103:105" ht="23.5">
      <c r="CY4402" s="45">
        <v>4398</v>
      </c>
      <c r="CZ4402" s="18">
        <v>6.4929575030139119</v>
      </c>
      <c r="DA4402" s="18" t="str">
        <v>Invest</v>
      </c>
    </row>
    <row r="4403" spans="103:105" ht="23.5">
      <c r="CY4403" s="45">
        <v>4399</v>
      </c>
      <c r="CZ4403" s="18">
        <v>0</v>
      </c>
      <c r="DA4403" s="18" t="str">
        <v>Nothing</v>
      </c>
    </row>
    <row r="4404" spans="103:105" ht="23.5">
      <c r="CY4404" s="45">
        <v>4400</v>
      </c>
      <c r="CZ4404" s="18">
        <v>0</v>
      </c>
      <c r="DA4404" s="18" t="str">
        <v>Nothing</v>
      </c>
    </row>
    <row r="4405" spans="103:105" ht="23.5">
      <c r="CY4405" s="45">
        <v>4401</v>
      </c>
      <c r="CZ4405" s="18">
        <v>30.094531120413755</v>
      </c>
      <c r="DA4405" s="18" t="str">
        <v>Invest</v>
      </c>
    </row>
    <row r="4406" spans="103:105" ht="23.5">
      <c r="CY4406" s="45">
        <v>4402</v>
      </c>
      <c r="CZ4406" s="18">
        <v>29.266163742987143</v>
      </c>
      <c r="DA4406" s="18" t="str">
        <v>Invest</v>
      </c>
    </row>
    <row r="4407" spans="103:105" ht="23.5">
      <c r="CY4407" s="45">
        <v>4403</v>
      </c>
      <c r="CZ4407" s="18">
        <v>0.95433620790278084</v>
      </c>
      <c r="DA4407" s="18" t="str">
        <v>Invest</v>
      </c>
    </row>
    <row r="4408" spans="103:105" ht="23.5">
      <c r="CY4408" s="45">
        <v>4404</v>
      </c>
      <c r="CZ4408" s="18">
        <v>5.479813288014558</v>
      </c>
      <c r="DA4408" s="18" t="str">
        <v>Invest</v>
      </c>
    </row>
    <row r="4409" spans="103:105" ht="23.5">
      <c r="CY4409" s="45">
        <v>4405</v>
      </c>
      <c r="CZ4409" s="18">
        <v>36.586029775466137</v>
      </c>
      <c r="DA4409" s="18" t="str">
        <v>Invest</v>
      </c>
    </row>
    <row r="4410" spans="103:105" ht="23.5">
      <c r="CY4410" s="45">
        <v>4406</v>
      </c>
      <c r="CZ4410" s="18">
        <v>0</v>
      </c>
      <c r="DA4410" s="18" t="str">
        <v>Nothing</v>
      </c>
    </row>
    <row r="4411" spans="103:105" ht="23.5">
      <c r="CY4411" s="45">
        <v>4407</v>
      </c>
      <c r="CZ4411" s="18">
        <v>27.147563031242086</v>
      </c>
      <c r="DA4411" s="18" t="str">
        <v>Invest</v>
      </c>
    </row>
    <row r="4412" spans="103:105" ht="23.5">
      <c r="CY4412" s="45">
        <v>4408</v>
      </c>
      <c r="CZ4412" s="18">
        <v>13.88048553996174</v>
      </c>
      <c r="DA4412" s="18" t="str">
        <v>Invest</v>
      </c>
    </row>
    <row r="4413" spans="103:105" ht="23.5">
      <c r="CY4413" s="45">
        <v>4409</v>
      </c>
      <c r="CZ4413" s="18">
        <v>0</v>
      </c>
      <c r="DA4413" s="18" t="str">
        <v>Nothing</v>
      </c>
    </row>
    <row r="4414" spans="103:105" ht="23.5">
      <c r="CY4414" s="45">
        <v>4410</v>
      </c>
      <c r="CZ4414" s="18">
        <v>32.426612907167545</v>
      </c>
      <c r="DA4414" s="18" t="str">
        <v>Invest</v>
      </c>
    </row>
    <row r="4415" spans="103:105" ht="23.5">
      <c r="CY4415" s="45">
        <v>4411</v>
      </c>
      <c r="CZ4415" s="18">
        <v>11.706262107113588</v>
      </c>
      <c r="DA4415" s="18" t="str">
        <v>Invest</v>
      </c>
    </row>
    <row r="4416" spans="103:105" ht="23.5">
      <c r="CY4416" s="45">
        <v>4412</v>
      </c>
      <c r="CZ4416" s="18">
        <v>0</v>
      </c>
      <c r="DA4416" s="18" t="str">
        <v>Nothing</v>
      </c>
    </row>
    <row r="4417" spans="103:105" ht="23.5">
      <c r="CY4417" s="45">
        <v>4413</v>
      </c>
      <c r="CZ4417" s="18">
        <v>0.15865653203294983</v>
      </c>
      <c r="DA4417" s="18" t="str">
        <v>Invest</v>
      </c>
    </row>
    <row r="4418" spans="103:105" ht="23.5">
      <c r="CY4418" s="45">
        <v>4414</v>
      </c>
      <c r="CZ4418" s="18">
        <v>0</v>
      </c>
      <c r="DA4418" s="18" t="str">
        <v>Nothing</v>
      </c>
    </row>
    <row r="4419" spans="103:105" ht="23.5">
      <c r="CY4419" s="45">
        <v>4415</v>
      </c>
      <c r="CZ4419" s="18">
        <v>17.156792008395378</v>
      </c>
      <c r="DA4419" s="18" t="str">
        <v>Invest</v>
      </c>
    </row>
    <row r="4420" spans="103:105" ht="23.5">
      <c r="CY4420" s="45">
        <v>4416</v>
      </c>
      <c r="CZ4420" s="18">
        <v>10.947572690105916</v>
      </c>
      <c r="DA4420" s="18" t="str">
        <v>Invest</v>
      </c>
    </row>
    <row r="4421" spans="103:105" ht="23.5">
      <c r="CY4421" s="45">
        <v>4417</v>
      </c>
      <c r="CZ4421" s="18">
        <v>54.278459751272237</v>
      </c>
      <c r="DA4421" s="18" t="str">
        <v>Invest</v>
      </c>
    </row>
    <row r="4422" spans="103:105" ht="23.5">
      <c r="CY4422" s="45">
        <v>4418</v>
      </c>
      <c r="CZ4422" s="18">
        <v>7.4328952989473507E-2</v>
      </c>
      <c r="DA4422" s="18" t="str">
        <v>Invest</v>
      </c>
    </row>
    <row r="4423" spans="103:105" ht="23.5">
      <c r="CY4423" s="45">
        <v>4419</v>
      </c>
      <c r="CZ4423" s="18">
        <v>33.56304919932235</v>
      </c>
      <c r="DA4423" s="18" t="str">
        <v>Invest</v>
      </c>
    </row>
    <row r="4424" spans="103:105" ht="23.5">
      <c r="CY4424" s="45">
        <v>4420</v>
      </c>
      <c r="CZ4424" s="18">
        <v>9.5482279534838597</v>
      </c>
      <c r="DA4424" s="18" t="str">
        <v>Invest</v>
      </c>
    </row>
    <row r="4425" spans="103:105" ht="23.5">
      <c r="CY4425" s="45">
        <v>4421</v>
      </c>
      <c r="CZ4425" s="18">
        <v>4.0644239141794163</v>
      </c>
      <c r="DA4425" s="18" t="str">
        <v>Invest</v>
      </c>
    </row>
    <row r="4426" spans="103:105" ht="23.5">
      <c r="CY4426" s="45">
        <v>4422</v>
      </c>
      <c r="CZ4426" s="18">
        <v>30.285953971592278</v>
      </c>
      <c r="DA4426" s="18" t="str">
        <v>Invest</v>
      </c>
    </row>
    <row r="4427" spans="103:105" ht="23.5">
      <c r="CY4427" s="45">
        <v>4423</v>
      </c>
      <c r="CZ4427" s="18">
        <v>5.644750367552497</v>
      </c>
      <c r="DA4427" s="18" t="str">
        <v>Invest</v>
      </c>
    </row>
    <row r="4428" spans="103:105" ht="23.5">
      <c r="CY4428" s="45">
        <v>4424</v>
      </c>
      <c r="CZ4428" s="18">
        <v>37.678986410858599</v>
      </c>
      <c r="DA4428" s="18" t="str">
        <v>Invest</v>
      </c>
    </row>
    <row r="4429" spans="103:105" ht="23.5">
      <c r="CY4429" s="45">
        <v>4425</v>
      </c>
      <c r="CZ4429" s="18">
        <v>32.53569759598976</v>
      </c>
      <c r="DA4429" s="18" t="str">
        <v>Invest</v>
      </c>
    </row>
    <row r="4430" spans="103:105" ht="23.5">
      <c r="CY4430" s="45">
        <v>4426</v>
      </c>
      <c r="CZ4430" s="18">
        <v>7.3510929181570894</v>
      </c>
      <c r="DA4430" s="18" t="str">
        <v>Invest</v>
      </c>
    </row>
    <row r="4431" spans="103:105" ht="23.5">
      <c r="CY4431" s="45">
        <v>4427</v>
      </c>
      <c r="CZ4431" s="18">
        <v>0</v>
      </c>
      <c r="DA4431" s="18" t="str">
        <v>Nothing</v>
      </c>
    </row>
    <row r="4432" spans="103:105" ht="23.5">
      <c r="CY4432" s="45">
        <v>4428</v>
      </c>
      <c r="CZ4432" s="18">
        <v>21.515736529790985</v>
      </c>
      <c r="DA4432" s="18" t="str">
        <v>Invest</v>
      </c>
    </row>
    <row r="4433" spans="103:105" ht="23.5">
      <c r="CY4433" s="45">
        <v>4429</v>
      </c>
      <c r="CZ4433" s="18">
        <v>18.466436056587447</v>
      </c>
      <c r="DA4433" s="18" t="str">
        <v>Invest</v>
      </c>
    </row>
    <row r="4434" spans="103:105" ht="23.5">
      <c r="CY4434" s="45">
        <v>4430</v>
      </c>
      <c r="CZ4434" s="18">
        <v>0</v>
      </c>
      <c r="DA4434" s="18" t="str">
        <v>Nothing</v>
      </c>
    </row>
    <row r="4435" spans="103:105" ht="23.5">
      <c r="CY4435" s="45">
        <v>4431</v>
      </c>
      <c r="CZ4435" s="18">
        <v>8.2691839938994161</v>
      </c>
      <c r="DA4435" s="18" t="str">
        <v>Invest</v>
      </c>
    </row>
    <row r="4436" spans="103:105" ht="23.5">
      <c r="CY4436" s="45">
        <v>4432</v>
      </c>
      <c r="CZ4436" s="18">
        <v>5.4879534012622919</v>
      </c>
      <c r="DA4436" s="18" t="str">
        <v>Invest</v>
      </c>
    </row>
    <row r="4437" spans="103:105" ht="23.5">
      <c r="CY4437" s="45">
        <v>4433</v>
      </c>
      <c r="CZ4437" s="18">
        <v>0</v>
      </c>
      <c r="DA4437" s="18" t="str">
        <v>Nothing</v>
      </c>
    </row>
    <row r="4438" spans="103:105" ht="23.5">
      <c r="CY4438" s="45">
        <v>4434</v>
      </c>
      <c r="CZ4438" s="18">
        <v>8.8832260604559785</v>
      </c>
      <c r="DA4438" s="18" t="str">
        <v>Invest</v>
      </c>
    </row>
    <row r="4439" spans="103:105" ht="23.5">
      <c r="CY4439" s="45">
        <v>4435</v>
      </c>
      <c r="CZ4439" s="18">
        <v>38.383994324201495</v>
      </c>
      <c r="DA4439" s="18" t="str">
        <v>Invest</v>
      </c>
    </row>
    <row r="4440" spans="103:105" ht="23.5">
      <c r="CY4440" s="45">
        <v>4436</v>
      </c>
      <c r="CZ4440" s="18">
        <v>0.8404311586165214</v>
      </c>
      <c r="DA4440" s="18" t="str">
        <v>Invest</v>
      </c>
    </row>
    <row r="4441" spans="103:105" ht="23.5">
      <c r="CY4441" s="45">
        <v>4437</v>
      </c>
      <c r="CZ4441" s="18">
        <v>18.54769331789279</v>
      </c>
      <c r="DA4441" s="18" t="str">
        <v>Invest</v>
      </c>
    </row>
    <row r="4442" spans="103:105" ht="23.5">
      <c r="CY4442" s="45">
        <v>4438</v>
      </c>
      <c r="CZ4442" s="18">
        <v>0</v>
      </c>
      <c r="DA4442" s="18" t="str">
        <v>Nothing</v>
      </c>
    </row>
    <row r="4443" spans="103:105" ht="23.5">
      <c r="CY4443" s="45">
        <v>4439</v>
      </c>
      <c r="CZ4443" s="18">
        <v>26.438968542985297</v>
      </c>
      <c r="DA4443" s="18" t="str">
        <v>Invest</v>
      </c>
    </row>
    <row r="4444" spans="103:105" ht="23.5">
      <c r="CY4444" s="45">
        <v>4440</v>
      </c>
      <c r="CZ4444" s="18">
        <v>0</v>
      </c>
      <c r="DA4444" s="18" t="str">
        <v>Nothing</v>
      </c>
    </row>
    <row r="4445" spans="103:105" ht="23.5">
      <c r="CY4445" s="45">
        <v>4441</v>
      </c>
      <c r="CZ4445" s="18">
        <v>0</v>
      </c>
      <c r="DA4445" s="18" t="str">
        <v>Nothing</v>
      </c>
    </row>
    <row r="4446" spans="103:105" ht="23.5">
      <c r="CY4446" s="45">
        <v>4442</v>
      </c>
      <c r="CZ4446" s="18">
        <v>4.2204181227966933</v>
      </c>
      <c r="DA4446" s="18" t="str">
        <v>Invest</v>
      </c>
    </row>
    <row r="4447" spans="103:105" ht="23.5">
      <c r="CY4447" s="45">
        <v>4443</v>
      </c>
      <c r="CZ4447" s="18">
        <v>14.639399177368482</v>
      </c>
      <c r="DA4447" s="18" t="str">
        <v>Invest</v>
      </c>
    </row>
    <row r="4448" spans="103:105" ht="23.5">
      <c r="CY4448" s="45">
        <v>4444</v>
      </c>
      <c r="CZ4448" s="18">
        <v>3.4726773087767429</v>
      </c>
      <c r="DA4448" s="18" t="str">
        <v>Invest</v>
      </c>
    </row>
    <row r="4449" spans="103:105" ht="23.5">
      <c r="CY4449" s="45">
        <v>4445</v>
      </c>
      <c r="CZ4449" s="18">
        <v>13.717153586959993</v>
      </c>
      <c r="DA4449" s="18" t="str">
        <v>Invest</v>
      </c>
    </row>
    <row r="4450" spans="103:105" ht="23.5">
      <c r="CY4450" s="45">
        <v>4446</v>
      </c>
      <c r="CZ4450" s="18">
        <v>8.6177738981901228</v>
      </c>
      <c r="DA4450" s="18" t="str">
        <v>Invest</v>
      </c>
    </row>
    <row r="4451" spans="103:105" ht="23.5">
      <c r="CY4451" s="45">
        <v>4447</v>
      </c>
      <c r="CZ4451" s="18">
        <v>29.638477163539271</v>
      </c>
      <c r="DA4451" s="18" t="str">
        <v>Invest</v>
      </c>
    </row>
    <row r="4452" spans="103:105" ht="23.5">
      <c r="CY4452" s="45">
        <v>4448</v>
      </c>
      <c r="CZ4452" s="18">
        <v>0</v>
      </c>
      <c r="DA4452" s="18" t="str">
        <v>Nothing</v>
      </c>
    </row>
    <row r="4453" spans="103:105" ht="23.5">
      <c r="CY4453" s="45">
        <v>4449</v>
      </c>
      <c r="CZ4453" s="18">
        <v>0</v>
      </c>
      <c r="DA4453" s="18" t="str">
        <v>Nothing</v>
      </c>
    </row>
    <row r="4454" spans="103:105" ht="23.5">
      <c r="CY4454" s="45">
        <v>4450</v>
      </c>
      <c r="CZ4454" s="18">
        <v>5.6207042933477531</v>
      </c>
      <c r="DA4454" s="18" t="str">
        <v>Invest</v>
      </c>
    </row>
    <row r="4455" spans="103:105" ht="23.5">
      <c r="CY4455" s="45">
        <v>4451</v>
      </c>
      <c r="CZ4455" s="18">
        <v>10.986312445358882</v>
      </c>
      <c r="DA4455" s="18" t="str">
        <v>Invest</v>
      </c>
    </row>
    <row r="4456" spans="103:105" ht="23.5">
      <c r="CY4456" s="45">
        <v>4452</v>
      </c>
      <c r="CZ4456" s="18">
        <v>11.345965047299586</v>
      </c>
      <c r="DA4456" s="18" t="str">
        <v>Invest</v>
      </c>
    </row>
    <row r="4457" spans="103:105" ht="23.5">
      <c r="CY4457" s="45">
        <v>4453</v>
      </c>
      <c r="CZ4457" s="18">
        <v>9.7584710097109539</v>
      </c>
      <c r="DA4457" s="18" t="str">
        <v>Invest</v>
      </c>
    </row>
    <row r="4458" spans="103:105" ht="23.5">
      <c r="CY4458" s="45">
        <v>4454</v>
      </c>
      <c r="CZ4458" s="18">
        <v>7.5313935905765836</v>
      </c>
      <c r="DA4458" s="18" t="str">
        <v>Invest</v>
      </c>
    </row>
    <row r="4459" spans="103:105" ht="23.5">
      <c r="CY4459" s="45">
        <v>4455</v>
      </c>
      <c r="CZ4459" s="18">
        <v>0</v>
      </c>
      <c r="DA4459" s="18" t="str">
        <v>Nothing</v>
      </c>
    </row>
    <row r="4460" spans="103:105" ht="23.5">
      <c r="CY4460" s="45">
        <v>4456</v>
      </c>
      <c r="CZ4460" s="18">
        <v>0</v>
      </c>
      <c r="DA4460" s="18" t="str">
        <v>Nothing</v>
      </c>
    </row>
    <row r="4461" spans="103:105" ht="23.5">
      <c r="CY4461" s="45">
        <v>4457</v>
      </c>
      <c r="CZ4461" s="18">
        <v>0.11818735525621094</v>
      </c>
      <c r="DA4461" s="18" t="str">
        <v>Invest</v>
      </c>
    </row>
    <row r="4462" spans="103:105" ht="23.5">
      <c r="CY4462" s="45">
        <v>4458</v>
      </c>
      <c r="CZ4462" s="18">
        <v>25.49385987835204</v>
      </c>
      <c r="DA4462" s="18" t="str">
        <v>Invest</v>
      </c>
    </row>
    <row r="4463" spans="103:105" ht="23.5">
      <c r="CY4463" s="45">
        <v>4459</v>
      </c>
      <c r="CZ4463" s="18">
        <v>15.072837940952772</v>
      </c>
      <c r="DA4463" s="18" t="str">
        <v>Invest</v>
      </c>
    </row>
    <row r="4464" spans="103:105" ht="23.5">
      <c r="CY4464" s="45">
        <v>4460</v>
      </c>
      <c r="CZ4464" s="18">
        <v>0</v>
      </c>
      <c r="DA4464" s="18" t="str">
        <v>Nothing</v>
      </c>
    </row>
    <row r="4465" spans="103:105" ht="23.5">
      <c r="CY4465" s="45">
        <v>4461</v>
      </c>
      <c r="CZ4465" s="18">
        <v>10.117806074392549</v>
      </c>
      <c r="DA4465" s="18" t="str">
        <v>Invest</v>
      </c>
    </row>
    <row r="4466" spans="103:105" ht="23.5">
      <c r="CY4466" s="45">
        <v>4462</v>
      </c>
      <c r="CZ4466" s="18">
        <v>40.80873522742661</v>
      </c>
      <c r="DA4466" s="18" t="str">
        <v>Invest</v>
      </c>
    </row>
    <row r="4467" spans="103:105" ht="23.5">
      <c r="CY4467" s="45">
        <v>4463</v>
      </c>
      <c r="CZ4467" s="18">
        <v>4.3728903716341421</v>
      </c>
      <c r="DA4467" s="18" t="str">
        <v>Invest</v>
      </c>
    </row>
    <row r="4468" spans="103:105" ht="23.5">
      <c r="CY4468" s="45">
        <v>4464</v>
      </c>
      <c r="CZ4468" s="18">
        <v>9.3952812902933083</v>
      </c>
      <c r="DA4468" s="18" t="str">
        <v>Invest</v>
      </c>
    </row>
    <row r="4469" spans="103:105" ht="23.5">
      <c r="CY4469" s="45">
        <v>4465</v>
      </c>
      <c r="CZ4469" s="18">
        <v>0</v>
      </c>
      <c r="DA4469" s="18" t="str">
        <v>Nothing</v>
      </c>
    </row>
    <row r="4470" spans="103:105" ht="23.5">
      <c r="CY4470" s="45">
        <v>4466</v>
      </c>
      <c r="CZ4470" s="18">
        <v>22.299329382544904</v>
      </c>
      <c r="DA4470" s="18" t="str">
        <v>Invest</v>
      </c>
    </row>
    <row r="4471" spans="103:105" ht="23.5">
      <c r="CY4471" s="45">
        <v>4467</v>
      </c>
      <c r="CZ4471" s="18">
        <v>0</v>
      </c>
      <c r="DA4471" s="18" t="str">
        <v>Nothing</v>
      </c>
    </row>
    <row r="4472" spans="103:105" ht="23.5">
      <c r="CY4472" s="45">
        <v>4468</v>
      </c>
      <c r="CZ4472" s="18">
        <v>19.213869733427888</v>
      </c>
      <c r="DA4472" s="18" t="str">
        <v>Invest</v>
      </c>
    </row>
    <row r="4473" spans="103:105" ht="23.5">
      <c r="CY4473" s="45">
        <v>4469</v>
      </c>
      <c r="CZ4473" s="18">
        <v>21.596422147320133</v>
      </c>
      <c r="DA4473" s="18" t="str">
        <v>Invest</v>
      </c>
    </row>
    <row r="4474" spans="103:105" ht="23.5">
      <c r="CY4474" s="45">
        <v>4470</v>
      </c>
      <c r="CZ4474" s="18">
        <v>14.75843035957732</v>
      </c>
      <c r="DA4474" s="18" t="str">
        <v>Invest</v>
      </c>
    </row>
    <row r="4475" spans="103:105" ht="23.5">
      <c r="CY4475" s="45">
        <v>4471</v>
      </c>
      <c r="CZ4475" s="18">
        <v>39.829046544101359</v>
      </c>
      <c r="DA4475" s="18" t="str">
        <v>Invest</v>
      </c>
    </row>
    <row r="4476" spans="103:105" ht="23.5">
      <c r="CY4476" s="45">
        <v>4472</v>
      </c>
      <c r="CZ4476" s="18">
        <v>0</v>
      </c>
      <c r="DA4476" s="18" t="str">
        <v>Nothing</v>
      </c>
    </row>
    <row r="4477" spans="103:105" ht="23.5">
      <c r="CY4477" s="45">
        <v>4473</v>
      </c>
      <c r="CZ4477" s="18">
        <v>21.146233292645618</v>
      </c>
      <c r="DA4477" s="18" t="str">
        <v>Invest</v>
      </c>
    </row>
    <row r="4478" spans="103:105" ht="23.5">
      <c r="CY4478" s="45">
        <v>4474</v>
      </c>
      <c r="CZ4478" s="18">
        <v>0</v>
      </c>
      <c r="DA4478" s="18" t="str">
        <v>Nothing</v>
      </c>
    </row>
    <row r="4479" spans="103:105" ht="23.5">
      <c r="CY4479" s="45">
        <v>4475</v>
      </c>
      <c r="CZ4479" s="18">
        <v>6.588594751668019</v>
      </c>
      <c r="DA4479" s="18" t="str">
        <v>Invest</v>
      </c>
    </row>
    <row r="4480" spans="103:105" ht="23.5">
      <c r="CY4480" s="45">
        <v>4476</v>
      </c>
      <c r="CZ4480" s="18">
        <v>0</v>
      </c>
      <c r="DA4480" s="18" t="str">
        <v>Nothing</v>
      </c>
    </row>
    <row r="4481" spans="103:105" ht="23.5">
      <c r="CY4481" s="45">
        <v>4477</v>
      </c>
      <c r="CZ4481" s="18">
        <v>6.4230696618378964</v>
      </c>
      <c r="DA4481" s="18" t="str">
        <v>Invest</v>
      </c>
    </row>
    <row r="4482" spans="103:105" ht="23.5">
      <c r="CY4482" s="45">
        <v>4478</v>
      </c>
      <c r="CZ4482" s="18">
        <v>14.702375879814296</v>
      </c>
      <c r="DA4482" s="18" t="str">
        <v>Invest</v>
      </c>
    </row>
    <row r="4483" spans="103:105" ht="23.5">
      <c r="CY4483" s="45">
        <v>4479</v>
      </c>
      <c r="CZ4483" s="18">
        <v>23.045491258092376</v>
      </c>
      <c r="DA4483" s="18" t="str">
        <v>Invest</v>
      </c>
    </row>
    <row r="4484" spans="103:105" ht="23.5">
      <c r="CY4484" s="45">
        <v>4480</v>
      </c>
      <c r="CZ4484" s="18">
        <v>12.139883570287427</v>
      </c>
      <c r="DA4484" s="18" t="str">
        <v>Invest</v>
      </c>
    </row>
    <row r="4485" spans="103:105" ht="23.5">
      <c r="CY4485" s="45">
        <v>4481</v>
      </c>
      <c r="CZ4485" s="18">
        <v>25.457392277983296</v>
      </c>
      <c r="DA4485" s="18" t="str">
        <v>Invest</v>
      </c>
    </row>
    <row r="4486" spans="103:105" ht="23.5">
      <c r="CY4486" s="45">
        <v>4482</v>
      </c>
      <c r="CZ4486" s="18">
        <v>19.190762472981895</v>
      </c>
      <c r="DA4486" s="18" t="str">
        <v>Invest</v>
      </c>
    </row>
    <row r="4487" spans="103:105" ht="23.5">
      <c r="CY4487" s="45">
        <v>4483</v>
      </c>
      <c r="CZ4487" s="18">
        <v>0</v>
      </c>
      <c r="DA4487" s="18" t="str">
        <v>Nothing</v>
      </c>
    </row>
    <row r="4488" spans="103:105" ht="23.5">
      <c r="CY4488" s="45">
        <v>4484</v>
      </c>
      <c r="CZ4488" s="18">
        <v>15.425809392051956</v>
      </c>
      <c r="DA4488" s="18" t="str">
        <v>Invest</v>
      </c>
    </row>
    <row r="4489" spans="103:105" ht="23.5">
      <c r="CY4489" s="45">
        <v>4485</v>
      </c>
      <c r="CZ4489" s="18">
        <v>28.164718372077473</v>
      </c>
      <c r="DA4489" s="18" t="str">
        <v>Invest</v>
      </c>
    </row>
    <row r="4490" spans="103:105" ht="23.5">
      <c r="CY4490" s="45">
        <v>4486</v>
      </c>
      <c r="CZ4490" s="18">
        <v>11.670640898133826</v>
      </c>
      <c r="DA4490" s="18" t="str">
        <v>Invest</v>
      </c>
    </row>
    <row r="4491" spans="103:105" ht="23.5">
      <c r="CY4491" s="45">
        <v>4487</v>
      </c>
      <c r="CZ4491" s="18">
        <v>21.065389238500742</v>
      </c>
      <c r="DA4491" s="18" t="str">
        <v>Invest</v>
      </c>
    </row>
    <row r="4492" spans="103:105" ht="23.5">
      <c r="CY4492" s="45">
        <v>4488</v>
      </c>
      <c r="CZ4492" s="18">
        <v>13.5834053373254</v>
      </c>
      <c r="DA4492" s="18" t="str">
        <v>Invest</v>
      </c>
    </row>
    <row r="4493" spans="103:105" ht="23.5">
      <c r="CY4493" s="45">
        <v>4489</v>
      </c>
      <c r="CZ4493" s="18">
        <v>7.3478565222876888</v>
      </c>
      <c r="DA4493" s="18" t="str">
        <v>Invest</v>
      </c>
    </row>
    <row r="4494" spans="103:105" ht="23.5">
      <c r="CY4494" s="45">
        <v>4490</v>
      </c>
      <c r="CZ4494" s="18">
        <v>6.6355698274945958</v>
      </c>
      <c r="DA4494" s="18" t="str">
        <v>Invest</v>
      </c>
    </row>
    <row r="4495" spans="103:105" ht="23.5">
      <c r="CY4495" s="45">
        <v>4491</v>
      </c>
      <c r="CZ4495" s="18">
        <v>24.719400044408186</v>
      </c>
      <c r="DA4495" s="18" t="str">
        <v>Invest</v>
      </c>
    </row>
    <row r="4496" spans="103:105" ht="23.5">
      <c r="CY4496" s="45">
        <v>4492</v>
      </c>
      <c r="CZ4496" s="18">
        <v>0</v>
      </c>
      <c r="DA4496" s="18" t="str">
        <v>Nothing</v>
      </c>
    </row>
    <row r="4497" spans="103:105" ht="23.5">
      <c r="CY4497" s="45">
        <v>4493</v>
      </c>
      <c r="CZ4497" s="18">
        <v>2.5147609244115046</v>
      </c>
      <c r="DA4497" s="18" t="str">
        <v>Invest</v>
      </c>
    </row>
    <row r="4498" spans="103:105" ht="23.5">
      <c r="CY4498" s="45">
        <v>4494</v>
      </c>
      <c r="CZ4498" s="18">
        <v>7.7239481855326773</v>
      </c>
      <c r="DA4498" s="18" t="str">
        <v>Invest</v>
      </c>
    </row>
    <row r="4499" spans="103:105" ht="23.5">
      <c r="CY4499" s="45">
        <v>4495</v>
      </c>
      <c r="CZ4499" s="18">
        <v>41.671285173677774</v>
      </c>
      <c r="DA4499" s="18" t="str">
        <v>Invest</v>
      </c>
    </row>
    <row r="4500" spans="103:105" ht="23.5">
      <c r="CY4500" s="45">
        <v>4496</v>
      </c>
      <c r="CZ4500" s="18">
        <v>11.152467147761374</v>
      </c>
      <c r="DA4500" s="18" t="str">
        <v>Invest</v>
      </c>
    </row>
    <row r="4501" spans="103:105" ht="23.5">
      <c r="CY4501" s="45">
        <v>4497</v>
      </c>
      <c r="CZ4501" s="18">
        <v>48.494411109177562</v>
      </c>
      <c r="DA4501" s="18" t="str">
        <v>Invest</v>
      </c>
    </row>
    <row r="4502" spans="103:105" ht="23.5">
      <c r="CY4502" s="45">
        <v>4498</v>
      </c>
      <c r="CZ4502" s="18">
        <v>28.321195656247593</v>
      </c>
      <c r="DA4502" s="18" t="str">
        <v>Invest</v>
      </c>
    </row>
    <row r="4503" spans="103:105" ht="23.5">
      <c r="CY4503" s="45">
        <v>4499</v>
      </c>
      <c r="CZ4503" s="18">
        <v>17.456848896799805</v>
      </c>
      <c r="DA4503" s="18" t="str">
        <v>Invest</v>
      </c>
    </row>
    <row r="4504" spans="103:105" ht="23.5">
      <c r="CY4504" s="45">
        <v>4500</v>
      </c>
      <c r="CZ4504" s="18">
        <v>43.0265780843107</v>
      </c>
      <c r="DA4504" s="18" t="str">
        <v>Invest</v>
      </c>
    </row>
    <row r="4505" spans="103:105" ht="23.5">
      <c r="CY4505" s="45">
        <v>4501</v>
      </c>
      <c r="CZ4505" s="18">
        <v>0</v>
      </c>
      <c r="DA4505" s="18" t="str">
        <v>Nothing</v>
      </c>
    </row>
    <row r="4506" spans="103:105" ht="23.5">
      <c r="CY4506" s="45">
        <v>4502</v>
      </c>
      <c r="CZ4506" s="18">
        <v>3.7317442046254197</v>
      </c>
      <c r="DA4506" s="18" t="str">
        <v>Invest</v>
      </c>
    </row>
    <row r="4507" spans="103:105" ht="23.5">
      <c r="CY4507" s="45">
        <v>4503</v>
      </c>
      <c r="CZ4507" s="18">
        <v>9.3516009708758858</v>
      </c>
      <c r="DA4507" s="18" t="str">
        <v>Invest</v>
      </c>
    </row>
    <row r="4508" spans="103:105" ht="23.5">
      <c r="CY4508" s="45">
        <v>4504</v>
      </c>
      <c r="CZ4508" s="18">
        <v>58.972196531797422</v>
      </c>
      <c r="DA4508" s="18" t="str">
        <v>Invest</v>
      </c>
    </row>
    <row r="4509" spans="103:105" ht="23.5">
      <c r="CY4509" s="45">
        <v>4505</v>
      </c>
      <c r="CZ4509" s="18">
        <v>14.778024128310058</v>
      </c>
      <c r="DA4509" s="18" t="str">
        <v>Invest</v>
      </c>
    </row>
    <row r="4510" spans="103:105" ht="23.5">
      <c r="CY4510" s="45">
        <v>4506</v>
      </c>
      <c r="CZ4510" s="18">
        <v>27.386418839924652</v>
      </c>
      <c r="DA4510" s="18" t="str">
        <v>Invest</v>
      </c>
    </row>
    <row r="4511" spans="103:105" ht="23.5">
      <c r="CY4511" s="45">
        <v>4507</v>
      </c>
      <c r="CZ4511" s="18">
        <v>23.352554852975803</v>
      </c>
      <c r="DA4511" s="18" t="str">
        <v>Invest</v>
      </c>
    </row>
    <row r="4512" spans="103:105" ht="23.5">
      <c r="CY4512" s="45">
        <v>4508</v>
      </c>
      <c r="CZ4512" s="18">
        <v>39.337308639453951</v>
      </c>
      <c r="DA4512" s="18" t="str">
        <v>Invest</v>
      </c>
    </row>
    <row r="4513" spans="103:105" ht="23.5">
      <c r="CY4513" s="45">
        <v>4509</v>
      </c>
      <c r="CZ4513" s="18">
        <v>43.393555803849239</v>
      </c>
      <c r="DA4513" s="18" t="str">
        <v>Invest</v>
      </c>
    </row>
    <row r="4514" spans="103:105" ht="23.5">
      <c r="CY4514" s="45">
        <v>4510</v>
      </c>
      <c r="CZ4514" s="18">
        <v>19.263832567281938</v>
      </c>
      <c r="DA4514" s="18" t="str">
        <v>Invest</v>
      </c>
    </row>
    <row r="4515" spans="103:105" ht="23.5">
      <c r="CY4515" s="45">
        <v>4511</v>
      </c>
      <c r="CZ4515" s="18">
        <v>35.097972455046701</v>
      </c>
      <c r="DA4515" s="18" t="str">
        <v>Invest</v>
      </c>
    </row>
    <row r="4516" spans="103:105" ht="23.5">
      <c r="CY4516" s="45">
        <v>4512</v>
      </c>
      <c r="CZ4516" s="18">
        <v>0</v>
      </c>
      <c r="DA4516" s="18" t="str">
        <v>Nothing</v>
      </c>
    </row>
    <row r="4517" spans="103:105" ht="23.5">
      <c r="CY4517" s="45">
        <v>4513</v>
      </c>
      <c r="CZ4517" s="18">
        <v>21.550373671419365</v>
      </c>
      <c r="DA4517" s="18" t="str">
        <v>Invest</v>
      </c>
    </row>
    <row r="4518" spans="103:105" ht="23.5">
      <c r="CY4518" s="45">
        <v>4514</v>
      </c>
      <c r="CZ4518" s="18">
        <v>63.119033096784705</v>
      </c>
      <c r="DA4518" s="18" t="str">
        <v>Invest</v>
      </c>
    </row>
    <row r="4519" spans="103:105" ht="23.5">
      <c r="CY4519" s="45">
        <v>4515</v>
      </c>
      <c r="CZ4519" s="18">
        <v>0</v>
      </c>
      <c r="DA4519" s="18" t="str">
        <v>Nothing</v>
      </c>
    </row>
    <row r="4520" spans="103:105" ht="23.5">
      <c r="CY4520" s="45">
        <v>4516</v>
      </c>
      <c r="CZ4520" s="18">
        <v>0</v>
      </c>
      <c r="DA4520" s="18" t="str">
        <v>Nothing</v>
      </c>
    </row>
    <row r="4521" spans="103:105" ht="23.5">
      <c r="CY4521" s="45">
        <v>4517</v>
      </c>
      <c r="CZ4521" s="18">
        <v>24.151238195470036</v>
      </c>
      <c r="DA4521" s="18" t="str">
        <v>Invest</v>
      </c>
    </row>
    <row r="4522" spans="103:105" ht="23.5">
      <c r="CY4522" s="45">
        <v>4518</v>
      </c>
      <c r="CZ4522" s="18">
        <v>24.636337416642164</v>
      </c>
      <c r="DA4522" s="18" t="str">
        <v>Invest</v>
      </c>
    </row>
    <row r="4523" spans="103:105" ht="23.5">
      <c r="CY4523" s="45">
        <v>4519</v>
      </c>
      <c r="CZ4523" s="18">
        <v>56.687459512272966</v>
      </c>
      <c r="DA4523" s="18" t="str">
        <v>Invest</v>
      </c>
    </row>
    <row r="4524" spans="103:105" ht="23.5">
      <c r="CY4524" s="45">
        <v>4520</v>
      </c>
      <c r="CZ4524" s="18">
        <v>39.013519443727461</v>
      </c>
      <c r="DA4524" s="18" t="str">
        <v>Invest</v>
      </c>
    </row>
    <row r="4525" spans="103:105" ht="23.5">
      <c r="CY4525" s="45">
        <v>4521</v>
      </c>
      <c r="CZ4525" s="18">
        <v>11.701186225412323</v>
      </c>
      <c r="DA4525" s="18" t="str">
        <v>Invest</v>
      </c>
    </row>
    <row r="4526" spans="103:105" ht="23.5">
      <c r="CY4526" s="45">
        <v>4522</v>
      </c>
      <c r="CZ4526" s="18">
        <v>23.77494023593049</v>
      </c>
      <c r="DA4526" s="18" t="str">
        <v>Invest</v>
      </c>
    </row>
    <row r="4527" spans="103:105" ht="23.5">
      <c r="CY4527" s="45">
        <v>4523</v>
      </c>
      <c r="CZ4527" s="18">
        <v>0</v>
      </c>
      <c r="DA4527" s="18" t="str">
        <v>Nothing</v>
      </c>
    </row>
    <row r="4528" spans="103:105" ht="23.5">
      <c r="CY4528" s="45">
        <v>4524</v>
      </c>
      <c r="CZ4528" s="18">
        <v>0</v>
      </c>
      <c r="DA4528" s="18" t="str">
        <v>Nothing</v>
      </c>
    </row>
    <row r="4529" spans="103:105" ht="23.5">
      <c r="CY4529" s="45">
        <v>4525</v>
      </c>
      <c r="CZ4529" s="18">
        <v>29.077015183443116</v>
      </c>
      <c r="DA4529" s="18" t="str">
        <v>Invest</v>
      </c>
    </row>
    <row r="4530" spans="103:105" ht="23.5">
      <c r="CY4530" s="45">
        <v>4526</v>
      </c>
      <c r="CZ4530" s="18">
        <v>1.9601604253691516</v>
      </c>
      <c r="DA4530" s="18" t="str">
        <v>Invest</v>
      </c>
    </row>
    <row r="4531" spans="103:105" ht="23.5">
      <c r="CY4531" s="45">
        <v>4527</v>
      </c>
      <c r="CZ4531" s="18">
        <v>0</v>
      </c>
      <c r="DA4531" s="18" t="str">
        <v>Nothing</v>
      </c>
    </row>
    <row r="4532" spans="103:105" ht="23.5">
      <c r="CY4532" s="45">
        <v>4528</v>
      </c>
      <c r="CZ4532" s="18">
        <v>31.585868425846424</v>
      </c>
      <c r="DA4532" s="18" t="str">
        <v>Invest</v>
      </c>
    </row>
    <row r="4533" spans="103:105" ht="23.5">
      <c r="CY4533" s="45">
        <v>4529</v>
      </c>
      <c r="CZ4533" s="18">
        <v>22.640899346266973</v>
      </c>
      <c r="DA4533" s="18" t="str">
        <v>Invest</v>
      </c>
    </row>
    <row r="4534" spans="103:105" ht="23.5">
      <c r="CY4534" s="45">
        <v>4530</v>
      </c>
      <c r="CZ4534" s="18">
        <v>0</v>
      </c>
      <c r="DA4534" s="18" t="str">
        <v>Nothing</v>
      </c>
    </row>
    <row r="4535" spans="103:105" ht="23.5">
      <c r="CY4535" s="45">
        <v>4531</v>
      </c>
      <c r="CZ4535" s="18">
        <v>0</v>
      </c>
      <c r="DA4535" s="18" t="str">
        <v>Nothing</v>
      </c>
    </row>
    <row r="4536" spans="103:105" ht="23.5">
      <c r="CY4536" s="45">
        <v>4532</v>
      </c>
      <c r="CZ4536" s="18">
        <v>25.936056295604846</v>
      </c>
      <c r="DA4536" s="18" t="str">
        <v>Invest</v>
      </c>
    </row>
    <row r="4537" spans="103:105" ht="23.5">
      <c r="CY4537" s="45">
        <v>4533</v>
      </c>
      <c r="CZ4537" s="18">
        <v>0</v>
      </c>
      <c r="DA4537" s="18" t="str">
        <v>Nothing</v>
      </c>
    </row>
    <row r="4538" spans="103:105" ht="23.5">
      <c r="CY4538" s="45">
        <v>4534</v>
      </c>
      <c r="CZ4538" s="18">
        <v>28.466302006110887</v>
      </c>
      <c r="DA4538" s="18" t="str">
        <v>Invest</v>
      </c>
    </row>
    <row r="4539" spans="103:105" ht="23.5">
      <c r="CY4539" s="45">
        <v>4535</v>
      </c>
      <c r="CZ4539" s="18">
        <v>0</v>
      </c>
      <c r="DA4539" s="18" t="str">
        <v>Nothing</v>
      </c>
    </row>
    <row r="4540" spans="103:105" ht="23.5">
      <c r="CY4540" s="45">
        <v>4536</v>
      </c>
      <c r="CZ4540" s="18">
        <v>0</v>
      </c>
      <c r="DA4540" s="18" t="str">
        <v>Nothing</v>
      </c>
    </row>
    <row r="4541" spans="103:105" ht="23.5">
      <c r="CY4541" s="45">
        <v>4537</v>
      </c>
      <c r="CZ4541" s="18">
        <v>5.9813058302275053</v>
      </c>
      <c r="DA4541" s="18" t="str">
        <v>Invest</v>
      </c>
    </row>
    <row r="4542" spans="103:105" ht="23.5">
      <c r="CY4542" s="45">
        <v>4538</v>
      </c>
      <c r="CZ4542" s="18">
        <v>10.022483511345314</v>
      </c>
      <c r="DA4542" s="18" t="str">
        <v>Invest</v>
      </c>
    </row>
    <row r="4543" spans="103:105" ht="23.5">
      <c r="CY4543" s="45">
        <v>4539</v>
      </c>
      <c r="CZ4543" s="18">
        <v>0</v>
      </c>
      <c r="DA4543" s="18" t="str">
        <v>Nothing</v>
      </c>
    </row>
    <row r="4544" spans="103:105" ht="23.5">
      <c r="CY4544" s="45">
        <v>4540</v>
      </c>
      <c r="CZ4544" s="18">
        <v>0</v>
      </c>
      <c r="DA4544" s="18" t="str">
        <v>Nothing</v>
      </c>
    </row>
    <row r="4545" spans="103:105" ht="23.5">
      <c r="CY4545" s="45">
        <v>4541</v>
      </c>
      <c r="CZ4545" s="18">
        <v>7.1333282666690003</v>
      </c>
      <c r="DA4545" s="18" t="str">
        <v>Invest</v>
      </c>
    </row>
    <row r="4546" spans="103:105" ht="23.5">
      <c r="CY4546" s="45">
        <v>4542</v>
      </c>
      <c r="CZ4546" s="18">
        <v>40.887796552929544</v>
      </c>
      <c r="DA4546" s="18" t="str">
        <v>Invest</v>
      </c>
    </row>
    <row r="4547" spans="103:105" ht="23.5">
      <c r="CY4547" s="45">
        <v>4543</v>
      </c>
      <c r="CZ4547" s="18">
        <v>1.9193030336309835</v>
      </c>
      <c r="DA4547" s="18" t="str">
        <v>Invest</v>
      </c>
    </row>
    <row r="4548" spans="103:105" ht="23.5">
      <c r="CY4548" s="45">
        <v>4544</v>
      </c>
      <c r="CZ4548" s="18">
        <v>0</v>
      </c>
      <c r="DA4548" s="18" t="str">
        <v>Nothing</v>
      </c>
    </row>
    <row r="4549" spans="103:105" ht="23.5">
      <c r="CY4549" s="45">
        <v>4545</v>
      </c>
      <c r="CZ4549" s="18">
        <v>0</v>
      </c>
      <c r="DA4549" s="18" t="str">
        <v>Nothing</v>
      </c>
    </row>
    <row r="4550" spans="103:105" ht="23.5">
      <c r="CY4550" s="45">
        <v>4546</v>
      </c>
      <c r="CZ4550" s="18">
        <v>33.327055598913766</v>
      </c>
      <c r="DA4550" s="18" t="str">
        <v>Invest</v>
      </c>
    </row>
    <row r="4551" spans="103:105" ht="23.5">
      <c r="CY4551" s="45">
        <v>4547</v>
      </c>
      <c r="CZ4551" s="18">
        <v>42.919637120344007</v>
      </c>
      <c r="DA4551" s="18" t="str">
        <v>Invest</v>
      </c>
    </row>
    <row r="4552" spans="103:105" ht="23.5">
      <c r="CY4552" s="45">
        <v>4548</v>
      </c>
      <c r="CZ4552" s="18">
        <v>0</v>
      </c>
      <c r="DA4552" s="18" t="str">
        <v>Nothing</v>
      </c>
    </row>
    <row r="4553" spans="103:105" ht="23.5">
      <c r="CY4553" s="45">
        <v>4549</v>
      </c>
      <c r="CZ4553" s="18">
        <v>48.936679838654136</v>
      </c>
      <c r="DA4553" s="18" t="str">
        <v>Invest</v>
      </c>
    </row>
    <row r="4554" spans="103:105" ht="23.5">
      <c r="CY4554" s="45">
        <v>4550</v>
      </c>
      <c r="CZ4554" s="18">
        <v>21.932620168751008</v>
      </c>
      <c r="DA4554" s="18" t="str">
        <v>Invest</v>
      </c>
    </row>
    <row r="4555" spans="103:105" ht="23.5">
      <c r="CY4555" s="45">
        <v>4551</v>
      </c>
      <c r="CZ4555" s="18">
        <v>16.451234009254605</v>
      </c>
      <c r="DA4555" s="18" t="str">
        <v>Invest</v>
      </c>
    </row>
    <row r="4556" spans="103:105" ht="23.5">
      <c r="CY4556" s="45">
        <v>4552</v>
      </c>
      <c r="CZ4556" s="18">
        <v>0</v>
      </c>
      <c r="DA4556" s="18" t="str">
        <v>Nothing</v>
      </c>
    </row>
    <row r="4557" spans="103:105" ht="23.5">
      <c r="CY4557" s="45">
        <v>4553</v>
      </c>
      <c r="CZ4557" s="18">
        <v>9.482022166817309</v>
      </c>
      <c r="DA4557" s="18" t="str">
        <v>Invest</v>
      </c>
    </row>
    <row r="4558" spans="103:105" ht="23.5">
      <c r="CY4558" s="45">
        <v>4554</v>
      </c>
      <c r="CZ4558" s="18">
        <v>13.863078317422357</v>
      </c>
      <c r="DA4558" s="18" t="str">
        <v>Invest</v>
      </c>
    </row>
    <row r="4559" spans="103:105" ht="23.5">
      <c r="CY4559" s="45">
        <v>4555</v>
      </c>
      <c r="CZ4559" s="18">
        <v>22.57757193784488</v>
      </c>
      <c r="DA4559" s="18" t="str">
        <v>Invest</v>
      </c>
    </row>
    <row r="4560" spans="103:105" ht="23.5">
      <c r="CY4560" s="45">
        <v>4556</v>
      </c>
      <c r="CZ4560" s="18">
        <v>0</v>
      </c>
      <c r="DA4560" s="18" t="str">
        <v>Nothing</v>
      </c>
    </row>
    <row r="4561" spans="103:105" ht="23.5">
      <c r="CY4561" s="45">
        <v>4557</v>
      </c>
      <c r="CZ4561" s="18">
        <v>8.8988259144573831</v>
      </c>
      <c r="DA4561" s="18" t="str">
        <v>Invest</v>
      </c>
    </row>
    <row r="4562" spans="103:105" ht="23.5">
      <c r="CY4562" s="45">
        <v>4558</v>
      </c>
      <c r="CZ4562" s="18">
        <v>5.0640139327486526</v>
      </c>
      <c r="DA4562" s="18" t="str">
        <v>Invest</v>
      </c>
    </row>
    <row r="4563" spans="103:105" ht="23.5">
      <c r="CY4563" s="45">
        <v>4559</v>
      </c>
      <c r="CZ4563" s="18">
        <v>36.880035453970208</v>
      </c>
      <c r="DA4563" s="18" t="str">
        <v>Invest</v>
      </c>
    </row>
    <row r="4564" spans="103:105" ht="23.5">
      <c r="CY4564" s="45">
        <v>4560</v>
      </c>
      <c r="CZ4564" s="18">
        <v>0</v>
      </c>
      <c r="DA4564" s="18" t="str">
        <v>Nothing</v>
      </c>
    </row>
    <row r="4565" spans="103:105" ht="23.5">
      <c r="CY4565" s="45">
        <v>4561</v>
      </c>
      <c r="CZ4565" s="18">
        <v>2.091118318185524</v>
      </c>
      <c r="DA4565" s="18" t="str">
        <v>Invest</v>
      </c>
    </row>
    <row r="4566" spans="103:105" ht="23.5">
      <c r="CY4566" s="45">
        <v>4562</v>
      </c>
      <c r="CZ4566" s="18">
        <v>14.997202108206553</v>
      </c>
      <c r="DA4566" s="18" t="str">
        <v>Invest</v>
      </c>
    </row>
    <row r="4567" spans="103:105" ht="23.5">
      <c r="CY4567" s="45">
        <v>4563</v>
      </c>
      <c r="CZ4567" s="18">
        <v>20.691806647527031</v>
      </c>
      <c r="DA4567" s="18" t="str">
        <v>Invest</v>
      </c>
    </row>
    <row r="4568" spans="103:105" ht="23.5">
      <c r="CY4568" s="45">
        <v>4564</v>
      </c>
      <c r="CZ4568" s="18">
        <v>17.179905844792216</v>
      </c>
      <c r="DA4568" s="18" t="str">
        <v>Invest</v>
      </c>
    </row>
    <row r="4569" spans="103:105" ht="23.5">
      <c r="CY4569" s="45">
        <v>4565</v>
      </c>
      <c r="CZ4569" s="18">
        <v>35.737789743389875</v>
      </c>
      <c r="DA4569" s="18" t="str">
        <v>Invest</v>
      </c>
    </row>
    <row r="4570" spans="103:105" ht="23.5">
      <c r="CY4570" s="45">
        <v>4566</v>
      </c>
      <c r="CZ4570" s="18">
        <v>2.3485078452730459</v>
      </c>
      <c r="DA4570" s="18" t="str">
        <v>Invest</v>
      </c>
    </row>
    <row r="4571" spans="103:105" ht="23.5">
      <c r="CY4571" s="45">
        <v>4567</v>
      </c>
      <c r="CZ4571" s="18">
        <v>29.26905422202211</v>
      </c>
      <c r="DA4571" s="18" t="str">
        <v>Invest</v>
      </c>
    </row>
    <row r="4572" spans="103:105" ht="23.5">
      <c r="CY4572" s="45">
        <v>4568</v>
      </c>
      <c r="CZ4572" s="18">
        <v>23.580283545777739</v>
      </c>
      <c r="DA4572" s="18" t="str">
        <v>Invest</v>
      </c>
    </row>
    <row r="4573" spans="103:105" ht="23.5">
      <c r="CY4573" s="45">
        <v>4569</v>
      </c>
      <c r="CZ4573" s="18">
        <v>27.773181472239735</v>
      </c>
      <c r="DA4573" s="18" t="str">
        <v>Invest</v>
      </c>
    </row>
    <row r="4574" spans="103:105" ht="23.5">
      <c r="CY4574" s="45">
        <v>4570</v>
      </c>
      <c r="CZ4574" s="18">
        <v>15.491932450319295</v>
      </c>
      <c r="DA4574" s="18" t="str">
        <v>Invest</v>
      </c>
    </row>
    <row r="4575" spans="103:105" ht="23.5">
      <c r="CY4575" s="45">
        <v>4571</v>
      </c>
      <c r="CZ4575" s="18">
        <v>0</v>
      </c>
      <c r="DA4575" s="18" t="str">
        <v>Nothing</v>
      </c>
    </row>
    <row r="4576" spans="103:105" ht="23.5">
      <c r="CY4576" s="45">
        <v>4572</v>
      </c>
      <c r="CZ4576" s="18">
        <v>26.710545730380428</v>
      </c>
      <c r="DA4576" s="18" t="str">
        <v>Invest</v>
      </c>
    </row>
    <row r="4577" spans="103:105" ht="23.5">
      <c r="CY4577" s="45">
        <v>4573</v>
      </c>
      <c r="CZ4577" s="18">
        <v>0</v>
      </c>
      <c r="DA4577" s="18" t="str">
        <v>Nothing</v>
      </c>
    </row>
    <row r="4578" spans="103:105" ht="23.5">
      <c r="CY4578" s="45">
        <v>4574</v>
      </c>
      <c r="CZ4578" s="18">
        <v>0</v>
      </c>
      <c r="DA4578" s="18" t="str">
        <v>Nothing</v>
      </c>
    </row>
    <row r="4579" spans="103:105" ht="23.5">
      <c r="CY4579" s="45">
        <v>4575</v>
      </c>
      <c r="CZ4579" s="18">
        <v>13.848968537936489</v>
      </c>
      <c r="DA4579" s="18" t="str">
        <v>Invest</v>
      </c>
    </row>
    <row r="4580" spans="103:105" ht="23.5">
      <c r="CY4580" s="45">
        <v>4576</v>
      </c>
      <c r="CZ4580" s="18">
        <v>31.929310519878374</v>
      </c>
      <c r="DA4580" s="18" t="str">
        <v>Invest</v>
      </c>
    </row>
    <row r="4581" spans="103:105" ht="23.5">
      <c r="CY4581" s="45">
        <v>4577</v>
      </c>
      <c r="CZ4581" s="18">
        <v>23.023188276413538</v>
      </c>
      <c r="DA4581" s="18" t="str">
        <v>Invest</v>
      </c>
    </row>
    <row r="4582" spans="103:105" ht="23.5">
      <c r="CY4582" s="45">
        <v>4578</v>
      </c>
      <c r="CZ4582" s="18">
        <v>1.3747297593163212</v>
      </c>
      <c r="DA4582" s="18" t="str">
        <v>Invest</v>
      </c>
    </row>
    <row r="4583" spans="103:105" ht="23.5">
      <c r="CY4583" s="45">
        <v>4579</v>
      </c>
      <c r="CZ4583" s="18">
        <v>55.508089607590009</v>
      </c>
      <c r="DA4583" s="18" t="str">
        <v>Invest</v>
      </c>
    </row>
    <row r="4584" spans="103:105" ht="23.5">
      <c r="CY4584" s="45">
        <v>4580</v>
      </c>
      <c r="CZ4584" s="18">
        <v>18.787565083002264</v>
      </c>
      <c r="DA4584" s="18" t="str">
        <v>Invest</v>
      </c>
    </row>
    <row r="4585" spans="103:105" ht="23.5">
      <c r="CY4585" s="45">
        <v>4581</v>
      </c>
      <c r="CZ4585" s="18">
        <v>16.832675573398063</v>
      </c>
      <c r="DA4585" s="18" t="str">
        <v>Invest</v>
      </c>
    </row>
    <row r="4586" spans="103:105" ht="23.5">
      <c r="CY4586" s="45">
        <v>4582</v>
      </c>
      <c r="CZ4586" s="18">
        <v>21.528009572568706</v>
      </c>
      <c r="DA4586" s="18" t="str">
        <v>Invest</v>
      </c>
    </row>
    <row r="4587" spans="103:105" ht="23.5">
      <c r="CY4587" s="45">
        <v>4583</v>
      </c>
      <c r="CZ4587" s="18">
        <v>4.5640724306497553</v>
      </c>
      <c r="DA4587" s="18" t="str">
        <v>Invest</v>
      </c>
    </row>
    <row r="4588" spans="103:105" ht="23.5">
      <c r="CY4588" s="45">
        <v>4584</v>
      </c>
      <c r="CZ4588" s="18">
        <v>26.822555226813755</v>
      </c>
      <c r="DA4588" s="18" t="str">
        <v>Invest</v>
      </c>
    </row>
    <row r="4589" spans="103:105" ht="23.5">
      <c r="CY4589" s="45">
        <v>4585</v>
      </c>
      <c r="CZ4589" s="18">
        <v>44.066266144443183</v>
      </c>
      <c r="DA4589" s="18" t="str">
        <v>Invest</v>
      </c>
    </row>
    <row r="4590" spans="103:105" ht="23.5">
      <c r="CY4590" s="45">
        <v>4586</v>
      </c>
      <c r="CZ4590" s="18">
        <v>64.839884640519216</v>
      </c>
      <c r="DA4590" s="18" t="str">
        <v>Invest</v>
      </c>
    </row>
    <row r="4591" spans="103:105" ht="23.5">
      <c r="CY4591" s="45">
        <v>4587</v>
      </c>
      <c r="CZ4591" s="18">
        <v>40.146275624729327</v>
      </c>
      <c r="DA4591" s="18" t="str">
        <v>Invest</v>
      </c>
    </row>
    <row r="4592" spans="103:105" ht="23.5">
      <c r="CY4592" s="45">
        <v>4588</v>
      </c>
      <c r="CZ4592" s="18">
        <v>20.253713519457797</v>
      </c>
      <c r="DA4592" s="18" t="str">
        <v>Invest</v>
      </c>
    </row>
    <row r="4593" spans="103:105" ht="23.5">
      <c r="CY4593" s="45">
        <v>4589</v>
      </c>
      <c r="CZ4593" s="18">
        <v>33.921214595717345</v>
      </c>
      <c r="DA4593" s="18" t="str">
        <v>Invest</v>
      </c>
    </row>
    <row r="4594" spans="103:105" ht="23.5">
      <c r="CY4594" s="45">
        <v>4590</v>
      </c>
      <c r="CZ4594" s="18">
        <v>0</v>
      </c>
      <c r="DA4594" s="18" t="str">
        <v>Nothing</v>
      </c>
    </row>
    <row r="4595" spans="103:105" ht="23.5">
      <c r="CY4595" s="45">
        <v>4591</v>
      </c>
      <c r="CZ4595" s="18">
        <v>0</v>
      </c>
      <c r="DA4595" s="18" t="str">
        <v>Nothing</v>
      </c>
    </row>
    <row r="4596" spans="103:105" ht="23.5">
      <c r="CY4596" s="45">
        <v>4592</v>
      </c>
      <c r="CZ4596" s="18">
        <v>0</v>
      </c>
      <c r="DA4596" s="18" t="str">
        <v>Nothing</v>
      </c>
    </row>
    <row r="4597" spans="103:105" ht="23.5">
      <c r="CY4597" s="45">
        <v>4593</v>
      </c>
      <c r="CZ4597" s="18">
        <v>8.0114928792167781</v>
      </c>
      <c r="DA4597" s="18" t="str">
        <v>Invest</v>
      </c>
    </row>
    <row r="4598" spans="103:105" ht="23.5">
      <c r="CY4598" s="45">
        <v>4594</v>
      </c>
      <c r="CZ4598" s="18">
        <v>20.59657447653483</v>
      </c>
      <c r="DA4598" s="18" t="str">
        <v>Invest</v>
      </c>
    </row>
    <row r="4599" spans="103:105" ht="23.5">
      <c r="CY4599" s="45">
        <v>4595</v>
      </c>
      <c r="CZ4599" s="18">
        <v>1.7546021456505612</v>
      </c>
      <c r="DA4599" s="18" t="str">
        <v>Invest</v>
      </c>
    </row>
    <row r="4600" spans="103:105" ht="23.5">
      <c r="CY4600" s="45">
        <v>4596</v>
      </c>
      <c r="CZ4600" s="18">
        <v>11.238835838376945</v>
      </c>
      <c r="DA4600" s="18" t="str">
        <v>Invest</v>
      </c>
    </row>
    <row r="4601" spans="103:105" ht="23.5">
      <c r="CY4601" s="45">
        <v>4597</v>
      </c>
      <c r="CZ4601" s="18">
        <v>1.8492817678780815</v>
      </c>
      <c r="DA4601" s="18" t="str">
        <v>Invest</v>
      </c>
    </row>
    <row r="4602" spans="103:105" ht="23.5">
      <c r="CY4602" s="45">
        <v>4598</v>
      </c>
      <c r="CZ4602" s="18">
        <v>0</v>
      </c>
      <c r="DA4602" s="18" t="str">
        <v>Nothing</v>
      </c>
    </row>
    <row r="4603" spans="103:105" ht="23.5">
      <c r="CY4603" s="45">
        <v>4599</v>
      </c>
      <c r="CZ4603" s="18">
        <v>0</v>
      </c>
      <c r="DA4603" s="18" t="str">
        <v>Nothing</v>
      </c>
    </row>
    <row r="4604" spans="103:105" ht="23.5">
      <c r="CY4604" s="45">
        <v>4600</v>
      </c>
      <c r="CZ4604" s="18">
        <v>23.119241248632886</v>
      </c>
      <c r="DA4604" s="18" t="str">
        <v>Invest</v>
      </c>
    </row>
    <row r="4605" spans="103:105" ht="23.5">
      <c r="CY4605" s="45">
        <v>4601</v>
      </c>
      <c r="CZ4605" s="18">
        <v>18.544054556974395</v>
      </c>
      <c r="DA4605" s="18" t="str">
        <v>Invest</v>
      </c>
    </row>
    <row r="4606" spans="103:105" ht="23.5">
      <c r="CY4606" s="45">
        <v>4602</v>
      </c>
      <c r="CZ4606" s="18">
        <v>17.877501035848855</v>
      </c>
      <c r="DA4606" s="18" t="str">
        <v>Invest</v>
      </c>
    </row>
    <row r="4607" spans="103:105" ht="23.5">
      <c r="CY4607" s="45">
        <v>4603</v>
      </c>
      <c r="CZ4607" s="18">
        <v>18.478876208000742</v>
      </c>
      <c r="DA4607" s="18" t="str">
        <v>Invest</v>
      </c>
    </row>
    <row r="4608" spans="103:105" ht="23.5">
      <c r="CY4608" s="45">
        <v>4604</v>
      </c>
      <c r="CZ4608" s="18">
        <v>0</v>
      </c>
      <c r="DA4608" s="18" t="str">
        <v>Nothing</v>
      </c>
    </row>
    <row r="4609" spans="103:105" ht="23.5">
      <c r="CY4609" s="45">
        <v>4605</v>
      </c>
      <c r="CZ4609" s="18">
        <v>0</v>
      </c>
      <c r="DA4609" s="18" t="str">
        <v>Nothing</v>
      </c>
    </row>
    <row r="4610" spans="103:105" ht="23.5">
      <c r="CY4610" s="45">
        <v>4606</v>
      </c>
      <c r="CZ4610" s="18">
        <v>0</v>
      </c>
      <c r="DA4610" s="18" t="str">
        <v>Nothing</v>
      </c>
    </row>
    <row r="4611" spans="103:105" ht="23.5">
      <c r="CY4611" s="45">
        <v>4607</v>
      </c>
      <c r="CZ4611" s="18">
        <v>38.821877555705171</v>
      </c>
      <c r="DA4611" s="18" t="str">
        <v>Invest</v>
      </c>
    </row>
    <row r="4612" spans="103:105" ht="23.5">
      <c r="CY4612" s="45">
        <v>4608</v>
      </c>
      <c r="CZ4612" s="18">
        <v>30.156157036943238</v>
      </c>
      <c r="DA4612" s="18" t="str">
        <v>Invest</v>
      </c>
    </row>
    <row r="4613" spans="103:105" ht="23.5">
      <c r="CY4613" s="45">
        <v>4609</v>
      </c>
      <c r="CZ4613" s="18">
        <v>0</v>
      </c>
      <c r="DA4613" s="18" t="str">
        <v>Nothing</v>
      </c>
    </row>
    <row r="4614" spans="103:105" ht="23.5">
      <c r="CY4614" s="45">
        <v>4610</v>
      </c>
      <c r="CZ4614" s="18">
        <v>7.379537771029165</v>
      </c>
      <c r="DA4614" s="18" t="str">
        <v>Invest</v>
      </c>
    </row>
    <row r="4615" spans="103:105" ht="23.5">
      <c r="CY4615" s="45">
        <v>4611</v>
      </c>
      <c r="CZ4615" s="18">
        <v>0</v>
      </c>
      <c r="DA4615" s="18" t="str">
        <v>Nothing</v>
      </c>
    </row>
    <row r="4616" spans="103:105" ht="23.5">
      <c r="CY4616" s="45">
        <v>4612</v>
      </c>
      <c r="CZ4616" s="18">
        <v>21.583697796256494</v>
      </c>
      <c r="DA4616" s="18" t="str">
        <v>Invest</v>
      </c>
    </row>
    <row r="4617" spans="103:105" ht="23.5">
      <c r="CY4617" s="45">
        <v>4613</v>
      </c>
      <c r="CZ4617" s="18">
        <v>0</v>
      </c>
      <c r="DA4617" s="18" t="str">
        <v>Nothing</v>
      </c>
    </row>
    <row r="4618" spans="103:105" ht="23.5">
      <c r="CY4618" s="45">
        <v>4614</v>
      </c>
      <c r="CZ4618" s="18">
        <v>6.6924959680440175</v>
      </c>
      <c r="DA4618" s="18" t="str">
        <v>Invest</v>
      </c>
    </row>
    <row r="4619" spans="103:105" ht="23.5">
      <c r="CY4619" s="45">
        <v>4615</v>
      </c>
      <c r="CZ4619" s="18">
        <v>15.392792380871306</v>
      </c>
      <c r="DA4619" s="18" t="str">
        <v>Invest</v>
      </c>
    </row>
    <row r="4620" spans="103:105" ht="23.5">
      <c r="CY4620" s="45">
        <v>4616</v>
      </c>
      <c r="CZ4620" s="18">
        <v>2.7988757114957261</v>
      </c>
      <c r="DA4620" s="18" t="str">
        <v>Invest</v>
      </c>
    </row>
    <row r="4621" spans="103:105" ht="23.5">
      <c r="CY4621" s="45">
        <v>4617</v>
      </c>
      <c r="CZ4621" s="18">
        <v>0</v>
      </c>
      <c r="DA4621" s="18" t="str">
        <v>Nothing</v>
      </c>
    </row>
    <row r="4622" spans="103:105" ht="23.5">
      <c r="CY4622" s="45">
        <v>4618</v>
      </c>
      <c r="CZ4622" s="18">
        <v>33.189763708421196</v>
      </c>
      <c r="DA4622" s="18" t="str">
        <v>Invest</v>
      </c>
    </row>
    <row r="4623" spans="103:105" ht="23.5">
      <c r="CY4623" s="45">
        <v>4619</v>
      </c>
      <c r="CZ4623" s="18">
        <v>0</v>
      </c>
      <c r="DA4623" s="18" t="str">
        <v>Nothing</v>
      </c>
    </row>
    <row r="4624" spans="103:105" ht="23.5">
      <c r="CY4624" s="45">
        <v>4620</v>
      </c>
      <c r="CZ4624" s="18">
        <v>33.780779758303893</v>
      </c>
      <c r="DA4624" s="18" t="str">
        <v>Invest</v>
      </c>
    </row>
    <row r="4625" spans="103:105" ht="23.5">
      <c r="CY4625" s="45">
        <v>4621</v>
      </c>
      <c r="CZ4625" s="18">
        <v>20.719542686041887</v>
      </c>
      <c r="DA4625" s="18" t="str">
        <v>Invest</v>
      </c>
    </row>
    <row r="4626" spans="103:105" ht="23.5">
      <c r="CY4626" s="45">
        <v>4622</v>
      </c>
      <c r="CZ4626" s="18">
        <v>24.062506925174276</v>
      </c>
      <c r="DA4626" s="18" t="str">
        <v>Invest</v>
      </c>
    </row>
    <row r="4627" spans="103:105" ht="23.5">
      <c r="CY4627" s="45">
        <v>4623</v>
      </c>
      <c r="CZ4627" s="18">
        <v>0</v>
      </c>
      <c r="DA4627" s="18" t="str">
        <v>Nothing</v>
      </c>
    </row>
    <row r="4628" spans="103:105" ht="23.5">
      <c r="CY4628" s="45">
        <v>4624</v>
      </c>
      <c r="CZ4628" s="18">
        <v>30.822727062651332</v>
      </c>
      <c r="DA4628" s="18" t="str">
        <v>Invest</v>
      </c>
    </row>
    <row r="4629" spans="103:105" ht="23.5">
      <c r="CY4629" s="45">
        <v>4625</v>
      </c>
      <c r="CZ4629" s="18">
        <v>22.139075410352362</v>
      </c>
      <c r="DA4629" s="18" t="str">
        <v>Invest</v>
      </c>
    </row>
    <row r="4630" spans="103:105" ht="23.5">
      <c r="CY4630" s="45">
        <v>4626</v>
      </c>
      <c r="CZ4630" s="18">
        <v>24.834785629979812</v>
      </c>
      <c r="DA4630" s="18" t="str">
        <v>Invest</v>
      </c>
    </row>
    <row r="4631" spans="103:105" ht="23.5">
      <c r="CY4631" s="45">
        <v>4627</v>
      </c>
      <c r="CZ4631" s="18">
        <v>0</v>
      </c>
      <c r="DA4631" s="18" t="str">
        <v>Nothing</v>
      </c>
    </row>
    <row r="4632" spans="103:105" ht="23.5">
      <c r="CY4632" s="45">
        <v>4628</v>
      </c>
      <c r="CZ4632" s="18">
        <v>0</v>
      </c>
      <c r="DA4632" s="18" t="str">
        <v>Nothing</v>
      </c>
    </row>
    <row r="4633" spans="103:105" ht="23.5">
      <c r="CY4633" s="45">
        <v>4629</v>
      </c>
      <c r="CZ4633" s="18">
        <v>0</v>
      </c>
      <c r="DA4633" s="18" t="str">
        <v>Nothing</v>
      </c>
    </row>
    <row r="4634" spans="103:105" ht="23.5">
      <c r="CY4634" s="45">
        <v>4630</v>
      </c>
      <c r="CZ4634" s="18">
        <v>43.275899637545535</v>
      </c>
      <c r="DA4634" s="18" t="str">
        <v>Invest</v>
      </c>
    </row>
    <row r="4635" spans="103:105" ht="23.5">
      <c r="CY4635" s="45">
        <v>4631</v>
      </c>
      <c r="CZ4635" s="18">
        <v>13.189231554858718</v>
      </c>
      <c r="DA4635" s="18" t="str">
        <v>Invest</v>
      </c>
    </row>
    <row r="4636" spans="103:105" ht="23.5">
      <c r="CY4636" s="45">
        <v>4632</v>
      </c>
      <c r="CZ4636" s="18">
        <v>3.1217886838273063</v>
      </c>
      <c r="DA4636" s="18" t="str">
        <v>Invest</v>
      </c>
    </row>
    <row r="4637" spans="103:105" ht="23.5">
      <c r="CY4637" s="45">
        <v>4633</v>
      </c>
      <c r="CZ4637" s="18">
        <v>10.775717169498986</v>
      </c>
      <c r="DA4637" s="18" t="str">
        <v>Invest</v>
      </c>
    </row>
    <row r="4638" spans="103:105" ht="23.5">
      <c r="CY4638" s="45">
        <v>4634</v>
      </c>
      <c r="CZ4638" s="18">
        <v>5.9311170998300842</v>
      </c>
      <c r="DA4638" s="18" t="str">
        <v>Invest</v>
      </c>
    </row>
    <row r="4639" spans="103:105" ht="23.5">
      <c r="CY4639" s="45">
        <v>4635</v>
      </c>
      <c r="CZ4639" s="18">
        <v>0</v>
      </c>
      <c r="DA4639" s="18" t="str">
        <v>Nothing</v>
      </c>
    </row>
    <row r="4640" spans="103:105" ht="23.5">
      <c r="CY4640" s="45">
        <v>4636</v>
      </c>
      <c r="CZ4640" s="18">
        <v>0</v>
      </c>
      <c r="DA4640" s="18" t="str">
        <v>Nothing</v>
      </c>
    </row>
    <row r="4641" spans="103:105" ht="23.5">
      <c r="CY4641" s="45">
        <v>4637</v>
      </c>
      <c r="CZ4641" s="18">
        <v>24.516009022182029</v>
      </c>
      <c r="DA4641" s="18" t="str">
        <v>Invest</v>
      </c>
    </row>
    <row r="4642" spans="103:105" ht="23.5">
      <c r="CY4642" s="45">
        <v>4638</v>
      </c>
      <c r="CZ4642" s="18">
        <v>31.885906057533077</v>
      </c>
      <c r="DA4642" s="18" t="str">
        <v>Invest</v>
      </c>
    </row>
    <row r="4643" spans="103:105" ht="23.5">
      <c r="CY4643" s="45">
        <v>4639</v>
      </c>
      <c r="CZ4643" s="18">
        <v>39.287279510454411</v>
      </c>
      <c r="DA4643" s="18" t="str">
        <v>Invest</v>
      </c>
    </row>
    <row r="4644" spans="103:105" ht="23.5">
      <c r="CY4644" s="45">
        <v>4640</v>
      </c>
      <c r="CZ4644" s="18">
        <v>49.568003933307608</v>
      </c>
      <c r="DA4644" s="18" t="str">
        <v>Invest</v>
      </c>
    </row>
    <row r="4645" spans="103:105" ht="23.5">
      <c r="CY4645" s="45">
        <v>4641</v>
      </c>
      <c r="CZ4645" s="18">
        <v>37.15516134701646</v>
      </c>
      <c r="DA4645" s="18" t="str">
        <v>Invest</v>
      </c>
    </row>
    <row r="4646" spans="103:105" ht="23.5">
      <c r="CY4646" s="45">
        <v>4642</v>
      </c>
      <c r="CZ4646" s="18">
        <v>29.177357824976347</v>
      </c>
      <c r="DA4646" s="18" t="str">
        <v>Invest</v>
      </c>
    </row>
    <row r="4647" spans="103:105" ht="23.5">
      <c r="CY4647" s="45">
        <v>4643</v>
      </c>
      <c r="CZ4647" s="18">
        <v>7.6561346797141301</v>
      </c>
      <c r="DA4647" s="18" t="str">
        <v>Invest</v>
      </c>
    </row>
    <row r="4648" spans="103:105" ht="23.5">
      <c r="CY4648" s="45">
        <v>4644</v>
      </c>
      <c r="CZ4648" s="18">
        <v>51.36299721685581</v>
      </c>
      <c r="DA4648" s="18" t="str">
        <v>Invest</v>
      </c>
    </row>
    <row r="4649" spans="103:105" ht="23.5">
      <c r="CY4649" s="45">
        <v>4645</v>
      </c>
      <c r="CZ4649" s="18">
        <v>9.9894378637905117</v>
      </c>
      <c r="DA4649" s="18" t="str">
        <v>Invest</v>
      </c>
    </row>
    <row r="4650" spans="103:105" ht="23.5">
      <c r="CY4650" s="45">
        <v>4646</v>
      </c>
      <c r="CZ4650" s="18">
        <v>11.688890938418535</v>
      </c>
      <c r="DA4650" s="18" t="str">
        <v>Invest</v>
      </c>
    </row>
    <row r="4651" spans="103:105" ht="23.5">
      <c r="CY4651" s="45">
        <v>4647</v>
      </c>
      <c r="CZ4651" s="18">
        <v>24.859797412460143</v>
      </c>
      <c r="DA4651" s="18" t="str">
        <v>Invest</v>
      </c>
    </row>
    <row r="4652" spans="103:105" ht="23.5">
      <c r="CY4652" s="45">
        <v>4648</v>
      </c>
      <c r="CZ4652" s="18">
        <v>54.719350552248805</v>
      </c>
      <c r="DA4652" s="18" t="str">
        <v>Invest</v>
      </c>
    </row>
    <row r="4653" spans="103:105" ht="23.5">
      <c r="CY4653" s="45">
        <v>4649</v>
      </c>
      <c r="CZ4653" s="18">
        <v>0</v>
      </c>
      <c r="DA4653" s="18" t="str">
        <v>Nothing</v>
      </c>
    </row>
    <row r="4654" spans="103:105" ht="23.5">
      <c r="CY4654" s="45">
        <v>4650</v>
      </c>
      <c r="CZ4654" s="18">
        <v>60.194286214364546</v>
      </c>
      <c r="DA4654" s="18" t="str">
        <v>Invest</v>
      </c>
    </row>
    <row r="4655" spans="103:105" ht="23.5">
      <c r="CY4655" s="45">
        <v>4651</v>
      </c>
      <c r="CZ4655" s="18">
        <v>22.227844566435515</v>
      </c>
      <c r="DA4655" s="18" t="str">
        <v>Invest</v>
      </c>
    </row>
    <row r="4656" spans="103:105" ht="23.5">
      <c r="CY4656" s="45">
        <v>4652</v>
      </c>
      <c r="CZ4656" s="18">
        <v>0</v>
      </c>
      <c r="DA4656" s="18" t="str">
        <v>Nothing</v>
      </c>
    </row>
    <row r="4657" spans="103:105" ht="23.5">
      <c r="CY4657" s="45">
        <v>4653</v>
      </c>
      <c r="CZ4657" s="18">
        <v>0</v>
      </c>
      <c r="DA4657" s="18" t="str">
        <v>Nothing</v>
      </c>
    </row>
    <row r="4658" spans="103:105" ht="23.5">
      <c r="CY4658" s="45">
        <v>4654</v>
      </c>
      <c r="CZ4658" s="18">
        <v>39.46962992568281</v>
      </c>
      <c r="DA4658" s="18" t="str">
        <v>Invest</v>
      </c>
    </row>
    <row r="4659" spans="103:105" ht="23.5">
      <c r="CY4659" s="45">
        <v>4655</v>
      </c>
      <c r="CZ4659" s="18">
        <v>7.5349476200112218</v>
      </c>
      <c r="DA4659" s="18" t="str">
        <v>Invest</v>
      </c>
    </row>
    <row r="4660" spans="103:105" ht="23.5">
      <c r="CY4660" s="45">
        <v>4656</v>
      </c>
      <c r="CZ4660" s="18">
        <v>0</v>
      </c>
      <c r="DA4660" s="18" t="str">
        <v>Nothing</v>
      </c>
    </row>
    <row r="4661" spans="103:105" ht="23.5">
      <c r="CY4661" s="45">
        <v>4657</v>
      </c>
      <c r="CZ4661" s="18">
        <v>39.836273536584642</v>
      </c>
      <c r="DA4661" s="18" t="str">
        <v>Invest</v>
      </c>
    </row>
    <row r="4662" spans="103:105" ht="23.5">
      <c r="CY4662" s="45">
        <v>4658</v>
      </c>
      <c r="CZ4662" s="18">
        <v>4.1401972645501388</v>
      </c>
      <c r="DA4662" s="18" t="str">
        <v>Invest</v>
      </c>
    </row>
    <row r="4663" spans="103:105" ht="23.5">
      <c r="CY4663" s="45">
        <v>4659</v>
      </c>
      <c r="CZ4663" s="18">
        <v>2.4440912221220916</v>
      </c>
      <c r="DA4663" s="18" t="str">
        <v>Invest</v>
      </c>
    </row>
    <row r="4664" spans="103:105" ht="23.5">
      <c r="CY4664" s="45">
        <v>4660</v>
      </c>
      <c r="CZ4664" s="18">
        <v>50.911761304883044</v>
      </c>
      <c r="DA4664" s="18" t="str">
        <v>Invest</v>
      </c>
    </row>
    <row r="4665" spans="103:105" ht="23.5">
      <c r="CY4665" s="45">
        <v>4661</v>
      </c>
      <c r="CZ4665" s="18">
        <v>0</v>
      </c>
      <c r="DA4665" s="18" t="str">
        <v>Nothing</v>
      </c>
    </row>
    <row r="4666" spans="103:105" ht="23.5">
      <c r="CY4666" s="45">
        <v>4662</v>
      </c>
      <c r="CZ4666" s="18">
        <v>45.860082308176587</v>
      </c>
      <c r="DA4666" s="18" t="str">
        <v>Invest</v>
      </c>
    </row>
    <row r="4667" spans="103:105" ht="23.5">
      <c r="CY4667" s="45">
        <v>4663</v>
      </c>
      <c r="CZ4667" s="18">
        <v>0</v>
      </c>
      <c r="DA4667" s="18" t="str">
        <v>Nothing</v>
      </c>
    </row>
    <row r="4668" spans="103:105" ht="23.5">
      <c r="CY4668" s="45">
        <v>4664</v>
      </c>
      <c r="CZ4668" s="18">
        <v>25.8599705714885</v>
      </c>
      <c r="DA4668" s="18" t="str">
        <v>Invest</v>
      </c>
    </row>
    <row r="4669" spans="103:105" ht="23.5">
      <c r="CY4669" s="45">
        <v>4665</v>
      </c>
      <c r="CZ4669" s="18">
        <v>52.727280402830729</v>
      </c>
      <c r="DA4669" s="18" t="str">
        <v>Invest</v>
      </c>
    </row>
    <row r="4670" spans="103:105" ht="23.5">
      <c r="CY4670" s="45">
        <v>4666</v>
      </c>
      <c r="CZ4670" s="18">
        <v>18.327361169571439</v>
      </c>
      <c r="DA4670" s="18" t="str">
        <v>Invest</v>
      </c>
    </row>
    <row r="4671" spans="103:105" ht="23.5">
      <c r="CY4671" s="45">
        <v>4667</v>
      </c>
      <c r="CZ4671" s="18">
        <v>7.4716060069741967</v>
      </c>
      <c r="DA4671" s="18" t="str">
        <v>Invest</v>
      </c>
    </row>
    <row r="4672" spans="103:105" ht="23.5">
      <c r="CY4672" s="45">
        <v>4668</v>
      </c>
      <c r="CZ4672" s="18">
        <v>44.992098351852825</v>
      </c>
      <c r="DA4672" s="18" t="str">
        <v>Invest</v>
      </c>
    </row>
    <row r="4673" spans="103:105" ht="23.5">
      <c r="CY4673" s="45">
        <v>4669</v>
      </c>
      <c r="CZ4673" s="18">
        <v>1.9903187636628514</v>
      </c>
      <c r="DA4673" s="18" t="str">
        <v>Invest</v>
      </c>
    </row>
    <row r="4674" spans="103:105" ht="23.5">
      <c r="CY4674" s="45">
        <v>4670</v>
      </c>
      <c r="CZ4674" s="18">
        <v>0</v>
      </c>
      <c r="DA4674" s="18" t="str">
        <v>Nothing</v>
      </c>
    </row>
    <row r="4675" spans="103:105" ht="23.5">
      <c r="CY4675" s="45">
        <v>4671</v>
      </c>
      <c r="CZ4675" s="18">
        <v>13.924765544988556</v>
      </c>
      <c r="DA4675" s="18" t="str">
        <v>Invest</v>
      </c>
    </row>
    <row r="4676" spans="103:105" ht="23.5">
      <c r="CY4676" s="45">
        <v>4672</v>
      </c>
      <c r="CZ4676" s="18">
        <v>0</v>
      </c>
      <c r="DA4676" s="18" t="str">
        <v>Nothing</v>
      </c>
    </row>
    <row r="4677" spans="103:105" ht="23.5">
      <c r="CY4677" s="45">
        <v>4673</v>
      </c>
      <c r="CZ4677" s="18">
        <v>27.244300002637878</v>
      </c>
      <c r="DA4677" s="18" t="str">
        <v>Invest</v>
      </c>
    </row>
    <row r="4678" spans="103:105" ht="23.5">
      <c r="CY4678" s="45">
        <v>4674</v>
      </c>
      <c r="CZ4678" s="18">
        <v>58.40192826264888</v>
      </c>
      <c r="DA4678" s="18" t="str">
        <v>Invest</v>
      </c>
    </row>
    <row r="4679" spans="103:105" ht="23.5">
      <c r="CY4679" s="45">
        <v>4675</v>
      </c>
      <c r="CZ4679" s="18">
        <v>27.532748944355475</v>
      </c>
      <c r="DA4679" s="18" t="str">
        <v>Invest</v>
      </c>
    </row>
    <row r="4680" spans="103:105" ht="23.5">
      <c r="CY4680" s="45">
        <v>4676</v>
      </c>
      <c r="CZ4680" s="18">
        <v>30.39553452188872</v>
      </c>
      <c r="DA4680" s="18" t="str">
        <v>Invest</v>
      </c>
    </row>
    <row r="4681" spans="103:105" ht="23.5">
      <c r="CY4681" s="45">
        <v>4677</v>
      </c>
      <c r="CZ4681" s="18">
        <v>0</v>
      </c>
      <c r="DA4681" s="18" t="str">
        <v>Nothing</v>
      </c>
    </row>
    <row r="4682" spans="103:105" ht="23.5">
      <c r="CY4682" s="45">
        <v>4678</v>
      </c>
      <c r="CZ4682" s="18">
        <v>33.860395457149195</v>
      </c>
      <c r="DA4682" s="18" t="str">
        <v>Invest</v>
      </c>
    </row>
    <row r="4683" spans="103:105" ht="23.5">
      <c r="CY4683" s="45">
        <v>4679</v>
      </c>
      <c r="CZ4683" s="18">
        <v>4.7717593042681177</v>
      </c>
      <c r="DA4683" s="18" t="str">
        <v>Invest</v>
      </c>
    </row>
    <row r="4684" spans="103:105" ht="23.5">
      <c r="CY4684" s="45">
        <v>4680</v>
      </c>
      <c r="CZ4684" s="18">
        <v>37.675716662307565</v>
      </c>
      <c r="DA4684" s="18" t="str">
        <v>Invest</v>
      </c>
    </row>
    <row r="4685" spans="103:105" ht="23.5">
      <c r="CY4685" s="45">
        <v>4681</v>
      </c>
      <c r="CZ4685" s="18">
        <v>3.056840460216975</v>
      </c>
      <c r="DA4685" s="18" t="str">
        <v>Invest</v>
      </c>
    </row>
    <row r="4686" spans="103:105" ht="23.5">
      <c r="CY4686" s="45">
        <v>4682</v>
      </c>
      <c r="CZ4686" s="18">
        <v>57.320205701012426</v>
      </c>
      <c r="DA4686" s="18" t="str">
        <v>Invest</v>
      </c>
    </row>
    <row r="4687" spans="103:105" ht="23.5">
      <c r="CY4687" s="45">
        <v>4683</v>
      </c>
      <c r="CZ4687" s="18">
        <v>2.1346670740413476</v>
      </c>
      <c r="DA4687" s="18" t="str">
        <v>Invest</v>
      </c>
    </row>
    <row r="4688" spans="103:105" ht="23.5">
      <c r="CY4688" s="45">
        <v>4684</v>
      </c>
      <c r="CZ4688" s="18">
        <v>0</v>
      </c>
      <c r="DA4688" s="18" t="str">
        <v>Nothing</v>
      </c>
    </row>
    <row r="4689" spans="103:105" ht="23.5">
      <c r="CY4689" s="45">
        <v>4685</v>
      </c>
      <c r="CZ4689" s="18">
        <v>11.923794260524016</v>
      </c>
      <c r="DA4689" s="18" t="str">
        <v>Invest</v>
      </c>
    </row>
    <row r="4690" spans="103:105" ht="23.5">
      <c r="CY4690" s="45">
        <v>4686</v>
      </c>
      <c r="CZ4690" s="18">
        <v>0</v>
      </c>
      <c r="DA4690" s="18" t="str">
        <v>Nothing</v>
      </c>
    </row>
    <row r="4691" spans="103:105" ht="23.5">
      <c r="CY4691" s="45">
        <v>4687</v>
      </c>
      <c r="CZ4691" s="18">
        <v>65.983317315319312</v>
      </c>
      <c r="DA4691" s="18" t="str">
        <v>Invest</v>
      </c>
    </row>
    <row r="4692" spans="103:105" ht="23.5">
      <c r="CY4692" s="45">
        <v>4688</v>
      </c>
      <c r="CZ4692" s="18">
        <v>26.368198273628721</v>
      </c>
      <c r="DA4692" s="18" t="str">
        <v>Invest</v>
      </c>
    </row>
    <row r="4693" spans="103:105" ht="23.5">
      <c r="CY4693" s="45">
        <v>4689</v>
      </c>
      <c r="CZ4693" s="18">
        <v>0</v>
      </c>
      <c r="DA4693" s="18" t="str">
        <v>Nothing</v>
      </c>
    </row>
    <row r="4694" spans="103:105" ht="23.5">
      <c r="CY4694" s="45">
        <v>4690</v>
      </c>
      <c r="CZ4694" s="18">
        <v>30.847211418422724</v>
      </c>
      <c r="DA4694" s="18" t="str">
        <v>Invest</v>
      </c>
    </row>
    <row r="4695" spans="103:105" ht="23.5">
      <c r="CY4695" s="45">
        <v>4691</v>
      </c>
      <c r="CZ4695" s="18">
        <v>12.561329553281031</v>
      </c>
      <c r="DA4695" s="18" t="str">
        <v>Invest</v>
      </c>
    </row>
    <row r="4696" spans="103:105" ht="23.5">
      <c r="CY4696" s="45">
        <v>4692</v>
      </c>
      <c r="CZ4696" s="18">
        <v>25.734748610470426</v>
      </c>
      <c r="DA4696" s="18" t="str">
        <v>Invest</v>
      </c>
    </row>
    <row r="4697" spans="103:105" ht="23.5">
      <c r="CY4697" s="45">
        <v>4693</v>
      </c>
      <c r="CZ4697" s="18">
        <v>0</v>
      </c>
      <c r="DA4697" s="18" t="str">
        <v>Nothing</v>
      </c>
    </row>
    <row r="4698" spans="103:105" ht="23.5">
      <c r="CY4698" s="45">
        <v>4694</v>
      </c>
      <c r="CZ4698" s="18">
        <v>1.6452738236165487</v>
      </c>
      <c r="DA4698" s="18" t="str">
        <v>Invest</v>
      </c>
    </row>
    <row r="4699" spans="103:105" ht="23.5">
      <c r="CY4699" s="45">
        <v>4695</v>
      </c>
      <c r="CZ4699" s="18">
        <v>32.90500327811624</v>
      </c>
      <c r="DA4699" s="18" t="str">
        <v>Invest</v>
      </c>
    </row>
    <row r="4700" spans="103:105" ht="23.5">
      <c r="CY4700" s="45">
        <v>4696</v>
      </c>
      <c r="CZ4700" s="18">
        <v>0</v>
      </c>
      <c r="DA4700" s="18" t="str">
        <v>Nothing</v>
      </c>
    </row>
    <row r="4701" spans="103:105" ht="23.5">
      <c r="CY4701" s="45">
        <v>4697</v>
      </c>
      <c r="CZ4701" s="18">
        <v>11.514453918537633</v>
      </c>
      <c r="DA4701" s="18" t="str">
        <v>Invest</v>
      </c>
    </row>
    <row r="4702" spans="103:105" ht="23.5">
      <c r="CY4702" s="45">
        <v>4698</v>
      </c>
      <c r="CZ4702" s="18">
        <v>0</v>
      </c>
      <c r="DA4702" s="18" t="str">
        <v>Nothing</v>
      </c>
    </row>
    <row r="4703" spans="103:105" ht="23.5">
      <c r="CY4703" s="45">
        <v>4699</v>
      </c>
      <c r="CZ4703" s="18">
        <v>16.07239985797267</v>
      </c>
      <c r="DA4703" s="18" t="str">
        <v>Invest</v>
      </c>
    </row>
    <row r="4704" spans="103:105" ht="23.5">
      <c r="CY4704" s="45">
        <v>4700</v>
      </c>
      <c r="CZ4704" s="18">
        <v>3.0860401805910342</v>
      </c>
      <c r="DA4704" s="18" t="str">
        <v>Invest</v>
      </c>
    </row>
    <row r="4705" spans="103:105" ht="23.5">
      <c r="CY4705" s="45">
        <v>4701</v>
      </c>
      <c r="CZ4705" s="18">
        <v>31.79423470613046</v>
      </c>
      <c r="DA4705" s="18" t="str">
        <v>Invest</v>
      </c>
    </row>
    <row r="4706" spans="103:105" ht="23.5">
      <c r="CY4706" s="45">
        <v>4702</v>
      </c>
      <c r="CZ4706" s="18">
        <v>37.46875156379717</v>
      </c>
      <c r="DA4706" s="18" t="str">
        <v>Invest</v>
      </c>
    </row>
    <row r="4707" spans="103:105" ht="23.5">
      <c r="CY4707" s="45">
        <v>4703</v>
      </c>
      <c r="CZ4707" s="18">
        <v>0</v>
      </c>
      <c r="DA4707" s="18" t="str">
        <v>Nothing</v>
      </c>
    </row>
    <row r="4708" spans="103:105" ht="23.5">
      <c r="CY4708" s="45">
        <v>4704</v>
      </c>
      <c r="CZ4708" s="18">
        <v>0</v>
      </c>
      <c r="DA4708" s="18" t="str">
        <v>Nothing</v>
      </c>
    </row>
    <row r="4709" spans="103:105" ht="23.5">
      <c r="CY4709" s="45">
        <v>4705</v>
      </c>
      <c r="CZ4709" s="18">
        <v>35.372885315966457</v>
      </c>
      <c r="DA4709" s="18" t="str">
        <v>Invest</v>
      </c>
    </row>
    <row r="4710" spans="103:105" ht="23.5">
      <c r="CY4710" s="45">
        <v>4706</v>
      </c>
      <c r="CZ4710" s="18">
        <v>0</v>
      </c>
      <c r="DA4710" s="18" t="str">
        <v>Nothing</v>
      </c>
    </row>
    <row r="4711" spans="103:105" ht="23.5">
      <c r="CY4711" s="45">
        <v>4707</v>
      </c>
      <c r="CZ4711" s="18">
        <v>28.412293280211696</v>
      </c>
      <c r="DA4711" s="18" t="str">
        <v>Invest</v>
      </c>
    </row>
    <row r="4712" spans="103:105" ht="23.5">
      <c r="CY4712" s="45">
        <v>4708</v>
      </c>
      <c r="CZ4712" s="18">
        <v>39.511613908475645</v>
      </c>
      <c r="DA4712" s="18" t="str">
        <v>Invest</v>
      </c>
    </row>
    <row r="4713" spans="103:105" ht="23.5">
      <c r="CY4713" s="45">
        <v>4709</v>
      </c>
      <c r="CZ4713" s="18">
        <v>0</v>
      </c>
      <c r="DA4713" s="18" t="str">
        <v>Nothing</v>
      </c>
    </row>
    <row r="4714" spans="103:105" ht="23.5">
      <c r="CY4714" s="45">
        <v>4710</v>
      </c>
      <c r="CZ4714" s="18">
        <v>22.65936470073067</v>
      </c>
      <c r="DA4714" s="18" t="str">
        <v>Invest</v>
      </c>
    </row>
    <row r="4715" spans="103:105" ht="23.5">
      <c r="CY4715" s="45">
        <v>4711</v>
      </c>
      <c r="CZ4715" s="18">
        <v>4.9391480191333255</v>
      </c>
      <c r="DA4715" s="18" t="str">
        <v>Invest</v>
      </c>
    </row>
    <row r="4716" spans="103:105" ht="23.5">
      <c r="CY4716" s="45">
        <v>4712</v>
      </c>
      <c r="CZ4716" s="18">
        <v>45.413026812773218</v>
      </c>
      <c r="DA4716" s="18" t="str">
        <v>Invest</v>
      </c>
    </row>
    <row r="4717" spans="103:105" ht="23.5">
      <c r="CY4717" s="45">
        <v>4713</v>
      </c>
      <c r="CZ4717" s="18">
        <v>0</v>
      </c>
      <c r="DA4717" s="18" t="str">
        <v>Nothing</v>
      </c>
    </row>
    <row r="4718" spans="103:105" ht="23.5">
      <c r="CY4718" s="45">
        <v>4714</v>
      </c>
      <c r="CZ4718" s="18">
        <v>4.2085698797611037</v>
      </c>
      <c r="DA4718" s="18" t="str">
        <v>Invest</v>
      </c>
    </row>
    <row r="4719" spans="103:105" ht="23.5">
      <c r="CY4719" s="45">
        <v>4715</v>
      </c>
      <c r="CZ4719" s="18">
        <v>0</v>
      </c>
      <c r="DA4719" s="18" t="str">
        <v>Nothing</v>
      </c>
    </row>
    <row r="4720" spans="103:105" ht="23.5">
      <c r="CY4720" s="45">
        <v>4716</v>
      </c>
      <c r="CZ4720" s="18">
        <v>32.232987230508783</v>
      </c>
      <c r="DA4720" s="18" t="str">
        <v>Invest</v>
      </c>
    </row>
    <row r="4721" spans="103:105" ht="23.5">
      <c r="CY4721" s="45">
        <v>4717</v>
      </c>
      <c r="CZ4721" s="18">
        <v>2.8439034538147023</v>
      </c>
      <c r="DA4721" s="18" t="str">
        <v>Invest</v>
      </c>
    </row>
    <row r="4722" spans="103:105" ht="23.5">
      <c r="CY4722" s="45">
        <v>4718</v>
      </c>
      <c r="CZ4722" s="18">
        <v>19.436849274856371</v>
      </c>
      <c r="DA4722" s="18" t="str">
        <v>Invest</v>
      </c>
    </row>
    <row r="4723" spans="103:105" ht="23.5">
      <c r="CY4723" s="45">
        <v>4719</v>
      </c>
      <c r="CZ4723" s="18">
        <v>25.203254194485261</v>
      </c>
      <c r="DA4723" s="18" t="str">
        <v>Invest</v>
      </c>
    </row>
    <row r="4724" spans="103:105" ht="23.5">
      <c r="CY4724" s="45">
        <v>4720</v>
      </c>
      <c r="CZ4724" s="18">
        <v>32.271079096740735</v>
      </c>
      <c r="DA4724" s="18" t="str">
        <v>Invest</v>
      </c>
    </row>
    <row r="4725" spans="103:105" ht="23.5">
      <c r="CY4725" s="45">
        <v>4721</v>
      </c>
      <c r="CZ4725" s="18">
        <v>9.0517274932656164</v>
      </c>
      <c r="DA4725" s="18" t="str">
        <v>Invest</v>
      </c>
    </row>
    <row r="4726" spans="103:105" ht="23.5">
      <c r="CY4726" s="45">
        <v>4722</v>
      </c>
      <c r="CZ4726" s="18">
        <v>0</v>
      </c>
      <c r="DA4726" s="18" t="str">
        <v>Nothing</v>
      </c>
    </row>
    <row r="4727" spans="103:105" ht="23.5">
      <c r="CY4727" s="45">
        <v>4723</v>
      </c>
      <c r="CZ4727" s="18">
        <v>34.907410299409051</v>
      </c>
      <c r="DA4727" s="18" t="str">
        <v>Invest</v>
      </c>
    </row>
    <row r="4728" spans="103:105" ht="23.5">
      <c r="CY4728" s="45">
        <v>4724</v>
      </c>
      <c r="CZ4728" s="18">
        <v>32.218771467030855</v>
      </c>
      <c r="DA4728" s="18" t="str">
        <v>Invest</v>
      </c>
    </row>
    <row r="4729" spans="103:105" ht="23.5">
      <c r="CY4729" s="45">
        <v>4725</v>
      </c>
      <c r="CZ4729" s="18">
        <v>0</v>
      </c>
      <c r="DA4729" s="18" t="str">
        <v>Nothing</v>
      </c>
    </row>
    <row r="4730" spans="103:105" ht="23.5">
      <c r="CY4730" s="45">
        <v>4726</v>
      </c>
      <c r="CZ4730" s="18">
        <v>3.4637393026211063</v>
      </c>
      <c r="DA4730" s="18" t="str">
        <v>Invest</v>
      </c>
    </row>
    <row r="4731" spans="103:105" ht="23.5">
      <c r="CY4731" s="45">
        <v>4727</v>
      </c>
      <c r="CZ4731" s="18">
        <v>0</v>
      </c>
      <c r="DA4731" s="18" t="str">
        <v>Nothing</v>
      </c>
    </row>
    <row r="4732" spans="103:105" ht="23.5">
      <c r="CY4732" s="45">
        <v>4728</v>
      </c>
      <c r="CZ4732" s="18">
        <v>8.6593485440817997</v>
      </c>
      <c r="DA4732" s="18" t="str">
        <v>Invest</v>
      </c>
    </row>
    <row r="4733" spans="103:105" ht="23.5">
      <c r="CY4733" s="45">
        <v>4729</v>
      </c>
      <c r="CZ4733" s="18">
        <v>0</v>
      </c>
      <c r="DA4733" s="18" t="str">
        <v>Nothing</v>
      </c>
    </row>
    <row r="4734" spans="103:105" ht="23.5">
      <c r="CY4734" s="45">
        <v>4730</v>
      </c>
      <c r="CZ4734" s="18">
        <v>41.184995642588817</v>
      </c>
      <c r="DA4734" s="18" t="str">
        <v>Invest</v>
      </c>
    </row>
    <row r="4735" spans="103:105" ht="23.5">
      <c r="CY4735" s="45">
        <v>4731</v>
      </c>
      <c r="CZ4735" s="18">
        <v>27.924695992757997</v>
      </c>
      <c r="DA4735" s="18" t="str">
        <v>Invest</v>
      </c>
    </row>
    <row r="4736" spans="103:105" ht="23.5">
      <c r="CY4736" s="45">
        <v>4732</v>
      </c>
      <c r="CZ4736" s="18">
        <v>24.344518298346276</v>
      </c>
      <c r="DA4736" s="18" t="str">
        <v>Invest</v>
      </c>
    </row>
    <row r="4737" spans="103:105" ht="23.5">
      <c r="CY4737" s="45">
        <v>4733</v>
      </c>
      <c r="CZ4737" s="18">
        <v>0</v>
      </c>
      <c r="DA4737" s="18" t="str">
        <v>Nothing</v>
      </c>
    </row>
    <row r="4738" spans="103:105" ht="23.5">
      <c r="CY4738" s="45">
        <v>4734</v>
      </c>
      <c r="CZ4738" s="18">
        <v>27.025032852871355</v>
      </c>
      <c r="DA4738" s="18" t="str">
        <v>Invest</v>
      </c>
    </row>
    <row r="4739" spans="103:105" ht="23.5">
      <c r="CY4739" s="45">
        <v>4735</v>
      </c>
      <c r="CZ4739" s="18">
        <v>9.0064537157678224</v>
      </c>
      <c r="DA4739" s="18" t="str">
        <v>Invest</v>
      </c>
    </row>
    <row r="4740" spans="103:105" ht="23.5">
      <c r="CY4740" s="45">
        <v>4736</v>
      </c>
      <c r="CZ4740" s="18">
        <v>10.088268666080776</v>
      </c>
      <c r="DA4740" s="18" t="str">
        <v>Invest</v>
      </c>
    </row>
    <row r="4741" spans="103:105" ht="23.5">
      <c r="CY4741" s="45">
        <v>4737</v>
      </c>
      <c r="CZ4741" s="18">
        <v>6.8304009218973398</v>
      </c>
      <c r="DA4741" s="18" t="str">
        <v>Invest</v>
      </c>
    </row>
    <row r="4742" spans="103:105" ht="23.5">
      <c r="CY4742" s="45">
        <v>4738</v>
      </c>
      <c r="CZ4742" s="18">
        <v>1.5433326922761506</v>
      </c>
      <c r="DA4742" s="18" t="str">
        <v>Invest</v>
      </c>
    </row>
    <row r="4743" spans="103:105" ht="23.5">
      <c r="CY4743" s="45">
        <v>4739</v>
      </c>
      <c r="CZ4743" s="18">
        <v>5.6267497782846618</v>
      </c>
      <c r="DA4743" s="18" t="str">
        <v>Invest</v>
      </c>
    </row>
    <row r="4744" spans="103:105" ht="23.5">
      <c r="CY4744" s="45">
        <v>4740</v>
      </c>
      <c r="CZ4744" s="18">
        <v>29.398554336600796</v>
      </c>
      <c r="DA4744" s="18" t="str">
        <v>Invest</v>
      </c>
    </row>
    <row r="4745" spans="103:105" ht="23.5">
      <c r="CY4745" s="45">
        <v>4741</v>
      </c>
      <c r="CZ4745" s="18">
        <v>7.7939896301948828</v>
      </c>
      <c r="DA4745" s="18" t="str">
        <v>Invest</v>
      </c>
    </row>
    <row r="4746" spans="103:105" ht="23.5">
      <c r="CY4746" s="45">
        <v>4742</v>
      </c>
      <c r="CZ4746" s="18">
        <v>0</v>
      </c>
      <c r="DA4746" s="18" t="str">
        <v>Nothing</v>
      </c>
    </row>
    <row r="4747" spans="103:105" ht="23.5">
      <c r="CY4747" s="45">
        <v>4743</v>
      </c>
      <c r="CZ4747" s="18">
        <v>0</v>
      </c>
      <c r="DA4747" s="18" t="str">
        <v>Nothing</v>
      </c>
    </row>
    <row r="4748" spans="103:105" ht="23.5">
      <c r="CY4748" s="45">
        <v>4744</v>
      </c>
      <c r="CZ4748" s="18">
        <v>0</v>
      </c>
      <c r="DA4748" s="18" t="str">
        <v>Nothing</v>
      </c>
    </row>
    <row r="4749" spans="103:105" ht="23.5">
      <c r="CY4749" s="45">
        <v>4745</v>
      </c>
      <c r="CZ4749" s="18">
        <v>6.5810358594779528</v>
      </c>
      <c r="DA4749" s="18" t="str">
        <v>Invest</v>
      </c>
    </row>
    <row r="4750" spans="103:105" ht="23.5">
      <c r="CY4750" s="45">
        <v>4746</v>
      </c>
      <c r="CZ4750" s="18">
        <v>2.9228725128435959</v>
      </c>
      <c r="DA4750" s="18" t="str">
        <v>Invest</v>
      </c>
    </row>
    <row r="4751" spans="103:105" ht="23.5">
      <c r="CY4751" s="45">
        <v>4747</v>
      </c>
      <c r="CZ4751" s="18">
        <v>3.8762249205451997</v>
      </c>
      <c r="DA4751" s="18" t="str">
        <v>Invest</v>
      </c>
    </row>
    <row r="4752" spans="103:105" ht="23.5">
      <c r="CY4752" s="45">
        <v>4748</v>
      </c>
      <c r="CZ4752" s="18">
        <v>20.256580977759427</v>
      </c>
      <c r="DA4752" s="18" t="str">
        <v>Invest</v>
      </c>
    </row>
    <row r="4753" spans="103:105" ht="23.5">
      <c r="CY4753" s="45">
        <v>4749</v>
      </c>
      <c r="CZ4753" s="18">
        <v>0</v>
      </c>
      <c r="DA4753" s="18" t="str">
        <v>Nothing</v>
      </c>
    </row>
    <row r="4754" spans="103:105" ht="23.5">
      <c r="CY4754" s="45">
        <v>4750</v>
      </c>
      <c r="CZ4754" s="18">
        <v>1.4626691811874912</v>
      </c>
      <c r="DA4754" s="18" t="str">
        <v>Invest</v>
      </c>
    </row>
    <row r="4755" spans="103:105" ht="23.5">
      <c r="CY4755" s="45">
        <v>4751</v>
      </c>
      <c r="CZ4755" s="18">
        <v>0</v>
      </c>
      <c r="DA4755" s="18" t="str">
        <v>Nothing</v>
      </c>
    </row>
    <row r="4756" spans="103:105" ht="23.5">
      <c r="CY4756" s="45">
        <v>4752</v>
      </c>
      <c r="CZ4756" s="18">
        <v>0</v>
      </c>
      <c r="DA4756" s="18" t="str">
        <v>Nothing</v>
      </c>
    </row>
    <row r="4757" spans="103:105" ht="23.5">
      <c r="CY4757" s="45">
        <v>4753</v>
      </c>
      <c r="CZ4757" s="18">
        <v>9.955195267392023</v>
      </c>
      <c r="DA4757" s="18" t="str">
        <v>Invest</v>
      </c>
    </row>
    <row r="4758" spans="103:105" ht="23.5">
      <c r="CY4758" s="45">
        <v>4754</v>
      </c>
      <c r="CZ4758" s="18">
        <v>0</v>
      </c>
      <c r="DA4758" s="18" t="str">
        <v>Nothing</v>
      </c>
    </row>
    <row r="4759" spans="103:105" ht="23.5">
      <c r="CY4759" s="45">
        <v>4755</v>
      </c>
      <c r="CZ4759" s="18">
        <v>16.262561569394066</v>
      </c>
      <c r="DA4759" s="18" t="str">
        <v>Invest</v>
      </c>
    </row>
    <row r="4760" spans="103:105" ht="23.5">
      <c r="CY4760" s="45">
        <v>4756</v>
      </c>
      <c r="CZ4760" s="18">
        <v>29.62813453885169</v>
      </c>
      <c r="DA4760" s="18" t="str">
        <v>Invest</v>
      </c>
    </row>
    <row r="4761" spans="103:105" ht="23.5">
      <c r="CY4761" s="45">
        <v>4757</v>
      </c>
      <c r="CZ4761" s="18">
        <v>39.78047478259279</v>
      </c>
      <c r="DA4761" s="18" t="str">
        <v>Invest</v>
      </c>
    </row>
    <row r="4762" spans="103:105" ht="23.5">
      <c r="CY4762" s="45">
        <v>4758</v>
      </c>
      <c r="CZ4762" s="18">
        <v>7.027764521194948</v>
      </c>
      <c r="DA4762" s="18" t="str">
        <v>Invest</v>
      </c>
    </row>
    <row r="4763" spans="103:105" ht="23.5">
      <c r="CY4763" s="45">
        <v>4759</v>
      </c>
      <c r="CZ4763" s="18">
        <v>40.790210270748119</v>
      </c>
      <c r="DA4763" s="18" t="str">
        <v>Invest</v>
      </c>
    </row>
    <row r="4764" spans="103:105" ht="23.5">
      <c r="CY4764" s="45">
        <v>4760</v>
      </c>
      <c r="CZ4764" s="18">
        <v>21.1645643317161</v>
      </c>
      <c r="DA4764" s="18" t="str">
        <v>Invest</v>
      </c>
    </row>
    <row r="4765" spans="103:105" ht="23.5">
      <c r="CY4765" s="45">
        <v>4761</v>
      </c>
      <c r="CZ4765" s="18">
        <v>25.907790159249743</v>
      </c>
      <c r="DA4765" s="18" t="str">
        <v>Invest</v>
      </c>
    </row>
    <row r="4766" spans="103:105" ht="23.5">
      <c r="CY4766" s="45">
        <v>4762</v>
      </c>
      <c r="CZ4766" s="18">
        <v>0</v>
      </c>
      <c r="DA4766" s="18" t="str">
        <v>Nothing</v>
      </c>
    </row>
    <row r="4767" spans="103:105" ht="23.5">
      <c r="CY4767" s="45">
        <v>4763</v>
      </c>
      <c r="CZ4767" s="18">
        <v>18.757604705941326</v>
      </c>
      <c r="DA4767" s="18" t="str">
        <v>Invest</v>
      </c>
    </row>
    <row r="4768" spans="103:105" ht="23.5">
      <c r="CY4768" s="45">
        <v>4764</v>
      </c>
      <c r="CZ4768" s="18">
        <v>25.042528342858127</v>
      </c>
      <c r="DA4768" s="18" t="str">
        <v>Invest</v>
      </c>
    </row>
    <row r="4769" spans="103:105" ht="23.5">
      <c r="CY4769" s="45">
        <v>4765</v>
      </c>
      <c r="CZ4769" s="18">
        <v>9.8444745728376333</v>
      </c>
      <c r="DA4769" s="18" t="str">
        <v>Invest</v>
      </c>
    </row>
    <row r="4770" spans="103:105" ht="23.5">
      <c r="CY4770" s="45">
        <v>4766</v>
      </c>
      <c r="CZ4770" s="18">
        <v>23.821228093960077</v>
      </c>
      <c r="DA4770" s="18" t="str">
        <v>Invest</v>
      </c>
    </row>
    <row r="4771" spans="103:105" ht="23.5">
      <c r="CY4771" s="45">
        <v>4767</v>
      </c>
      <c r="CZ4771" s="18">
        <v>13.416677364365743</v>
      </c>
      <c r="DA4771" s="18" t="str">
        <v>Invest</v>
      </c>
    </row>
    <row r="4772" spans="103:105" ht="23.5">
      <c r="CY4772" s="45">
        <v>4768</v>
      </c>
      <c r="CZ4772" s="18">
        <v>9.0970086946938551</v>
      </c>
      <c r="DA4772" s="18" t="str">
        <v>Invest</v>
      </c>
    </row>
    <row r="4773" spans="103:105" ht="23.5">
      <c r="CY4773" s="45">
        <v>4769</v>
      </c>
      <c r="CZ4773" s="18">
        <v>13.156060786905478</v>
      </c>
      <c r="DA4773" s="18" t="str">
        <v>Invest</v>
      </c>
    </row>
    <row r="4774" spans="103:105" ht="23.5">
      <c r="CY4774" s="45">
        <v>4770</v>
      </c>
      <c r="CZ4774" s="18">
        <v>51.260899608606117</v>
      </c>
      <c r="DA4774" s="18" t="str">
        <v>Invest</v>
      </c>
    </row>
    <row r="4775" spans="103:105" ht="23.5">
      <c r="CY4775" s="45">
        <v>4771</v>
      </c>
      <c r="CZ4775" s="18">
        <v>5.1364151064333843</v>
      </c>
      <c r="DA4775" s="18" t="str">
        <v>Invest</v>
      </c>
    </row>
    <row r="4776" spans="103:105" ht="23.5">
      <c r="CY4776" s="45">
        <v>4772</v>
      </c>
      <c r="CZ4776" s="18">
        <v>32.242051195371531</v>
      </c>
      <c r="DA4776" s="18" t="str">
        <v>Invest</v>
      </c>
    </row>
    <row r="4777" spans="103:105" ht="23.5">
      <c r="CY4777" s="45">
        <v>4773</v>
      </c>
      <c r="CZ4777" s="18">
        <v>6.8665063034927165</v>
      </c>
      <c r="DA4777" s="18" t="str">
        <v>Invest</v>
      </c>
    </row>
    <row r="4778" spans="103:105" ht="23.5">
      <c r="CY4778" s="45">
        <v>4774</v>
      </c>
      <c r="CZ4778" s="18">
        <v>32.490487127367189</v>
      </c>
      <c r="DA4778" s="18" t="str">
        <v>Invest</v>
      </c>
    </row>
    <row r="4779" spans="103:105" ht="23.5">
      <c r="CY4779" s="45">
        <v>4775</v>
      </c>
      <c r="CZ4779" s="18">
        <v>29.402899330495739</v>
      </c>
      <c r="DA4779" s="18" t="str">
        <v>Invest</v>
      </c>
    </row>
    <row r="4780" spans="103:105" ht="23.5">
      <c r="CY4780" s="45">
        <v>4776</v>
      </c>
      <c r="CZ4780" s="18">
        <v>5.3931154591589117</v>
      </c>
      <c r="DA4780" s="18" t="str">
        <v>Invest</v>
      </c>
    </row>
    <row r="4781" spans="103:105" ht="23.5">
      <c r="CY4781" s="45">
        <v>4777</v>
      </c>
      <c r="CZ4781" s="18">
        <v>9.2934897213900491</v>
      </c>
      <c r="DA4781" s="18" t="str">
        <v>Invest</v>
      </c>
    </row>
    <row r="4782" spans="103:105" ht="23.5">
      <c r="CY4782" s="45">
        <v>4778</v>
      </c>
      <c r="CZ4782" s="18">
        <v>0</v>
      </c>
      <c r="DA4782" s="18" t="str">
        <v>Nothing</v>
      </c>
    </row>
    <row r="4783" spans="103:105" ht="23.5">
      <c r="CY4783" s="45">
        <v>4779</v>
      </c>
      <c r="CZ4783" s="18">
        <v>21.16253025777462</v>
      </c>
      <c r="DA4783" s="18" t="str">
        <v>Invest</v>
      </c>
    </row>
    <row r="4784" spans="103:105" ht="23.5">
      <c r="CY4784" s="45">
        <v>4780</v>
      </c>
      <c r="CZ4784" s="18">
        <v>19.99489097195557</v>
      </c>
      <c r="DA4784" s="18" t="str">
        <v>Invest</v>
      </c>
    </row>
    <row r="4785" spans="103:105" ht="23.5">
      <c r="CY4785" s="45">
        <v>4781</v>
      </c>
      <c r="CZ4785" s="18">
        <v>0</v>
      </c>
      <c r="DA4785" s="18" t="str">
        <v>Nothing</v>
      </c>
    </row>
    <row r="4786" spans="103:105" ht="23.5">
      <c r="CY4786" s="45">
        <v>4782</v>
      </c>
      <c r="CZ4786" s="18">
        <v>65.386806497197682</v>
      </c>
      <c r="DA4786" s="18" t="str">
        <v>Invest</v>
      </c>
    </row>
    <row r="4787" spans="103:105" ht="23.5">
      <c r="CY4787" s="45">
        <v>4783</v>
      </c>
      <c r="CZ4787" s="18">
        <v>20.606680178447967</v>
      </c>
      <c r="DA4787" s="18" t="str">
        <v>Invest</v>
      </c>
    </row>
    <row r="4788" spans="103:105" ht="23.5">
      <c r="CY4788" s="45">
        <v>4784</v>
      </c>
      <c r="CZ4788" s="18">
        <v>20.214310053250554</v>
      </c>
      <c r="DA4788" s="18" t="str">
        <v>Invest</v>
      </c>
    </row>
    <row r="4789" spans="103:105" ht="23.5">
      <c r="CY4789" s="45">
        <v>4785</v>
      </c>
      <c r="CZ4789" s="18">
        <v>31.329144149205295</v>
      </c>
      <c r="DA4789" s="18" t="str">
        <v>Invest</v>
      </c>
    </row>
    <row r="4790" spans="103:105" ht="23.5">
      <c r="CY4790" s="45">
        <v>4786</v>
      </c>
      <c r="CZ4790" s="18">
        <v>44.466301944817566</v>
      </c>
      <c r="DA4790" s="18" t="str">
        <v>Invest</v>
      </c>
    </row>
    <row r="4791" spans="103:105" ht="23.5">
      <c r="CY4791" s="45">
        <v>4787</v>
      </c>
      <c r="CZ4791" s="18">
        <v>31.856502366762946</v>
      </c>
      <c r="DA4791" s="18" t="str">
        <v>Invest</v>
      </c>
    </row>
    <row r="4792" spans="103:105" ht="23.5">
      <c r="CY4792" s="45">
        <v>4788</v>
      </c>
      <c r="CZ4792" s="18">
        <v>8.2357442400205887</v>
      </c>
      <c r="DA4792" s="18" t="str">
        <v>Invest</v>
      </c>
    </row>
    <row r="4793" spans="103:105" ht="23.5">
      <c r="CY4793" s="45">
        <v>4789</v>
      </c>
      <c r="CZ4793" s="18">
        <v>24.624807870195937</v>
      </c>
      <c r="DA4793" s="18" t="str">
        <v>Invest</v>
      </c>
    </row>
    <row r="4794" spans="103:105" ht="23.5">
      <c r="CY4794" s="45">
        <v>4790</v>
      </c>
      <c r="CZ4794" s="18">
        <v>4.8161984101023343</v>
      </c>
      <c r="DA4794" s="18" t="str">
        <v>Invest</v>
      </c>
    </row>
    <row r="4795" spans="103:105" ht="23.5">
      <c r="CY4795" s="45">
        <v>4791</v>
      </c>
      <c r="CZ4795" s="18">
        <v>4.4216566774623836</v>
      </c>
      <c r="DA4795" s="18" t="str">
        <v>Invest</v>
      </c>
    </row>
    <row r="4796" spans="103:105" ht="23.5">
      <c r="CY4796" s="45">
        <v>4792</v>
      </c>
      <c r="CZ4796" s="18">
        <v>0</v>
      </c>
      <c r="DA4796" s="18" t="str">
        <v>Nothing</v>
      </c>
    </row>
    <row r="4797" spans="103:105" ht="23.5">
      <c r="CY4797" s="45">
        <v>4793</v>
      </c>
      <c r="CZ4797" s="18">
        <v>38.194739326895359</v>
      </c>
      <c r="DA4797" s="18" t="str">
        <v>Invest</v>
      </c>
    </row>
    <row r="4798" spans="103:105" ht="23.5">
      <c r="CY4798" s="45">
        <v>4794</v>
      </c>
      <c r="CZ4798" s="18">
        <v>3.2037985195256535</v>
      </c>
      <c r="DA4798" s="18" t="str">
        <v>Invest</v>
      </c>
    </row>
    <row r="4799" spans="103:105" ht="23.5">
      <c r="CY4799" s="45">
        <v>4795</v>
      </c>
      <c r="CZ4799" s="18">
        <v>46.333040536285722</v>
      </c>
      <c r="DA4799" s="18" t="str">
        <v>Invest</v>
      </c>
    </row>
    <row r="4800" spans="103:105" ht="23.5">
      <c r="CY4800" s="45">
        <v>4796</v>
      </c>
      <c r="CZ4800" s="18">
        <v>24.654959154328953</v>
      </c>
      <c r="DA4800" s="18" t="str">
        <v>Invest</v>
      </c>
    </row>
    <row r="4801" spans="103:105" ht="23.5">
      <c r="CY4801" s="45">
        <v>4797</v>
      </c>
      <c r="CZ4801" s="18">
        <v>32.667463041231976</v>
      </c>
      <c r="DA4801" s="18" t="str">
        <v>Invest</v>
      </c>
    </row>
    <row r="4802" spans="103:105" ht="23.5">
      <c r="CY4802" s="45">
        <v>4798</v>
      </c>
      <c r="CZ4802" s="18">
        <v>37.286253211743414</v>
      </c>
      <c r="DA4802" s="18" t="str">
        <v>Invest</v>
      </c>
    </row>
    <row r="4803" spans="103:105" ht="23.5">
      <c r="CY4803" s="45">
        <v>4799</v>
      </c>
      <c r="CZ4803" s="18">
        <v>9.8888605473206503</v>
      </c>
      <c r="DA4803" s="18" t="str">
        <v>Invest</v>
      </c>
    </row>
    <row r="4804" spans="103:105" ht="23.5">
      <c r="CY4804" s="45">
        <v>4800</v>
      </c>
      <c r="CZ4804" s="18">
        <v>28.454139855970684</v>
      </c>
      <c r="DA4804" s="18" t="str">
        <v>Invest</v>
      </c>
    </row>
    <row r="4805" spans="103:105" ht="23.5">
      <c r="CY4805" s="45">
        <v>4801</v>
      </c>
      <c r="CZ4805" s="18">
        <v>0</v>
      </c>
      <c r="DA4805" s="18" t="str">
        <v>Nothing</v>
      </c>
    </row>
    <row r="4806" spans="103:105" ht="23.5">
      <c r="CY4806" s="45">
        <v>4802</v>
      </c>
      <c r="CZ4806" s="18">
        <v>47.605734256129978</v>
      </c>
      <c r="DA4806" s="18" t="str">
        <v>Invest</v>
      </c>
    </row>
    <row r="4807" spans="103:105" ht="23.5">
      <c r="CY4807" s="45">
        <v>4803</v>
      </c>
      <c r="CZ4807" s="18">
        <v>16.348576509815096</v>
      </c>
      <c r="DA4807" s="18" t="str">
        <v>Invest</v>
      </c>
    </row>
    <row r="4808" spans="103:105" ht="23.5">
      <c r="CY4808" s="45">
        <v>4804</v>
      </c>
      <c r="CZ4808" s="18">
        <v>33.940140078935656</v>
      </c>
      <c r="DA4808" s="18" t="str">
        <v>Invest</v>
      </c>
    </row>
    <row r="4809" spans="103:105" ht="23.5">
      <c r="CY4809" s="45">
        <v>4805</v>
      </c>
      <c r="CZ4809" s="18">
        <v>8.3422402843878398</v>
      </c>
      <c r="DA4809" s="18" t="str">
        <v>Invest</v>
      </c>
    </row>
    <row r="4810" spans="103:105" ht="23.5">
      <c r="CY4810" s="45">
        <v>4806</v>
      </c>
      <c r="CZ4810" s="18">
        <v>7.7726228522348073</v>
      </c>
      <c r="DA4810" s="18" t="str">
        <v>Invest</v>
      </c>
    </row>
    <row r="4811" spans="103:105" ht="23.5">
      <c r="CY4811" s="45">
        <v>4807</v>
      </c>
      <c r="CZ4811" s="18">
        <v>40.391647415103535</v>
      </c>
      <c r="DA4811" s="18" t="str">
        <v>Invest</v>
      </c>
    </row>
    <row r="4812" spans="103:105" ht="23.5">
      <c r="CY4812" s="45">
        <v>4808</v>
      </c>
      <c r="CZ4812" s="18">
        <v>44.583917510041175</v>
      </c>
      <c r="DA4812" s="18" t="str">
        <v>Invest</v>
      </c>
    </row>
    <row r="4813" spans="103:105" ht="23.5">
      <c r="CY4813" s="45">
        <v>4809</v>
      </c>
      <c r="CZ4813" s="18">
        <v>5.3092159547953166</v>
      </c>
      <c r="DA4813" s="18" t="str">
        <v>Invest</v>
      </c>
    </row>
    <row r="4814" spans="103:105" ht="23.5">
      <c r="CY4814" s="45">
        <v>4810</v>
      </c>
      <c r="CZ4814" s="18">
        <v>0</v>
      </c>
      <c r="DA4814" s="18" t="str">
        <v>Nothing</v>
      </c>
    </row>
    <row r="4815" spans="103:105" ht="23.5">
      <c r="CY4815" s="45">
        <v>4811</v>
      </c>
      <c r="CZ4815" s="18">
        <v>0</v>
      </c>
      <c r="DA4815" s="18" t="str">
        <v>Nothing</v>
      </c>
    </row>
    <row r="4816" spans="103:105" ht="23.5">
      <c r="CY4816" s="45">
        <v>4812</v>
      </c>
      <c r="CZ4816" s="18">
        <v>27.805640805145217</v>
      </c>
      <c r="DA4816" s="18" t="str">
        <v>Invest</v>
      </c>
    </row>
    <row r="4817" spans="103:105" ht="23.5">
      <c r="CY4817" s="45">
        <v>4813</v>
      </c>
      <c r="CZ4817" s="18">
        <v>8.8572179935775015</v>
      </c>
      <c r="DA4817" s="18" t="str">
        <v>Invest</v>
      </c>
    </row>
    <row r="4818" spans="103:105" ht="23.5">
      <c r="CY4818" s="45">
        <v>4814</v>
      </c>
      <c r="CZ4818" s="18">
        <v>38.941174782270735</v>
      </c>
      <c r="DA4818" s="18" t="str">
        <v>Invest</v>
      </c>
    </row>
    <row r="4819" spans="103:105" ht="23.5">
      <c r="CY4819" s="45">
        <v>4815</v>
      </c>
      <c r="CZ4819" s="18">
        <v>0.90299968934818597</v>
      </c>
      <c r="DA4819" s="18" t="str">
        <v>Invest</v>
      </c>
    </row>
    <row r="4820" spans="103:105" ht="23.5">
      <c r="CY4820" s="45">
        <v>4816</v>
      </c>
      <c r="CZ4820" s="18">
        <v>15.7529926952829</v>
      </c>
      <c r="DA4820" s="18" t="str">
        <v>Invest</v>
      </c>
    </row>
    <row r="4821" spans="103:105" ht="23.5">
      <c r="CY4821" s="45">
        <v>4817</v>
      </c>
      <c r="CZ4821" s="18">
        <v>5.01074423060291</v>
      </c>
      <c r="DA4821" s="18" t="str">
        <v>Invest</v>
      </c>
    </row>
    <row r="4822" spans="103:105" ht="23.5">
      <c r="CY4822" s="45">
        <v>4818</v>
      </c>
      <c r="CZ4822" s="18">
        <v>10.34460716993272</v>
      </c>
      <c r="DA4822" s="18" t="str">
        <v>Invest</v>
      </c>
    </row>
    <row r="4823" spans="103:105" ht="23.5">
      <c r="CY4823" s="45">
        <v>4819</v>
      </c>
      <c r="CZ4823" s="18">
        <v>7.1261494540920678</v>
      </c>
      <c r="DA4823" s="18" t="str">
        <v>Invest</v>
      </c>
    </row>
    <row r="4824" spans="103:105" ht="23.5">
      <c r="CY4824" s="45">
        <v>4820</v>
      </c>
      <c r="CZ4824" s="18">
        <v>12.524330202847311</v>
      </c>
      <c r="DA4824" s="18" t="str">
        <v>Invest</v>
      </c>
    </row>
    <row r="4825" spans="103:105" ht="23.5">
      <c r="CY4825" s="45">
        <v>4821</v>
      </c>
      <c r="CZ4825" s="18">
        <v>4.6200463569253287</v>
      </c>
      <c r="DA4825" s="18" t="str">
        <v>Invest</v>
      </c>
    </row>
    <row r="4826" spans="103:105" ht="23.5">
      <c r="CY4826" s="45">
        <v>4822</v>
      </c>
      <c r="CZ4826" s="18">
        <v>19.578226951627965</v>
      </c>
      <c r="DA4826" s="18" t="str">
        <v>Invest</v>
      </c>
    </row>
    <row r="4827" spans="103:105" ht="23.5">
      <c r="CY4827" s="45">
        <v>4823</v>
      </c>
      <c r="CZ4827" s="18">
        <v>11.992750214348876</v>
      </c>
      <c r="DA4827" s="18" t="str">
        <v>Invest</v>
      </c>
    </row>
    <row r="4828" spans="103:105" ht="23.5">
      <c r="CY4828" s="45">
        <v>4824</v>
      </c>
      <c r="CZ4828" s="18">
        <v>0</v>
      </c>
      <c r="DA4828" s="18" t="str">
        <v>Nothing</v>
      </c>
    </row>
    <row r="4829" spans="103:105" ht="23.5">
      <c r="CY4829" s="45">
        <v>4825</v>
      </c>
      <c r="CZ4829" s="18">
        <v>19.868802477495464</v>
      </c>
      <c r="DA4829" s="18" t="str">
        <v>Invest</v>
      </c>
    </row>
    <row r="4830" spans="103:105" ht="23.5">
      <c r="CY4830" s="45">
        <v>4826</v>
      </c>
      <c r="CZ4830" s="18">
        <v>14.165272820580098</v>
      </c>
      <c r="DA4830" s="18" t="str">
        <v>Invest</v>
      </c>
    </row>
    <row r="4831" spans="103:105" ht="23.5">
      <c r="CY4831" s="45">
        <v>4827</v>
      </c>
      <c r="CZ4831" s="18">
        <v>1.5528066650937307</v>
      </c>
      <c r="DA4831" s="18" t="str">
        <v>Invest</v>
      </c>
    </row>
    <row r="4832" spans="103:105" ht="23.5">
      <c r="CY4832" s="45">
        <v>4828</v>
      </c>
      <c r="CZ4832" s="18">
        <v>0</v>
      </c>
      <c r="DA4832" s="18" t="str">
        <v>Nothing</v>
      </c>
    </row>
    <row r="4833" spans="103:105" ht="23.5">
      <c r="CY4833" s="45">
        <v>4829</v>
      </c>
      <c r="CZ4833" s="18">
        <v>50.325863171320954</v>
      </c>
      <c r="DA4833" s="18" t="str">
        <v>Invest</v>
      </c>
    </row>
    <row r="4834" spans="103:105" ht="23.5">
      <c r="CY4834" s="45">
        <v>4830</v>
      </c>
      <c r="CZ4834" s="18">
        <v>3.4845995719167657</v>
      </c>
      <c r="DA4834" s="18" t="str">
        <v>Invest</v>
      </c>
    </row>
    <row r="4835" spans="103:105" ht="23.5">
      <c r="CY4835" s="45">
        <v>4831</v>
      </c>
      <c r="CZ4835" s="18">
        <v>10.827603127725565</v>
      </c>
      <c r="DA4835" s="18" t="str">
        <v>Invest</v>
      </c>
    </row>
    <row r="4836" spans="103:105" ht="23.5">
      <c r="CY4836" s="45">
        <v>4832</v>
      </c>
      <c r="CZ4836" s="18">
        <v>0</v>
      </c>
      <c r="DA4836" s="18" t="str">
        <v>Nothing</v>
      </c>
    </row>
    <row r="4837" spans="103:105" ht="23.5">
      <c r="CY4837" s="45">
        <v>4833</v>
      </c>
      <c r="CZ4837" s="18">
        <v>0</v>
      </c>
      <c r="DA4837" s="18" t="str">
        <v>Nothing</v>
      </c>
    </row>
    <row r="4838" spans="103:105" ht="23.5">
      <c r="CY4838" s="45">
        <v>4834</v>
      </c>
      <c r="CZ4838" s="18">
        <v>14.844135674181846</v>
      </c>
      <c r="DA4838" s="18" t="str">
        <v>Invest</v>
      </c>
    </row>
    <row r="4839" spans="103:105" ht="23.5">
      <c r="CY4839" s="45">
        <v>4835</v>
      </c>
      <c r="CZ4839" s="18">
        <v>33.651549330671017</v>
      </c>
      <c r="DA4839" s="18" t="str">
        <v>Invest</v>
      </c>
    </row>
    <row r="4840" spans="103:105" ht="23.5">
      <c r="CY4840" s="45">
        <v>4836</v>
      </c>
      <c r="CZ4840" s="18">
        <v>40.836321674119873</v>
      </c>
      <c r="DA4840" s="18" t="str">
        <v>Invest</v>
      </c>
    </row>
    <row r="4841" spans="103:105" ht="23.5">
      <c r="CY4841" s="45">
        <v>4837</v>
      </c>
      <c r="CZ4841" s="18">
        <v>12.508562492324549</v>
      </c>
      <c r="DA4841" s="18" t="str">
        <v>Invest</v>
      </c>
    </row>
    <row r="4842" spans="103:105" ht="23.5">
      <c r="CY4842" s="45">
        <v>4838</v>
      </c>
      <c r="CZ4842" s="18">
        <v>24.095980216036505</v>
      </c>
      <c r="DA4842" s="18" t="str">
        <v>Invest</v>
      </c>
    </row>
    <row r="4843" spans="103:105" ht="23.5">
      <c r="CY4843" s="45">
        <v>4839</v>
      </c>
      <c r="CZ4843" s="18">
        <v>21.921385457150087</v>
      </c>
      <c r="DA4843" s="18" t="str">
        <v>Invest</v>
      </c>
    </row>
    <row r="4844" spans="103:105" ht="23.5">
      <c r="CY4844" s="45">
        <v>4840</v>
      </c>
      <c r="CZ4844" s="18">
        <v>9.8637717744213695</v>
      </c>
      <c r="DA4844" s="18" t="str">
        <v>Invest</v>
      </c>
    </row>
    <row r="4845" spans="103:105" ht="23.5">
      <c r="CY4845" s="45">
        <v>4841</v>
      </c>
      <c r="CZ4845" s="18">
        <v>22.395069080803271</v>
      </c>
      <c r="DA4845" s="18" t="str">
        <v>Invest</v>
      </c>
    </row>
    <row r="4846" spans="103:105" ht="23.5">
      <c r="CY4846" s="45">
        <v>4842</v>
      </c>
      <c r="CZ4846" s="18">
        <v>30.477633836241417</v>
      </c>
      <c r="DA4846" s="18" t="str">
        <v>Invest</v>
      </c>
    </row>
    <row r="4847" spans="103:105" ht="23.5">
      <c r="CY4847" s="45">
        <v>4843</v>
      </c>
      <c r="CZ4847" s="18">
        <v>8.2811981105825456</v>
      </c>
      <c r="DA4847" s="18" t="str">
        <v>Invest</v>
      </c>
    </row>
    <row r="4848" spans="103:105" ht="23.5">
      <c r="CY4848" s="45">
        <v>4844</v>
      </c>
      <c r="CZ4848" s="18">
        <v>0</v>
      </c>
      <c r="DA4848" s="18" t="str">
        <v>Nothing</v>
      </c>
    </row>
    <row r="4849" spans="103:105" ht="23.5">
      <c r="CY4849" s="45">
        <v>4845</v>
      </c>
      <c r="CZ4849" s="18">
        <v>1.9505524098986005</v>
      </c>
      <c r="DA4849" s="18" t="str">
        <v>Invest</v>
      </c>
    </row>
    <row r="4850" spans="103:105" ht="23.5">
      <c r="CY4850" s="45">
        <v>4846</v>
      </c>
      <c r="CZ4850" s="18">
        <v>17.074462993260223</v>
      </c>
      <c r="DA4850" s="18" t="str">
        <v>Invest</v>
      </c>
    </row>
    <row r="4851" spans="103:105" ht="23.5">
      <c r="CY4851" s="45">
        <v>4847</v>
      </c>
      <c r="CZ4851" s="18">
        <v>0</v>
      </c>
      <c r="DA4851" s="18" t="str">
        <v>Nothing</v>
      </c>
    </row>
    <row r="4852" spans="103:105" ht="23.5">
      <c r="CY4852" s="45">
        <v>4848</v>
      </c>
      <c r="CZ4852" s="18">
        <v>22.342602238714825</v>
      </c>
      <c r="DA4852" s="18" t="str">
        <v>Invest</v>
      </c>
    </row>
    <row r="4853" spans="103:105" ht="23.5">
      <c r="CY4853" s="45">
        <v>4849</v>
      </c>
      <c r="CZ4853" s="18">
        <v>0</v>
      </c>
      <c r="DA4853" s="18" t="str">
        <v>Nothing</v>
      </c>
    </row>
    <row r="4854" spans="103:105" ht="23.5">
      <c r="CY4854" s="45">
        <v>4850</v>
      </c>
      <c r="CZ4854" s="18">
        <v>25.387725628069553</v>
      </c>
      <c r="DA4854" s="18" t="str">
        <v>Invest</v>
      </c>
    </row>
    <row r="4855" spans="103:105" ht="23.5">
      <c r="CY4855" s="45">
        <v>4851</v>
      </c>
      <c r="CZ4855" s="18">
        <v>0</v>
      </c>
      <c r="DA4855" s="18" t="str">
        <v>Nothing</v>
      </c>
    </row>
    <row r="4856" spans="103:105" ht="23.5">
      <c r="CY4856" s="45">
        <v>4852</v>
      </c>
      <c r="CZ4856" s="18">
        <v>39.520569853940238</v>
      </c>
      <c r="DA4856" s="18" t="str">
        <v>Invest</v>
      </c>
    </row>
    <row r="4857" spans="103:105" ht="23.5">
      <c r="CY4857" s="45">
        <v>4853</v>
      </c>
      <c r="CZ4857" s="18">
        <v>0</v>
      </c>
      <c r="DA4857" s="18" t="str">
        <v>Nothing</v>
      </c>
    </row>
    <row r="4858" spans="103:105" ht="23.5">
      <c r="CY4858" s="45">
        <v>4854</v>
      </c>
      <c r="CZ4858" s="18">
        <v>0.85242835605296818</v>
      </c>
      <c r="DA4858" s="18" t="str">
        <v>Invest</v>
      </c>
    </row>
    <row r="4859" spans="103:105" ht="23.5">
      <c r="CY4859" s="45">
        <v>4855</v>
      </c>
      <c r="CZ4859" s="18">
        <v>0</v>
      </c>
      <c r="DA4859" s="18" t="str">
        <v>Nothing</v>
      </c>
    </row>
    <row r="4860" spans="103:105" ht="23.5">
      <c r="CY4860" s="45">
        <v>4856</v>
      </c>
      <c r="CZ4860" s="18">
        <v>0</v>
      </c>
      <c r="DA4860" s="18" t="str">
        <v>Nothing</v>
      </c>
    </row>
    <row r="4861" spans="103:105" ht="23.5">
      <c r="CY4861" s="45">
        <v>4857</v>
      </c>
      <c r="CZ4861" s="18">
        <v>0</v>
      </c>
      <c r="DA4861" s="18" t="str">
        <v>Nothing</v>
      </c>
    </row>
    <row r="4862" spans="103:105" ht="23.5">
      <c r="CY4862" s="45">
        <v>4858</v>
      </c>
      <c r="CZ4862" s="18">
        <v>1.2989521485336795</v>
      </c>
      <c r="DA4862" s="18" t="str">
        <v>Invest</v>
      </c>
    </row>
    <row r="4863" spans="103:105" ht="23.5">
      <c r="CY4863" s="45">
        <v>4859</v>
      </c>
      <c r="CZ4863" s="18">
        <v>30.963018992634346</v>
      </c>
      <c r="DA4863" s="18" t="str">
        <v>Invest</v>
      </c>
    </row>
    <row r="4864" spans="103:105" ht="23.5">
      <c r="CY4864" s="45">
        <v>4860</v>
      </c>
      <c r="CZ4864" s="18">
        <v>13.358207631994471</v>
      </c>
      <c r="DA4864" s="18" t="str">
        <v>Invest</v>
      </c>
    </row>
    <row r="4865" spans="103:105" ht="23.5">
      <c r="CY4865" s="45">
        <v>4861</v>
      </c>
      <c r="CZ4865" s="18">
        <v>34.48227331778952</v>
      </c>
      <c r="DA4865" s="18" t="str">
        <v>Invest</v>
      </c>
    </row>
    <row r="4866" spans="103:105" ht="23.5">
      <c r="CY4866" s="45">
        <v>4862</v>
      </c>
      <c r="CZ4866" s="18">
        <v>11.821680526854138</v>
      </c>
      <c r="DA4866" s="18" t="str">
        <v>Invest</v>
      </c>
    </row>
    <row r="4867" spans="103:105" ht="23.5">
      <c r="CY4867" s="45">
        <v>4863</v>
      </c>
      <c r="CZ4867" s="18">
        <v>8.2171459408750174</v>
      </c>
      <c r="DA4867" s="18" t="str">
        <v>Invest</v>
      </c>
    </row>
    <row r="4868" spans="103:105" ht="23.5">
      <c r="CY4868" s="45">
        <v>4864</v>
      </c>
      <c r="CZ4868" s="18">
        <v>0</v>
      </c>
      <c r="DA4868" s="18" t="str">
        <v>Nothing</v>
      </c>
    </row>
    <row r="4869" spans="103:105" ht="23.5">
      <c r="CY4869" s="45">
        <v>4865</v>
      </c>
      <c r="CZ4869" s="18">
        <v>0</v>
      </c>
      <c r="DA4869" s="18" t="str">
        <v>Nothing</v>
      </c>
    </row>
    <row r="4870" spans="103:105" ht="23.5">
      <c r="CY4870" s="45">
        <v>4866</v>
      </c>
      <c r="CZ4870" s="18">
        <v>20.274612598601486</v>
      </c>
      <c r="DA4870" s="18" t="str">
        <v>Invest</v>
      </c>
    </row>
    <row r="4871" spans="103:105" ht="23.5">
      <c r="CY4871" s="45">
        <v>4867</v>
      </c>
      <c r="CZ4871" s="18">
        <v>16.888295374562993</v>
      </c>
      <c r="DA4871" s="18" t="str">
        <v>Invest</v>
      </c>
    </row>
    <row r="4872" spans="103:105" ht="23.5">
      <c r="CY4872" s="45">
        <v>4868</v>
      </c>
      <c r="CZ4872" s="18">
        <v>15.038200116270838</v>
      </c>
      <c r="DA4872" s="18" t="str">
        <v>Invest</v>
      </c>
    </row>
    <row r="4873" spans="103:105" ht="23.5">
      <c r="CY4873" s="45">
        <v>4869</v>
      </c>
      <c r="CZ4873" s="18">
        <v>12.704919625349206</v>
      </c>
      <c r="DA4873" s="18" t="str">
        <v>Invest</v>
      </c>
    </row>
    <row r="4874" spans="103:105" ht="23.5">
      <c r="CY4874" s="45">
        <v>4870</v>
      </c>
      <c r="CZ4874" s="18">
        <v>6.2795332414175178</v>
      </c>
      <c r="DA4874" s="18" t="str">
        <v>Invest</v>
      </c>
    </row>
    <row r="4875" spans="103:105" ht="23.5">
      <c r="CY4875" s="45">
        <v>4871</v>
      </c>
      <c r="CZ4875" s="18">
        <v>40.139703408608526</v>
      </c>
      <c r="DA4875" s="18" t="str">
        <v>Invest</v>
      </c>
    </row>
    <row r="4876" spans="103:105" ht="23.5">
      <c r="CY4876" s="45">
        <v>4872</v>
      </c>
      <c r="CZ4876" s="18">
        <v>29.717166491590504</v>
      </c>
      <c r="DA4876" s="18" t="str">
        <v>Invest</v>
      </c>
    </row>
    <row r="4877" spans="103:105" ht="23.5">
      <c r="CY4877" s="45">
        <v>4873</v>
      </c>
      <c r="CZ4877" s="18">
        <v>34.274282367390931</v>
      </c>
      <c r="DA4877" s="18" t="str">
        <v>Invest</v>
      </c>
    </row>
    <row r="4878" spans="103:105" ht="23.5">
      <c r="CY4878" s="45">
        <v>4874</v>
      </c>
      <c r="CZ4878" s="18">
        <v>7.6185850711846612</v>
      </c>
      <c r="DA4878" s="18" t="str">
        <v>Invest</v>
      </c>
    </row>
    <row r="4879" spans="103:105" ht="23.5">
      <c r="CY4879" s="45">
        <v>4875</v>
      </c>
      <c r="CZ4879" s="18">
        <v>0</v>
      </c>
      <c r="DA4879" s="18" t="str">
        <v>Nothing</v>
      </c>
    </row>
    <row r="4880" spans="103:105" ht="23.5">
      <c r="CY4880" s="45">
        <v>4876</v>
      </c>
      <c r="CZ4880" s="18">
        <v>0</v>
      </c>
      <c r="DA4880" s="18" t="str">
        <v>Nothing</v>
      </c>
    </row>
    <row r="4881" spans="103:105" ht="23.5">
      <c r="CY4881" s="45">
        <v>4877</v>
      </c>
      <c r="CZ4881" s="18">
        <v>25.755032479039102</v>
      </c>
      <c r="DA4881" s="18" t="str">
        <v>Invest</v>
      </c>
    </row>
    <row r="4882" spans="103:105" ht="23.5">
      <c r="CY4882" s="45">
        <v>4878</v>
      </c>
      <c r="CZ4882" s="18">
        <v>0</v>
      </c>
      <c r="DA4882" s="18" t="str">
        <v>Nothing</v>
      </c>
    </row>
    <row r="4883" spans="103:105" ht="23.5">
      <c r="CY4883" s="45">
        <v>4879</v>
      </c>
      <c r="CZ4883" s="18">
        <v>32.260180151200231</v>
      </c>
      <c r="DA4883" s="18" t="str">
        <v>Invest</v>
      </c>
    </row>
    <row r="4884" spans="103:105" ht="23.5">
      <c r="CY4884" s="45">
        <v>4880</v>
      </c>
      <c r="CZ4884" s="18">
        <v>0</v>
      </c>
      <c r="DA4884" s="18" t="str">
        <v>Nothing</v>
      </c>
    </row>
    <row r="4885" spans="103:105" ht="23.5">
      <c r="CY4885" s="45">
        <v>4881</v>
      </c>
      <c r="CZ4885" s="18">
        <v>22.933271013941258</v>
      </c>
      <c r="DA4885" s="18" t="str">
        <v>Invest</v>
      </c>
    </row>
    <row r="4886" spans="103:105" ht="23.5">
      <c r="CY4886" s="45">
        <v>4882</v>
      </c>
      <c r="CZ4886" s="18">
        <v>0.57191509281489239</v>
      </c>
      <c r="DA4886" s="18" t="str">
        <v>Invest</v>
      </c>
    </row>
    <row r="4887" spans="103:105" ht="23.5">
      <c r="CY4887" s="45">
        <v>4883</v>
      </c>
      <c r="CZ4887" s="18">
        <v>13.42940557368027</v>
      </c>
      <c r="DA4887" s="18" t="str">
        <v>Invest</v>
      </c>
    </row>
    <row r="4888" spans="103:105" ht="23.5">
      <c r="CY4888" s="45">
        <v>4884</v>
      </c>
      <c r="CZ4888" s="18">
        <v>2.6748012510932222</v>
      </c>
      <c r="DA4888" s="18" t="str">
        <v>Invest</v>
      </c>
    </row>
    <row r="4889" spans="103:105" ht="23.5">
      <c r="CY4889" s="45">
        <v>4885</v>
      </c>
      <c r="CZ4889" s="18">
        <v>2.687467903663741</v>
      </c>
      <c r="DA4889" s="18" t="str">
        <v>Invest</v>
      </c>
    </row>
    <row r="4890" spans="103:105" ht="23.5">
      <c r="CY4890" s="45">
        <v>4886</v>
      </c>
      <c r="CZ4890" s="18">
        <v>42.454793189906468</v>
      </c>
      <c r="DA4890" s="18" t="str">
        <v>Invest</v>
      </c>
    </row>
    <row r="4891" spans="103:105" ht="23.5">
      <c r="CY4891" s="45">
        <v>4887</v>
      </c>
      <c r="CZ4891" s="18">
        <v>31.538255985366764</v>
      </c>
      <c r="DA4891" s="18" t="str">
        <v>Invest</v>
      </c>
    </row>
    <row r="4892" spans="103:105" ht="23.5">
      <c r="CY4892" s="45">
        <v>4888</v>
      </c>
      <c r="CZ4892" s="18">
        <v>10.740707438212727</v>
      </c>
      <c r="DA4892" s="18" t="str">
        <v>Invest</v>
      </c>
    </row>
    <row r="4893" spans="103:105" ht="23.5">
      <c r="CY4893" s="45">
        <v>4889</v>
      </c>
      <c r="CZ4893" s="18">
        <v>36.30819848443825</v>
      </c>
      <c r="DA4893" s="18" t="str">
        <v>Invest</v>
      </c>
    </row>
    <row r="4894" spans="103:105" ht="23.5">
      <c r="CY4894" s="45">
        <v>4890</v>
      </c>
      <c r="CZ4894" s="18">
        <v>11.205327582045321</v>
      </c>
      <c r="DA4894" s="18" t="str">
        <v>Invest</v>
      </c>
    </row>
    <row r="4895" spans="103:105" ht="23.5">
      <c r="CY4895" s="45">
        <v>4891</v>
      </c>
      <c r="CZ4895" s="18">
        <v>26.24561253219748</v>
      </c>
      <c r="DA4895" s="18" t="str">
        <v>Invest</v>
      </c>
    </row>
    <row r="4896" spans="103:105" ht="23.5">
      <c r="CY4896" s="45">
        <v>4892</v>
      </c>
      <c r="CZ4896" s="18">
        <v>20.561682442454696</v>
      </c>
      <c r="DA4896" s="18" t="str">
        <v>Invest</v>
      </c>
    </row>
    <row r="4897" spans="103:105" ht="23.5">
      <c r="CY4897" s="45">
        <v>4893</v>
      </c>
      <c r="CZ4897" s="18">
        <v>0</v>
      </c>
      <c r="DA4897" s="18" t="str">
        <v>Nothing</v>
      </c>
    </row>
    <row r="4898" spans="103:105" ht="23.5">
      <c r="CY4898" s="45">
        <v>4894</v>
      </c>
      <c r="CZ4898" s="18">
        <v>0</v>
      </c>
      <c r="DA4898" s="18" t="str">
        <v>Nothing</v>
      </c>
    </row>
    <row r="4899" spans="103:105" ht="23.5">
      <c r="CY4899" s="45">
        <v>4895</v>
      </c>
      <c r="CZ4899" s="18">
        <v>52.745070448184229</v>
      </c>
      <c r="DA4899" s="18" t="str">
        <v>Invest</v>
      </c>
    </row>
    <row r="4900" spans="103:105" ht="23.5">
      <c r="CY4900" s="45">
        <v>4896</v>
      </c>
      <c r="CZ4900" s="18">
        <v>19.97264717600595</v>
      </c>
      <c r="DA4900" s="18" t="str">
        <v>Invest</v>
      </c>
    </row>
    <row r="4901" spans="103:105" ht="23.5">
      <c r="CY4901" s="45">
        <v>4897</v>
      </c>
      <c r="CZ4901" s="18">
        <v>21.526929811382729</v>
      </c>
      <c r="DA4901" s="18" t="str">
        <v>Invest</v>
      </c>
    </row>
    <row r="4902" spans="103:105" ht="23.5">
      <c r="CY4902" s="45">
        <v>4898</v>
      </c>
      <c r="CZ4902" s="18">
        <v>0</v>
      </c>
      <c r="DA4902" s="18" t="str">
        <v>Nothing</v>
      </c>
    </row>
    <row r="4903" spans="103:105" ht="23.5">
      <c r="CY4903" s="45">
        <v>4899</v>
      </c>
      <c r="CZ4903" s="18">
        <v>0</v>
      </c>
      <c r="DA4903" s="18" t="str">
        <v>Nothing</v>
      </c>
    </row>
    <row r="4904" spans="103:105" ht="23.5">
      <c r="CY4904" s="45">
        <v>4900</v>
      </c>
      <c r="CZ4904" s="18">
        <v>35.924896212767969</v>
      </c>
      <c r="DA4904" s="18" t="str">
        <v>Invest</v>
      </c>
    </row>
    <row r="4905" spans="103:105" ht="23.5">
      <c r="CY4905" s="45">
        <v>4901</v>
      </c>
      <c r="CZ4905" s="18">
        <v>0.90064211380907011</v>
      </c>
      <c r="DA4905" s="18" t="str">
        <v>Invest</v>
      </c>
    </row>
    <row r="4906" spans="103:105" ht="23.5">
      <c r="CY4906" s="45">
        <v>4902</v>
      </c>
      <c r="CZ4906" s="18">
        <v>0</v>
      </c>
      <c r="DA4906" s="18" t="str">
        <v>Nothing</v>
      </c>
    </row>
    <row r="4907" spans="103:105" ht="23.5">
      <c r="CY4907" s="45">
        <v>4903</v>
      </c>
      <c r="CZ4907" s="18">
        <v>20.059991252634646</v>
      </c>
      <c r="DA4907" s="18" t="str">
        <v>Invest</v>
      </c>
    </row>
    <row r="4908" spans="103:105" ht="23.5">
      <c r="CY4908" s="45">
        <v>4904</v>
      </c>
      <c r="CZ4908" s="18">
        <v>0</v>
      </c>
      <c r="DA4908" s="18" t="str">
        <v>Nothing</v>
      </c>
    </row>
    <row r="4909" spans="103:105" ht="23.5">
      <c r="CY4909" s="45">
        <v>4905</v>
      </c>
      <c r="CZ4909" s="18">
        <v>12.112273854956872</v>
      </c>
      <c r="DA4909" s="18" t="str">
        <v>Invest</v>
      </c>
    </row>
    <row r="4910" spans="103:105" ht="23.5">
      <c r="CY4910" s="45">
        <v>4906</v>
      </c>
      <c r="CZ4910" s="18">
        <v>0</v>
      </c>
      <c r="DA4910" s="18" t="str">
        <v>Nothing</v>
      </c>
    </row>
    <row r="4911" spans="103:105" ht="23.5">
      <c r="CY4911" s="45">
        <v>4907</v>
      </c>
      <c r="CZ4911" s="18">
        <v>0</v>
      </c>
      <c r="DA4911" s="18" t="str">
        <v>Nothing</v>
      </c>
    </row>
    <row r="4912" spans="103:105" ht="23.5">
      <c r="CY4912" s="45">
        <v>4908</v>
      </c>
      <c r="CZ4912" s="18">
        <v>19.738773605207903</v>
      </c>
      <c r="DA4912" s="18" t="str">
        <v>Invest</v>
      </c>
    </row>
    <row r="4913" spans="103:105" ht="23.5">
      <c r="CY4913" s="45">
        <v>4909</v>
      </c>
      <c r="CZ4913" s="18">
        <v>20.325462234459852</v>
      </c>
      <c r="DA4913" s="18" t="str">
        <v>Invest</v>
      </c>
    </row>
    <row r="4914" spans="103:105" ht="23.5">
      <c r="CY4914" s="45">
        <v>4910</v>
      </c>
      <c r="CZ4914" s="18">
        <v>40.098649824668719</v>
      </c>
      <c r="DA4914" s="18" t="str">
        <v>Invest</v>
      </c>
    </row>
    <row r="4915" spans="103:105" ht="23.5">
      <c r="CY4915" s="45">
        <v>4911</v>
      </c>
      <c r="CZ4915" s="18">
        <v>1.8317816671819074</v>
      </c>
      <c r="DA4915" s="18" t="str">
        <v>Invest</v>
      </c>
    </row>
    <row r="4916" spans="103:105" ht="23.5">
      <c r="CY4916" s="45">
        <v>4912</v>
      </c>
      <c r="CZ4916" s="18">
        <v>0</v>
      </c>
      <c r="DA4916" s="18" t="str">
        <v>Nothing</v>
      </c>
    </row>
    <row r="4917" spans="103:105" ht="23.5">
      <c r="CY4917" s="45">
        <v>4913</v>
      </c>
      <c r="CZ4917" s="18">
        <v>0</v>
      </c>
      <c r="DA4917" s="18" t="str">
        <v>Nothing</v>
      </c>
    </row>
    <row r="4918" spans="103:105" ht="23.5">
      <c r="CY4918" s="45">
        <v>4914</v>
      </c>
      <c r="CZ4918" s="18">
        <v>21.666378387590434</v>
      </c>
      <c r="DA4918" s="18" t="str">
        <v>Invest</v>
      </c>
    </row>
    <row r="4919" spans="103:105" ht="23.5">
      <c r="CY4919" s="45">
        <v>4915</v>
      </c>
      <c r="CZ4919" s="18">
        <v>0</v>
      </c>
      <c r="DA4919" s="18" t="str">
        <v>Nothing</v>
      </c>
    </row>
    <row r="4920" spans="103:105" ht="23.5">
      <c r="CY4920" s="45">
        <v>4916</v>
      </c>
      <c r="CZ4920" s="18">
        <v>11.938749755379984</v>
      </c>
      <c r="DA4920" s="18" t="str">
        <v>Invest</v>
      </c>
    </row>
    <row r="4921" spans="103:105" ht="23.5">
      <c r="CY4921" s="45">
        <v>4917</v>
      </c>
      <c r="CZ4921" s="18">
        <v>7.0820558567087062</v>
      </c>
      <c r="DA4921" s="18" t="str">
        <v>Invest</v>
      </c>
    </row>
    <row r="4922" spans="103:105" ht="23.5">
      <c r="CY4922" s="45">
        <v>4918</v>
      </c>
      <c r="CZ4922" s="18">
        <v>0</v>
      </c>
      <c r="DA4922" s="18" t="str">
        <v>Nothing</v>
      </c>
    </row>
    <row r="4923" spans="103:105" ht="23.5">
      <c r="CY4923" s="45">
        <v>4919</v>
      </c>
      <c r="CZ4923" s="18">
        <v>8.3082989332644264</v>
      </c>
      <c r="DA4923" s="18" t="str">
        <v>Invest</v>
      </c>
    </row>
    <row r="4924" spans="103:105" ht="23.5">
      <c r="CY4924" s="45">
        <v>4920</v>
      </c>
      <c r="CZ4924" s="18">
        <v>0</v>
      </c>
      <c r="DA4924" s="18" t="str">
        <v>Nothing</v>
      </c>
    </row>
    <row r="4925" spans="103:105" ht="23.5">
      <c r="CY4925" s="45">
        <v>4921</v>
      </c>
      <c r="CZ4925" s="18">
        <v>1.948477708128209</v>
      </c>
      <c r="DA4925" s="18" t="str">
        <v>Invest</v>
      </c>
    </row>
    <row r="4926" spans="103:105" ht="23.5">
      <c r="CY4926" s="45">
        <v>4922</v>
      </c>
      <c r="CZ4926" s="18">
        <v>32.816231778961715</v>
      </c>
      <c r="DA4926" s="18" t="str">
        <v>Invest</v>
      </c>
    </row>
    <row r="4927" spans="103:105" ht="23.5">
      <c r="CY4927" s="45">
        <v>4923</v>
      </c>
      <c r="CZ4927" s="18">
        <v>0</v>
      </c>
      <c r="DA4927" s="18" t="str">
        <v>Nothing</v>
      </c>
    </row>
    <row r="4928" spans="103:105" ht="23.5">
      <c r="CY4928" s="45">
        <v>4924</v>
      </c>
      <c r="CZ4928" s="18">
        <v>0</v>
      </c>
      <c r="DA4928" s="18" t="str">
        <v>Nothing</v>
      </c>
    </row>
    <row r="4929" spans="103:105" ht="23.5">
      <c r="CY4929" s="45">
        <v>4925</v>
      </c>
      <c r="CZ4929" s="18">
        <v>0</v>
      </c>
      <c r="DA4929" s="18" t="str">
        <v>Nothing</v>
      </c>
    </row>
    <row r="4930" spans="103:105" ht="23.5">
      <c r="CY4930" s="45">
        <v>4926</v>
      </c>
      <c r="CZ4930" s="18">
        <v>0</v>
      </c>
      <c r="DA4930" s="18" t="str">
        <v>Nothing</v>
      </c>
    </row>
    <row r="4931" spans="103:105" ht="23.5">
      <c r="CY4931" s="45">
        <v>4927</v>
      </c>
      <c r="CZ4931" s="18">
        <v>36.855696350214735</v>
      </c>
      <c r="DA4931" s="18" t="str">
        <v>Invest</v>
      </c>
    </row>
    <row r="4932" spans="103:105" ht="23.5">
      <c r="CY4932" s="45">
        <v>4928</v>
      </c>
      <c r="CZ4932" s="18">
        <v>18.005483955150787</v>
      </c>
      <c r="DA4932" s="18" t="str">
        <v>Invest</v>
      </c>
    </row>
    <row r="4933" spans="103:105" ht="23.5">
      <c r="CY4933" s="45">
        <v>4929</v>
      </c>
      <c r="CZ4933" s="18">
        <v>0</v>
      </c>
      <c r="DA4933" s="18" t="str">
        <v>Nothing</v>
      </c>
    </row>
    <row r="4934" spans="103:105" ht="23.5">
      <c r="CY4934" s="45">
        <v>4930</v>
      </c>
      <c r="CZ4934" s="18">
        <v>0</v>
      </c>
      <c r="DA4934" s="18" t="str">
        <v>Nothing</v>
      </c>
    </row>
    <row r="4935" spans="103:105" ht="23.5">
      <c r="CY4935" s="45">
        <v>4931</v>
      </c>
      <c r="CZ4935" s="18">
        <v>13.261437147023283</v>
      </c>
      <c r="DA4935" s="18" t="str">
        <v>Invest</v>
      </c>
    </row>
    <row r="4936" spans="103:105" ht="23.5">
      <c r="CY4936" s="45">
        <v>4932</v>
      </c>
      <c r="CZ4936" s="18">
        <v>0</v>
      </c>
      <c r="DA4936" s="18" t="str">
        <v>Nothing</v>
      </c>
    </row>
    <row r="4937" spans="103:105" ht="23.5">
      <c r="CY4937" s="45">
        <v>4933</v>
      </c>
      <c r="CZ4937" s="18">
        <v>48.043550516120277</v>
      </c>
      <c r="DA4937" s="18" t="str">
        <v>Invest</v>
      </c>
    </row>
    <row r="4938" spans="103:105" ht="23.5">
      <c r="CY4938" s="45">
        <v>4934</v>
      </c>
      <c r="CZ4938" s="18">
        <v>3.3703424579530541</v>
      </c>
      <c r="DA4938" s="18" t="str">
        <v>Invest</v>
      </c>
    </row>
    <row r="4939" spans="103:105" ht="23.5">
      <c r="CY4939" s="45">
        <v>4935</v>
      </c>
      <c r="CZ4939" s="18">
        <v>52.143813643190597</v>
      </c>
      <c r="DA4939" s="18" t="str">
        <v>Invest</v>
      </c>
    </row>
    <row r="4940" spans="103:105" ht="23.5">
      <c r="CY4940" s="45">
        <v>4936</v>
      </c>
      <c r="CZ4940" s="18">
        <v>5.9804262133133008</v>
      </c>
      <c r="DA4940" s="18" t="str">
        <v>Invest</v>
      </c>
    </row>
    <row r="4941" spans="103:105" ht="23.5">
      <c r="CY4941" s="45">
        <v>4937</v>
      </c>
      <c r="CZ4941" s="18">
        <v>25.083085175328602</v>
      </c>
      <c r="DA4941" s="18" t="str">
        <v>Invest</v>
      </c>
    </row>
    <row r="4942" spans="103:105" ht="23.5">
      <c r="CY4942" s="45">
        <v>4938</v>
      </c>
      <c r="CZ4942" s="18">
        <v>23.881830414744954</v>
      </c>
      <c r="DA4942" s="18" t="str">
        <v>Invest</v>
      </c>
    </row>
    <row r="4943" spans="103:105" ht="23.5">
      <c r="CY4943" s="45">
        <v>4939</v>
      </c>
      <c r="CZ4943" s="18">
        <v>23.307532486203421</v>
      </c>
      <c r="DA4943" s="18" t="str">
        <v>Invest</v>
      </c>
    </row>
    <row r="4944" spans="103:105" ht="23.5">
      <c r="CY4944" s="45">
        <v>4940</v>
      </c>
      <c r="CZ4944" s="18">
        <v>31.273405015357341</v>
      </c>
      <c r="DA4944" s="18" t="str">
        <v>Invest</v>
      </c>
    </row>
    <row r="4945" spans="103:105" ht="23.5">
      <c r="CY4945" s="45">
        <v>4941</v>
      </c>
      <c r="CZ4945" s="18">
        <v>0</v>
      </c>
      <c r="DA4945" s="18" t="str">
        <v>Nothing</v>
      </c>
    </row>
    <row r="4946" spans="103:105" ht="23.5">
      <c r="CY4946" s="45">
        <v>4942</v>
      </c>
      <c r="CZ4946" s="18">
        <v>0</v>
      </c>
      <c r="DA4946" s="18" t="str">
        <v>Nothing</v>
      </c>
    </row>
    <row r="4947" spans="103:105" ht="23.5">
      <c r="CY4947" s="45">
        <v>4943</v>
      </c>
      <c r="CZ4947" s="18">
        <v>10.661273027114039</v>
      </c>
      <c r="DA4947" s="18" t="str">
        <v>Invest</v>
      </c>
    </row>
    <row r="4948" spans="103:105" ht="23.5">
      <c r="CY4948" s="45">
        <v>4944</v>
      </c>
      <c r="CZ4948" s="18">
        <v>45.388749471991503</v>
      </c>
      <c r="DA4948" s="18" t="str">
        <v>Invest</v>
      </c>
    </row>
    <row r="4949" spans="103:105" ht="23.5">
      <c r="CY4949" s="45">
        <v>4945</v>
      </c>
      <c r="CZ4949" s="18">
        <v>20.757116630347316</v>
      </c>
      <c r="DA4949" s="18" t="str">
        <v>Invest</v>
      </c>
    </row>
    <row r="4950" spans="103:105" ht="23.5">
      <c r="CY4950" s="45">
        <v>4946</v>
      </c>
      <c r="CZ4950" s="18">
        <v>3.285514287172302</v>
      </c>
      <c r="DA4950" s="18" t="str">
        <v>Invest</v>
      </c>
    </row>
    <row r="4951" spans="103:105" ht="23.5">
      <c r="CY4951" s="45">
        <v>4947</v>
      </c>
      <c r="CZ4951" s="18">
        <v>0</v>
      </c>
      <c r="DA4951" s="18" t="str">
        <v>Nothing</v>
      </c>
    </row>
    <row r="4952" spans="103:105" ht="23.5">
      <c r="CY4952" s="45">
        <v>4948</v>
      </c>
      <c r="CZ4952" s="18">
        <v>4.75681269598042</v>
      </c>
      <c r="DA4952" s="18" t="str">
        <v>Invest</v>
      </c>
    </row>
    <row r="4953" spans="103:105" ht="23.5">
      <c r="CY4953" s="45">
        <v>4949</v>
      </c>
      <c r="CZ4953" s="18">
        <v>0</v>
      </c>
      <c r="DA4953" s="18" t="str">
        <v>Nothing</v>
      </c>
    </row>
    <row r="4954" spans="103:105" ht="23.5">
      <c r="CY4954" s="45">
        <v>4950</v>
      </c>
      <c r="CZ4954" s="18">
        <v>26.505143326234872</v>
      </c>
      <c r="DA4954" s="18" t="str">
        <v>Invest</v>
      </c>
    </row>
    <row r="4955" spans="103:105" ht="23.5">
      <c r="CY4955" s="45">
        <v>4951</v>
      </c>
      <c r="CZ4955" s="18">
        <v>29.125969154757485</v>
      </c>
      <c r="DA4955" s="18" t="str">
        <v>Invest</v>
      </c>
    </row>
    <row r="4956" spans="103:105" ht="23.5">
      <c r="CY4956" s="45">
        <v>4952</v>
      </c>
      <c r="CZ4956" s="18">
        <v>1.5409729369939749</v>
      </c>
      <c r="DA4956" s="18" t="str">
        <v>Invest</v>
      </c>
    </row>
    <row r="4957" spans="103:105" ht="23.5">
      <c r="CY4957" s="45">
        <v>4953</v>
      </c>
      <c r="CZ4957" s="18">
        <v>0</v>
      </c>
      <c r="DA4957" s="18" t="str">
        <v>Nothing</v>
      </c>
    </row>
    <row r="4958" spans="103:105" ht="23.5">
      <c r="CY4958" s="45">
        <v>4954</v>
      </c>
      <c r="CZ4958" s="18">
        <v>34.456162237097139</v>
      </c>
      <c r="DA4958" s="18" t="str">
        <v>Invest</v>
      </c>
    </row>
    <row r="4959" spans="103:105" ht="23.5">
      <c r="CY4959" s="45">
        <v>4955</v>
      </c>
      <c r="CZ4959" s="18">
        <v>9.6335395488457838</v>
      </c>
      <c r="DA4959" s="18" t="str">
        <v>Invest</v>
      </c>
    </row>
    <row r="4960" spans="103:105" ht="23.5">
      <c r="CY4960" s="45">
        <v>4956</v>
      </c>
      <c r="CZ4960" s="18">
        <v>15.887962875489382</v>
      </c>
      <c r="DA4960" s="18" t="str">
        <v>Invest</v>
      </c>
    </row>
    <row r="4961" spans="103:105" ht="23.5">
      <c r="CY4961" s="45">
        <v>4957</v>
      </c>
      <c r="CZ4961" s="18">
        <v>11.162237387577377</v>
      </c>
      <c r="DA4961" s="18" t="str">
        <v>Invest</v>
      </c>
    </row>
    <row r="4962" spans="103:105" ht="23.5">
      <c r="CY4962" s="45">
        <v>4958</v>
      </c>
      <c r="CZ4962" s="18">
        <v>24.716413009197421</v>
      </c>
      <c r="DA4962" s="18" t="str">
        <v>Invest</v>
      </c>
    </row>
    <row r="4963" spans="103:105" ht="23.5">
      <c r="CY4963" s="45">
        <v>4959</v>
      </c>
      <c r="CZ4963" s="18">
        <v>38.528893187334518</v>
      </c>
      <c r="DA4963" s="18" t="str">
        <v>Invest</v>
      </c>
    </row>
    <row r="4964" spans="103:105" ht="23.5">
      <c r="CY4964" s="45">
        <v>4960</v>
      </c>
      <c r="CZ4964" s="18">
        <v>11.517688977960328</v>
      </c>
      <c r="DA4964" s="18" t="str">
        <v>Invest</v>
      </c>
    </row>
    <row r="4965" spans="103:105" ht="23.5">
      <c r="CY4965" s="45">
        <v>4961</v>
      </c>
      <c r="CZ4965" s="18">
        <v>2.5282478942536262</v>
      </c>
      <c r="DA4965" s="18" t="str">
        <v>Invest</v>
      </c>
    </row>
    <row r="4966" spans="103:105" ht="23.5">
      <c r="CY4966" s="45">
        <v>4962</v>
      </c>
      <c r="CZ4966" s="18">
        <v>0</v>
      </c>
      <c r="DA4966" s="18" t="str">
        <v>Nothing</v>
      </c>
    </row>
    <row r="4967" spans="103:105" ht="23.5">
      <c r="CY4967" s="45">
        <v>4963</v>
      </c>
      <c r="CZ4967" s="18">
        <v>48.5371096128262</v>
      </c>
      <c r="DA4967" s="18" t="str">
        <v>Invest</v>
      </c>
    </row>
    <row r="4968" spans="103:105" ht="23.5">
      <c r="CY4968" s="45">
        <v>4964</v>
      </c>
      <c r="CZ4968" s="18">
        <v>60.810064543198656</v>
      </c>
      <c r="DA4968" s="18" t="str">
        <v>Invest</v>
      </c>
    </row>
    <row r="4969" spans="103:105" ht="23.5">
      <c r="CY4969" s="45">
        <v>4965</v>
      </c>
      <c r="CZ4969" s="18">
        <v>10.844446181174314</v>
      </c>
      <c r="DA4969" s="18" t="str">
        <v>Invest</v>
      </c>
    </row>
    <row r="4970" spans="103:105" ht="23.5">
      <c r="CY4970" s="45">
        <v>4966</v>
      </c>
      <c r="CZ4970" s="18">
        <v>17.222497055016014</v>
      </c>
      <c r="DA4970" s="18" t="str">
        <v>Invest</v>
      </c>
    </row>
    <row r="4971" spans="103:105" ht="23.5">
      <c r="CY4971" s="45">
        <v>4967</v>
      </c>
      <c r="CZ4971" s="18">
        <v>31.981862555608107</v>
      </c>
      <c r="DA4971" s="18" t="str">
        <v>Invest</v>
      </c>
    </row>
    <row r="4972" spans="103:105" ht="23.5">
      <c r="CY4972" s="45">
        <v>4968</v>
      </c>
      <c r="CZ4972" s="18">
        <v>33.914037770690214</v>
      </c>
      <c r="DA4972" s="18" t="str">
        <v>Invest</v>
      </c>
    </row>
    <row r="4973" spans="103:105" ht="23.5">
      <c r="CY4973" s="45">
        <v>4969</v>
      </c>
      <c r="CZ4973" s="18">
        <v>33.986347184537095</v>
      </c>
      <c r="DA4973" s="18" t="str">
        <v>Invest</v>
      </c>
    </row>
    <row r="4974" spans="103:105" ht="23.5">
      <c r="CY4974" s="45">
        <v>4970</v>
      </c>
      <c r="CZ4974" s="18">
        <v>38.08500004118887</v>
      </c>
      <c r="DA4974" s="18" t="str">
        <v>Invest</v>
      </c>
    </row>
    <row r="4975" spans="103:105" ht="23.5">
      <c r="CY4975" s="45">
        <v>4971</v>
      </c>
      <c r="CZ4975" s="18">
        <v>5.7911039309590961E-2</v>
      </c>
      <c r="DA4975" s="18" t="str">
        <v>Invest</v>
      </c>
    </row>
    <row r="4976" spans="103:105" ht="23.5">
      <c r="CY4976" s="45">
        <v>4972</v>
      </c>
      <c r="CZ4976" s="18">
        <v>18.960860955308444</v>
      </c>
      <c r="DA4976" s="18" t="str">
        <v>Invest</v>
      </c>
    </row>
    <row r="4977" spans="103:105" ht="23.5">
      <c r="CY4977" s="45">
        <v>4973</v>
      </c>
      <c r="CZ4977" s="18">
        <v>20.328782516518963</v>
      </c>
      <c r="DA4977" s="18" t="str">
        <v>Invest</v>
      </c>
    </row>
    <row r="4978" spans="103:105" ht="23.5">
      <c r="CY4978" s="45">
        <v>4974</v>
      </c>
      <c r="CZ4978" s="18">
        <v>0</v>
      </c>
      <c r="DA4978" s="18" t="str">
        <v>Nothing</v>
      </c>
    </row>
    <row r="4979" spans="103:105" ht="23.5">
      <c r="CY4979" s="45">
        <v>4975</v>
      </c>
      <c r="CZ4979" s="18">
        <v>10.338756136066166</v>
      </c>
      <c r="DA4979" s="18" t="str">
        <v>Invest</v>
      </c>
    </row>
    <row r="4980" spans="103:105" ht="23.5">
      <c r="CY4980" s="45">
        <v>4976</v>
      </c>
      <c r="CZ4980" s="18">
        <v>0</v>
      </c>
      <c r="DA4980" s="18" t="str">
        <v>Nothing</v>
      </c>
    </row>
    <row r="4981" spans="103:105" ht="23.5">
      <c r="CY4981" s="45">
        <v>4977</v>
      </c>
      <c r="CZ4981" s="18">
        <v>7.3463248592738637</v>
      </c>
      <c r="DA4981" s="18" t="str">
        <v>Invest</v>
      </c>
    </row>
    <row r="4982" spans="103:105" ht="23.5">
      <c r="CY4982" s="45">
        <v>4978</v>
      </c>
      <c r="CZ4982" s="18">
        <v>0</v>
      </c>
      <c r="DA4982" s="18" t="str">
        <v>Nothing</v>
      </c>
    </row>
    <row r="4983" spans="103:105" ht="23.5">
      <c r="CY4983" s="45">
        <v>4979</v>
      </c>
      <c r="CZ4983" s="18">
        <v>42.340223814119483</v>
      </c>
      <c r="DA4983" s="18" t="str">
        <v>Invest</v>
      </c>
    </row>
    <row r="4984" spans="103:105" ht="23.5">
      <c r="CY4984" s="45">
        <v>4980</v>
      </c>
      <c r="CZ4984" s="18">
        <v>0</v>
      </c>
      <c r="DA4984" s="18" t="str">
        <v>Nothing</v>
      </c>
    </row>
    <row r="4985" spans="103:105" ht="23.5">
      <c r="CY4985" s="45">
        <v>4981</v>
      </c>
      <c r="CZ4985" s="18">
        <v>34.094298874707391</v>
      </c>
      <c r="DA4985" s="18" t="str">
        <v>Invest</v>
      </c>
    </row>
    <row r="4986" spans="103:105" ht="23.5">
      <c r="CY4986" s="45">
        <v>4982</v>
      </c>
      <c r="CZ4986" s="18">
        <v>12.423059133636976</v>
      </c>
      <c r="DA4986" s="18" t="str">
        <v>Invest</v>
      </c>
    </row>
    <row r="4987" spans="103:105" ht="23.5">
      <c r="CY4987" s="45">
        <v>4983</v>
      </c>
      <c r="CZ4987" s="18">
        <v>0</v>
      </c>
      <c r="DA4987" s="18" t="str">
        <v>Nothing</v>
      </c>
    </row>
    <row r="4988" spans="103:105" ht="23.5">
      <c r="CY4988" s="45">
        <v>4984</v>
      </c>
      <c r="CZ4988" s="18">
        <v>0</v>
      </c>
      <c r="DA4988" s="18" t="str">
        <v>Nothing</v>
      </c>
    </row>
    <row r="4989" spans="103:105" ht="23.5">
      <c r="CY4989" s="45">
        <v>4985</v>
      </c>
      <c r="CZ4989" s="18">
        <v>35.171392372294967</v>
      </c>
      <c r="DA4989" s="18" t="str">
        <v>Invest</v>
      </c>
    </row>
    <row r="4990" spans="103:105" ht="23.5">
      <c r="CY4990" s="45">
        <v>4986</v>
      </c>
      <c r="CZ4990" s="18">
        <v>0</v>
      </c>
      <c r="DA4990" s="18" t="str">
        <v>Nothing</v>
      </c>
    </row>
    <row r="4991" spans="103:105" ht="23.5">
      <c r="CY4991" s="45">
        <v>4987</v>
      </c>
      <c r="CZ4991" s="18">
        <v>42.192182506978646</v>
      </c>
      <c r="DA4991" s="18" t="str">
        <v>Invest</v>
      </c>
    </row>
    <row r="4992" spans="103:105" ht="23.5">
      <c r="CY4992" s="45">
        <v>4988</v>
      </c>
      <c r="CZ4992" s="18">
        <v>23.039532570476922</v>
      </c>
      <c r="DA4992" s="18" t="str">
        <v>Invest</v>
      </c>
    </row>
    <row r="4993" spans="103:105" ht="23.5">
      <c r="CY4993" s="45">
        <v>4989</v>
      </c>
      <c r="CZ4993" s="18">
        <v>10.234095741569577</v>
      </c>
      <c r="DA4993" s="18" t="str">
        <v>Invest</v>
      </c>
    </row>
    <row r="4994" spans="103:105" ht="23.5">
      <c r="CY4994" s="45">
        <v>4990</v>
      </c>
      <c r="CZ4994" s="18">
        <v>22.493552991355941</v>
      </c>
      <c r="DA4994" s="18" t="str">
        <v>Invest</v>
      </c>
    </row>
    <row r="4995" spans="103:105" ht="23.5">
      <c r="CY4995" s="45">
        <v>4991</v>
      </c>
      <c r="CZ4995" s="18">
        <v>0</v>
      </c>
      <c r="DA4995" s="18" t="str">
        <v>Nothing</v>
      </c>
    </row>
    <row r="4996" spans="103:105" ht="23.5">
      <c r="CY4996" s="45">
        <v>4992</v>
      </c>
      <c r="CZ4996" s="18">
        <v>0.88247113343160954</v>
      </c>
      <c r="DA4996" s="18" t="str">
        <v>Invest</v>
      </c>
    </row>
    <row r="4997" spans="103:105" ht="23.5">
      <c r="CY4997" s="45">
        <v>4993</v>
      </c>
      <c r="CZ4997" s="18">
        <v>12.846034976094622</v>
      </c>
      <c r="DA4997" s="18" t="str">
        <v>Invest</v>
      </c>
    </row>
    <row r="4998" spans="103:105" ht="23.5">
      <c r="CY4998" s="45">
        <v>4994</v>
      </c>
      <c r="CZ4998" s="18">
        <v>1.4977255767689712</v>
      </c>
      <c r="DA4998" s="18" t="str">
        <v>Invest</v>
      </c>
    </row>
    <row r="4999" spans="103:105" ht="23.5">
      <c r="CY4999" s="45">
        <v>4995</v>
      </c>
      <c r="CZ4999" s="18">
        <v>0.47754528627802628</v>
      </c>
      <c r="DA4999" s="18" t="str">
        <v>Invest</v>
      </c>
    </row>
    <row r="5000" spans="103:105" ht="23.5">
      <c r="CY5000" s="45">
        <v>4996</v>
      </c>
      <c r="CZ5000" s="18">
        <v>9.571557308122804</v>
      </c>
      <c r="DA5000" s="18" t="str">
        <v>Invest</v>
      </c>
    </row>
    <row r="5001" spans="103:105" ht="23.5">
      <c r="CY5001" s="45">
        <v>4997</v>
      </c>
      <c r="CZ5001" s="18">
        <v>0</v>
      </c>
      <c r="DA5001" s="18" t="str">
        <v>Nothing</v>
      </c>
    </row>
    <row r="5002" spans="103:105" ht="23.5">
      <c r="CY5002" s="45">
        <v>4998</v>
      </c>
      <c r="CZ5002" s="18">
        <v>0.82495916722124107</v>
      </c>
      <c r="DA5002" s="18" t="str">
        <v>Invest</v>
      </c>
    </row>
    <row r="5003" spans="103:105" ht="23.5">
      <c r="CY5003" s="45">
        <v>4999</v>
      </c>
      <c r="CZ5003" s="18">
        <v>25.300077460639489</v>
      </c>
      <c r="DA5003" s="18" t="str">
        <v>Invest</v>
      </c>
    </row>
    <row r="5004" spans="103:105" ht="23.5">
      <c r="CY5004" s="45">
        <v>5000</v>
      </c>
      <c r="CZ5004" s="18">
        <v>54.280770987021775</v>
      </c>
      <c r="DA5004" s="18" t="str">
        <v>Invest</v>
      </c>
    </row>
  </sheetData>
  <mergeCells count="14">
    <mergeCell ref="A1:BN1"/>
    <mergeCell ref="A2:BN2"/>
    <mergeCell ref="B60:B62"/>
    <mergeCell ref="DT91:DU91"/>
    <mergeCell ref="DT47:DU47"/>
    <mergeCell ref="DT25:DU25"/>
    <mergeCell ref="CH2:DA2"/>
    <mergeCell ref="B63:B67"/>
    <mergeCell ref="B68:B80"/>
    <mergeCell ref="BQ4:BR4"/>
    <mergeCell ref="BV4:BW4"/>
    <mergeCell ref="CA4:CB4"/>
    <mergeCell ref="DT6:DU6"/>
    <mergeCell ref="DT69:DU69"/>
  </mergeCells>
  <conditionalFormatting sqref="CA20:CB22">
    <cfRule type="colorScale" priority="5">
      <colorScale>
        <cfvo type="min"/>
        <cfvo type="max"/>
        <color rgb="FFF8696B"/>
        <color rgb="FFFCFCFF"/>
      </colorScale>
    </cfRule>
  </conditionalFormatting>
  <conditionalFormatting sqref="CH4:CJ4">
    <cfRule type="colorScale" priority="4">
      <colorScale>
        <cfvo type="min"/>
        <cfvo type="max"/>
        <color rgb="FFF8696B"/>
        <color rgb="FFFCFCFF"/>
      </colorScale>
    </cfRule>
  </conditionalFormatting>
  <conditionalFormatting sqref="CM4:DA4">
    <cfRule type="colorScale" priority="2">
      <colorScale>
        <cfvo type="min"/>
        <cfvo type="max"/>
        <color rgb="FFF8696B"/>
        <color rgb="FFFCFCFF"/>
      </colorScale>
    </cfRule>
  </conditionalFormatting>
  <conditionalFormatting sqref="DU4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A</vt:lpstr>
      <vt:lpstr>Part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 Sukma Zahrani</dc:creator>
  <cp:lastModifiedBy>Hanum Sukma Zahrani</cp:lastModifiedBy>
  <dcterms:created xsi:type="dcterms:W3CDTF">2025-02-28T16:36:26Z</dcterms:created>
  <dcterms:modified xsi:type="dcterms:W3CDTF">2025-03-03T03:02:31Z</dcterms:modified>
</cp:coreProperties>
</file>