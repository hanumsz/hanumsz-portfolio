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xr:revisionPtr revIDLastSave="0" documentId="13_ncr:1_{18E9BE0B-521E-4841-B2B4-405C69F0C540}" xr6:coauthVersionLast="47" xr6:coauthVersionMax="47" xr10:uidLastSave="{00000000-0000-0000-0000-000000000000}"/>
  <bookViews>
    <workbookView xWindow="938" yWindow="105" windowWidth="19920" windowHeight="12187" xr2:uid="{21F00B8F-6511-47BA-8282-37881D569DFC}"/>
  </bookViews>
  <sheets>
    <sheet name="Cover Page" sheetId="24" r:id="rId1"/>
    <sheet name="Industry Data" sheetId="20" r:id="rId2"/>
    <sheet name="Competitors WACC" sheetId="19" r:id="rId3"/>
    <sheet name="Debt &amp; Dividend" sheetId="16" r:id="rId4"/>
    <sheet name="Capital Structure (WACC)" sheetId="17" r:id="rId5"/>
    <sheet name="WACC Explanation " sheetId="22" r:id="rId6"/>
    <sheet name="Comparable Analysis" sheetId="21" r:id="rId7"/>
    <sheet name="DCF Model " sheetId="23" r:id="rId8"/>
    <sheet name="Raw - Cash Flow" sheetId="4" r:id="rId9"/>
    <sheet name="Raw - Income Statement" sheetId="2" r:id="rId10"/>
    <sheet name="Raw - Balance Sheet" sheetId="3" r:id="rId11"/>
    <sheet name="Raw - Key Stats" sheetId="1" r:id="rId12"/>
    <sheet name="Raw - Capital Structure Summary" sheetId="7" r:id="rId13"/>
    <sheet name="Raw - Capital Structure Details" sheetId="14" r:id="rId14"/>
    <sheet name="Raw - Multiples" sheetId="5"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s>
  <definedNames>
    <definedName name="\p">#REF!</definedName>
    <definedName name="__IntlFixup" hidden="1">TRUE</definedName>
    <definedName name="_0">#REF!</definedName>
    <definedName name="_101664">#REF!</definedName>
    <definedName name="_101665">#REF!</definedName>
    <definedName name="_101745">#REF!</definedName>
    <definedName name="_101746">#REF!</definedName>
    <definedName name="_102751">#REF!</definedName>
    <definedName name="_102752">#REF!</definedName>
    <definedName name="_102848">#REF!</definedName>
    <definedName name="_102849">#REF!</definedName>
    <definedName name="_107282">#REF!</definedName>
    <definedName name="_107283">#REF!</definedName>
    <definedName name="_107478">#REF!</definedName>
    <definedName name="_107479">#REF!</definedName>
    <definedName name="_107656">#REF!</definedName>
    <definedName name="_107657">#REF!</definedName>
    <definedName name="_108949">#REF!</definedName>
    <definedName name="_108950">#REF!</definedName>
    <definedName name="_109421">#REF!</definedName>
    <definedName name="_109422">#REF!</definedName>
    <definedName name="_109822">#REF!</definedName>
    <definedName name="_109823">#REF!</definedName>
    <definedName name="_110840">#REF!</definedName>
    <definedName name="_110841">#REF!</definedName>
    <definedName name="_111116">#REF!</definedName>
    <definedName name="_111117">#REF!</definedName>
    <definedName name="_113441">#REF!</definedName>
    <definedName name="_113442">#REF!</definedName>
    <definedName name="_114894">#REF!</definedName>
    <definedName name="_114895">#REF!</definedName>
    <definedName name="_15298">#REF!</definedName>
    <definedName name="_15299">#REF!</definedName>
    <definedName name="_17308">#REF!</definedName>
    <definedName name="_17309">#REF!</definedName>
    <definedName name="_17618">#REF!</definedName>
    <definedName name="_17619">#REF!</definedName>
    <definedName name="_19044">#REF!</definedName>
    <definedName name="_19045">#REF!</definedName>
    <definedName name="_1980">#REF!</definedName>
    <definedName name="_1981">#REF!</definedName>
    <definedName name="_23100">#REF!</definedName>
    <definedName name="_23101">#REF!</definedName>
    <definedName name="_2321">#REF!</definedName>
    <definedName name="_24408">#REF!</definedName>
    <definedName name="_24409">#REF!</definedName>
    <definedName name="_26594">#REF!</definedName>
    <definedName name="_26595">#REF!</definedName>
    <definedName name="_27257">#REF!</definedName>
    <definedName name="_27258">#REF!</definedName>
    <definedName name="_29061">#REF!</definedName>
    <definedName name="_29062">#REF!</definedName>
    <definedName name="_29329">#REF!</definedName>
    <definedName name="_29330">#REF!</definedName>
    <definedName name="_29483">#REF!</definedName>
    <definedName name="_29484">#REF!</definedName>
    <definedName name="_29732">#REF!</definedName>
    <definedName name="_29733">#REF!</definedName>
    <definedName name="_29773">#REF!</definedName>
    <definedName name="_29774">#REF!</definedName>
    <definedName name="_29929">#REF!</definedName>
    <definedName name="_29930">#REF!</definedName>
    <definedName name="_30266">#REF!</definedName>
    <definedName name="_30267">#REF!</definedName>
    <definedName name="_30365">#REF!</definedName>
    <definedName name="_30366">#REF!</definedName>
    <definedName name="_30643">#REF!</definedName>
    <definedName name="_30644">#REF!</definedName>
    <definedName name="_31354">#REF!</definedName>
    <definedName name="_31355">#REF!</definedName>
    <definedName name="_3185">#REF!</definedName>
    <definedName name="_3186">#REF!</definedName>
    <definedName name="_34904">#REF!</definedName>
    <definedName name="_34905">#REF!</definedName>
    <definedName name="_3501">#REF!</definedName>
    <definedName name="_3502">#REF!</definedName>
    <definedName name="_3574">#REF!</definedName>
    <definedName name="_3575">#REF!</definedName>
    <definedName name="_44716">#REF!</definedName>
    <definedName name="_44717">#REF!</definedName>
    <definedName name="_45008">#REF!</definedName>
    <definedName name="_45009">#REF!</definedName>
    <definedName name="_46015">#REF!</definedName>
    <definedName name="_46016">#REF!</definedName>
    <definedName name="_46141">#REF!</definedName>
    <definedName name="_46142">#REF!</definedName>
    <definedName name="_46263">#REF!</definedName>
    <definedName name="_46264">#REF!</definedName>
    <definedName name="_48577">#REF!</definedName>
    <definedName name="_48578">#REF!</definedName>
    <definedName name="_48938">#REF!</definedName>
    <definedName name="_48939">#REF!</definedName>
    <definedName name="_49020">#REF!</definedName>
    <definedName name="_49021">#REF!</definedName>
    <definedName name="_49359">#REF!</definedName>
    <definedName name="_49360">#REF!</definedName>
    <definedName name="_49880">#REF!</definedName>
    <definedName name="_49881">#REF!</definedName>
    <definedName name="_50660">#REF!</definedName>
    <definedName name="_50661">#REF!</definedName>
    <definedName name="_58532">#REF!</definedName>
    <definedName name="_58533">#REF!</definedName>
    <definedName name="_58589">#REF!</definedName>
    <definedName name="_58590">#REF!</definedName>
    <definedName name="_58751">#REF!</definedName>
    <definedName name="_58752">#REF!</definedName>
    <definedName name="_5922">#REF!</definedName>
    <definedName name="_5923">#REF!</definedName>
    <definedName name="_59770">#REF!</definedName>
    <definedName name="_59771">#REF!</definedName>
    <definedName name="_59852">#REF!</definedName>
    <definedName name="_59853">#REF!</definedName>
    <definedName name="_6125">#REF!</definedName>
    <definedName name="_6126">#REF!</definedName>
    <definedName name="_71">#REF!</definedName>
    <definedName name="_72">#REF!</definedName>
    <definedName name="_76629">#REF!</definedName>
    <definedName name="_76630">#REF!</definedName>
    <definedName name="_77">#REF!</definedName>
    <definedName name="_78">#REF!</definedName>
    <definedName name="_97289">#REF!</definedName>
    <definedName name="_97290">#REF!</definedName>
    <definedName name="_Con1" localSheetId="6">'[1]Veracel -Dedicated -Full'!$B$14</definedName>
    <definedName name="_Con1">'[2]Veracel -Dedicated -Full'!$B$14</definedName>
    <definedName name="_Key1" localSheetId="6" hidden="1">[3]genadm!#REF!</definedName>
    <definedName name="_Key1" hidden="1">[4]genadm!#REF!</definedName>
    <definedName name="_Key2" hidden="1">#REF!</definedName>
    <definedName name="_Order1" hidden="1">255</definedName>
    <definedName name="_Sort" hidden="1">#REF!</definedName>
    <definedName name="_Tax1" localSheetId="6">[5]Assumptions!$B$9</definedName>
    <definedName name="_Tax1">[6]Assumptions!$B$9</definedName>
    <definedName name="_tax2" localSheetId="6">[5]Assumptions!$B$9</definedName>
    <definedName name="_tax2">[6]Assumptions!$B$9</definedName>
    <definedName name="ACQUIRER" localSheetId="6">[7]InputVariables!$B$4:$B$4</definedName>
    <definedName name="ACQUIRER">[8]InputVariables!$B$4:$B$4</definedName>
    <definedName name="add" localSheetId="6">'[9]Valuation of Intangibles'!#REF!</definedName>
    <definedName name="add">'[10]Valuation of Intangibles'!#REF!</definedName>
    <definedName name="AMFC" localSheetId="6">[11]Notes!$B$11</definedName>
    <definedName name="AMFC">[12]Notes!$B$11</definedName>
    <definedName name="Ammort">#REF!</definedName>
    <definedName name="Ammorti">#REF!</definedName>
    <definedName name="Annual_interest_rate">#REF!</definedName>
    <definedName name="AR">#REF!</definedName>
    <definedName name="AS2DocOpenMode" hidden="1">"AS2DocumentEdit"</definedName>
    <definedName name="Blocks_and_Pricing" localSheetId="6">'[13]#REF'!$A$1:$F$181</definedName>
    <definedName name="Blocks_and_Pricing">'[14]#REF'!$A$1:$F$181</definedName>
    <definedName name="bn" localSheetId="6" hidden="1">{TRUE,TRUE,-1.25,-15.5,484.5,253.5,FALSE,TRUE,TRUE,TRUE,0,1,#N/A,99,#N/A,6.71910112359551,16.4705882352941,1,FALSE,FALSE,3,TRUE,1,FALSE,100,"Swvu.CommentsView.","ACwvu.CommentsView.",#N/A,FALSE,FALSE,0.25,0.25,1,1,2,"&amp;LFile:  &amp;F  &amp;A
Prepared:  &amp;D  &amp;T","Page &amp;P",TRUE,FALSE,FALSE,FALSE,1,#N/A,1,1,"=R59C1:R105C9","=R1:R7",#N/A,#N/A,FALSE,FALSE,FALSE,1,65532,65532,FALSE,FALSE,TRUE,TRUE,TRUE}</definedName>
    <definedName name="bn" hidden="1">{TRUE,TRUE,-1.25,-15.5,484.5,253.5,FALSE,TRUE,TRUE,TRUE,0,1,#N/A,99,#N/A,6.71910112359551,16.4705882352941,1,FALSE,FALSE,3,TRUE,1,FALSE,100,"Swvu.CommentsView.","ACwvu.CommentsView.",#N/A,FALSE,FALSE,0.25,0.25,1,1,2,"&amp;LFile:  &amp;F  &amp;A
Prepared:  &amp;D  &amp;T","Page &amp;P",TRUE,FALSE,FALSE,FALSE,1,#N/A,1,1,"=R59C1:R105C9","=R1:R7",#N/A,#N/A,FALSE,FALSE,FALSE,1,65532,65532,FALSE,FALSE,TRUE,TRUE,TRUE}</definedName>
    <definedName name="BS_2001">#REF!</definedName>
    <definedName name="BS_2002">#REF!</definedName>
    <definedName name="BS_DATE">#REF!</definedName>
    <definedName name="button_area_1">#REF!</definedName>
    <definedName name="Buyer_Equity_Value">#REF!</definedName>
    <definedName name="Buyer_EV">#REF!</definedName>
    <definedName name="Buyer_Interest_Rate">#REF!</definedName>
    <definedName name="Buyer_Name">#REF!</definedName>
    <definedName name="Buyer_Tax_Rate">#REF!</definedName>
    <definedName name="Buyer_Ticker">#REF!</definedName>
    <definedName name="Capital_Cost1" localSheetId="6">'[15]CAp Ex'!$D$14:$D$213</definedName>
    <definedName name="Capital_Cost1">'[16]CAp Ex'!$D$14:$D$213</definedName>
    <definedName name="Capital_Date1" localSheetId="6">'[15]CAp Ex'!$E$14:$E$213</definedName>
    <definedName name="Capital_Date1">'[16]CAp Ex'!$E$14:$E$213</definedName>
    <definedName name="Capital_Life1" localSheetId="6">'[15]CAp Ex'!$F$14:$F$213</definedName>
    <definedName name="Capital_Life1">'[16]CAp Ex'!$F$14:$F$213</definedName>
    <definedName name="Case_Cell" localSheetId="6">[17]Inputs!$F$12</definedName>
    <definedName name="Case_Cell">[18]Inputs!$F$12</definedName>
    <definedName name="Case_Number" localSheetId="6">[17]Inputs!$E$12</definedName>
    <definedName name="Case_Number">[18]Inputs!$E$12</definedName>
    <definedName name="CASH_END" localSheetId="6">'[19]BALANCE SHEET'!$I$2</definedName>
    <definedName name="CASH_END">'[20]BALANCE SHEET'!$I$2</definedName>
    <definedName name="CASH_FLOWS">#REF!</definedName>
    <definedName name="CASH_START" localSheetId="6">'[19]BALANCE SHEET'!$J$2</definedName>
    <definedName name="CASH_START">'[20]BALANCE SHEET'!$J$2</definedName>
    <definedName name="CategoryList" localSheetId="6">[21]Dropdowns!$A$18:$A$27</definedName>
    <definedName name="CategoryList">[22]Dropdowns!$A$18:$A$27</definedName>
    <definedName name="CC" localSheetId="6">'[23]Customize Your Invoice'!$G$22:$G$25</definedName>
    <definedName name="CC">'[24]Customize Your Invoice'!$G$22:$G$25</definedName>
    <definedName name="celltips_area">#REF!</definedName>
    <definedName name="CIQWBGuid" localSheetId="6" hidden="1">"ManU Model v1.xlsx"</definedName>
    <definedName name="CIQWBGuid" hidden="1">"dcd22938-31c9-4713-bf1a-b1b064345046"</definedName>
    <definedName name="CIQWBInfo" hidden="1">"{ ""CIQVersion"":""9.47.1108.4092"" }"</definedName>
    <definedName name="Circular">#REF!</definedName>
    <definedName name="Close_Date">#REF!</definedName>
    <definedName name="Cogs2" localSheetId="6">'[25]Sales Forecast'!$C$10:$CA$10</definedName>
    <definedName name="Cogs2">'[26]Sales Forecast'!$C$10:$CA$10</definedName>
    <definedName name="Cogs2original" localSheetId="6">'[27]Sales Forecast'!$C$10:$CA$10</definedName>
    <definedName name="Cogs2original">'[28]Sales Forecast'!$C$10:$CA$10</definedName>
    <definedName name="Cogs3" localSheetId="6">'[25]Sales Forecast'!$C$45:$CA$45</definedName>
    <definedName name="Cogs3">'[26]Sales Forecast'!$C$45:$CA$45</definedName>
    <definedName name="Company_Name" localSheetId="6">[17]Inputs!$E$4</definedName>
    <definedName name="Company_Name">[18]Inputs!$E$4</definedName>
    <definedName name="CompanyType" localSheetId="6">[29]Segments!$A$3:$A$8</definedName>
    <definedName name="CompanyType">[30]Segments!$A$3:$A$8</definedName>
    <definedName name="compname">#REF!</definedName>
    <definedName name="Comps_Range">#REF!</definedName>
    <definedName name="Con" localSheetId="6">[1]Integrated!$B$14</definedName>
    <definedName name="Con">[2]Integrated!$B$14</definedName>
    <definedName name="COPY_FS">#REF!</definedName>
    <definedName name="Cost_of_sales" localSheetId="6">'[31]Year 1 Income St - Biz Plan v.1'!$C$10:$BS$10</definedName>
    <definedName name="Cost_of_sales">'[32]Year 1 Income St - Biz Plan v.1'!$C$10:$BS$10</definedName>
    <definedName name="crit" localSheetId="6">'[9]Valuation of Intangibles'!#REF!</definedName>
    <definedName name="crit">'[10]Valuation of Intangibles'!#REF!</definedName>
    <definedName name="DATA">#REF!</definedName>
    <definedName name="data1000000" localSheetId="6">[33]Invoice!#REF!</definedName>
    <definedName name="data1000000">[34]Invoice!#REF!</definedName>
    <definedName name="data10000frefdwed" localSheetId="6">[33]Invoice!#REF!</definedName>
    <definedName name="data10000frefdwed">[34]Invoice!#REF!</definedName>
    <definedName name="data27" localSheetId="6">[33]Invoice!#REF!</definedName>
    <definedName name="data27">[34]Invoice!#REF!</definedName>
    <definedName name="data53" localSheetId="6">[33]Invoice!#REF!</definedName>
    <definedName name="data53">[34]Invoice!#REF!</definedName>
    <definedName name="data54" localSheetId="6">[33]Invoice!#REF!</definedName>
    <definedName name="data54">[34]Invoice!#REF!</definedName>
    <definedName name="data55" localSheetId="6">[33]Invoice!#REF!</definedName>
    <definedName name="data55">[34]Invoice!#REF!</definedName>
    <definedName name="data56" localSheetId="6">[33]Invoice!#REF!</definedName>
    <definedName name="data56">[34]Invoice!#REF!</definedName>
    <definedName name="data57" localSheetId="6">[33]Invoice!#REF!</definedName>
    <definedName name="data57">[34]Invoice!#REF!</definedName>
    <definedName name="data58" localSheetId="6">[33]Invoice!#REF!</definedName>
    <definedName name="data58">[34]Invoice!#REF!</definedName>
    <definedName name="data69" localSheetId="6">[33]Invoice!#REF!</definedName>
    <definedName name="data69">[34]Invoice!#REF!</definedName>
    <definedName name="data70" localSheetId="6">[33]Invoice!#REF!</definedName>
    <definedName name="data70">[34]Invoice!#REF!</definedName>
    <definedName name="Database_Pricing">#REF!</definedName>
    <definedName name="DATES" localSheetId="6">[19]Dates!$A:$A</definedName>
    <definedName name="DATES">[20]Dates!$A:$A</definedName>
    <definedName name="Days_in_Year">#REF!</definedName>
    <definedName name="Debt_Refinance">#REF!</definedName>
    <definedName name="dflt2" localSheetId="6">'[23]Customize Your Invoice'!$E$23</definedName>
    <definedName name="dflt2">'[24]Customize Your Invoice'!$E$23</definedName>
    <definedName name="dflt3" localSheetId="6">'[23]Customize Your Invoice'!$D$24</definedName>
    <definedName name="dflt3">'[24]Customize Your Invoice'!$D$24</definedName>
    <definedName name="dflt4" localSheetId="6">'[23]Customize Your Invoice'!$E$26</definedName>
    <definedName name="dflt4">'[24]Customize Your Invoice'!$E$26</definedName>
    <definedName name="dflt5" localSheetId="6">'[23]Customize Your Invoice'!$E$27</definedName>
    <definedName name="dflt5">'[24]Customize Your Invoice'!$E$27</definedName>
    <definedName name="dflt6" localSheetId="6">'[23]Customize Your Invoice'!$D$28</definedName>
    <definedName name="dflt6">'[24]Customize Your Invoice'!$D$28</definedName>
    <definedName name="e" hidden="1">"10/30/2021 20:36:43"</definedName>
    <definedName name="ed" localSheetId="6">'[9]Valuation of Intangibles'!#REF!</definedName>
    <definedName name="ed">'[10]Valuation of Intangibles'!#REF!</definedName>
    <definedName name="Elim2006Result" localSheetId="6">'[35]Results Summary'!$K$87</definedName>
    <definedName name="Elim2006Result">'[36]Results Summary'!$K$87</definedName>
    <definedName name="Equity_Interest_Value">#REF!</definedName>
    <definedName name="Exchange16" localSheetId="6">'[37]Input Sheet'!$C$10</definedName>
    <definedName name="Exchange16">'[38]Input Sheet'!$C$10</definedName>
    <definedName name="Exchange17" localSheetId="6">'[37]Input Sheet'!$D$10</definedName>
    <definedName name="Exchange17">'[38]Input Sheet'!$D$10</definedName>
    <definedName name="Exchange18" localSheetId="6">'[37]Input Sheet'!$E$10</definedName>
    <definedName name="Exchange18">'[38]Input Sheet'!$E$10</definedName>
    <definedName name="Exchange19" localSheetId="6">'[37]Input Sheet'!$F$10</definedName>
    <definedName name="Exchange19">'[38]Input Sheet'!$F$10</definedName>
    <definedName name="Exchange20" localSheetId="6">'[37]Input Sheet'!$G$10</definedName>
    <definedName name="Exchange20">'[38]Input Sheet'!$G$10</definedName>
    <definedName name="Finished_Goods">#REF!</definedName>
    <definedName name="First_payment_due">#REF!</definedName>
    <definedName name="forex">#REF!</definedName>
    <definedName name="Forward_Year_1">#REF!</definedName>
    <definedName name="Forward_Year_2">#REF!</definedName>
    <definedName name="Forward_Year_3">#REF!</definedName>
    <definedName name="fx" localSheetId="6">[39]Assumptions!$B$10</definedName>
    <definedName name="fx">[40]Assumptions!$B$10</definedName>
    <definedName name="FYear_1_Name">#REF!</definedName>
    <definedName name="FYear_2_Name">#REF!</definedName>
    <definedName name="FYear_3_Name">#REF!</definedName>
    <definedName name="gew">#REF!</definedName>
    <definedName name="Gross_margin" localSheetId="6">'[31]Year 1 Income St - Biz Plan v.1'!$C$11:$BS$11</definedName>
    <definedName name="Gross_margin">'[32]Year 1 Income St - Biz Plan v.1'!$C$11:$BS$11</definedName>
    <definedName name="GW_Options" localSheetId="6">[41]Summary!$G$70:$G$86</definedName>
    <definedName name="GW_Options">[42]Summary!$G$70:$G$86</definedName>
    <definedName name="GW_Table" localSheetId="6">[41]Options!$C$35:$F$52</definedName>
    <definedName name="GW_Table">[42]Options!$C$35:$F$52</definedName>
    <definedName name="H_Rate">#REF!</definedName>
    <definedName name="Hist_Year" localSheetId="6">[17]Inputs!$E$6</definedName>
    <definedName name="Hist_Year">[18]Inputs!$E$6</definedName>
    <definedName name="historical_BS">#REF!</definedName>
    <definedName name="historical_IS">#REF!</definedName>
    <definedName name="historical_SCFP" localSheetId="6">'[43]Hyduke Alone'!#REF!</definedName>
    <definedName name="historical_SCFP">'[44]Hyduke Alone'!#REF!</definedName>
    <definedName name="HTML_CodePage" hidden="1">1252</definedName>
    <definedName name="HTML_Control" localSheetId="6" hidden="1">{"'Balance Sheet'!$F$37"}</definedName>
    <definedName name="HTML_Control" hidden="1">{"'Balance Sheet'!$F$37"}</definedName>
    <definedName name="HTML_Description" hidden="1">""</definedName>
    <definedName name="HTML_Email" hidden="1">""</definedName>
    <definedName name="HTML_Header" hidden="1">"Balance Sheet"</definedName>
    <definedName name="HTML_LastUpdate" hidden="1">"6/23/00"</definedName>
    <definedName name="HTML_LineAfter" hidden="1">FALSE</definedName>
    <definedName name="HTML_LineBefore" hidden="1">FALSE</definedName>
    <definedName name="HTML_Name" hidden="1">"Robert Brookwell"</definedName>
    <definedName name="HTML_OBDlg2" hidden="1">TRUE</definedName>
    <definedName name="HTML_OBDlg4" hidden="1">TRUE</definedName>
    <definedName name="HTML_OS" hidden="1">0</definedName>
    <definedName name="HTML_PathFile" hidden="1">"H:\Controller\Month End\May, 2000\MyHTML.htm"</definedName>
    <definedName name="HTML_Title" hidden="1">"Consolidation 053100"</definedName>
    <definedName name="INC_SM" localSheetId="6">[25]Logistics!$H$5</definedName>
    <definedName name="INC_SM">[26]Logistics!$H$5</definedName>
    <definedName name="infl">#REF!</definedName>
    <definedName name="infl1">#REF!</definedName>
    <definedName name="infl2">#REF!</definedName>
    <definedName name="infl3" localSheetId="6">[5]Assumptions!$B$8</definedName>
    <definedName name="infl3">[6]Assumptions!$B$8</definedName>
    <definedName name="inflA" localSheetId="6">[1]Integrated!$B$13</definedName>
    <definedName name="inflA">[2]Integrated!$B$13</definedName>
    <definedName name="inflation" localSheetId="6">[11]Notes!$B$12</definedName>
    <definedName name="inflation">[12]Notes!$B$12</definedName>
    <definedName name="interest" localSheetId="6">[11]Notes!$B$10</definedName>
    <definedName name="interest">[12]Notes!$B$10</definedName>
    <definedName name="Interest_expense_LT" localSheetId="6">'[31]Year 1 Income St - Biz Plan v.1'!$C$44:$BS$44</definedName>
    <definedName name="Interest_expense_LT">'[32]Year 1 Income St - Biz Plan v.1'!$C$44:$BS$44</definedName>
    <definedName name="Interest_expense_ST" localSheetId="6">'[31]Year 1 Income St - Biz Plan v.1'!$C$43:$BS$43</definedName>
    <definedName name="Interest_expense_ST">'[32]Year 1 Income St - Biz Plan v.1'!$C$43:$BS$43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USTABLE_RATE_LOANS_FDIC" hidden="1">"c6375"</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IN_PROCESS_FDIC" hidden="1">"c6386"</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CE_FDIC" hidden="1">"c6296"</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WORKING_CAPITAL" hidden="1">"c1909"</definedName>
    <definedName name="IQ_CHANGE_OTHER_NET_OPER_ASSETS_BR" hidden="1">"c3595"</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RATE" hidden="1">"c2192"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500000</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COVERAGE_NET_CHARGE_OFFS_FDIC" hidden="1">"c6735"</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FO" hidden="1">"c1574"</definedName>
    <definedName name="IQ_FH">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D_GUARANTEED_US_FDIC" hidden="1">"c6404"</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REVENUE_OVER_EMPLOYEES" hidden="1">"c1437"</definedName>
    <definedName name="IQ_LTMMONTH" hidden="1">120000</definedName>
    <definedName name="IQ_MACHINERY" hidden="1">"c711"</definedName>
    <definedName name="IQ_MAINT_CAPEX_ACT_OR_EST" hidden="1">"c4458"</definedName>
    <definedName name="IQ_MAINT_REPAIR" hidden="1">"c2087"</definedName>
    <definedName name="IQ_MARKETCAP" hidden="1">"c712"</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NEY_MARKET_DEPOSIT_ACCOUNTS_FDIC" hidden="1">"c6553"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ICING_FDIC" hidden="1">"c6335"</definedName>
    <definedName name="IQ_MTD" hidden="1">800000</definedName>
    <definedName name="IQ_MULTIFAMILY_RESIDENTIAL_LOANS_FDIC" hidden="1">"c6311"</definedName>
    <definedName name="IQ_NAMES_REVISION_DATE_" localSheetId="6" hidden="1">44275.7040162037</definedName>
    <definedName name="IQ_NAMES_REVISION_DATE_" hidden="1">44767.5558680556</definedName>
    <definedName name="IQ_NET_CHANGE" hidden="1">"c749"</definedName>
    <definedName name="IQ_NET_CHARGE_OFFS_FDIC" hidden="1">"c6641"</definedName>
    <definedName name="IQ_NET_CHARGE_OFFS_LOANS_FDIC" hidden="1">"c6751"</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_BR" hidden="1">"c5566"</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TRANSACTIONS_FDIC" hidden="1">"c6504"</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RETURN_ASSETS_FDIC" hidden="1">"c6731"</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VG_STORE_SIZE_GROSS" hidden="1">"c2066"</definedName>
    <definedName name="IQ_RETAIL_AVG_STORE_SIZE_NET" hidden="1">"c2067"</definedName>
    <definedName name="IQ_RETAIL_CLOSED_STORES" hidden="1">"c2063"</definedName>
    <definedName name="IQ_RETAIL_DEPOSITS_FDIC" hidden="1">"c6488"</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ALUATION_GAINS_FDIC" hidden="1">"c6428"</definedName>
    <definedName name="IQ_REVALUATION_LOSSES_FDIC" hidden="1">"c6429"</definedName>
    <definedName name="IQ_REVENUE" hidden="1">"c1422"</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DEBT_FDIC" hidden="1">"c6346"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ER_ONE_RATIO" hidden="1">"c1229"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R" hidden="1">"c5517"</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DIVIDED_PROFITS_FDIC" hidden="1">"c6352"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EEK">50000</definedName>
    <definedName name="IQ_WEIGHTED_AVG_PRICE" hidden="1">"c1334"</definedName>
    <definedName name="IQ_WIP_INV" hidden="1">"c1335"</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HIGH" hidden="1">"c1337"</definedName>
    <definedName name="IQ_YEARLOW" hidden="1">"c1338"</definedName>
    <definedName name="IQ_YTD">3000</definedName>
    <definedName name="IQ_YTDMONTH" hidden="1">130000</definedName>
    <definedName name="IQ_Z_SCORE" hidden="1">"c1339"</definedName>
    <definedName name="IS_2001">#REF!</definedName>
    <definedName name="IS_2002">#REF!</definedName>
    <definedName name="kingfgf">#REF!</definedName>
    <definedName name="L_Rate">#REF!</definedName>
    <definedName name="LBO_Close_Date">#REF!</definedName>
    <definedName name="LBO_Exit_Multiple">#REF!</definedName>
    <definedName name="LBO_Exit_Year">#REF!</definedName>
    <definedName name="LBO_Min_Cash">#REF!</definedName>
    <definedName name="LBO_Scenario">#REF!</definedName>
    <definedName name="LBO_Type">#REF!</definedName>
    <definedName name="LIBOR">#REF!</definedName>
    <definedName name="Long_term_interest_rate" localSheetId="6">[25]Assumptions!$C$4:$AS$4</definedName>
    <definedName name="Long_term_interest_rate">[26]Assumptions!$C$4:$AS$4</definedName>
    <definedName name="Long_term_liabilities" localSheetId="6">[25]Balance!$B$23:$AS$23</definedName>
    <definedName name="Long_term_liabilities">[26]Balance!$B$23:$AS$23</definedName>
    <definedName name="Low_R">#REF!</definedName>
    <definedName name="LowProb" localSheetId="6">'[45]Reserve NAV Tornado'!$F$3:$F$7</definedName>
    <definedName name="LowProb">'[46]Reserve NAV Tornado'!$F$3:$F$7</definedName>
    <definedName name="MA_Comps_Range">#REF!</definedName>
    <definedName name="MLNK31938559e704405fa865fd88c774f151" hidden="1">#REF!</definedName>
    <definedName name="MLNK3e1eaecd953741279e277587fa960963" hidden="1">#REF!</definedName>
    <definedName name="monthly_BS">#REF!</definedName>
    <definedName name="monthly_IS">#REF!</definedName>
    <definedName name="monthly_SCFP">#REF!</definedName>
    <definedName name="N_Rate">#REF!</definedName>
    <definedName name="Net_profit" localSheetId="6">'[31]Year 1 Income St - Biz Plan v.1'!$C$46:$BS$46</definedName>
    <definedName name="Net_profit">'[32]Year 1 Income St - Biz Plan v.1'!$C$46:$BS$46</definedName>
    <definedName name="NONCASH_WC" localSheetId="6">'[19]BALANCE SHEET'!$H$2</definedName>
    <definedName name="NONCASH_WC">'[20]BALANCE SHEET'!$H$2</definedName>
    <definedName name="old_unit_costs">#REF!</definedName>
    <definedName name="PAGE2" localSheetId="6">'[47]SCHEDULE 4'!#REF!</definedName>
    <definedName name="PAGE2">'[48]SCHEDULE 4'!#REF!</definedName>
    <definedName name="PAGE3" localSheetId="6">'[47]SCHEDULE 4'!#REF!</definedName>
    <definedName name="PAGE3">'[48]SCHEDULE 4'!#REF!</definedName>
    <definedName name="PAGE4" localSheetId="6">'[47]SCHEDULE 4'!#REF!</definedName>
    <definedName name="PAGE4">'[48]SCHEDULE 4'!#REF!</definedName>
    <definedName name="PAGE5" localSheetId="6">'[47]SCHEDULE 4'!#REF!</definedName>
    <definedName name="PAGE5">'[48]SCHEDULE 4'!#REF!</definedName>
    <definedName name="PAGE6" localSheetId="6">'[47]SCHEDULE 4'!#REF!</definedName>
    <definedName name="PAGE6">'[48]SCHEDULE 4'!#REF!</definedName>
    <definedName name="Payments_per_year">#REF!</definedName>
    <definedName name="Payroll_burden" localSheetId="6">[25]Personnel!$C$47:$AS$47</definedName>
    <definedName name="Payroll_burden">[26]Personnel!$C$47:$AS$47</definedName>
    <definedName name="Payroll1" localSheetId="6">[25]Personnel!$C$3:$AS$3</definedName>
    <definedName name="Payroll1">[26]Personnel!$C$3:$AS$3</definedName>
    <definedName name="Payroll2" localSheetId="6">[25]Personnel!$C$9:$AS$9</definedName>
    <definedName name="Payroll2">[26]Personnel!$C$9:$AS$9</definedName>
    <definedName name="Payroll3GA" localSheetId="6">[25]Personnel!$C$35:$AS$35</definedName>
    <definedName name="Payroll3GA">[26]Personnel!$C$35:$AS$35</definedName>
    <definedName name="Payroll3OTH" localSheetId="6">[25]Personnel!$C$42:$AS$42</definedName>
    <definedName name="Payroll3OTH">[26]Personnel!$C$42:$AS$42</definedName>
    <definedName name="Payroll3P" localSheetId="6">[25]Personnel!$C$21:$AS$21</definedName>
    <definedName name="Payroll3P">[26]Personnel!$C$21:$AS$21</definedName>
    <definedName name="Payroll3SM" localSheetId="6">[25]Personnel!$C$28:$AS$28</definedName>
    <definedName name="Payroll3SM">[26]Personnel!$C$28:$AS$28</definedName>
    <definedName name="Pct_Decline" localSheetId="6">[41]Summary!$G$48:$G$68</definedName>
    <definedName name="Pct_Decline">[42]Summary!$G$48:$G$68</definedName>
    <definedName name="PE" localSheetId="6">'[19]BALANCE SHEET'!$G$2</definedName>
    <definedName name="PE">'[20]BALANCE SHEET'!$G$2</definedName>
    <definedName name="PERIOD" localSheetId="6">'[19]Current Year'!$A$2</definedName>
    <definedName name="PERIOD">'[20]Current Year'!$A$2</definedName>
    <definedName name="PERS" localSheetId="6">[25]Logistics!$H$3</definedName>
    <definedName name="PERS">[26]Logistics!$H$3</definedName>
    <definedName name="Pmt_to_use">#REF!</definedName>
    <definedName name="_xlnm.Print_Area" localSheetId="6">'Comparable Analysis'!$B$2:$Q$39</definedName>
    <definedName name="Print_Area_MI">#REF!</definedName>
    <definedName name="_xlnm.Print_Titles" localSheetId="10">'Raw - Balance Sheet'!$1:$3</definedName>
    <definedName name="_xlnm.Print_Titles" localSheetId="13">'Raw - Capital Structure Details'!$1:$3</definedName>
    <definedName name="_xlnm.Print_Titles" localSheetId="12">'Raw - Capital Structure Summary'!$1:$3</definedName>
    <definedName name="_xlnm.Print_Titles" localSheetId="8">'Raw - Cash Flow'!$1:$3</definedName>
    <definedName name="_xlnm.Print_Titles" localSheetId="9">'Raw - Income Statement'!$1:$3</definedName>
    <definedName name="_xlnm.Print_Titles" localSheetId="11">'Raw - Key Stats'!$1:$3</definedName>
    <definedName name="_xlnm.Print_Titles" localSheetId="14">'Raw - Multiples'!$1:$3</definedName>
    <definedName name="_xlnm.Print_Titles">#N/A</definedName>
    <definedName name="PrintC" localSheetId="6">'[49]Valuation Model'!#REF!</definedName>
    <definedName name="PrintC">'[50]Valuation Model'!#REF!</definedName>
    <definedName name="PrintE" localSheetId="6">'[49]Valuation Model'!$E$5:$G$141</definedName>
    <definedName name="PrintE">'[50]Valuation Model'!$E$5:$G$141</definedName>
    <definedName name="Profit_before_int_and_taxes" localSheetId="6">'[31]Year 1 Income St - Biz Plan v.1'!$C$42:$BS$42</definedName>
    <definedName name="Profit_before_int_and_taxes">'[32]Year 1 Income St - Biz Plan v.1'!$C$42:$BS$42</definedName>
    <definedName name="projected_BS">#REF!</definedName>
    <definedName name="projected_IS">#REF!</definedName>
    <definedName name="projected_SCFP">#REF!</definedName>
    <definedName name="q" localSheetId="6" hidden="1">{#N/A,#N/A,FALSE,"Aging Summary";#N/A,#N/A,FALSE,"Ratio Analysis";#N/A,#N/A,FALSE,"Test 120 Day Accts";#N/A,#N/A,FALSE,"Tickmarks"}</definedName>
    <definedName name="q" hidden="1">{#N/A,#N/A,FALSE,"Aging Summary";#N/A,#N/A,FALSE,"Ratio Analysis";#N/A,#N/A,FALSE,"Test 120 Day Accts";#N/A,#N/A,FALSE,"Tickmarks"}</definedName>
    <definedName name="qzqzqz11" localSheetId="6">[33]Invoice!#REF!</definedName>
    <definedName name="qzqzqz11">[34]Invoice!#REF!</definedName>
    <definedName name="qzqzqz19" localSheetId="6">[33]Invoice!#REF!</definedName>
    <definedName name="qzqzqz19">[34]Invoice!#REF!</definedName>
    <definedName name="qzqzqz28" localSheetId="6">[33]Invoice!#REF!</definedName>
    <definedName name="qzqzqz28">[34]Invoice!#REF!</definedName>
    <definedName name="qzqzqz29" localSheetId="6">[33]Invoice!#REF!</definedName>
    <definedName name="qzqzqz29">[34]Invoice!#REF!</definedName>
    <definedName name="qzqzqz32" localSheetId="6">[33]Invoice!#REF!</definedName>
    <definedName name="qzqzqz32">[34]Invoice!#REF!</definedName>
    <definedName name="Recap">#REF!</definedName>
    <definedName name="Recap_Amount">#REF!</definedName>
    <definedName name="Recap_Date">#REF!</definedName>
    <definedName name="ResponsibleList" localSheetId="6">[21]Dropdowns!$A$30:$A$42</definedName>
    <definedName name="ResponsibleList">[22]Dropdowns!$A$30:$A$42</definedName>
    <definedName name="RevACPECAp" localSheetId="6">[51]calculations!$A$5</definedName>
    <definedName name="RevACPECAp">[52]calculations!$A$5</definedName>
    <definedName name="RevACPShellp" localSheetId="6">[51]calculations!$A$4</definedName>
    <definedName name="RevACPShellp">[52]calculations!$A$4</definedName>
    <definedName name="RevMEDICp" localSheetId="6">[51]calculations!$A$7</definedName>
    <definedName name="RevMEDICp">[52]calculations!$A$7</definedName>
    <definedName name="Revolver">#REF!</definedName>
    <definedName name="RevPCPp" localSheetId="6">[51]calculations!$A$6</definedName>
    <definedName name="RevPCPp">[52]calculations!$A$6</definedName>
    <definedName name="RevSECp" localSheetId="6">[51]calculations!$A$8</definedName>
    <definedName name="RevSECp">[52]calculations!$A$8</definedName>
    <definedName name="Rollover">#REF!</definedName>
    <definedName name="Sales" localSheetId="6">'[31]Year 1 Income St - Biz Plan v.1'!$C$5:$BS$5</definedName>
    <definedName name="Sales">'[32]Year 1 Income St - Biz Plan v.1'!$C$5:$BS$5</definedName>
    <definedName name="Sales2" localSheetId="6">'[25]Sales Forecast'!$C$5:$CA$5</definedName>
    <definedName name="Sales2">'[26]Sales Forecast'!$C$5:$CA$5</definedName>
    <definedName name="Sales3" localSheetId="6">'[25]Sales Forecast'!$C$32:$CA$32</definedName>
    <definedName name="Sales3">'[26]Sales Forecast'!$C$32:$CA$32</definedName>
    <definedName name="sc" localSheetId="6">'[1]Veracel -Dedicated -Full'!$B$18</definedName>
    <definedName name="sc">'[2]Veracel -Dedicated -Full'!$B$18</definedName>
    <definedName name="Scenario">#REF!</definedName>
    <definedName name="SCHED3" localSheetId="6">'[53]SCHEDULE 4'!$W$7:$W$11</definedName>
    <definedName name="SCHED3">'[54]SCHEDULE 4'!$W$7:$W$11</definedName>
    <definedName name="SCHEDULE3X" localSheetId="6">'[53]SCHEDULE 4'!#REF!</definedName>
    <definedName name="SCHEDULE3X">'[54]SCHEDULE 4'!#REF!</definedName>
    <definedName name="Segments" localSheetId="6">[29]Segments!$B$3:$B$9</definedName>
    <definedName name="Segments">[30]Segments!$B$3:$B$9</definedName>
    <definedName name="SFCA" localSheetId="6">[25]Logistics!$H$2</definedName>
    <definedName name="SFCA">[26]Logistics!$H$2</definedName>
    <definedName name="Short_term_interest_rate" localSheetId="6">[25]Assumptions!$C$3:$AS$3</definedName>
    <definedName name="Short_term_interest_rate">[26]Assumptions!$C$3:$AS$3</definedName>
    <definedName name="Short_term_notes" localSheetId="6">[25]Balance!$B$19:$AS$19</definedName>
    <definedName name="Short_term_notes">[26]Balance!$B$19:$AS$19</definedName>
    <definedName name="SORE">#REF!</definedName>
    <definedName name="Status" localSheetId="6">[21]Dropdowns!$A$4:$A$8</definedName>
    <definedName name="Status">[22]Dropdowns!$A$4:$A$8</definedName>
    <definedName name="Stub">#REF!</definedName>
    <definedName name="SubSegment" localSheetId="6">[29]Segments!$C$3:$C$68</definedName>
    <definedName name="SubSegment">[30]Segments!$C$3:$C$68</definedName>
    <definedName name="t" localSheetId="6">'[53]SCHEDULE 4'!#REF!</definedName>
    <definedName name="t">'[54]SCHEDULE 4'!#REF!</definedName>
    <definedName name="TARGET" localSheetId="6">[7]InputVariables!$B$5:$B$5</definedName>
    <definedName name="TARGET">[8]InputVariables!$B$5:$B$5</definedName>
    <definedName name="tax" localSheetId="6">[39]Assumptions!$B$9</definedName>
    <definedName name="tax">[40]Assumptions!$B$9</definedName>
    <definedName name="Tax_Rate" localSheetId="6">[55]Inputs!$L$4</definedName>
    <definedName name="Tax_Rate">[56]Inputs!$L$4</definedName>
    <definedName name="Tax_rate_percent" localSheetId="6">[25]Assumptions!$C$8:$AS$8</definedName>
    <definedName name="Tax_rate_percent">[26]Assumptions!$C$8:$AS$8</definedName>
    <definedName name="Taxes_incurred" localSheetId="6">'[31]Year 1 Income St - Biz Plan v.1'!$C$45:$BS$45</definedName>
    <definedName name="Taxes_incurred">'[32]Year 1 Income St - Biz Plan v.1'!$C$45:$BS$45</definedName>
    <definedName name="TB_DATE" localSheetId="6">'[19]Current Year'!$B$2</definedName>
    <definedName name="TB_DATE">'[20]Current Year'!$B$2</definedName>
    <definedName name="tbldata" localSheetId="6">[57]DB!$A$4:$BK$4388</definedName>
    <definedName name="tbldata">[58]DB!$A$4:$BK$4388</definedName>
    <definedName name="tbldatacols" localSheetId="6">[57]DB!$A$4:$BK$4</definedName>
    <definedName name="tbldatacols">[58]DB!$A$4:$BK$4</definedName>
    <definedName name="tbldatarows" localSheetId="6">[57]DB!$A$4:$A$4388</definedName>
    <definedName name="tbldatarows">[58]DB!$A$4:$A$4388</definedName>
    <definedName name="Term_in_years">#REF!</definedName>
    <definedName name="test" localSheetId="6">[33]Invoice!#REF!</definedName>
    <definedName name="test">[34]Invoice!#REF!</definedName>
    <definedName name="test2" localSheetId="6">[33]Invoice!#REF!</definedName>
    <definedName name="test2">[34]Invoice!#REF!</definedName>
    <definedName name="Ticker">#REF!</definedName>
    <definedName name="TitleC" localSheetId="6">'[49]Valuation Model'!#REF!</definedName>
    <definedName name="TitleC">'[50]Valuation Model'!#REF!</definedName>
    <definedName name="Total_General_and_administrative_expense" localSheetId="6">'[31]Year 1 Income St - Biz Plan v.1'!$C$32:$BS$32</definedName>
    <definedName name="Total_General_and_administrative_expense">'[32]Year 1 Income St - Biz Plan v.1'!$C$32:$BS$32</definedName>
    <definedName name="Total_Operating_Expenses" localSheetId="6">'[31]Year 1 Income St - Biz Plan v.1'!$C$41:$BS$41</definedName>
    <definedName name="Total_Operating_Expenses">'[32]Year 1 Income St - Biz Plan v.1'!$C$41:$BS$41</definedName>
    <definedName name="Total_other_op._exp." localSheetId="6">'[31]Year 1 Income St - Biz Plan v.1'!$C$38:$BS$38</definedName>
    <definedName name="Total_other_op._exp.">'[32]Year 1 Income St - Biz Plan v.1'!$C$38:$BS$38</definedName>
    <definedName name="Total_Sales_and_marketing_expense" localSheetId="6">'[31]Year 1 Income St - Biz Plan v.1'!$C$20:$BS$20</definedName>
    <definedName name="Total_Sales_and_marketing_expense">'[32]Year 1 Income St - Biz Plan v.1'!$C$20:$BS$20</definedName>
    <definedName name="TTM">#REF!</definedName>
    <definedName name="TTM_Name">#REF!</definedName>
    <definedName name="Type">#REF!</definedName>
    <definedName name="Unit_Costs" localSheetId="6">'[13]#REF'!$A$1:$H$5304</definedName>
    <definedName name="Unit_Costs">'[14]#REF'!$A$1:$H$5304</definedName>
    <definedName name="Units">#REF!</definedName>
    <definedName name="Valuation_Date">#REF!</definedName>
    <definedName name="vital5" localSheetId="6">'[23]Customize Your Invoice'!$E$15</definedName>
    <definedName name="vital5">'[24]Customize Your Invoice'!$E$15</definedName>
    <definedName name="VTEXT" localSheetId="6">[7]InputVariables!$B$7:$B$7</definedName>
    <definedName name="VTEXT">[8]InputVariables!$B$7:$B$7</definedName>
    <definedName name="WACC">#REF!</definedName>
    <definedName name="wer" localSheetId="6">[33]Invoice!#REF!</definedName>
    <definedName name="wer">[34]Invoice!#REF!</definedName>
    <definedName name="WgeMULTIPLIER" localSheetId="6">[51]calculations!$B$9</definedName>
    <definedName name="WgeMULTIPLIER">[52]calculations!$B$9</definedName>
    <definedName name="wrn.Aging._.and._.Trend._.Analysis." localSheetId="6"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Entire." localSheetId="6" hidden="1">{#N/A,#N/A,TRUE,"Assumptions";#N/A,#N/A,TRUE,"Summary planned";#N/A,#N/A,TRUE,"product summ";#N/A,#N/A,TRUE,"Production";#N/A,#N/A,TRUE,"revenue";#N/A,#N/A,TRUE,"pricing";#N/A,#N/A,TRUE,"Royalties";#N/A,#N/A,TRUE,"opercost";#N/A,#N/A,TRUE,"jump";#N/A,#N/A,TRUE,"ASUMMARY"}</definedName>
    <definedName name="wrn.Entire." hidden="1">{#N/A,#N/A,TRUE,"Assumptions";#N/A,#N/A,TRUE,"Summary planned";#N/A,#N/A,TRUE,"product summ";#N/A,#N/A,TRUE,"Production";#N/A,#N/A,TRUE,"revenue";#N/A,#N/A,TRUE,"pricing";#N/A,#N/A,TRUE,"Royalties";#N/A,#N/A,TRUE,"opercost";#N/A,#N/A,TRUE,"jump";#N/A,#N/A,TRUE,"ASUMMARY"}</definedName>
    <definedName name="wrn.financial._.statement." localSheetId="6" hidden="1">{#N/A,#N/A,FALSE,"balsht";#N/A,#N/A,FALSE,"earn";#N/A,#N/A,FALSE,"retearn";#N/A,#N/A,FALSE,"cshflw";#N/A,#N/A,FALSE,"cstrev";#N/A,#N/A,FALSE,"genadm";#N/A,#N/A,FALSE,"ernctr";#N/A,#N/A,FALSE,"cntcpl";#N/A,#N/A,FALSE,"conprg"}</definedName>
    <definedName name="wrn.financial._.statement." hidden="1">{#N/A,#N/A,FALSE,"balsht";#N/A,#N/A,FALSE,"earn";#N/A,#N/A,FALSE,"retearn";#N/A,#N/A,FALSE,"cshflw";#N/A,#N/A,FALSE,"cstrev";#N/A,#N/A,FALSE,"genadm";#N/A,#N/A,FALSE,"ernctr";#N/A,#N/A,FALSE,"cntcpl";#N/A,#N/A,FALSE,"conprg"}</definedName>
    <definedName name="wrn.print." localSheetId="6" hidden="1">{#N/A,#N/A,FALSE,"financial";#N/A,#N/A,FALSE,"financial (2)";#N/A,#N/A,FALSE,"Capital Structure";#N/A,#N/A,FALSE,"Multiples";#N/A,#N/A,FALSE,"Profitability";#N/A,#N/A,FALSE,"EBITDA Growth";#N/A,#N/A,FALSE,"wacc-quality"}</definedName>
    <definedName name="wrn.print." hidden="1">{#N/A,#N/A,FALSE,"financial";#N/A,#N/A,FALSE,"financial (2)";#N/A,#N/A,FALSE,"Capital Structure";#N/A,#N/A,FALSE,"Multiples";#N/A,#N/A,FALSE,"Profitability";#N/A,#N/A,FALSE,"EBITDA Growth";#N/A,#N/A,FALSE,"wacc-quality"}</definedName>
    <definedName name="wrn.Summary._.Schedules." localSheetId="6" hidden="1">{#N/A,#N/A,TRUE,"Index";#N/A,#N/A,TRUE,"summary";#N/A,#N/A,TRUE,"SVprd-nh3";#N/A,#N/A,TRUE,"Plprd-nh3";#N/A,#N/A,TRUE,"actPRD-nh3";#N/A,#N/A,TRUE,"SVprd-urea";#N/A,#N/A,TRUE,"Plprd-urea";#N/A,#N/A,TRUE,"actPRD-urea";#N/A,#N/A,TRUE,"Plprd-AN";#N/A,#N/A,TRUE,"ACTprd-Nitric Acid";#N/A,#N/A,TRUE,"SVprd-UAN";#N/A,#N/A,TRUE,"Plprd-UAN 28";#N/A,#N/A,TRUE,"ACTprd-UAN28";#N/A,#N/A,TRUE,"SVprd-ureaPR";#N/A,#N/A,TRUE,"Plprd-Urea PR";#N/A,#N/A,TRUE,"ACTprd-Urea PR";#N/A,#N/A,TRUE,"SVprd-ureaGR";#N/A,#N/A,TRUE,"Plprd-Urea GR";#N/A,#N/A,TRUE,"ACTprd-Urea GR";#N/A,#N/A,TRUE,"SVprd-bagged urea";#N/A,#N/A,TRUE,"PL. INV";#N/A,#N/A,TRUE,"ACT. INV ";#N/A,#N/A,TRUE,"Var_Cst_Sum";#N/A,#N/A,TRUE,"NatGas_Cost";#N/A,#N/A,TRUE,"Elect_Cost";#N/A,#N/A,TRUE,"MDEA_Cost";#N/A,#N/A,TRUE,"Chem_Cost";#N/A,#N/A,TRUE,"CorrosInhib_Cost";#N/A,#N/A,TRUE,"Hardner_Cost";#N/A,#N/A,TRUE,"BagsPall_Cost";#N/A,#N/A,TRUE,"CO2_Rev";#N/A,#N/A,TRUE,"saved_costs"}</definedName>
    <definedName name="wrn.Summary._.Schedules." hidden="1">{#N/A,#N/A,TRUE,"Index";#N/A,#N/A,TRUE,"summary";#N/A,#N/A,TRUE,"SVprd-nh3";#N/A,#N/A,TRUE,"Plprd-nh3";#N/A,#N/A,TRUE,"actPRD-nh3";#N/A,#N/A,TRUE,"SVprd-urea";#N/A,#N/A,TRUE,"Plprd-urea";#N/A,#N/A,TRUE,"actPRD-urea";#N/A,#N/A,TRUE,"Plprd-AN";#N/A,#N/A,TRUE,"ACTprd-Nitric Acid";#N/A,#N/A,TRUE,"SVprd-UAN";#N/A,#N/A,TRUE,"Plprd-UAN 28";#N/A,#N/A,TRUE,"ACTprd-UAN28";#N/A,#N/A,TRUE,"SVprd-ureaPR";#N/A,#N/A,TRUE,"Plprd-Urea PR";#N/A,#N/A,TRUE,"ACTprd-Urea PR";#N/A,#N/A,TRUE,"SVprd-ureaGR";#N/A,#N/A,TRUE,"Plprd-Urea GR";#N/A,#N/A,TRUE,"ACTprd-Urea GR";#N/A,#N/A,TRUE,"SVprd-bagged urea";#N/A,#N/A,TRUE,"PL. INV";#N/A,#N/A,TRUE,"ACT. INV ";#N/A,#N/A,TRUE,"Var_Cst_Sum";#N/A,#N/A,TRUE,"NatGas_Cost";#N/A,#N/A,TRUE,"Elect_Cost";#N/A,#N/A,TRUE,"MDEA_Cost";#N/A,#N/A,TRUE,"Chem_Cost";#N/A,#N/A,TRUE,"CorrosInhib_Cost";#N/A,#N/A,TRUE,"Hardner_Cost";#N/A,#N/A,TRUE,"BagsPall_Cost";#N/A,#N/A,TRUE,"CO2_Rev";#N/A,#N/A,TRUE,"saved_costs"}</definedName>
    <definedName name="wvu.CalcSchedules1pageLong." localSheetId="6" hidden="1">{TRUE,TRUE,-1.25,-15.5,484.5,253.5,FALSE,TRUE,TRUE,TRUE,0,1,#N/A,1,#N/A,7,16.2941176470588,1,FALSE,FALSE,3,TRUE,1,FALSE,100,"Swvu.CalcSchedules1pageLong.","ACwvu.CalcSchedules1pageLong.",#N/A,FALSE,FALSE,0.25,0.25,1,0.5,1,"&amp;LFile:  &amp;F  &amp;A
Prepared:  &amp;D  &amp;T","Page &amp;P",TRUE,FALSE,FALSE,FALSE,1,#N/A,1,1,"=R1C1:R109C20",FALSE,#N/A,#N/A,FALSE,FALSE,FALSE,5,65532,65532,FALSE,FALSE,TRUE,TRUE,TRUE}</definedName>
    <definedName name="wvu.CalcSchedules1pageLong." hidden="1">{TRUE,TRUE,-1.25,-15.5,484.5,253.5,FALSE,TRUE,TRUE,TRUE,0,1,#N/A,1,#N/A,7,16.2941176470588,1,FALSE,FALSE,3,TRUE,1,FALSE,100,"Swvu.CalcSchedules1pageLong.","ACwvu.CalcSchedules1pageLong.",#N/A,FALSE,FALSE,0.25,0.25,1,0.5,1,"&amp;LFile:  &amp;F  &amp;A
Prepared:  &amp;D  &amp;T","Page &amp;P",TRUE,FALSE,FALSE,FALSE,1,#N/A,1,1,"=R1C1:R109C20",FALSE,#N/A,#N/A,FALSE,FALSE,FALSE,5,65532,65532,FALSE,FALSE,TRUE,TRUE,TRUE}</definedName>
    <definedName name="wvu.Comments." localSheetId="6" hidden="1">{TRUE,TRUE,-1.25,-15.5,484.5,253.5,FALSE,TRUE,TRUE,TRUE,0,1,#N/A,90,#N/A,7,16.4705882352941,1,FALSE,FALSE,3,TRUE,1,FALSE,100,"Swvu.Comments.","ACwvu.Comments.",#N/A,FALSE,FALSE,0.25,0.25,1,0.5,1,"&amp;A","Page &amp;P",TRUE,FALSE,FALSE,FALSE,1,#N/A,1,1,"=R98C1:R146C10",FALSE,#N/A,#N/A,FALSE,FALSE,FALSE,5,65532,65532,FALSE,FALSE,TRUE,TRUE,TRUE}</definedName>
    <definedName name="wvu.Comments." hidden="1">{TRUE,TRUE,-1.25,-15.5,484.5,253.5,FALSE,TRUE,TRUE,TRUE,0,1,#N/A,90,#N/A,7,16.4705882352941,1,FALSE,FALSE,3,TRUE,1,FALSE,100,"Swvu.Comments.","ACwvu.Comments.",#N/A,FALSE,FALSE,0.25,0.25,1,0.5,1,"&amp;A","Page &amp;P",TRUE,FALSE,FALSE,FALSE,1,#N/A,1,1,"=R98C1:R146C10",FALSE,#N/A,#N/A,FALSE,FALSE,FALSE,5,65532,65532,FALSE,FALSE,TRUE,TRUE,TRUE}</definedName>
    <definedName name="wvu.CommentsView." localSheetId="6" hidden="1">{TRUE,TRUE,-1.25,-15.5,484.5,253.5,FALSE,TRUE,TRUE,TRUE,0,1,#N/A,99,#N/A,6.71910112359551,16.4705882352941,1,FALSE,FALSE,3,TRUE,1,FALSE,100,"Swvu.CommentsView.","ACwvu.CommentsView.",#N/A,FALSE,FALSE,0.25,0.25,1,1,2,"&amp;LFile:  &amp;F  &amp;A
Prepared:  &amp;D  &amp;T","Page &amp;P",TRUE,FALSE,FALSE,FALSE,1,#N/A,1,1,"=R59C1:R105C9","=R1:R7",#N/A,#N/A,FALSE,FALSE,FALSE,1,65532,65532,FALSE,FALSE,TRUE,TRUE,TRUE}</definedName>
    <definedName name="wvu.CommentsView." hidden="1">{TRUE,TRUE,-1.25,-15.5,484.5,253.5,FALSE,TRUE,TRUE,TRUE,0,1,#N/A,99,#N/A,6.71910112359551,16.4705882352941,1,FALSE,FALSE,3,TRUE,1,FALSE,100,"Swvu.CommentsView.","ACwvu.CommentsView.",#N/A,FALSE,FALSE,0.25,0.25,1,1,2,"&amp;LFile:  &amp;F  &amp;A
Prepared:  &amp;D  &amp;T","Page &amp;P",TRUE,FALSE,FALSE,FALSE,1,#N/A,1,1,"=R59C1:R105C9","=R1:R7",#N/A,#N/A,FALSE,FALSE,FALSE,1,65532,65532,FALSE,FALSE,TRUE,TRUE,TRUE}</definedName>
    <definedName name="wvu.Detail._.Calc._.View." localSheetId="6" hidden="1">{TRUE,TRUE,-1.25,-15.5,484.5,253.5,FALSE,TRUE,TRUE,TRUE,0,7,#N/A,48,#N/A,6.71910112359551,16.4705882352941,1,FALSE,FALSE,3,TRUE,1,FALSE,100,"Swvu.Detail._.Calc._.View.","ACwvu.Detail._.Calc._.View.",#N/A,FALSE,FALSE,0.25,0.25,1,1,1,"&amp;LFile:  &amp;F  &amp;A
Prepared: &amp;D  &amp;T","Page &amp;P",FALSE,FALSE,FALSE,FALSE,1,#N/A,1,1,"=R1C1:R68C12",FALSE,#N/A,#N/A,FALSE,FALSE,FALSE,1,65532,65532,FALSE,FALSE,TRUE,TRUE,TRUE}</definedName>
    <definedName name="wvu.Detail._.Calc._.View." hidden="1">{TRUE,TRUE,-1.25,-15.5,484.5,253.5,FALSE,TRUE,TRUE,TRUE,0,7,#N/A,48,#N/A,6.71910112359551,16.4705882352941,1,FALSE,FALSE,3,TRUE,1,FALSE,100,"Swvu.Detail._.Calc._.View.","ACwvu.Detail._.Calc._.View.",#N/A,FALSE,FALSE,0.25,0.25,1,1,1,"&amp;LFile:  &amp;F  &amp;A
Prepared: &amp;D  &amp;T","Page &amp;P",FALSE,FALSE,FALSE,FALSE,1,#N/A,1,1,"=R1C1:R68C12",FALSE,#N/A,#N/A,FALSE,FALSE,FALSE,1,65532,65532,FALSE,FALSE,TRUE,TRUE,TRUE}</definedName>
    <definedName name="wvu.Gilbert._.Price._.Vol." localSheetId="6" hidden="1">{TRUE,TRUE,-1.25,-15.5,484.5,253.5,FALSE,TRUE,TRUE,TRUE,0,1,#N/A,139,#N/A,7,16.4705882352941,1,FALSE,FALSE,3,TRUE,1,FALSE,100,"Swvu.Gilbert._.Price._.Vol.","ACwvu.Gilbert._.Price._.Vol.",#N/A,FALSE,FALSE,0.25,0.25,1,0.5,1,"&amp;A","Page &amp;P",TRUE,FALSE,FALSE,FALSE,1,#N/A,1,1,"=R147C1:R183C11",FALSE,#N/A,#N/A,FALSE,FALSE,FALSE,5,65532,65532,FALSE,FALSE,TRUE,TRUE,TRUE}</definedName>
    <definedName name="wvu.Gilbert._.Price._.Vol." hidden="1">{TRUE,TRUE,-1.25,-15.5,484.5,253.5,FALSE,TRUE,TRUE,TRUE,0,1,#N/A,139,#N/A,7,16.4705882352941,1,FALSE,FALSE,3,TRUE,1,FALSE,100,"Swvu.Gilbert._.Price._.Vol.","ACwvu.Gilbert._.Price._.Vol.",#N/A,FALSE,FALSE,0.25,0.25,1,0.5,1,"&amp;A","Page &amp;P",TRUE,FALSE,FALSE,FALSE,1,#N/A,1,1,"=R147C1:R183C11",FALSE,#N/A,#N/A,FALSE,FALSE,FALSE,5,65532,65532,FALSE,FALSE,TRUE,TRUE,TRUE}</definedName>
    <definedName name="wvu.Questions._.of._.Tom._.Clay." localSheetId="6" hidden="1">{TRUE,TRUE,-1.25,-15.5,484.5,253.5,FALSE,TRUE,TRUE,TRUE,0,1,#N/A,61,#N/A,6.71910112359551,16.2941176470588,1,FALSE,FALSE,3,TRUE,1,FALSE,100,"Swvu.Questions._.of._.Tom._.Clay.","ACwvu.Questions._.of._.Tom._.Clay.",#N/A,FALSE,FALSE,0.25,0.25,1,1,1,"&amp;LFile:  &amp;F  &amp;A
Prepared: &amp;D  &amp;T","Page &amp;P",FALSE,FALSE,FALSE,FALSE,1,#N/A,1,1,"=R69C1:R99C12",FALSE,#N/A,#N/A,FALSE,FALSE,FALSE,1,65532,65532,FALSE,FALSE,TRUE,TRUE,TRUE}</definedName>
    <definedName name="wvu.Questions._.of._.Tom._.Clay." hidden="1">{TRUE,TRUE,-1.25,-15.5,484.5,253.5,FALSE,TRUE,TRUE,TRUE,0,1,#N/A,61,#N/A,6.71910112359551,16.2941176470588,1,FALSE,FALSE,3,TRUE,1,FALSE,100,"Swvu.Questions._.of._.Tom._.Clay.","ACwvu.Questions._.of._.Tom._.Clay.",#N/A,FALSE,FALSE,0.25,0.25,1,1,1,"&amp;LFile:  &amp;F  &amp;A
Prepared: &amp;D  &amp;T","Page &amp;P",FALSE,FALSE,FALSE,FALSE,1,#N/A,1,1,"=R69C1:R99C12",FALSE,#N/A,#N/A,FALSE,FALSE,FALSE,1,65532,65532,FALSE,FALSE,TRUE,TRUE,TRUE}</definedName>
    <definedName name="wvu.SchedView." localSheetId="6" hidden="1">{TRUE,TRUE,-1.25,-15.5,484.5,253.5,FALSE,TRUE,TRUE,TRUE,0,1,#N/A,21,#N/A,6.71910112359551,16.4705882352941,1,FALSE,FALSE,3,TRUE,1,FALSE,100,"Swvu.SchedView.","ACwvu.SchedView.",#N/A,FALSE,FALSE,0.25,0.25,1,1,2,"&amp;LFile:  &amp;F  &amp;A
Prepared:  &amp;D  &amp;T","Page &amp;P",TRUE,FALSE,FALSE,FALSE,1,#N/A,1,1,"=R1C1:R57C14",FALSE,#N/A,#N/A,FALSE,FALSE,FALSE,1,65532,65532,FALSE,FALSE,TRUE,TRUE,TRUE}</definedName>
    <definedName name="wvu.SchedView." hidden="1">{TRUE,TRUE,-1.25,-15.5,484.5,253.5,FALSE,TRUE,TRUE,TRUE,0,1,#N/A,21,#N/A,6.71910112359551,16.4705882352941,1,FALSE,FALSE,3,TRUE,1,FALSE,100,"Swvu.SchedView.","ACwvu.SchedView.",#N/A,FALSE,FALSE,0.25,0.25,1,1,2,"&amp;LFile:  &amp;F  &amp;A
Prepared:  &amp;D  &amp;T","Page &amp;P",TRUE,FALSE,FALSE,FALSE,1,#N/A,1,1,"=R1C1:R57C14",FALSE,#N/A,#N/A,FALSE,FALSE,FALSE,1,65532,65532,FALSE,FALSE,TRUE,TRUE,TRUE}</definedName>
    <definedName name="x" localSheetId="6">[59]Inputs!$L$12</definedName>
    <definedName name="x">[60]Inputs!$L$12</definedName>
    <definedName name="xxx" localSheetId="6" hidden="1">{"'Balance Sheet'!$F$37"}</definedName>
    <definedName name="xxx" hidden="1">{"'Balance Sheet'!$F$37"}</definedName>
    <definedName name="YHOO_20_Day_Price">#REF!</definedName>
    <definedName name="YHOO_Basic_Shares">#REF!</definedName>
    <definedName name="YHOO_Diluted_Shares">#REF!</definedName>
    <definedName name="YHOO_Share_Price">#REF!</definedName>
  </definedNames>
  <calcPr calcId="191029" concurrentCalc="0"/>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7" i="23" l="1"/>
  <c r="B68" i="23"/>
  <c r="B65" i="23"/>
  <c r="B64" i="23"/>
  <c r="D63" i="23"/>
  <c r="C63" i="23"/>
  <c r="F63" i="23"/>
  <c r="G63" i="23"/>
  <c r="D45" i="23"/>
  <c r="E45" i="23"/>
  <c r="E39" i="23"/>
  <c r="F33" i="23"/>
  <c r="E33" i="23"/>
  <c r="D33" i="23"/>
  <c r="C33" i="23"/>
  <c r="B33" i="23"/>
  <c r="F24" i="23"/>
  <c r="E24" i="23"/>
  <c r="D24" i="23"/>
  <c r="C24" i="23"/>
  <c r="B24" i="23"/>
  <c r="F21" i="23"/>
  <c r="F27" i="23"/>
  <c r="E21" i="23"/>
  <c r="E27" i="23"/>
  <c r="D21" i="23"/>
  <c r="D27" i="23"/>
  <c r="C21" i="23"/>
  <c r="C27" i="23"/>
  <c r="B21" i="23"/>
  <c r="B27" i="23"/>
  <c r="F15" i="23"/>
  <c r="E15" i="23"/>
  <c r="D15" i="23"/>
  <c r="C15" i="23"/>
  <c r="B15" i="23"/>
  <c r="P10" i="21"/>
  <c r="O10" i="21"/>
  <c r="N10" i="21"/>
  <c r="H10" i="21"/>
  <c r="P9" i="21"/>
  <c r="O9" i="21"/>
  <c r="N9" i="21"/>
  <c r="H9" i="21"/>
  <c r="P8" i="21"/>
  <c r="O8" i="21"/>
  <c r="N8" i="21"/>
  <c r="H8" i="21"/>
  <c r="F32" i="23"/>
  <c r="D32" i="23"/>
  <c r="E32" i="23"/>
  <c r="F16" i="23"/>
  <c r="C16" i="23"/>
  <c r="E16" i="23"/>
  <c r="D16" i="23"/>
  <c r="C32" i="23"/>
  <c r="G24" i="23"/>
  <c r="H24" i="23"/>
  <c r="B32" i="23"/>
  <c r="O15" i="21"/>
  <c r="O23" i="21"/>
  <c r="O30" i="21"/>
  <c r="O37" i="21"/>
  <c r="N15" i="21"/>
  <c r="N23" i="21"/>
  <c r="N30" i="21"/>
  <c r="N37" i="21"/>
  <c r="P15" i="21"/>
  <c r="P23" i="21"/>
  <c r="P30" i="21"/>
  <c r="P37" i="21"/>
  <c r="N16" i="21"/>
  <c r="N24" i="21"/>
  <c r="N31" i="21"/>
  <c r="N38" i="21"/>
  <c r="N14" i="21"/>
  <c r="N22" i="21"/>
  <c r="N29" i="21"/>
  <c r="N36" i="21"/>
  <c r="O13" i="21"/>
  <c r="O21" i="21"/>
  <c r="O28" i="21"/>
  <c r="O35" i="21"/>
  <c r="O16" i="21"/>
  <c r="O24" i="21"/>
  <c r="O31" i="21"/>
  <c r="O38" i="21"/>
  <c r="P14" i="21"/>
  <c r="P22" i="21"/>
  <c r="P29" i="21"/>
  <c r="P36" i="21"/>
  <c r="P16" i="21"/>
  <c r="P24" i="21"/>
  <c r="P31" i="21"/>
  <c r="P38" i="21"/>
  <c r="O12" i="21"/>
  <c r="O20" i="21"/>
  <c r="O27" i="21"/>
  <c r="O34" i="21"/>
  <c r="N13" i="21"/>
  <c r="N21" i="21"/>
  <c r="N28" i="21"/>
  <c r="N35" i="21"/>
  <c r="O14" i="21"/>
  <c r="O22" i="21"/>
  <c r="N12" i="21"/>
  <c r="N20" i="21"/>
  <c r="N27" i="21"/>
  <c r="N34" i="21"/>
  <c r="P12" i="21"/>
  <c r="P20" i="21"/>
  <c r="P27" i="21"/>
  <c r="P34" i="21"/>
  <c r="P13" i="21"/>
  <c r="P21" i="21"/>
  <c r="P28" i="21"/>
  <c r="P35" i="21"/>
  <c r="G16" i="23"/>
  <c r="G15" i="23"/>
  <c r="G33" i="23"/>
  <c r="I24" i="23"/>
  <c r="K32" i="23"/>
  <c r="J32" i="23"/>
  <c r="I32" i="23"/>
  <c r="L32" i="23"/>
  <c r="H32" i="23"/>
  <c r="G32" i="23"/>
  <c r="O29" i="21"/>
  <c r="O36" i="21"/>
  <c r="H15" i="23"/>
  <c r="I15" i="23"/>
  <c r="G21" i="23"/>
  <c r="G27" i="23"/>
  <c r="J24" i="23"/>
  <c r="H33" i="23"/>
  <c r="H21" i="23"/>
  <c r="H27" i="23"/>
  <c r="J15" i="23"/>
  <c r="I33" i="23"/>
  <c r="I21" i="23"/>
  <c r="I27" i="23"/>
  <c r="K24" i="23"/>
  <c r="L24" i="23"/>
  <c r="K15" i="23"/>
  <c r="L15" i="23"/>
  <c r="J33" i="23"/>
  <c r="J21" i="23"/>
  <c r="J27" i="23"/>
  <c r="K33" i="23"/>
  <c r="K21" i="23"/>
  <c r="K27" i="23"/>
  <c r="L21" i="23"/>
  <c r="L27" i="23"/>
  <c r="L33" i="23"/>
  <c r="B14" i="19"/>
  <c r="I5" i="19"/>
  <c r="I6" i="19"/>
  <c r="I7" i="19"/>
  <c r="I8" i="19"/>
  <c r="I9" i="19"/>
  <c r="I10" i="19"/>
  <c r="I11" i="19"/>
  <c r="I12" i="19"/>
  <c r="I13" i="19"/>
  <c r="E5" i="19"/>
  <c r="E6" i="19"/>
  <c r="E7" i="19"/>
  <c r="E8" i="19"/>
  <c r="E9" i="19"/>
  <c r="E10" i="19"/>
  <c r="E11" i="19"/>
  <c r="E12" i="19"/>
  <c r="E13" i="19"/>
  <c r="I4" i="19"/>
  <c r="E4" i="19"/>
  <c r="B25" i="17"/>
  <c r="D44" i="23"/>
  <c r="E44" i="23"/>
  <c r="B21" i="17"/>
  <c r="B33" i="17"/>
  <c r="B14" i="17"/>
  <c r="B37" i="17"/>
  <c r="B13" i="17"/>
  <c r="B35" i="17"/>
  <c r="B12" i="17"/>
  <c r="B36" i="17"/>
  <c r="B11" i="16"/>
  <c r="B10" i="16"/>
  <c r="B9" i="16"/>
  <c r="B8" i="16"/>
  <c r="C72" i="3"/>
  <c r="C29" i="23"/>
  <c r="D72" i="3"/>
  <c r="D29" i="23"/>
  <c r="E72" i="3"/>
  <c r="E29" i="23"/>
  <c r="F72" i="3"/>
  <c r="F29" i="23"/>
  <c r="G72" i="3"/>
  <c r="B72" i="3"/>
  <c r="B29" i="23"/>
  <c r="B30" i="23"/>
  <c r="B35" i="2"/>
  <c r="B17" i="23"/>
  <c r="B19" i="23"/>
  <c r="C35" i="2"/>
  <c r="C17" i="23"/>
  <c r="D35" i="2"/>
  <c r="E35" i="2"/>
  <c r="F35" i="2"/>
  <c r="G35" i="2"/>
  <c r="G37" i="2"/>
  <c r="F37" i="2"/>
  <c r="F17" i="23"/>
  <c r="F19" i="23"/>
  <c r="B22" i="23"/>
  <c r="B20" i="23"/>
  <c r="E30" i="23"/>
  <c r="E31" i="23"/>
  <c r="E37" i="2"/>
  <c r="E17" i="23"/>
  <c r="D31" i="23"/>
  <c r="D30" i="23"/>
  <c r="D37" i="2"/>
  <c r="D17" i="23"/>
  <c r="C30" i="23"/>
  <c r="C31" i="23"/>
  <c r="M10" i="19"/>
  <c r="C18" i="23"/>
  <c r="C19" i="23"/>
  <c r="F30" i="23"/>
  <c r="F31" i="23"/>
  <c r="M6" i="19"/>
  <c r="M5" i="19"/>
  <c r="G73" i="3"/>
  <c r="M4" i="19"/>
  <c r="C37" i="2"/>
  <c r="M11" i="19"/>
  <c r="B37" i="2"/>
  <c r="C73" i="3"/>
  <c r="M9" i="19"/>
  <c r="I14" i="19"/>
  <c r="E73" i="3"/>
  <c r="F73" i="3"/>
  <c r="D73" i="3"/>
  <c r="B28" i="17"/>
  <c r="B29" i="17"/>
  <c r="B34" i="17"/>
  <c r="B38" i="17"/>
  <c r="B8" i="23"/>
  <c r="E14" i="19"/>
  <c r="M7" i="19"/>
  <c r="M8" i="19"/>
  <c r="M13" i="19"/>
  <c r="M12" i="19"/>
  <c r="D18" i="23"/>
  <c r="D19" i="23"/>
  <c r="F18" i="23"/>
  <c r="E19" i="23"/>
  <c r="E18" i="23"/>
  <c r="B25" i="23"/>
  <c r="B26" i="23"/>
  <c r="B28" i="23"/>
  <c r="B23" i="23"/>
  <c r="F20" i="23"/>
  <c r="F22" i="23"/>
  <c r="C22" i="23"/>
  <c r="C20" i="23"/>
  <c r="G30" i="23"/>
  <c r="M14" i="19"/>
  <c r="H30" i="23"/>
  <c r="G29" i="23"/>
  <c r="G31" i="23"/>
  <c r="E20" i="23"/>
  <c r="E22" i="23"/>
  <c r="C23" i="23"/>
  <c r="C25" i="23"/>
  <c r="C26" i="23"/>
  <c r="C28" i="23"/>
  <c r="C34" i="23"/>
  <c r="C35" i="23"/>
  <c r="D22" i="23"/>
  <c r="D20" i="23"/>
  <c r="F23" i="23"/>
  <c r="F25" i="23"/>
  <c r="F26" i="23"/>
  <c r="F28" i="23"/>
  <c r="F34" i="23"/>
  <c r="F35" i="23"/>
  <c r="G18" i="23"/>
  <c r="E23" i="23"/>
  <c r="E25" i="23"/>
  <c r="E26" i="23"/>
  <c r="E28" i="23"/>
  <c r="E34" i="23"/>
  <c r="E35" i="23"/>
  <c r="H18" i="23"/>
  <c r="G17" i="23"/>
  <c r="G19" i="23"/>
  <c r="D23" i="23"/>
  <c r="D25" i="23"/>
  <c r="D26" i="23"/>
  <c r="D28" i="23"/>
  <c r="D34" i="23"/>
  <c r="D35" i="23"/>
  <c r="H29" i="23"/>
  <c r="H31" i="23"/>
  <c r="I30" i="23"/>
  <c r="J30" i="23"/>
  <c r="I29" i="23"/>
  <c r="I31" i="23"/>
  <c r="G22" i="23"/>
  <c r="G20" i="23"/>
  <c r="I18" i="23"/>
  <c r="H17" i="23"/>
  <c r="H19" i="23"/>
  <c r="G25" i="23"/>
  <c r="G26" i="23"/>
  <c r="G28" i="23"/>
  <c r="G34" i="23"/>
  <c r="G35" i="23"/>
  <c r="G23" i="23"/>
  <c r="H22" i="23"/>
  <c r="H20" i="23"/>
  <c r="J18" i="23"/>
  <c r="I17" i="23"/>
  <c r="I19" i="23"/>
  <c r="K30" i="23"/>
  <c r="J29" i="23"/>
  <c r="J31" i="23"/>
  <c r="L30" i="23"/>
  <c r="L29" i="23"/>
  <c r="K29" i="23"/>
  <c r="K31" i="23"/>
  <c r="H25" i="23"/>
  <c r="H26" i="23"/>
  <c r="H28" i="23"/>
  <c r="H34" i="23"/>
  <c r="H35" i="23"/>
  <c r="H23" i="23"/>
  <c r="I22" i="23"/>
  <c r="I20" i="23"/>
  <c r="J17" i="23"/>
  <c r="J19" i="23"/>
  <c r="K18" i="23"/>
  <c r="L31" i="23"/>
  <c r="J20" i="23"/>
  <c r="J22" i="23"/>
  <c r="K17" i="23"/>
  <c r="K19" i="23"/>
  <c r="L18" i="23"/>
  <c r="L17" i="23"/>
  <c r="L19" i="23"/>
  <c r="I25" i="23"/>
  <c r="I26" i="23"/>
  <c r="I28" i="23"/>
  <c r="I34" i="23"/>
  <c r="I35" i="23"/>
  <c r="I23" i="23"/>
  <c r="L22" i="23"/>
  <c r="D38" i="23"/>
  <c r="D40" i="23"/>
  <c r="D41" i="23"/>
  <c r="L20" i="23"/>
  <c r="K22" i="23"/>
  <c r="K20" i="23"/>
  <c r="J23" i="23"/>
  <c r="J25" i="23"/>
  <c r="J26" i="23"/>
  <c r="J28" i="23"/>
  <c r="J34" i="23"/>
  <c r="J35" i="23"/>
  <c r="K23" i="23"/>
  <c r="K25" i="23"/>
  <c r="K26" i="23"/>
  <c r="K28" i="23"/>
  <c r="K34" i="23"/>
  <c r="K35" i="23"/>
  <c r="L23" i="23"/>
  <c r="L25" i="23"/>
  <c r="L26" i="23"/>
  <c r="L28" i="23"/>
  <c r="L34" i="23"/>
  <c r="E38" i="23"/>
  <c r="E40" i="23"/>
  <c r="E41" i="23"/>
  <c r="L35" i="23"/>
  <c r="D42" i="23"/>
  <c r="E42" i="23"/>
  <c r="E43" i="23"/>
  <c r="E46" i="23"/>
  <c r="E49" i="23"/>
  <c r="E50" i="23"/>
  <c r="D43" i="23"/>
  <c r="D46" i="23"/>
  <c r="D49" i="23"/>
  <c r="B49" i="23"/>
  <c r="B63" i="23"/>
  <c r="D50" i="23"/>
  <c r="B55"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tc={B586C278-DD20-46B8-9783-757E042E1CBE}</author>
    <author>tc={8328AD36-2747-477C-944E-E91D4D70F8E0}</author>
    <author>tc={429F04F3-15C8-4AD4-BDC8-C9E1C78A3B91}</author>
    <author>tc={A869E108-38FF-4130-8656-A4BE5C3942EB}</author>
  </authors>
  <commentList>
    <comment ref="R6" authorId="0" shapeId="0" xr:uid="{B586C278-DD20-46B8-9783-757E042E1CBE}">
      <text>
        <t>[Threaded comment]
Your version of Excel allows you to read this threaded comment; however, any edits to it will get removed if the file is opened in a newer version of Excel. Learn more: https://go.microsoft.com/fwlink/?linkid=870924
Comment:
    Taken from Capital IQ</t>
      </text>
    </comment>
    <comment ref="D7" authorId="1" shapeId="0" xr:uid="{8328AD36-2747-477C-944E-E91D4D70F8E0}">
      <text>
        <t>[Threaded comment]
Your version of Excel allows you to read this threaded comment; however, any edits to it will get removed if the file is opened in a newer version of Excel. Learn more: https://go.microsoft.com/fwlink/?linkid=870924
Comment:
    Comparable companies were selected based on similarity in industry (food retail), revenue drivers (grocery sales and private label products), capital intensity (store and distribution infrastructure), geographical location (operated in Canada), and exposure to mature consumer markets. Out of the comparable companies listed in Capital IQ, only Loblaws and Empire met all of the above criteria relevant for a comparables analysis.</t>
      </text>
    </comment>
    <comment ref="O29" authorId="2" shapeId="0" xr:uid="{429F04F3-15C8-4AD4-BDC8-C9E1C78A3B91}">
      <text>
        <t>[Threaded comment]
Your version of Excel allows you to read this threaded comment; however, any edits to it will get removed if the file is opened in a newer version of Excel. Learn more: https://go.microsoft.com/fwlink/?linkid=870924
Comment:
    For EV multiples (EV/Revenue and EV/EBIITDA), equity value is calculated by adding cash and short term investments to implied valuation and subtracting minority interest, preferred equity, and debt.</t>
      </text>
    </comment>
    <comment ref="P29" authorId="3" shapeId="0" xr:uid="{A869E108-38FF-4130-8656-A4BE5C3942EB}">
      <text>
        <t xml:space="preserve">[Threaded comment]
Your version of Excel allows you to read this threaded comment; however, any edits to it will get removed if the file is opened in a newer version of Excel. Learn more: https://go.microsoft.com/fwlink/?linkid=870924
Comment:
    For Equity multiples (P/E ratio), equity value is its implied valuation.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tc={F9145DB0-0B6C-4711-9E10-874700641B40}</author>
    <author>tc={99E8C894-7DD1-4F62-9452-87E8E4926D2B}</author>
    <author>tc={C0753B09-5D4C-4EAA-BA55-757918EA78FD}</author>
    <author>tc={18B45277-9E47-4C8D-AC6D-374EC4EDD5EF}</author>
    <author>tc={EB37C54B-585F-44F7-B7C5-6D401946232F}</author>
    <author>tc={2B2B1B1F-3605-4222-A560-ECF5E32D16B0}</author>
    <author>tc={296FBD8E-9848-418B-BF7B-13FDB75EBBA5}</author>
    <author>tc={939FC372-6505-40C3-BD6F-21F8D32EC394}</author>
    <author>tc={376C8AEE-ECB6-45D6-870C-86093906F4B3}</author>
    <author>tc={DC944A41-5D11-482A-B3C3-8CE3D6CA1488}</author>
    <author>tc={B78E926D-B910-4744-91B7-9F3BE0B0DD72}</author>
    <author>tc={21CF84F4-B3CD-4258-875F-279AFE12C18B}</author>
    <author>tc={4E3AD493-4D2D-459D-BE80-EB3DC1A8191B}</author>
    <author>tc={45BDC949-F0BC-41F5-B59F-862ECF719170}</author>
    <author>tc={3FBA6925-AFC5-436D-BD0F-75AD97B33335}</author>
    <author>tc={3EB67F3A-24FC-4B8E-8F17-7602332AAD09}</author>
    <author>tc={94E02C3C-1DCD-45B5-9786-19AC589AD8DD}</author>
    <author>tc={FB47C142-9B14-4CE9-83CC-C7B3AE0F1AC3}</author>
    <author>tc={D2DFA0C1-5D03-42F5-B47A-28DBD0A6DD6C}</author>
  </authors>
  <commentList>
    <comment ref="B2" authorId="0" shapeId="0" xr:uid="{F9145DB0-0B6C-4711-9E10-874700641B40}">
      <text>
        <t xml:space="preserve">[Threaded comment]
Your version of Excel allows you to read this threaded comment; however, any edits to it will get removed if the file is opened in a newer version of Excel. Learn more: https://go.microsoft.com/fwlink/?linkid=870924
Comment:
    Metro Inc. (MRU.TO) Stock Historical Prices &amp; Data - Yahoo Finance </t>
      </text>
    </comment>
    <comment ref="B3" authorId="1" shapeId="0" xr:uid="{99E8C894-7DD1-4F62-9452-87E8E4926D2B}">
      <text>
        <t>[Threaded comment]
Your version of Excel allows you to read this threaded comment; however, any edits to it will get removed if the file is opened in a newer version of Excel. Learn more: https://go.microsoft.com/fwlink/?linkid=870924
Comment:
    Taken from Capital IQ</t>
      </text>
    </comment>
    <comment ref="B7" authorId="2" shapeId="0" xr:uid="{C0753B09-5D4C-4EAA-BA55-757918EA78FD}">
      <text>
        <t xml:space="preserve">[Threaded comment]
Your version of Excel allows you to read this threaded comment; however, any edits to it will get removed if the file is opened in a newer version of Excel. Learn more: https://go.microsoft.com/fwlink/?linkid=870924
Comment:
    A 5 year forecast period is appropriate for Metro Inc. because the company operates in the mature grocery retail industry and shows stable financial performance. Metro  has historically experienced modest growth of around 3–5% annually (https://simplywall.st/stocks/ca/consumer-retailing/tsx-mru/metro-shares/past?utm_source=chatgpt.com). Given this stability a two-stage  valuation (first stage being 5 years) of Metro Inc. is sufficient.
</t>
      </text>
    </comment>
    <comment ref="B9" authorId="3" shapeId="0" xr:uid="{18B45277-9E47-4C8D-AC6D-374EC4EDD5EF}">
      <text>
        <t>[Threaded comment]
Your version of Excel allows you to read this threaded comment; however, any edits to it will get removed if the file is opened in a newer version of Excel. Learn more: https://go.microsoft.com/fwlink/?linkid=870924
Comment:
    The terminal growth rate should not exceed the long-term Canadian economic growth rate. Long-run real GDP growth is expected to be 1.52%  in 2030 (Projections - Bank of Canada). To remain consistent with a mature industry, a terminal growth rate of 1.45% is assumed.</t>
      </text>
    </comment>
    <comment ref="B10" authorId="4" shapeId="0" xr:uid="{EB37C54B-585F-44F7-B7C5-6D401946232F}">
      <text>
        <t>[Threaded comment]
Your version of Excel allows you to read this threaded comment; however, any edits to it will get removed if the file is opened in a newer version of Excel. Learn more: https://go.microsoft.com/fwlink/?linkid=870924
Comment:
    Found using Capital IQ</t>
      </text>
    </comment>
    <comment ref="D13" authorId="5" shapeId="0" xr:uid="{2B2B1B1F-3605-4222-A560-ECF5E32D16B0}">
      <text>
        <t xml:space="preserve">[Threaded comment]
Your version of Excel allows you to read this threaded comment; however, any edits to it will get removed if the file is opened in a newer version of Excel. Learn more: https://go.microsoft.com/fwlink/?linkid=870924
Comment:
    Fiscal year 2023 is excluded from the historical data used to estimate revenue and costs because we believe it be an outlier year driven by temporary factors, not reflecting regular operations. This is because it contains a 53rd operating week, which temporarily increases reported sales relative to a standard 52-week fiscal year (as mentioned in their 2023 annual report 2023 annuel 10Q EN_ ). Since this additional week does not represent normal operating performance and will not recur in future forecast periods, including it would overstate sustainable revenue growth and costs. </t>
      </text>
    </comment>
    <comment ref="G16" authorId="6" shapeId="0" xr:uid="{296FBD8E-9848-418B-BF7B-13FDB75EBBA5}">
      <text>
        <t>[Threaded comment]
Your version of Excel allows you to read this threaded comment; however, any edits to it will get removed if the file is opened in a newer version of Excel. Learn more: https://go.microsoft.com/fwlink/?linkid=870924
Comment:
    Forecast values are estimated using a weighted average of the past 2 years of historical data, reflecting relatively stable revenue growth of Metro as a mature company in the industry.</t>
      </text>
    </comment>
    <comment ref="G18" authorId="7" shapeId="0" xr:uid="{939FC372-6505-40C3-BD6F-21F8D32EC394}">
      <text>
        <t xml:space="preserve">[Threaded comment]
Your version of Excel allows you to read this threaded comment; however, any edits to it will get removed if the file is opened in a newer version of Excel. Learn more: https://go.microsoft.com/fwlink/?linkid=870924
Comment:
    Forecast values are estimated using a weighted average of the past three years of historical data (excluding 2023). A weight of 50% is assigned to the most recent year, while the two earlier years are each assigned 25%, giving greater emphasis to recent operating performance while still incorporating historical trends.
</t>
      </text>
    </comment>
    <comment ref="A20" authorId="8" shapeId="0" xr:uid="{376C8AEE-ECB6-45D6-870C-86093906F4B3}">
      <text>
        <t>[Threaded comment]
Your version of Excel allows you to read this threaded comment; however, any edits to it will get removed if the file is opened in a newer version of Excel. Learn more: https://go.microsoft.com/fwlink/?linkid=870924
Comment:
    EBITDA / Revenue</t>
      </text>
    </comment>
    <comment ref="G21" authorId="9" shapeId="0" xr:uid="{DC944A41-5D11-482A-B3C3-8CE3D6CA1488}">
      <text>
        <t>[Threaded comment]
Your version of Excel allows you to read this threaded comment; however, any edits to it will get removed if the file is opened in a newer version of Excel. Learn more: https://go.microsoft.com/fwlink/?linkid=870924
Comment:
    Depreciation and amortization are forecast as a constant percentage of revenue based on the historical average, reflecting Metro’s stable capital asset base and ongoing store and infrastructure investments. The annual increase in depreciation and amortization expense is mainly due to higher retail investments and the commissioning of investments in their supply chain (as mentioned in their 2025 quarterly report 2025 Q4 CP EN )</t>
      </text>
    </comment>
    <comment ref="A23" authorId="10" shapeId="0" xr:uid="{B78E926D-B910-4744-91B7-9F3BE0B0DD72}">
      <text>
        <t>[Threaded comment]
Your version of Excel allows you to read this threaded comment; however, any edits to it will get removed if the file is opened in a newer version of Excel. Learn more: https://go.microsoft.com/fwlink/?linkid=870924
Comment:
    EBIT / Revenue</t>
      </text>
    </comment>
    <comment ref="G23" authorId="11" shapeId="0" xr:uid="{21CF84F4-B3CD-4258-875F-279AFE12C18B}">
      <text>
        <t xml:space="preserve">[Threaded comment]
Your version of Excel allows you to read this threaded comment; however, any edits to it will get removed if the file is opened in a newer version of Excel. Learn more: https://go.microsoft.com/fwlink/?linkid=870924
Comment:
    EBIT margins are assumed to remain stable at approximately 6.8%, consistent with Metro’s historical operating performance. As a mature grocery retailer operating in a competitive industry with relatively stable cost structures, significant margin expansion is unlikely. Therefore, operating costs and revenues are assumed to grow proportionally, resulting in a stable EBIT margin over the forecast period. </t>
      </text>
    </comment>
    <comment ref="G24" authorId="12" shapeId="0" xr:uid="{4E3AD493-4D2D-459D-BE80-EB3DC1A8191B}">
      <text>
        <t xml:space="preserve">[Threaded comment]
Your version of Excel allows you to read this threaded comment; however, any edits to it will get removed if the file is opened in a newer version of Excel. Learn more: https://go.microsoft.com/fwlink/?linkid=870924
Comment:
    The effective tax rate is estimated using the five-year historical average, with equal weights applied to each year. </t>
      </text>
    </comment>
    <comment ref="A29" authorId="13" shapeId="0" xr:uid="{45BDC949-F0BC-41F5-B59F-862ECF719170}">
      <text>
        <t>[Threaded comment]
Your version of Excel allows you to read this threaded comment; however, any edits to it will get removed if the file is opened in a newer version of Excel. Learn more: https://go.microsoft.com/fwlink/?linkid=870924
Comment:
    Net working capital is calculated as the difference between current assets and current liabilities</t>
      </text>
    </comment>
    <comment ref="G30" authorId="14" shapeId="0" xr:uid="{3FBA6925-AFC5-436D-BD0F-75AD97B33335}">
      <text>
        <t xml:space="preserve">[Threaded comment]
Your version of Excel allows you to read this threaded comment; however, any edits to it will get removed if the file is opened in a newer version of Excel. Learn more: https://go.microsoft.com/fwlink/?linkid=870924
Comment:
    Net working capital as a percentage of revenue is forecast using a weighted average of the past three years of historical data. A higher weight is assigned to the most recent year (50%), while fiscal years 2024 and 2023 are each assigned a weight of 25%, reflecting greater emphasis on recent operating conditions. </t>
      </text>
    </comment>
    <comment ref="A31" authorId="15" shapeId="0" xr:uid="{3EB67F3A-24FC-4B8E-8F17-7602332AAD09}">
      <text>
        <t>[Threaded comment]
Your version of Excel allows you to read this threaded comment; however, any edits to it will get removed if the file is opened in a newer version of Excel. Learn more: https://go.microsoft.com/fwlink/?linkid=870924
Comment:
    NWC was calculated by subtracting current assets from current liabilities</t>
      </text>
    </comment>
    <comment ref="G32" authorId="16" shapeId="0" xr:uid="{94E02C3C-1DCD-45B5-9786-19AC589AD8DD}">
      <text>
        <t xml:space="preserve">[Threaded comment]
Your version of Excel allows you to read this threaded comment; however, any edits to it will get removed if the file is opened in a newer version of Excel. Learn more: https://go.microsoft.com/fwlink/?linkid=870924
Comment:
    Forecast CapEx % equals the average CapEx-to-revenue ratio over the past five fiscal years. </t>
      </text>
    </comment>
    <comment ref="G33" authorId="17" shapeId="0" xr:uid="{FB47C142-9B14-4CE9-83CC-C7B3AE0F1AC3}">
      <text>
        <t>[Threaded comment]
Your version of Excel allows you to read this threaded comment; however, any edits to it will get removed if the file is opened in a newer version of Excel. Learn more: https://go.microsoft.com/fwlink/?linkid=870924
Comment:
    Capital expenditures are projected as a percentage of revenue based on historical averages. Metro’s outlook indicates continued investments in store network expansion, pharmacy renovations, store modernization, and digital infrastructure. These initiatives suggest that capital spending will remain consistent with historical levels relative to revenue during the forecast period. (annual_report_2025_EN.pdf )</t>
      </text>
    </comment>
    <comment ref="B49" authorId="18" shapeId="0" xr:uid="{D2DFA0C1-5D03-42F5-B47A-28DBD0A6DD6C}">
      <text>
        <t>[Threaded comment]
Your version of Excel allows you to read this threaded comment; however, any edits to it will get removed if the file is opened in a newer version of Excel. Learn more: https://go.microsoft.com/fwlink/?linkid=870924
Comment:
    The multiple method is used to estimate terminal value, as it provides a more stable and market-based valuation. In contrast, the Gordon Growth model is highly sensitive to small changes in WACC and terminal growth rate, which can significantly distort valuation.
https://www.cfainstitute.org/insights/professional-learning/refresher-readings/2026/market-based-valuation-price-enterprise-value-multiples?utm_source=chatgpt.com)</t>
      </text>
    </comment>
  </commentList>
</comments>
</file>

<file path=xl/sharedStrings.xml><?xml version="1.0" encoding="utf-8"?>
<sst xmlns="http://schemas.openxmlformats.org/spreadsheetml/2006/main" count="1439" uniqueCount="657">
  <si>
    <t>Metro Inc.</t>
    <phoneticPr fontId="27" type="noConversion"/>
  </si>
  <si>
    <t>Industry Data</t>
    <phoneticPr fontId="27" type="noConversion"/>
  </si>
  <si>
    <t>Company Name</t>
    <phoneticPr fontId="27" type="noConversion"/>
  </si>
  <si>
    <t>Ticker</t>
    <phoneticPr fontId="27" type="noConversion"/>
  </si>
  <si>
    <t>Market Capitalization Latest ($USD mm)</t>
    <phoneticPr fontId="27" type="noConversion"/>
  </si>
  <si>
    <t>LTM Net Debt ($USD mm)</t>
    <phoneticPr fontId="27" type="noConversion"/>
  </si>
  <si>
    <t>Total Enterprise Value Latest ($USD mm)</t>
    <phoneticPr fontId="27" type="noConversion"/>
  </si>
  <si>
    <t>LTM Total Revenue ($USD mm)</t>
    <phoneticPr fontId="27" type="noConversion"/>
  </si>
  <si>
    <t>LTM EBITDA ($USD mm)</t>
    <phoneticPr fontId="27" type="noConversion"/>
  </si>
  <si>
    <t>LTM Total Debt / EBITDA</t>
    <phoneticPr fontId="27" type="noConversion"/>
  </si>
  <si>
    <t>LTM Total Debt / Capital %</t>
    <phoneticPr fontId="27" type="noConversion"/>
  </si>
  <si>
    <t>Loblaw Companies Limited</t>
    <phoneticPr fontId="27" type="noConversion"/>
  </si>
  <si>
    <t>TSX:L</t>
  </si>
  <si>
    <t>Empire Company Limited</t>
    <phoneticPr fontId="27" type="noConversion"/>
  </si>
  <si>
    <t>TSX:EMP.A</t>
  </si>
  <si>
    <t>Saputo Inc.</t>
    <phoneticPr fontId="27" type="noConversion"/>
  </si>
  <si>
    <t>TSX:SAP</t>
  </si>
  <si>
    <t>Alimentation Couche-Tard Inc.</t>
    <phoneticPr fontId="27" type="noConversion"/>
  </si>
  <si>
    <t>TSX:ATD</t>
  </si>
  <si>
    <t>Colruyt Group N.V.</t>
    <phoneticPr fontId="27" type="noConversion"/>
  </si>
  <si>
    <t>ENXTBR:COLR</t>
  </si>
  <si>
    <t>Weis Markets, Inc.</t>
    <phoneticPr fontId="27" type="noConversion"/>
  </si>
  <si>
    <t>NYSE:WMK</t>
  </si>
  <si>
    <t>Casey's General Stores, Inc.</t>
    <phoneticPr fontId="27" type="noConversion"/>
  </si>
  <si>
    <t>NasdaqGS:CASY</t>
  </si>
  <si>
    <t>Shoprite Holdings Ltd</t>
    <phoneticPr fontId="27" type="noConversion"/>
  </si>
  <si>
    <t>JSE:SHP</t>
  </si>
  <si>
    <t>Yonghui Superstores Co., Ltd.</t>
    <phoneticPr fontId="27" type="noConversion"/>
  </si>
  <si>
    <t>SHSE:601933</t>
  </si>
  <si>
    <t>NM</t>
  </si>
  <si>
    <t>Woolworths Group Limited</t>
    <phoneticPr fontId="27" type="noConversion"/>
  </si>
  <si>
    <t>ASX:WOW</t>
  </si>
  <si>
    <t>TSX:MRU</t>
  </si>
  <si>
    <t>Competitor WACC</t>
    <phoneticPr fontId="27" type="noConversion"/>
  </si>
  <si>
    <t>Company Name</t>
  </si>
  <si>
    <t>Beta (5Y)</t>
    <phoneticPr fontId="27" type="noConversion"/>
  </si>
  <si>
    <t>Risk-Free Rate</t>
  </si>
  <si>
    <t>Market Risk Premium </t>
  </si>
  <si>
    <t>Cost of Equity</t>
  </si>
  <si>
    <t xml:space="preserve"> Total Debt (in million)</t>
    <phoneticPr fontId="27" type="noConversion"/>
  </si>
  <si>
    <t>Interest Expense (in million)</t>
    <phoneticPr fontId="27" type="noConversion"/>
  </si>
  <si>
    <t>Corporate Tax Rate</t>
  </si>
  <si>
    <t>After-Tax Cost of Debt</t>
    <phoneticPr fontId="27" type="noConversion"/>
  </si>
  <si>
    <t>Debt Value / Total Capital (D/V)</t>
  </si>
  <si>
    <t>Equity Value / Total Capital (E/V)</t>
  </si>
  <si>
    <t>Minority Interest / Capital (MI/V)</t>
    <phoneticPr fontId="27" type="noConversion"/>
  </si>
  <si>
    <t>WACC</t>
  </si>
  <si>
    <t>Loblaw Companies Limited (TSX:L)</t>
    <phoneticPr fontId="27" type="noConversion"/>
  </si>
  <si>
    <t>Empire Company Limited (TSX:EMP.A)</t>
  </si>
  <si>
    <t>Saputo Inc. (TSX:SAP)</t>
  </si>
  <si>
    <t>Alimentation Couche-Tard Inc. (TSX:ATD)</t>
    <phoneticPr fontId="27" type="noConversion"/>
  </si>
  <si>
    <t>Colruyt Group N.V. (ENXTBR:COLR)</t>
    <phoneticPr fontId="27" type="noConversion"/>
  </si>
  <si>
    <t>Weis Markets, Inc. (NYSE:WMK)</t>
    <phoneticPr fontId="27" type="noConversion"/>
  </si>
  <si>
    <t>Casey's General Stores, Inc. (NasdaqGS:CASY)</t>
    <phoneticPr fontId="27" type="noConversion"/>
  </si>
  <si>
    <t>Shoprite Holdings Ltd (JSE:SHP)</t>
    <phoneticPr fontId="27" type="noConversion"/>
  </si>
  <si>
    <t>Yonghui Superstores Co., Ltd. (SHSE:601933)</t>
    <phoneticPr fontId="27" type="noConversion"/>
  </si>
  <si>
    <t>Woolworths Group Limited (ASX:WOW)</t>
    <phoneticPr fontId="27" type="noConversion"/>
  </si>
  <si>
    <t>Average</t>
    <phoneticPr fontId="27" type="noConversion"/>
  </si>
  <si>
    <t>Average WACC of ten peers businesses in Food Retail industry is approxiamately 4.842%.</t>
    <phoneticPr fontId="27" type="noConversion"/>
  </si>
  <si>
    <t>*Alimentation Couche-Tard Inc. (TSX:ATD), Weis Markets, Inc. (NYSE:WMK), Casey's General Stores, Inc. (NasdaqGS:CASY): three US companies with monetary unit of USD, and applying the US risk-free rate and corporate tax rate.</t>
    <phoneticPr fontId="27" type="noConversion"/>
  </si>
  <si>
    <t>*Colruyt Group N.V. (ENXTBR:COLR): a Belgian company with monetary unit of EUR, and applying the Belgium risk-free rate and corporate tax rate.</t>
    <phoneticPr fontId="27" type="noConversion"/>
  </si>
  <si>
    <t>*Shoprite Holdings Ltd (JSE:SHP): a South African company with monetary unit of ZAR, and applying the South Africa risk-free rate and corporate tax rate.</t>
    <phoneticPr fontId="27" type="noConversion"/>
  </si>
  <si>
    <t>*Yonghui Superstores Co., Ltd. (SHSE:601933): a Chinese company with monetary unit of CNY, and applying the China risk-free rate and corporate tax rate.</t>
    <phoneticPr fontId="27" type="noConversion"/>
  </si>
  <si>
    <t>*Woolworths Group Limited (ASX:WOW): an Australian company with monetary unit of AUD, and applying the Australia risk-free rate and corporate tax rate.</t>
    <phoneticPr fontId="27" type="noConversion"/>
  </si>
  <si>
    <t>FQ1 2026 (Dec-20-2025) Detailed Debt Schedule As Reported Details</t>
    <phoneticPr fontId="27" type="noConversion"/>
  </si>
  <si>
    <t>Description</t>
  </si>
  <si>
    <t>Type</t>
  </si>
  <si>
    <t>Principal Due (CAD mm)</t>
  </si>
  <si>
    <t>Coupon/Base Rate</t>
  </si>
  <si>
    <t>Floating Rate</t>
  </si>
  <si>
    <t>Maturity date</t>
  </si>
  <si>
    <t>Maturity Year</t>
  </si>
  <si>
    <t>Series G Notes</t>
  </si>
  <si>
    <t>Bonds and Notes</t>
  </si>
  <si>
    <t>NA</t>
  </si>
  <si>
    <t>Dec-06-2027</t>
  </si>
  <si>
    <t>Series L Notes</t>
  </si>
  <si>
    <t>Nov-27-2029</t>
  </si>
  <si>
    <t>Summary Metrics</t>
  </si>
  <si>
    <t>Total Long Term Debt(2026-2029)</t>
  </si>
  <si>
    <t>Weighted Avg Coupon Rate</t>
  </si>
  <si>
    <t>Weighted Avg Maturity(year)</t>
  </si>
  <si>
    <t>Debt-to-Capital Ratio</t>
  </si>
  <si>
    <t>Dividend Policy (2021 - 2025)</t>
  </si>
  <si>
    <t>Year</t>
  </si>
  <si>
    <t>EPS($)</t>
  </si>
  <si>
    <t>DPS($)</t>
  </si>
  <si>
    <t>Payout Ratio</t>
  </si>
  <si>
    <t>Repurchase of Common Stock($mm)</t>
  </si>
  <si>
    <t>Common Dividends Paid</t>
  </si>
  <si>
    <t>Metro Inc. DCF Valuation</t>
  </si>
  <si>
    <t>Share Price as of December 31, 2025</t>
  </si>
  <si>
    <t>Shares outstanding</t>
  </si>
  <si>
    <t xml:space="preserve">Model Assumptions </t>
  </si>
  <si>
    <t>Assumption</t>
  </si>
  <si>
    <t>Value</t>
  </si>
  <si>
    <t xml:space="preserve">Years in Forecast </t>
  </si>
  <si>
    <t>5 Years</t>
  </si>
  <si>
    <t>Terminal Growth Rate</t>
    <phoneticPr fontId="27" type="noConversion"/>
  </si>
  <si>
    <t>Terminal EV / EBITDA Multiple</t>
  </si>
  <si>
    <t>12.37x</t>
  </si>
  <si>
    <t>Forecast Financials (DCF Table)</t>
  </si>
  <si>
    <t xml:space="preserve">Fiscal Years Ending September 30th </t>
  </si>
  <si>
    <t>F2021A</t>
  </si>
  <si>
    <t>F2022A</t>
  </si>
  <si>
    <t>F2023A</t>
  </si>
  <si>
    <t>F2024A</t>
  </si>
  <si>
    <t>F2025A</t>
  </si>
  <si>
    <t>F2026E</t>
  </si>
  <si>
    <t>F2027E</t>
  </si>
  <si>
    <t>F2028E</t>
  </si>
  <si>
    <t>F2029E</t>
  </si>
  <si>
    <t>F2030E</t>
  </si>
  <si>
    <t>F2031E</t>
  </si>
  <si>
    <t>Period</t>
  </si>
  <si>
    <t xml:space="preserve">Revenue </t>
  </si>
  <si>
    <t xml:space="preserve">% Growth </t>
  </si>
  <si>
    <t xml:space="preserve">n.a </t>
  </si>
  <si>
    <t>Less: COGS and other expenses</t>
  </si>
  <si>
    <t xml:space="preserve">% Growth </t>
    <phoneticPr fontId="27" type="noConversion"/>
  </si>
  <si>
    <t xml:space="preserve">EBITDA </t>
  </si>
  <si>
    <t>% Margin</t>
  </si>
  <si>
    <t xml:space="preserve">Less: D&amp;A </t>
  </si>
  <si>
    <t>EBIT</t>
  </si>
  <si>
    <t>Tax Rate</t>
  </si>
  <si>
    <t xml:space="preserve">Less: Taxes </t>
  </si>
  <si>
    <t>EBIAT</t>
  </si>
  <si>
    <t xml:space="preserve">Plus: D&amp;A </t>
  </si>
  <si>
    <t>Operating cash flow</t>
  </si>
  <si>
    <t>Net Working Capital</t>
  </si>
  <si>
    <t>NWC as a % of revenue</t>
  </si>
  <si>
    <t xml:space="preserve">Add/Less: Changes in Working Capital </t>
  </si>
  <si>
    <t>Capex as a % of Revenue</t>
  </si>
  <si>
    <t xml:space="preserve">Less: Capex </t>
  </si>
  <si>
    <t>Unlevered Free Cash Flows (FCFF)</t>
  </si>
  <si>
    <t xml:space="preserve">PV of Free Cash Flows </t>
  </si>
  <si>
    <t xml:space="preserve">Terminal Value </t>
  </si>
  <si>
    <t xml:space="preserve">Multiple </t>
  </si>
  <si>
    <t>GRIP</t>
  </si>
  <si>
    <t>gordon</t>
  </si>
  <si>
    <t>Terminal EBITDA / FCF</t>
  </si>
  <si>
    <t>Terminal Multiple / Growth Rate</t>
  </si>
  <si>
    <t xml:space="preserve">PV of Terminal Value </t>
  </si>
  <si>
    <t xml:space="preserve">PV FCF </t>
  </si>
  <si>
    <t xml:space="preserve">Enterprise Value </t>
  </si>
  <si>
    <t xml:space="preserve">(-) Debt </t>
  </si>
  <si>
    <t xml:space="preserve">(+) Cash </t>
  </si>
  <si>
    <t xml:space="preserve">Implied Equity Value </t>
  </si>
  <si>
    <t>Implied Share Price</t>
  </si>
  <si>
    <t>Impiled Equity Value</t>
  </si>
  <si>
    <t>Implied Upside/Downside</t>
  </si>
  <si>
    <t>Sensitivity Analysis</t>
  </si>
  <si>
    <t>PV FCF</t>
  </si>
  <si>
    <t>Terminal EDITDA</t>
  </si>
  <si>
    <t>Terminal Multiple</t>
  </si>
  <si>
    <t>Metro Inc.</t>
  </si>
  <si>
    <t>Comparable Company Analysis</t>
  </si>
  <si>
    <t>(in $M)</t>
  </si>
  <si>
    <t>Comparable Company Analysis ($M)</t>
  </si>
  <si>
    <t>Multiples</t>
  </si>
  <si>
    <t>Key Stats</t>
  </si>
  <si>
    <t>Company</t>
  </si>
  <si>
    <t xml:space="preserve">Ticker </t>
  </si>
  <si>
    <t>Market Cap</t>
  </si>
  <si>
    <t>Shares Outstanding</t>
  </si>
  <si>
    <t>Share Price</t>
  </si>
  <si>
    <t>Enterprise Value</t>
  </si>
  <si>
    <t>Revenue</t>
  </si>
  <si>
    <t>Net Income</t>
  </si>
  <si>
    <t>EBITDA</t>
  </si>
  <si>
    <t>EV/Revenue</t>
  </si>
  <si>
    <t>EV/EBITDA</t>
  </si>
  <si>
    <t xml:space="preserve">P/E </t>
  </si>
  <si>
    <t>Cash &amp; Short Term Investments</t>
  </si>
  <si>
    <t>Loblaws Companies Limited</t>
  </si>
  <si>
    <t>minority interest</t>
  </si>
  <si>
    <t>Empire Company Limited</t>
  </si>
  <si>
    <t>pref. equity</t>
  </si>
  <si>
    <t>debt</t>
  </si>
  <si>
    <t>Minimum</t>
  </si>
  <si>
    <t>25th Percentile</t>
  </si>
  <si>
    <t>Median</t>
  </si>
  <si>
    <t>75th Percentile</t>
  </si>
  <si>
    <t>Maximum</t>
  </si>
  <si>
    <t>Implied Valuation</t>
  </si>
  <si>
    <t>Equity Value</t>
  </si>
  <si>
    <t>Capital Sturcture &amp; WACC</t>
    <phoneticPr fontId="27" type="noConversion"/>
  </si>
  <si>
    <t>Capital Sturcture Inputs</t>
    <phoneticPr fontId="27" type="noConversion"/>
  </si>
  <si>
    <t>12 months Dec-20-2025</t>
    <phoneticPr fontId="27" type="noConversion"/>
  </si>
  <si>
    <t>Items</t>
    <phoneticPr fontId="27" type="noConversion"/>
  </si>
  <si>
    <t>Value (CAD mm)</t>
    <phoneticPr fontId="27" type="noConversion"/>
  </si>
  <si>
    <t>Sources</t>
    <phoneticPr fontId="27" type="noConversion"/>
  </si>
  <si>
    <t>Total Debt</t>
    <phoneticPr fontId="27" type="noConversion"/>
  </si>
  <si>
    <t>(Capital IQ)</t>
    <phoneticPr fontId="27" type="noConversion"/>
  </si>
  <si>
    <t>Total Equity</t>
    <phoneticPr fontId="27" type="noConversion"/>
  </si>
  <si>
    <t>Total Minority Interest</t>
    <phoneticPr fontId="27" type="noConversion"/>
  </si>
  <si>
    <t>Total Capital</t>
    <phoneticPr fontId="27" type="noConversion"/>
  </si>
  <si>
    <t>Capital Structure Weights</t>
    <phoneticPr fontId="27" type="noConversion"/>
  </si>
  <si>
    <t>Metrics</t>
    <phoneticPr fontId="27" type="noConversion"/>
  </si>
  <si>
    <t>Value</t>
    <phoneticPr fontId="27" type="noConversion"/>
  </si>
  <si>
    <t>Debt / Capital (D/V)</t>
    <phoneticPr fontId="27" type="noConversion"/>
  </si>
  <si>
    <t>Equity / Capital (E/V)</t>
    <phoneticPr fontId="27" type="noConversion"/>
  </si>
  <si>
    <t>Cost of Equity (CAPM)</t>
    <phoneticPr fontId="27" type="noConversion"/>
  </si>
  <si>
    <t>Component</t>
  </si>
  <si>
    <t>(Government of Canada 10-Year Benchmark Bond Yield, Bank of Canada, as of March 11, 2026)</t>
    <phoneticPr fontId="27" type="noConversion"/>
  </si>
  <si>
    <t>https://www.bankofcanada.ca/rates/interest-rates/canadian-bonds/</t>
    <phoneticPr fontId="27" type="noConversion"/>
  </si>
  <si>
    <t>Market Risk Premium</t>
  </si>
  <si>
    <t>(Professor Aswath Damodaran's Website, Canada Equity Risk Premium (January 2026))</t>
    <phoneticPr fontId="27" type="noConversion"/>
  </si>
  <si>
    <t>https://pages.stern.nyu.edu/~adamodar/New_Home_Page/datafile/ctryprem.html</t>
    <phoneticPr fontId="27" type="noConversion"/>
  </si>
  <si>
    <t xml:space="preserve">Cost of Debt </t>
  </si>
  <si>
    <t>Total Debt (CAD mm)</t>
    <phoneticPr fontId="27" type="noConversion"/>
  </si>
  <si>
    <t>Interest Expense (CAD mm)</t>
    <phoneticPr fontId="27" type="noConversion"/>
  </si>
  <si>
    <t>(Professor Aswath Damodaran's Website)</t>
  </si>
  <si>
    <t>Pre-Tax Cost of Debt</t>
  </si>
  <si>
    <t>After-Tax Cost of Debt</t>
  </si>
  <si>
    <t>Notes</t>
    <phoneticPr fontId="27" type="noConversion"/>
  </si>
  <si>
    <t>Cost of Equity (CAPM)</t>
  </si>
  <si>
    <t>Capital IQ includes minority interest in Metro’s total capital, so we keep it in the capital structure weights. As minority interest is an equity-like non-controlling ownership claim and its size is immaterial, we use the cost of equity as its required rate of return.</t>
    <phoneticPr fontId="27" type="noConversion"/>
  </si>
  <si>
    <t>Weight of Equity</t>
  </si>
  <si>
    <t>Weight of Debt</t>
  </si>
  <si>
    <t>Weight of Minority Interest</t>
    <phoneticPr fontId="27" type="noConversion"/>
  </si>
  <si>
    <t>Final WACC</t>
  </si>
  <si>
    <t>Explanation of WACC Calculation:</t>
    <phoneticPr fontId="27" type="noConversion"/>
  </si>
  <si>
    <t>Capital Structure</t>
    <phoneticPr fontId="27" type="noConversion"/>
  </si>
  <si>
    <t>Using Capital IQ data for the 12 months ending December 20, 2025, Metro’s capital structure is (in CAD mm):</t>
    <phoneticPr fontId="27" type="noConversion"/>
  </si>
  <si>
    <t>*Total Debt = 4867.2</t>
    <phoneticPr fontId="27" type="noConversion"/>
  </si>
  <si>
    <t>*Total Equity = 7020.4</t>
    <phoneticPr fontId="27" type="noConversion"/>
  </si>
  <si>
    <t>*Total Minority Interest = $18.3</t>
    <phoneticPr fontId="27" type="noConversion"/>
  </si>
  <si>
    <t>*Total Capital = 11905.9</t>
    <phoneticPr fontId="27" type="noConversion"/>
  </si>
  <si>
    <t>This gives the following three capital weights:</t>
    <phoneticPr fontId="27" type="noConversion"/>
  </si>
  <si>
    <t>Debt / Capital = 40.88%</t>
    <phoneticPr fontId="27" type="noConversion"/>
  </si>
  <si>
    <t>Equity / Capital = 58.97%</t>
    <phoneticPr fontId="27" type="noConversion"/>
  </si>
  <si>
    <t>Minority Interest / Capital = 0.15%</t>
    <phoneticPr fontId="27" type="noConversion"/>
  </si>
  <si>
    <t xml:space="preserve">Cost of Equity </t>
    <phoneticPr fontId="27" type="noConversion"/>
  </si>
  <si>
    <t>Metro's cost of equity is estimated using the CAPM:</t>
    <phoneticPr fontId="27" type="noConversion"/>
  </si>
  <si>
    <t>*Cost of Equity = Canadian Risk-Free Rate + Beta * Market Risk Premium</t>
    <phoneticPr fontId="27" type="noConversion"/>
  </si>
  <si>
    <t>Inputs used:</t>
    <phoneticPr fontId="27" type="noConversion"/>
  </si>
  <si>
    <t>*Beta (5Y) = 0.38; Risk-Free Rate = 3.48%; Market risk Premium = 4.23%</t>
    <phoneticPr fontId="27" type="noConversion"/>
  </si>
  <si>
    <t>Hence:</t>
    <phoneticPr fontId="27" type="noConversion"/>
  </si>
  <si>
    <t>*Re = 3.48% + 0.38 * 4.23% = 5.087%</t>
    <phoneticPr fontId="27" type="noConversion"/>
  </si>
  <si>
    <t>Cost of Debt</t>
    <phoneticPr fontId="27" type="noConversion"/>
  </si>
  <si>
    <t>Metro's pre-tax cost of debt is estimated as:</t>
    <phoneticPr fontId="27" type="noConversion"/>
  </si>
  <si>
    <t>*Pre-tax Cost of Debt = Interest Expense / Total Debt</t>
    <phoneticPr fontId="27" type="noConversion"/>
  </si>
  <si>
    <t>Inputs used (in CAD mm):</t>
    <phoneticPr fontId="27" type="noConversion"/>
  </si>
  <si>
    <t>*Interest Expense (from I/S) = 172.2; Total Debt = 4867.2</t>
    <phoneticPr fontId="27" type="noConversion"/>
  </si>
  <si>
    <t>*Pre-tax Cost of Debt = 172.2 / 4867.2 = 3.538%</t>
    <phoneticPr fontId="27" type="noConversion"/>
  </si>
  <si>
    <t>Because Canadian corporate tax rate is 26.14%:</t>
    <phoneticPr fontId="27" type="noConversion"/>
  </si>
  <si>
    <t>*After-tax Cost of Debt = 3.538% * (1 - 26.14%) = 2.613%</t>
    <phoneticPr fontId="27" type="noConversion"/>
  </si>
  <si>
    <t>Cost of Minority Interest</t>
    <phoneticPr fontId="27" type="noConversion"/>
  </si>
  <si>
    <t>As minority interest is an equity-like non-controlling ownership claim and its size is immaterial, we use the cost of equity as its required rate of return:</t>
    <phoneticPr fontId="27" type="noConversion"/>
  </si>
  <si>
    <t>*Rmi = Re = 5.087%</t>
    <phoneticPr fontId="27" type="noConversion"/>
  </si>
  <si>
    <t>Final WACC</t>
    <phoneticPr fontId="27" type="noConversion"/>
  </si>
  <si>
    <t>*WACC = (E / V) * Re + (D / V) * Rd(1 - T) + (MI / V) * Rmi = 0.5897 * 5.087% + 0.4088 * 2.613% + 0.0015 * 5.087% = 4.076%</t>
    <phoneticPr fontId="27" type="noConversion"/>
  </si>
  <si>
    <t>Metro Inc. (TSX:MRU) &gt; Financials &gt; Cash Flow</t>
  </si>
  <si>
    <t>In Millions of the reported currency, except per share items.</t>
  </si>
  <si>
    <t>Template:</t>
  </si>
  <si>
    <t>Standard</t>
  </si>
  <si>
    <t> </t>
  </si>
  <si>
    <t>Restatement:</t>
  </si>
  <si>
    <t>Latest Filings</t>
  </si>
  <si>
    <t>Period Type:</t>
  </si>
  <si>
    <t>Annual</t>
  </si>
  <si>
    <t>Order:</t>
  </si>
  <si>
    <t>Latest on Right</t>
  </si>
  <si>
    <t>Currency:</t>
  </si>
  <si>
    <t>Reported Currency</t>
  </si>
  <si>
    <t>Conversion:</t>
  </si>
  <si>
    <t>Historical</t>
  </si>
  <si>
    <t>Units:</t>
  </si>
  <si>
    <t>S&amp;P Capital IQ (Default)</t>
  </si>
  <si>
    <t>Decimals:</t>
  </si>
  <si>
    <t>Capital IQ (Default)</t>
  </si>
  <si>
    <t>Source:</t>
  </si>
  <si>
    <t>Capital IQ &amp; Proprietary Data</t>
  </si>
  <si>
    <t>Cash Flow</t>
  </si>
  <si>
    <t xml:space="preserve">For the Fiscal Period Ending
</t>
  </si>
  <si>
    <t>12 months
Sep-25-2021</t>
  </si>
  <si>
    <t>12 months
Sep-24-2022</t>
  </si>
  <si>
    <t>12 months
Sep-30-2023</t>
  </si>
  <si>
    <t>Restated
12 months
Sep-28-2024</t>
  </si>
  <si>
    <t>12 months
Sep-27-2025</t>
  </si>
  <si>
    <t>LTM
12 months
Dec-20-2025</t>
  </si>
  <si>
    <t>Currency</t>
  </si>
  <si>
    <t>CAD</t>
  </si>
  <si>
    <t xml:space="preserve"> </t>
  </si>
  <si>
    <t>Depreciation &amp; Amort.</t>
  </si>
  <si>
    <t>Amort. of Goodwill and Intangibles</t>
  </si>
  <si>
    <t>Depreciation &amp; Amort., Total</t>
  </si>
  <si>
    <t>Other Amortization</t>
  </si>
  <si>
    <t>(Gain) Loss From Sale Of Assets</t>
  </si>
  <si>
    <t>Asset Writedown &amp; Restructuring Costs</t>
  </si>
  <si>
    <t>-</t>
  </si>
  <si>
    <t>Stock-Based Compensation</t>
  </si>
  <si>
    <t>Other Operating Activities</t>
  </si>
  <si>
    <t>Change in Other Net Operating Assets</t>
  </si>
  <si>
    <t xml:space="preserve">  Cash from Ops.</t>
  </si>
  <si>
    <t>Capital Expenditure</t>
  </si>
  <si>
    <t>Sale of Property, Plant, and Equipment</t>
  </si>
  <si>
    <t>Cash Acquisitions</t>
  </si>
  <si>
    <t>Divestitures</t>
  </si>
  <si>
    <t>Sale (Purchase) of Real Estate properties</t>
  </si>
  <si>
    <t>Sale (Purchase) of Intangible assets</t>
  </si>
  <si>
    <t>Invest. in Marketable &amp; Equity Securt.</t>
  </si>
  <si>
    <t>Net (Inc.) Dec. in Loans Originated/Sold</t>
  </si>
  <si>
    <t>Other Investing Activities</t>
  </si>
  <si>
    <t xml:space="preserve">  Cash from Investing</t>
  </si>
  <si>
    <t>Short Term Debt Issued</t>
  </si>
  <si>
    <t>Long-Term Debt Issued</t>
  </si>
  <si>
    <t>Total Debt Issued</t>
  </si>
  <si>
    <t>Short Term Debt Repaid</t>
  </si>
  <si>
    <t>Long-Term Debt Repaid</t>
  </si>
  <si>
    <t>Total Debt Repaid</t>
  </si>
  <si>
    <t>Issuance of Common Stock</t>
  </si>
  <si>
    <t>Repurchase of Common Stock</t>
  </si>
  <si>
    <t>Total Dividends Paid</t>
  </si>
  <si>
    <t>Special Dividend Paid</t>
  </si>
  <si>
    <t>Other Financing Activities</t>
  </si>
  <si>
    <t xml:space="preserve">  Cash from Financing</t>
  </si>
  <si>
    <t xml:space="preserve">  Net Change in Cash</t>
  </si>
  <si>
    <t>Supplemental Items</t>
  </si>
  <si>
    <t>Cash Interest Paid</t>
  </si>
  <si>
    <t>Cash Taxes Paid</t>
  </si>
  <si>
    <t>Levered Free Cash Flow</t>
  </si>
  <si>
    <t>Unlevered Free Cash Flow</t>
  </si>
  <si>
    <t>Change in Net Working Capital</t>
  </si>
  <si>
    <t>Net Debt Issued</t>
  </si>
  <si>
    <t>Filing Date</t>
  </si>
  <si>
    <t>Restatement Type</t>
  </si>
  <si>
    <t>NC</t>
  </si>
  <si>
    <t>RS</t>
  </si>
  <si>
    <t>O</t>
  </si>
  <si>
    <t>Calculation Type</t>
  </si>
  <si>
    <t>REP</t>
  </si>
  <si>
    <t>LTM</t>
  </si>
  <si>
    <t xml:space="preserve">
               </t>
  </si>
  <si>
    <t>Metro Inc. (TSX:MRU) &gt; Financials &gt; Income Statement</t>
  </si>
  <si>
    <t>Income Statement</t>
  </si>
  <si>
    <t>Reclassified
12 months
Sep-25-2021</t>
  </si>
  <si>
    <t>12 months
Sep-28-2024</t>
  </si>
  <si>
    <t>Other Revenue</t>
  </si>
  <si>
    <t xml:space="preserve">  Total Revenue</t>
  </si>
  <si>
    <t>Cost Of Goods Sold</t>
  </si>
  <si>
    <t xml:space="preserve">  Gross Profit</t>
  </si>
  <si>
    <t>Selling General &amp; Admin Exp.</t>
  </si>
  <si>
    <t>R &amp; D Exp.</t>
  </si>
  <si>
    <t>Other Operating Expense/(Income)</t>
  </si>
  <si>
    <t xml:space="preserve">  Other Operating Exp., Total</t>
  </si>
  <si>
    <t xml:space="preserve">  Operating Income</t>
  </si>
  <si>
    <t>Total Costs (excluding D&amp;A)</t>
  </si>
  <si>
    <t>Interest Expense</t>
  </si>
  <si>
    <t>Interest and Invest. Income</t>
  </si>
  <si>
    <t xml:space="preserve">  Net Interest Exp.</t>
  </si>
  <si>
    <t>Other Non-Operating Inc. (Exp.)</t>
  </si>
  <si>
    <t xml:space="preserve">  EBT Excl. Unusual Items</t>
  </si>
  <si>
    <t>Impairment of Goodwill</t>
  </si>
  <si>
    <t>Gain (Loss) On Sale Of Assets</t>
  </si>
  <si>
    <t>Asset Writedown</t>
  </si>
  <si>
    <t>Other Unusual Items</t>
  </si>
  <si>
    <t xml:space="preserve">  EBT Incl. Unusual Items</t>
  </si>
  <si>
    <t>Income Tax Expense</t>
  </si>
  <si>
    <t xml:space="preserve">  Earnings from Cont. Ops.</t>
  </si>
  <si>
    <t>Earnings of Discontinued Ops.</t>
  </si>
  <si>
    <t>Extraord. Item &amp; Account. Change</t>
  </si>
  <si>
    <t xml:space="preserve">  Net Income to Company</t>
  </si>
  <si>
    <t>Minority Int. in Earnings</t>
  </si>
  <si>
    <t xml:space="preserve">  Net Income</t>
  </si>
  <si>
    <t>Pref. Dividends and Other Adj.</t>
  </si>
  <si>
    <t xml:space="preserve">  NI to Common Incl Extra Items</t>
  </si>
  <si>
    <t xml:space="preserve">  NI to Common Excl. Extra Items</t>
  </si>
  <si>
    <t>Per Share Items</t>
  </si>
  <si>
    <t>Basic EPS</t>
  </si>
  <si>
    <t>Basic EPS Excl. Extra Items</t>
  </si>
  <si>
    <t>Weighted Avg. Basic Shares Out.</t>
  </si>
  <si>
    <t>Diluted EPS</t>
  </si>
  <si>
    <t>Diluted EPS Excl. Extra Items</t>
  </si>
  <si>
    <t>Weighted Avg. Diluted Shares Out.</t>
  </si>
  <si>
    <t>Normalized Basic EPS</t>
  </si>
  <si>
    <t>Normalized Diluted EPS</t>
  </si>
  <si>
    <t>Dividends per Share</t>
  </si>
  <si>
    <t>Payout Ratio %</t>
  </si>
  <si>
    <t>Shares per Depository Receipt</t>
  </si>
  <si>
    <t>EBITA</t>
  </si>
  <si>
    <t>EBITDAR</t>
  </si>
  <si>
    <t>Effective Tax Rate %</t>
  </si>
  <si>
    <t>Total Current Taxes</t>
  </si>
  <si>
    <t>Total Deferred Taxes</t>
  </si>
  <si>
    <t>Normalized Net Income</t>
  </si>
  <si>
    <t>Interest on Long Term Debt</t>
  </si>
  <si>
    <t>Non-Cash Pension Expense</t>
  </si>
  <si>
    <t>RC</t>
  </si>
  <si>
    <t>Supplemental Operating Expense Items</t>
  </si>
  <si>
    <t>Net Rental Exp.</t>
  </si>
  <si>
    <t>Imputed Oper. Lease Interest Exp.</t>
  </si>
  <si>
    <t>Imputed Oper. Lease Depreciation</t>
  </si>
  <si>
    <t>Stock-Based Comp., Unallocated</t>
  </si>
  <si>
    <t xml:space="preserve">  Stock-Based Comp., Total</t>
  </si>
  <si>
    <t>Note: For multiple class companies, per share items are primary class equivalent, and for foreign companies listed as primary ADRs, per share items are ADR-equivalent.</t>
  </si>
  <si>
    <t>Metro Inc. (TSX:MRU) &gt; Financials &gt; Balance Sheet</t>
  </si>
  <si>
    <t>Balance Sheet</t>
  </si>
  <si>
    <t xml:space="preserve">Balance Sheet as of:
</t>
  </si>
  <si>
    <t>ASSETS</t>
  </si>
  <si>
    <t>Cash And Equivalents</t>
  </si>
  <si>
    <t xml:space="preserve">  Total Cash &amp; ST Investments</t>
  </si>
  <si>
    <t>Accounts Receivable</t>
  </si>
  <si>
    <t>Other Receivables</t>
  </si>
  <si>
    <t xml:space="preserve">  Total Receivables</t>
  </si>
  <si>
    <t>Inventory</t>
  </si>
  <si>
    <t>Prepaid Exp.</t>
  </si>
  <si>
    <t>Other Current Assets</t>
  </si>
  <si>
    <t xml:space="preserve">  Total Current Assets</t>
  </si>
  <si>
    <t>Gross Property, Plant &amp; Equipment</t>
  </si>
  <si>
    <t>Accumulated Depreciation</t>
  </si>
  <si>
    <t xml:space="preserve">  Net Property, Plant &amp; Equipment</t>
  </si>
  <si>
    <t>Goodwill</t>
  </si>
  <si>
    <t>Other Intangibles</t>
  </si>
  <si>
    <t>Accounts Receivable Long-Term</t>
  </si>
  <si>
    <t>Deferred Tax Assets, LT</t>
  </si>
  <si>
    <t>Other Long-Term Assets</t>
  </si>
  <si>
    <t>Total Assets</t>
  </si>
  <si>
    <t>LIABILITIES</t>
  </si>
  <si>
    <t>Accounts Payable</t>
  </si>
  <si>
    <t>Short-term Borrowings</t>
  </si>
  <si>
    <t>Curr. Port. of LT Debt</t>
  </si>
  <si>
    <t>Curr. Port. of Leases</t>
  </si>
  <si>
    <t>Curr. Income Taxes Payable</t>
  </si>
  <si>
    <t>Unearned Revenue, Current</t>
  </si>
  <si>
    <t>Other Current Liabilities</t>
  </si>
  <si>
    <t xml:space="preserve">  Total Current Liabilities</t>
  </si>
  <si>
    <t>Long-Term Debt</t>
  </si>
  <si>
    <t>Long-Term Leases</t>
  </si>
  <si>
    <t>Unearned Revenue, Non-Current</t>
  </si>
  <si>
    <t>Pension &amp; Other Post-Retire. Benefits</t>
  </si>
  <si>
    <t>Def. Tax Liability, Non-Curr.</t>
  </si>
  <si>
    <t>Other Non-Current Liabilities</t>
  </si>
  <si>
    <t>Total Liabilities</t>
  </si>
  <si>
    <t>Common Stock</t>
  </si>
  <si>
    <t>Additional Paid In Capital</t>
  </si>
  <si>
    <t>Retained Earnings</t>
  </si>
  <si>
    <t>Treasury Stock</t>
  </si>
  <si>
    <t>Comprehensive Inc. and Other</t>
  </si>
  <si>
    <t xml:space="preserve">  Total Common Equity</t>
  </si>
  <si>
    <t>Minority Interest</t>
  </si>
  <si>
    <t>Total Equity</t>
  </si>
  <si>
    <t>Total Liabilities And Equity</t>
  </si>
  <si>
    <t>Change in NWC</t>
  </si>
  <si>
    <t>n.a</t>
  </si>
  <si>
    <t>Total Shares Out. on Filing Date</t>
  </si>
  <si>
    <t>Total Shares Out. on Balance Sheet Date</t>
  </si>
  <si>
    <t>Book Value/Share</t>
  </si>
  <si>
    <t>Tangible Book Value</t>
  </si>
  <si>
    <t>Tangible Book Value/Share</t>
  </si>
  <si>
    <t>Total Debt</t>
  </si>
  <si>
    <t>Net Debt</t>
  </si>
  <si>
    <t>Debt Equiv. of Unfunded Proj. Benefit Obligation</t>
  </si>
  <si>
    <t>Debt Equivalent Oper. Leases</t>
  </si>
  <si>
    <t>Total Minority Interest</t>
  </si>
  <si>
    <t>Inventory Method</t>
  </si>
  <si>
    <t>Avg Cost</t>
  </si>
  <si>
    <t>Finished Goods Inventory</t>
  </si>
  <si>
    <t>Land</t>
  </si>
  <si>
    <t>Buildings</t>
  </si>
  <si>
    <t>Machinery</t>
  </si>
  <si>
    <t>Leasehold Improvements</t>
  </si>
  <si>
    <t>Full Time Employees</t>
  </si>
  <si>
    <t>Note: For multiple class companies, total share counts are primary class equivalent, and for foreign companies listed as primary ADRs, total share counts are ADR-equivalent.</t>
  </si>
  <si>
    <t>Metro Inc. (TSX:MRU) &gt; Financials &gt; Key Stats</t>
  </si>
  <si>
    <t>In Millions of the trading currency, except per share items.</t>
  </si>
  <si>
    <t>Trading Currency</t>
  </si>
  <si>
    <t>Dilution:</t>
  </si>
  <si>
    <t>Basic</t>
  </si>
  <si>
    <t>Key Financials¹</t>
  </si>
  <si>
    <t>12 months
Sep-24-2022A</t>
  </si>
  <si>
    <t>12 months
Sep-30-2023A</t>
  </si>
  <si>
    <t>12 months
Sep-28-2024A</t>
  </si>
  <si>
    <t>12 months
Sep-27-2025A</t>
  </si>
  <si>
    <t>LTM²
12 months
Dec-20-2025A</t>
  </si>
  <si>
    <t>12 months†
Sep-30-2026E</t>
  </si>
  <si>
    <t>12 months
Sep-30-2027E</t>
  </si>
  <si>
    <t>12 months
Sep-30-2028E</t>
  </si>
  <si>
    <t>Total Revenue</t>
  </si>
  <si>
    <t xml:space="preserve">  Growth Over Prior Year</t>
  </si>
  <si>
    <t>Gross Profit</t>
  </si>
  <si>
    <t xml:space="preserve">  Margin %</t>
  </si>
  <si>
    <t>Earnings from Cont. Ops.</t>
  </si>
  <si>
    <t>Diluted EPS Excl. Extra Items³</t>
  </si>
  <si>
    <t>Exchange Rate</t>
  </si>
  <si>
    <t>Conversion Method</t>
  </si>
  <si>
    <t>H</t>
  </si>
  <si>
    <t>S</t>
  </si>
  <si>
    <t>¹All results are taken from the most recently filed statement for each period. When there has been more than one, earlier filings can be viewed on the individual statement pages.</t>
  </si>
  <si>
    <t>²Growth rates for the LTM period are calculated against the LTM period ending 12 months before.</t>
  </si>
  <si>
    <t>³All forward period figures are consensus mean estimates provided by the brokers and may not be on a comparable basis as financials.</t>
  </si>
  <si>
    <t>†Growth rates for forward periods are calculated against prior period estimates or actual pro forma results as disclosed on the Estimates Consensus page.</t>
  </si>
  <si>
    <t>Growth Rates are calculated in originally reported currency only and will not reflect any currency conversion selected above.</t>
  </si>
  <si>
    <t>Current Capitalization (Millions of CAD)</t>
  </si>
  <si>
    <t>Shares Out.</t>
  </si>
  <si>
    <t>Market Capitalization</t>
  </si>
  <si>
    <t>- Cash &amp; Short Term Investments</t>
  </si>
  <si>
    <t>+ Total Debt</t>
  </si>
  <si>
    <t>+ Pref. Equity</t>
  </si>
  <si>
    <t>+ Total Minority Interest</t>
  </si>
  <si>
    <t>- Long Term Marketable Securities</t>
  </si>
  <si>
    <t>= Total Enterprise Value (TEV)</t>
  </si>
  <si>
    <t>Book Value of Common Equity</t>
  </si>
  <si>
    <t>= Total Capital</t>
  </si>
  <si>
    <t>**For companies that have multiple share classes that publicly trade, we are incorporating the different prices to calculate our company level market capitalization.  Please click on the value to see the detailed calculation. Prices shown on this page are the close price of the company’s primary stock class. Shares shown on this page are total company as-reported share values.</t>
  </si>
  <si>
    <t>Total Liability includes Total Debt, Minority Interest and Pref. Equity.</t>
  </si>
  <si>
    <t>Net Liability includes Total Liability, net of Cash and Short Term Investments.</t>
  </si>
  <si>
    <t>TEV includes Market Cap and Net Liability.</t>
  </si>
  <si>
    <t>Total Capital includes Common Equity and Total Liability.</t>
  </si>
  <si>
    <t>Valuation Multiples based on Current Capitalization</t>
  </si>
  <si>
    <t>LTM
12 months
Dec-20-2025A</t>
  </si>
  <si>
    <t>12 months
Sep-30-2026E</t>
  </si>
  <si>
    <t>TEV/Total Revenue</t>
  </si>
  <si>
    <t>TEV/EBITDA</t>
  </si>
  <si>
    <t>TEV/EBIT</t>
  </si>
  <si>
    <t>P/Diluted EPS Before Extra</t>
  </si>
  <si>
    <t>P/BV</t>
  </si>
  <si>
    <t>Price/Tang BV</t>
  </si>
  <si>
    <t>Metro Inc. (TSX:MRU) &gt; Financials &gt; Capital Structure Summary</t>
  </si>
  <si>
    <t>In Millions of the reported currency, except ratios and % of Total values.</t>
  </si>
  <si>
    <t>Capital Structure Data</t>
  </si>
  <si>
    <t xml:space="preserve"> For the Fiscal Period Ending
</t>
  </si>
  <si>
    <t xml:space="preserve"> 12 months Sep-28-2024</t>
  </si>
  <si>
    <t xml:space="preserve"> 12 months Sep-27-2025</t>
  </si>
  <si>
    <t xml:space="preserve"> 3 months Dec-20-2025</t>
  </si>
  <si>
    <t xml:space="preserve"> Currency</t>
  </si>
  <si>
    <t xml:space="preserve"> CAD</t>
  </si>
  <si>
    <t xml:space="preserve"> Units</t>
  </si>
  <si>
    <t xml:space="preserve"> Millions</t>
  </si>
  <si>
    <t>% of Total</t>
  </si>
  <si>
    <t>Total Common Equity</t>
  </si>
  <si>
    <t xml:space="preserve">  Total Capital</t>
  </si>
  <si>
    <t>Debt Summary Data</t>
  </si>
  <si>
    <t>Total Revolving Credit</t>
  </si>
  <si>
    <t>Total Term Loans</t>
  </si>
  <si>
    <t>Total Senior Bonds and Notes</t>
  </si>
  <si>
    <t>Total Lease Liabilities</t>
  </si>
  <si>
    <t xml:space="preserve">  Total Principal Due</t>
  </si>
  <si>
    <t>Total Adjustments</t>
  </si>
  <si>
    <t xml:space="preserve">  Total Debt Outstanding</t>
  </si>
  <si>
    <t>Available Credit</t>
  </si>
  <si>
    <t>Undrawn Revolving Credit</t>
  </si>
  <si>
    <t xml:space="preserve">  Total Undrawn Credit</t>
  </si>
  <si>
    <t>Additional Totals</t>
  </si>
  <si>
    <t>Total Cash &amp; ST Investments</t>
  </si>
  <si>
    <t>Total Senior Debt</t>
  </si>
  <si>
    <t>Curr. Port. of LT Debt/Cap. Leases</t>
  </si>
  <si>
    <t>Long-Term Debt (Incl. Cap. Leases)</t>
  </si>
  <si>
    <t>Total Bank Debt</t>
  </si>
  <si>
    <t>Total Secured Debt</t>
  </si>
  <si>
    <t>Total Senior Secured Debt</t>
  </si>
  <si>
    <t>Total Unsecured Debt</t>
  </si>
  <si>
    <t>Senior Unsecured Bonds and Notes</t>
  </si>
  <si>
    <t>Fixed Rate Debt</t>
  </si>
  <si>
    <t>Variable Rate Debt</t>
  </si>
  <si>
    <t>Hedging Activities</t>
  </si>
  <si>
    <t>Credit Ratios</t>
  </si>
  <si>
    <t>Net Debt/EBITDA</t>
  </si>
  <si>
    <t>Total Debt/EBITDA</t>
  </si>
  <si>
    <t>Total Senior Debt/EBITDA</t>
  </si>
  <si>
    <t>Total Senior Secured/EBITDA</t>
  </si>
  <si>
    <t>Net Debt/(EBITDA-CAPEX)</t>
  </si>
  <si>
    <t>Total Debt/(EBITDA-CAPEX)</t>
  </si>
  <si>
    <t>Total Senior Debt/(EBITDA-CAPEX)</t>
  </si>
  <si>
    <t>Total Senior Secured/(EBITDA-CAPEX)</t>
  </si>
  <si>
    <t>Fixed Payment Schedule</t>
  </si>
  <si>
    <t>LT Debt (Incl. Cap. Leases) Due +1</t>
  </si>
  <si>
    <t>LT Debt (Incl. Cap. Leases) Due +2</t>
  </si>
  <si>
    <t>LT Debt (Incl. Cap. Leases) Due +3</t>
  </si>
  <si>
    <t>LT Debt (Incl. Cap. Leases) Due +4</t>
  </si>
  <si>
    <t>LT Debt (Incl. Cap. Leases) Due +5</t>
  </si>
  <si>
    <t>LT Debt (Incl. Cap. Leases) Due, Next 5 Yrs</t>
  </si>
  <si>
    <t>LT Debt (Incl. Cap. Leases) Due, After 5 Yrs</t>
  </si>
  <si>
    <t>Cap. Lease Payment Due +1</t>
  </si>
  <si>
    <t>Cap. Lease Payment Due +2</t>
  </si>
  <si>
    <t>Cap. Lease Payment Due +3</t>
  </si>
  <si>
    <t>Cap. Lease Payment Due +4</t>
  </si>
  <si>
    <t>Cap. Lease Payment Due +5</t>
  </si>
  <si>
    <t>Cap. Lease Payment Due, Next 5 Yrs</t>
  </si>
  <si>
    <t>Cap. Lease Payment Due, After 5 Yrs</t>
  </si>
  <si>
    <t>Cap. Lease Payment Due (incl. Interest) +1</t>
  </si>
  <si>
    <t>Sub-Lease Income +1</t>
  </si>
  <si>
    <t>Sub-Lease Income +2</t>
  </si>
  <si>
    <t>Sub-Lease Income +3</t>
  </si>
  <si>
    <t>Sub-Lease Income +4</t>
  </si>
  <si>
    <t>Sub-Lease Income +5</t>
  </si>
  <si>
    <t>Sub-Lease Income, Next 5 Yrs</t>
  </si>
  <si>
    <t>Sub-Lease Income, After 5 Yrs</t>
  </si>
  <si>
    <t>Interest Rate Data</t>
  </si>
  <si>
    <t>Metro Inc. (TSX:MRU) &gt; Financials &gt; Capital Structure Details</t>
  </si>
  <si>
    <t>Principal Due in Millions of the reported currency.</t>
  </si>
  <si>
    <t>Latest</t>
  </si>
  <si>
    <t>FQ1 2026 (Dec-20-2025) Capital Structure As Reported Details</t>
  </si>
  <si>
    <t>Principal Due (CAD)</t>
  </si>
  <si>
    <t>Maturity</t>
  </si>
  <si>
    <t>Seniority</t>
  </si>
  <si>
    <t>Secured</t>
  </si>
  <si>
    <t>Convertible</t>
  </si>
  <si>
    <t>Repayment Currency</t>
  </si>
  <si>
    <t>Lease Liabilities</t>
  </si>
  <si>
    <t>Capital Lease</t>
  </si>
  <si>
    <t>3.330%</t>
  </si>
  <si>
    <t>Senior</t>
  </si>
  <si>
    <t>Yes</t>
  </si>
  <si>
    <t>No</t>
  </si>
  <si>
    <t>Loans</t>
  </si>
  <si>
    <t>Term Loans</t>
  </si>
  <si>
    <t>3.570%</t>
  </si>
  <si>
    <t>Revolving Credit Facility</t>
  </si>
  <si>
    <t>Revolving Credit</t>
  </si>
  <si>
    <t>5.750%</t>
  </si>
  <si>
    <t>Bankers Acceptance Rate</t>
  </si>
  <si>
    <t>Series B Notes</t>
  </si>
  <si>
    <t>5.970%</t>
  </si>
  <si>
    <t>Series D Notes</t>
  </si>
  <si>
    <t>5.030%</t>
  </si>
  <si>
    <t>3.390%</t>
  </si>
  <si>
    <t>Series H Notes</t>
  </si>
  <si>
    <t>4.270%</t>
  </si>
  <si>
    <t>Series I Notes</t>
  </si>
  <si>
    <t>3.410%</t>
  </si>
  <si>
    <t>Series K Notes</t>
  </si>
  <si>
    <t>4.660%</t>
  </si>
  <si>
    <t>3.998%</t>
  </si>
  <si>
    <t>FY 2025 (Sep-27-2025) Capital Structure As Reported Details</t>
  </si>
  <si>
    <t>Series J Notes</t>
  </si>
  <si>
    <t>1.920%</t>
  </si>
  <si>
    <t>Metro Inc. (TSX:MRU) &gt; Financials &gt; Multiples</t>
  </si>
  <si>
    <t>View:</t>
  </si>
  <si>
    <t>Data</t>
  </si>
  <si>
    <t>Frequency:</t>
  </si>
  <si>
    <t>Quarterly</t>
  </si>
  <si>
    <t>Multiples Detail
                     In Millions of the reported currency, except per share items.</t>
  </si>
  <si>
    <t>For Quarter Ending</t>
  </si>
  <si>
    <t>TEV/LTM Total Revenue</t>
  </si>
  <si>
    <t>Average</t>
  </si>
  <si>
    <t>High</t>
  </si>
  <si>
    <t>Low</t>
  </si>
  <si>
    <t>Close</t>
  </si>
  <si>
    <t>TEV/NTM Total Revenues</t>
  </si>
  <si>
    <t>TEV/LTM EBITDA</t>
  </si>
  <si>
    <t>TEV/NTM EBITDA</t>
  </si>
  <si>
    <t>TEV/LTM EBIT</t>
  </si>
  <si>
    <t>TEV/NTM EBIT</t>
  </si>
  <si>
    <t>P/LTM EPS</t>
  </si>
  <si>
    <t>P/NTM EPS</t>
  </si>
  <si>
    <t>P/LTM Normalized EPS</t>
  </si>
  <si>
    <t>P/Tangible BV</t>
  </si>
  <si>
    <t>TEV/LTM Unlevered FCF</t>
  </si>
  <si>
    <t>Market Cap/LTM Levered FCF</t>
  </si>
  <si>
    <t>Average multiples are calculated using positive close values on each trading day within the frequency periods selected. Negative values are excluded from the calculation. When the Multiples are not meaningful, due to negative values, then they will not be displayed in the chart.</t>
  </si>
  <si>
    <t>When a mismatch exists between the currency of the equity listing and the reported financial results such results are translated into the currency of the listing at the exchange rate applicable on the financial period end date.</t>
  </si>
  <si>
    <t>Historical Equity Pricing Data supplied by Interactive Data Pricing and Reference Data LLC</t>
  </si>
  <si>
    <t>RSM333 Group18 Excel Worksheet</t>
    <phoneticPr fontId="27" type="noConversion"/>
  </si>
  <si>
    <t>Company: Metro Inc.</t>
    <phoneticPr fontId="27" type="noConversion"/>
  </si>
  <si>
    <t>Team Members: Sanyah, Dean, Qi, Sydney, Hanum Zahrani, Hanxiang</t>
    <phoneticPr fontId="2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</si>
</sst>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3" formatCode="_-* #,##0.00_-;\-* #,##0.00_-;_-* &quot;-&quot;??_-;_-@_-"/>
    <numFmt numFmtId="176" formatCode="&quot;$&quot;#,##0.00_);[Red]\(&quot;$&quot;#,##0.00\)"/>
    <numFmt numFmtId="177" formatCode="_(&quot;$&quot;* #,##0.00_);_(&quot;$&quot;* \(#,##0.00\);_(&quot;$&quot;* &quot;-&quot;??_);_(@_)"/>
    <numFmt numFmtId="178" formatCode="_(* #,##0.00_);_(* \(#,##0.00\);_(* &quot;-&quot;??_);_(@_)"/>
    <numFmt numFmtId="179" formatCode="_(* #,##0.0_);_(* \(#,##0.0\)_)\ ;_(* 0_)"/>
    <numFmt numFmtId="180" formatCode="_(#,##0.0%_);_(\(#,##0.0%\)_);_(#,##0.0%_)"/>
    <numFmt numFmtId="181" formatCode="_(* #,##0.0#_);_(* \(#,##0.0#\)_)\ ;_(* 0_)"/>
    <numFmt numFmtId="182" formatCode="_(#,##0.00%_);_(\(#,##0.00%\)_);_(#,##0.00%_)"/>
    <numFmt numFmtId="183" formatCode="#,##0.0\x"/>
    <numFmt numFmtId="184" formatCode="#,##0.00\x"/>
    <numFmt numFmtId="185" formatCode="_(* #,##0.0##_);_(* \(#,##0.0##\)_)\ ;_(* 0_)"/>
    <numFmt numFmtId="186" formatCode="mmm\-dd\-yyyy"/>
    <numFmt numFmtId="187" formatCode="_(* #,##0_);_(* \(#,##0\)_)\ ;_(* 0_)"/>
    <numFmt numFmtId="188" formatCode="_(\ #,##0.0_);_(\ \(#,##0.0\)_);_(\ &quot; - &quot;_)"/>
    <numFmt numFmtId="189" formatCode="0.000%"/>
    <numFmt numFmtId="190" formatCode="0.0%"/>
    <numFmt numFmtId="191" formatCode="0.0"/>
    <numFmt numFmtId="192" formatCode="_-* #,##0.0_-;\-* #,##0.0_-;_-* &quot;-&quot;?_-;_-@_-"/>
    <numFmt numFmtId="193" formatCode="0.0000"/>
    <numFmt numFmtId="194" formatCode="_(* #,##0_);_(* \(#,##0\);_(* &quot;-&quot;??_);_(@_)"/>
    <numFmt numFmtId="195" formatCode=".0\x"/>
    <numFmt numFmtId="196" formatCode="#,##0.0"/>
  </numFmts>
  <fonts count="79">
    <font>
      <sz val="10"/>
      <name val="Arial"/>
    </font>
    <font>
      <sz val="11"/>
      <color theme="1"/>
      <name val="等线"/>
      <family val="2"/>
      <scheme val="minor"/>
    </font>
    <font>
      <sz val="11"/>
      <color theme="1"/>
      <name val="等线"/>
      <family val="2"/>
      <scheme val="minor"/>
    </font>
    <font>
      <sz val="11"/>
      <color theme="1"/>
      <name val="等线"/>
      <family val="2"/>
      <scheme val="minor"/>
    </font>
    <font>
      <sz val="8"/>
      <name val="Arial"/>
      <family val="2"/>
    </font>
    <font>
      <b/>
      <sz val="13"/>
      <color indexed="8"/>
      <name val="Verdana"/>
      <family val="2"/>
    </font>
    <font>
      <b/>
      <sz val="12"/>
      <color indexed="8"/>
      <name val="Verdana"/>
      <family val="2"/>
    </font>
    <font>
      <b/>
      <sz val="10"/>
      <color indexed="9"/>
      <name val="Arial"/>
      <family val="2"/>
    </font>
    <font>
      <b/>
      <u val="singleAccounting"/>
      <sz val="8"/>
      <color indexed="8"/>
      <name val="Verdana"/>
      <family val="2"/>
    </font>
    <font>
      <b/>
      <sz val="8"/>
      <color indexed="9"/>
      <name val="Verdana"/>
      <family val="2"/>
    </font>
    <font>
      <b/>
      <u val="singleAccounting"/>
      <sz val="8"/>
      <color indexed="8"/>
      <name val="Arial"/>
      <family val="2"/>
    </font>
    <font>
      <sz val="8"/>
      <color indexed="8"/>
      <name val="Arial"/>
      <family val="2"/>
    </font>
    <font>
      <vertAlign val="superscript"/>
      <sz val="8"/>
      <color indexed="8"/>
      <name val="Arial"/>
      <family val="2"/>
    </font>
    <font>
      <vertAlign val="subscript"/>
      <sz val="8"/>
      <color indexed="8"/>
      <name val="Arial"/>
      <family val="2"/>
    </font>
    <font>
      <b/>
      <sz val="8"/>
      <color indexed="8"/>
      <name val="Arial"/>
      <family val="2"/>
    </font>
    <font>
      <i/>
      <sz val="8"/>
      <color indexed="8"/>
      <name val="Arial"/>
      <family val="2"/>
    </font>
    <font>
      <sz val="1"/>
      <color indexed="9"/>
      <name val="Symbol"/>
      <family val="1"/>
      <charset val="2"/>
    </font>
    <font>
      <sz val="10"/>
      <color indexed="8"/>
      <name val="Arial"/>
      <family val="2"/>
    </font>
    <font>
      <b/>
      <sz val="8"/>
      <color indexed="8"/>
      <name val="Verdana"/>
      <family val="2"/>
    </font>
    <font>
      <i/>
      <sz val="8"/>
      <name val="Arial"/>
      <family val="2"/>
    </font>
    <font>
      <b/>
      <sz val="8"/>
      <name val="Arial"/>
      <family val="2"/>
    </font>
    <font>
      <b/>
      <i/>
      <sz val="8"/>
      <color indexed="8"/>
      <name val="Arial"/>
      <family val="2"/>
    </font>
    <font>
      <b/>
      <u val="double"/>
      <sz val="8"/>
      <color indexed="8"/>
      <name val="Arial"/>
      <family val="2"/>
    </font>
    <font>
      <b/>
      <u/>
      <sz val="8"/>
      <color indexed="8"/>
      <name val="Arial"/>
      <family val="2"/>
    </font>
    <font>
      <b/>
      <u val="singleAccounting"/>
      <sz val="8"/>
      <color indexed="9"/>
      <name val="Verdana"/>
      <family val="2"/>
    </font>
    <font>
      <b/>
      <i/>
      <sz val="8"/>
      <name val="Arial"/>
      <family val="2"/>
    </font>
    <font>
      <sz val="10"/>
      <name val="Arial"/>
      <family val="2"/>
    </font>
    <font>
      <sz val="9"/>
      <name val="DengXian"/>
      <family val="3"/>
      <charset val="134"/>
    </font>
    <font>
      <sz val="11"/>
      <color theme="1"/>
      <name val="等线"/>
      <family val="2"/>
      <scheme val="minor"/>
    </font>
    <font>
      <b/>
      <sz val="11"/>
      <color theme="1"/>
      <name val="等线"/>
      <family val="2"/>
      <scheme val="minor"/>
    </font>
    <font>
      <sz val="11"/>
      <color theme="1"/>
      <name val="等线"/>
      <family val="2"/>
      <scheme val="minor"/>
    </font>
    <font>
      <b/>
      <sz val="11"/>
      <color rgb="FFFFFFFF"/>
      <name val="等线"/>
      <family val="4"/>
      <charset val="134"/>
    </font>
    <font>
      <sz val="11"/>
      <color rgb="FF000000"/>
      <name val="等线"/>
      <family val="4"/>
      <charset val="134"/>
    </font>
    <font>
      <sz val="12"/>
      <color rgb="FF000000"/>
      <name val="等线"/>
      <family val="4"/>
      <charset val="134"/>
    </font>
    <font>
      <b/>
      <sz val="12"/>
      <color rgb="FF000000"/>
      <name val="等线"/>
      <family val="4"/>
      <charset val="134"/>
    </font>
    <font>
      <sz val="11"/>
      <color rgb="FF000000"/>
      <name val="Aptos Narrow"/>
      <family val="2"/>
    </font>
    <font>
      <sz val="11"/>
      <color rgb="FF000000"/>
      <name val="等线"/>
      <family val="2"/>
      <scheme val="minor"/>
    </font>
    <font>
      <sz val="12"/>
      <color rgb="FF000000"/>
      <name val="Aptos Narrow"/>
      <family val="2"/>
    </font>
    <font>
      <sz val="10"/>
      <name val="Arial"/>
      <family val="2"/>
    </font>
    <font>
      <b/>
      <sz val="11"/>
      <color theme="0"/>
      <name val="等线"/>
      <family val="2"/>
      <scheme val="minor"/>
    </font>
    <font>
      <sz val="10"/>
      <color rgb="FF000000"/>
      <name val="Verdana"/>
      <family val="2"/>
    </font>
    <font>
      <sz val="11"/>
      <color indexed="8"/>
      <name val="等线"/>
      <family val="2"/>
      <scheme val="minor"/>
    </font>
    <font>
      <sz val="11"/>
      <name val="等线"/>
      <family val="2"/>
      <scheme val="minor"/>
    </font>
    <font>
      <b/>
      <sz val="11"/>
      <name val="等线"/>
      <family val="2"/>
      <scheme val="minor"/>
    </font>
    <font>
      <b/>
      <sz val="12"/>
      <name val="等线"/>
      <family val="2"/>
      <scheme val="minor"/>
    </font>
    <font>
      <u/>
      <sz val="10"/>
      <color theme="10"/>
      <name val="Arial"/>
      <family val="2"/>
    </font>
    <font>
      <sz val="12"/>
      <name val="等线"/>
      <family val="2"/>
      <scheme val="minor"/>
    </font>
    <font>
      <sz val="12"/>
      <name val="Arial"/>
      <family val="2"/>
    </font>
    <font>
      <b/>
      <sz val="12"/>
      <color theme="1"/>
      <name val="等线"/>
      <family val="2"/>
      <scheme val="minor"/>
    </font>
    <font>
      <sz val="12"/>
      <color theme="1"/>
      <name val="等线"/>
      <family val="2"/>
      <scheme val="minor"/>
    </font>
    <font>
      <u/>
      <sz val="12"/>
      <color theme="10"/>
      <name val="等线"/>
      <family val="2"/>
      <scheme val="minor"/>
    </font>
    <font>
      <b/>
      <sz val="12"/>
      <color theme="0"/>
      <name val="等线"/>
      <family val="2"/>
      <scheme val="minor"/>
    </font>
    <font>
      <sz val="12"/>
      <color indexed="8"/>
      <name val="等线"/>
      <family val="2"/>
      <scheme val="minor"/>
    </font>
    <font>
      <b/>
      <sz val="14"/>
      <name val="等线"/>
      <family val="2"/>
      <scheme val="minor"/>
    </font>
    <font>
      <b/>
      <sz val="14"/>
      <color rgb="FF222222"/>
      <name val="等线"/>
      <family val="2"/>
      <scheme val="minor"/>
    </font>
    <font>
      <b/>
      <sz val="14"/>
      <color theme="1"/>
      <name val="等线"/>
      <family val="2"/>
      <scheme val="minor"/>
    </font>
    <font>
      <b/>
      <sz val="12"/>
      <color rgb="FFFF0000"/>
      <name val="等线"/>
      <family val="2"/>
      <scheme val="minor"/>
    </font>
    <font>
      <sz val="10"/>
      <color theme="1"/>
      <name val="Avenir Next LT Pro"/>
      <family val="2"/>
    </font>
    <font>
      <b/>
      <sz val="10"/>
      <color rgb="FF000000"/>
      <name val="Avenir Next LT Pro"/>
      <family val="2"/>
    </font>
    <font>
      <sz val="10"/>
      <color rgb="FF000000"/>
      <name val="Avenir Next LT Pro"/>
      <family val="2"/>
    </font>
    <font>
      <b/>
      <i/>
      <sz val="10"/>
      <color rgb="FF000000"/>
      <name val="Avenir Next LT Pro"/>
      <family val="2"/>
    </font>
    <font>
      <i/>
      <sz val="10"/>
      <color rgb="FF000000"/>
      <name val="Avenir Next LT Pro"/>
      <family val="2"/>
    </font>
    <font>
      <b/>
      <sz val="10"/>
      <color theme="0"/>
      <name val="Avenir Next LT Pro"/>
      <family val="2"/>
    </font>
    <font>
      <b/>
      <sz val="13"/>
      <color rgb="FF000000"/>
      <name val="Avenir Next LT Pro"/>
      <family val="2"/>
    </font>
    <font>
      <b/>
      <sz val="10"/>
      <color theme="1"/>
      <name val="Avenir Next LT Pro"/>
      <family val="2"/>
    </font>
    <font>
      <b/>
      <i/>
      <u/>
      <sz val="10"/>
      <color rgb="FF000000"/>
      <name val="Avenir Next LT Pro"/>
      <family val="2"/>
    </font>
    <font>
      <sz val="12"/>
      <name val="等线"/>
      <family val="2"/>
      <scheme val="minor"/>
    </font>
    <font>
      <sz val="12"/>
      <color theme="3" tint="0.249977111117893"/>
      <name val="等线"/>
      <family val="2"/>
      <scheme val="minor"/>
    </font>
    <font>
      <b/>
      <sz val="11"/>
      <color theme="1"/>
      <name val="Aptos Narrow"/>
      <family val="2"/>
    </font>
    <font>
      <b/>
      <sz val="10"/>
      <color theme="0"/>
      <name val="Arial"/>
      <family val="2"/>
    </font>
    <font>
      <b/>
      <sz val="11"/>
      <color theme="0"/>
      <name val="等线"/>
      <scheme val="minor"/>
    </font>
    <font>
      <sz val="11"/>
      <color theme="0"/>
      <name val="等线"/>
      <scheme val="minor"/>
    </font>
    <font>
      <b/>
      <sz val="11"/>
      <color rgb="FFFF0000"/>
      <name val="等线"/>
      <scheme val="minor"/>
    </font>
    <font>
      <b/>
      <sz val="15"/>
      <color theme="3" tint="9.9978637043366805E-2"/>
      <name val="等线"/>
      <family val="2"/>
      <scheme val="minor"/>
    </font>
    <font>
      <b/>
      <sz val="15"/>
      <color theme="3" tint="9.9978637043366805E-2"/>
      <name val="等线"/>
      <scheme val="minor"/>
    </font>
    <font>
      <b/>
      <sz val="12"/>
      <color theme="1"/>
      <name val="等线"/>
      <scheme val="minor"/>
    </font>
    <font>
      <b/>
      <sz val="14"/>
      <color theme="0"/>
      <name val="Arial"/>
      <family val="2"/>
    </font>
    <font>
      <sz val="8"/>
      <color theme="0"/>
      <name val="Arial"/>
      <family val="2"/>
    </font>
    <font>
      <b/>
      <sz val="12"/>
      <color theme="0"/>
      <name val="Arial"/>
      <family val="2"/>
    </font>
  </fonts>
  <fills count="22">
    <fill>
      <patternFill patternType="none"/>
    </fill>
    <fill>
      <patternFill patternType="gray125"/>
    </fill>
    <fill>
      <patternFill patternType="solid">
        <fgColor indexed="63"/>
        <bgColor indexed="64"/>
      </patternFill>
    </fill>
    <fill>
      <patternFill patternType="solid">
        <fgColor indexed="62"/>
        <bgColor indexed="64"/>
      </patternFill>
    </fill>
    <fill>
      <patternFill patternType="solid">
        <fgColor indexed="56"/>
        <bgColor indexed="64"/>
      </patternFill>
    </fill>
    <fill>
      <patternFill patternType="solid">
        <fgColor indexed="60"/>
        <bgColor indexed="64"/>
      </patternFill>
    </fill>
    <fill>
      <patternFill patternType="solid">
        <fgColor theme="2"/>
        <bgColor indexed="64"/>
      </patternFill>
    </fill>
    <fill>
      <patternFill patternType="solid">
        <fgColor rgb="FFFFFFFF"/>
        <bgColor indexed="64"/>
      </patternFill>
    </fill>
    <fill>
      <patternFill patternType="solid">
        <fgColor theme="4" tint="0.79998168889431442"/>
        <bgColor indexed="64"/>
      </patternFill>
    </fill>
    <fill>
      <patternFill patternType="solid">
        <fgColor theme="4"/>
        <bgColor indexed="64"/>
      </patternFill>
    </fill>
    <fill>
      <patternFill patternType="solid">
        <fgColor theme="3" tint="0.89999084444715716"/>
        <bgColor indexed="64"/>
      </patternFill>
    </fill>
    <fill>
      <patternFill patternType="solid">
        <fgColor theme="0"/>
        <bgColor indexed="64"/>
      </patternFill>
    </fill>
    <fill>
      <patternFill patternType="solid">
        <fgColor theme="0" tint="-0.14999847407452621"/>
        <bgColor indexed="64"/>
      </patternFill>
    </fill>
    <fill>
      <patternFill patternType="solid">
        <fgColor rgb="FFFFFFFF"/>
        <bgColor rgb="FF000000"/>
      </patternFill>
    </fill>
    <fill>
      <patternFill patternType="solid">
        <fgColor rgb="FF00324D"/>
        <bgColor rgb="FF000000"/>
      </patternFill>
    </fill>
    <fill>
      <patternFill patternType="solid">
        <fgColor rgb="FFF0F0F0"/>
        <bgColor indexed="64"/>
      </patternFill>
    </fill>
    <fill>
      <patternFill patternType="solid">
        <fgColor theme="0"/>
        <bgColor rgb="FF000000"/>
      </patternFill>
    </fill>
    <fill>
      <patternFill patternType="solid">
        <fgColor theme="3" tint="0.79998168889431442"/>
        <bgColor indexed="64"/>
      </patternFill>
    </fill>
    <fill>
      <patternFill patternType="solid">
        <fgColor rgb="FFFFFF00"/>
        <bgColor indexed="64"/>
      </patternFill>
    </fill>
    <fill>
      <patternFill patternType="solid">
        <fgColor rgb="FF002060"/>
        <bgColor indexed="64"/>
      </patternFill>
    </fill>
    <fill>
      <patternFill patternType="solid">
        <fgColor theme="3" tint="0.749992370372631"/>
        <bgColor indexed="64"/>
      </patternFill>
    </fill>
    <fill>
      <patternFill patternType="solid">
        <fgColor theme="3" tint="9.9978637043366805E-2"/>
        <bgColor indexed="64"/>
      </patternFill>
    </fill>
  </fills>
  <borders count="37">
    <border>
      <left/>
      <right/>
      <top/>
      <bottom/>
      <diagonal/>
    </border>
    <border>
      <left/>
      <right/>
      <top style="thin">
        <color indexed="8"/>
      </top>
      <bottom/>
      <diagonal/>
    </border>
    <border>
      <left/>
      <right/>
      <top/>
      <bottom style="medium">
        <color auto="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rgb="FFEFEFE2"/>
      </left>
      <right style="medium">
        <color rgb="FFDEDFDE"/>
      </right>
      <top/>
      <bottom style="medium">
        <color rgb="FFDEDFDE"/>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thin">
        <color theme="1"/>
      </top>
      <bottom style="thin">
        <color theme="1"/>
      </bottom>
      <diagonal/>
    </border>
    <border>
      <left/>
      <right/>
      <top style="thin">
        <color indexed="64"/>
      </top>
      <bottom style="thin">
        <color indexed="64"/>
      </bottom>
      <diagonal/>
    </border>
    <border>
      <left/>
      <right/>
      <top/>
      <bottom style="thin">
        <color theme="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theme="1"/>
      </right>
      <top/>
      <bottom style="thin">
        <color indexed="64"/>
      </bottom>
      <diagonal/>
    </border>
    <border>
      <left/>
      <right style="thin">
        <color indexed="64"/>
      </right>
      <top/>
      <bottom style="thin">
        <color theme="1"/>
      </bottom>
      <diagonal/>
    </border>
  </borders>
  <cellStyleXfs count="26">
    <xf numFmtId="0" fontId="0" fillId="0" borderId="0"/>
    <xf numFmtId="0" fontId="5" fillId="0" borderId="0" applyAlignment="0"/>
    <xf numFmtId="0" fontId="6" fillId="0" borderId="0" applyAlignment="0"/>
    <xf numFmtId="0" fontId="7" fillId="2" borderId="0" applyAlignment="0"/>
    <xf numFmtId="0" fontId="8" fillId="3" borderId="0" applyAlignment="0"/>
    <xf numFmtId="0" fontId="9" fillId="4" borderId="0" applyAlignment="0"/>
    <xf numFmtId="0" fontId="10" fillId="5" borderId="0" applyAlignment="0"/>
    <xf numFmtId="0" fontId="11" fillId="0" borderId="0" applyAlignment="0"/>
    <xf numFmtId="0" fontId="12" fillId="0" borderId="0" applyAlignment="0"/>
    <xf numFmtId="0" fontId="13" fillId="0" borderId="0" applyAlignment="0"/>
    <xf numFmtId="0" fontId="14" fillId="0" borderId="0" applyAlignment="0"/>
    <xf numFmtId="0" fontId="15" fillId="0" borderId="0" applyAlignment="0"/>
    <xf numFmtId="0" fontId="14" fillId="0" borderId="0" applyAlignment="0">
      <alignment wrapText="1"/>
    </xf>
    <xf numFmtId="0" fontId="16" fillId="0" borderId="0" applyAlignment="0"/>
    <xf numFmtId="0" fontId="17" fillId="0" borderId="0" applyAlignment="0"/>
    <xf numFmtId="0" fontId="18" fillId="0" borderId="0" applyAlignment="0"/>
    <xf numFmtId="0" fontId="26" fillId="0" borderId="0"/>
    <xf numFmtId="0" fontId="28" fillId="0" borderId="0"/>
    <xf numFmtId="9" fontId="30" fillId="0" borderId="0" applyFont="0" applyFill="0" applyBorder="0" applyAlignment="0" applyProtection="0"/>
    <xf numFmtId="177" fontId="30" fillId="0" borderId="0" applyFont="0" applyFill="0" applyBorder="0" applyAlignment="0" applyProtection="0"/>
    <xf numFmtId="178" fontId="30" fillId="0" borderId="0" applyFont="0" applyFill="0" applyBorder="0" applyAlignment="0" applyProtection="0"/>
    <xf numFmtId="9" fontId="38" fillId="0" borderId="0" applyFont="0" applyFill="0" applyBorder="0" applyAlignment="0" applyProtection="0"/>
    <xf numFmtId="0" fontId="45" fillId="0" borderId="0" applyNumberFormat="0" applyFill="0" applyBorder="0" applyAlignment="0" applyProtection="0"/>
    <xf numFmtId="0" fontId="2" fillId="0" borderId="0"/>
    <xf numFmtId="177" fontId="2" fillId="0" borderId="0" applyFont="0" applyFill="0" applyBorder="0" applyAlignment="0" applyProtection="0"/>
    <xf numFmtId="9" fontId="2" fillId="0" borderId="0" applyFont="0" applyFill="0" applyBorder="0" applyAlignment="0" applyProtection="0"/>
  </cellStyleXfs>
  <cellXfs count="398">
    <xf numFmtId="0" fontId="4" fillId="0" borderId="0" xfId="0" applyFont="1"/>
    <xf numFmtId="0" fontId="5" fillId="0" borderId="0" xfId="0" applyFont="1"/>
    <xf numFmtId="0" fontId="19" fillId="0" borderId="0" xfId="0" applyFont="1" applyAlignment="1">
      <alignment wrapText="1"/>
    </xf>
    <xf numFmtId="0" fontId="20" fillId="0" borderId="0" xfId="0" applyFont="1"/>
    <xf numFmtId="0" fontId="11" fillId="0" borderId="0" xfId="0" applyFont="1" applyAlignment="1">
      <alignment horizontal="left" vertical="top"/>
    </xf>
    <xf numFmtId="49" fontId="4" fillId="0" borderId="0" xfId="0" applyNumberFormat="1" applyFont="1"/>
    <xf numFmtId="0" fontId="9" fillId="4" borderId="0" xfId="0" applyFont="1" applyFill="1"/>
    <xf numFmtId="0" fontId="14" fillId="5" borderId="0" xfId="0" applyFont="1" applyFill="1" applyAlignment="1">
      <alignment wrapText="1"/>
    </xf>
    <xf numFmtId="0" fontId="21" fillId="5" borderId="0" xfId="0" applyFont="1" applyFill="1" applyAlignment="1">
      <alignment wrapText="1"/>
    </xf>
    <xf numFmtId="0" fontId="14" fillId="0" borderId="0" xfId="0" applyFont="1" applyAlignment="1">
      <alignment horizontal="left" vertical="top"/>
    </xf>
    <xf numFmtId="0" fontId="15" fillId="0" borderId="0" xfId="0" applyFont="1" applyAlignment="1">
      <alignment horizontal="left" vertical="top"/>
    </xf>
    <xf numFmtId="0" fontId="4" fillId="0" borderId="0" xfId="0" applyFont="1" applyAlignment="1">
      <alignment vertical="top" wrapText="1"/>
    </xf>
    <xf numFmtId="0" fontId="14" fillId="5" borderId="0" xfId="0" applyFont="1" applyFill="1" applyAlignment="1">
      <alignment horizontal="right" wrapText="1"/>
    </xf>
    <xf numFmtId="0" fontId="21" fillId="5" borderId="0" xfId="0" applyFont="1" applyFill="1" applyAlignment="1">
      <alignment horizontal="right" wrapText="1"/>
    </xf>
    <xf numFmtId="179" fontId="14" fillId="0" borderId="0" xfId="0" applyNumberFormat="1" applyFont="1" applyAlignment="1">
      <alignment horizontal="right" vertical="top" wrapText="1"/>
    </xf>
    <xf numFmtId="180" fontId="15" fillId="0" borderId="0" xfId="0" applyNumberFormat="1" applyFont="1" applyAlignment="1">
      <alignment horizontal="right" vertical="top" wrapText="1"/>
    </xf>
    <xf numFmtId="181" fontId="14" fillId="0" borderId="0" xfId="0" applyNumberFormat="1" applyFont="1" applyAlignment="1">
      <alignment horizontal="right" vertical="top" wrapText="1"/>
    </xf>
    <xf numFmtId="49" fontId="11" fillId="0" borderId="0" xfId="0" applyNumberFormat="1" applyFont="1" applyAlignment="1">
      <alignment horizontal="right" vertical="top" wrapText="1"/>
    </xf>
    <xf numFmtId="179" fontId="11" fillId="0" borderId="0" xfId="0" applyNumberFormat="1" applyFont="1" applyAlignment="1">
      <alignment horizontal="right" vertical="top" wrapText="1"/>
    </xf>
    <xf numFmtId="182" fontId="15" fillId="0" borderId="0" xfId="0" applyNumberFormat="1" applyFont="1" applyAlignment="1">
      <alignment horizontal="right" vertical="top" wrapText="1"/>
    </xf>
    <xf numFmtId="49" fontId="15" fillId="0" borderId="0" xfId="0" applyNumberFormat="1" applyFont="1" applyAlignment="1">
      <alignment horizontal="right" vertical="top" wrapText="1"/>
    </xf>
    <xf numFmtId="181" fontId="11" fillId="0" borderId="0" xfId="0" applyNumberFormat="1" applyFont="1" applyAlignment="1">
      <alignment horizontal="right" vertical="top" wrapText="1"/>
    </xf>
    <xf numFmtId="0" fontId="4" fillId="0" borderId="0" xfId="0" applyFont="1" applyAlignment="1">
      <alignment horizontal="center" vertical="top" wrapText="1"/>
    </xf>
    <xf numFmtId="183" fontId="11" fillId="0" borderId="0" xfId="0" applyNumberFormat="1" applyFont="1" applyAlignment="1">
      <alignment horizontal="right" vertical="top" wrapText="1"/>
    </xf>
    <xf numFmtId="184" fontId="11" fillId="0" borderId="0" xfId="0" applyNumberFormat="1" applyFont="1" applyAlignment="1">
      <alignment horizontal="right" vertical="top" wrapText="1"/>
    </xf>
    <xf numFmtId="0" fontId="11" fillId="0" borderId="0" xfId="0" applyFont="1" applyAlignment="1">
      <alignment horizontal="center" vertical="center"/>
    </xf>
    <xf numFmtId="0" fontId="11" fillId="0" borderId="0" xfId="0" applyFont="1" applyAlignment="1">
      <alignment horizontal="left" vertical="center"/>
    </xf>
    <xf numFmtId="179" fontId="14" fillId="0" borderId="1" xfId="0" applyNumberFormat="1" applyFont="1" applyBorder="1" applyAlignment="1">
      <alignment horizontal="right" vertical="top" wrapText="1"/>
    </xf>
    <xf numFmtId="179" fontId="22" fillId="0" borderId="1" xfId="0" applyNumberFormat="1" applyFont="1" applyBorder="1" applyAlignment="1">
      <alignment horizontal="right" vertical="top" wrapText="1"/>
    </xf>
    <xf numFmtId="180" fontId="11" fillId="0" borderId="0" xfId="0" applyNumberFormat="1" applyFont="1" applyAlignment="1">
      <alignment horizontal="right" vertical="top" wrapText="1"/>
    </xf>
    <xf numFmtId="185" fontId="11" fillId="0" borderId="0" xfId="0" applyNumberFormat="1" applyFont="1" applyAlignment="1">
      <alignment horizontal="right" vertical="top" wrapText="1"/>
    </xf>
    <xf numFmtId="186" fontId="11" fillId="0" borderId="0" xfId="0" applyNumberFormat="1" applyFont="1" applyAlignment="1">
      <alignment horizontal="right" vertical="top" wrapText="1"/>
    </xf>
    <xf numFmtId="186" fontId="14" fillId="5" borderId="0" xfId="0" applyNumberFormat="1" applyFont="1" applyFill="1" applyAlignment="1">
      <alignment horizontal="right" wrapText="1"/>
    </xf>
    <xf numFmtId="179" fontId="23" fillId="0" borderId="0" xfId="0" applyNumberFormat="1" applyFont="1" applyAlignment="1">
      <alignment horizontal="right" vertical="top" wrapText="1"/>
    </xf>
    <xf numFmtId="179" fontId="22" fillId="0" borderId="0" xfId="0" applyNumberFormat="1" applyFont="1" applyAlignment="1">
      <alignment horizontal="right" vertical="top" wrapText="1"/>
    </xf>
    <xf numFmtId="187" fontId="11" fillId="0" borderId="0" xfId="0" applyNumberFormat="1" applyFont="1" applyAlignment="1">
      <alignment horizontal="right" vertical="top" wrapText="1"/>
    </xf>
    <xf numFmtId="0" fontId="11" fillId="0" borderId="0" xfId="0" applyFont="1" applyAlignment="1">
      <alignment horizontal="center" vertical="center" wrapText="1"/>
    </xf>
    <xf numFmtId="0" fontId="24" fillId="4" borderId="0" xfId="0" applyFont="1" applyFill="1" applyAlignment="1">
      <alignment horizontal="left"/>
    </xf>
    <xf numFmtId="0" fontId="10" fillId="5" borderId="0" xfId="0" applyFont="1" applyFill="1" applyAlignment="1">
      <alignment horizontal="right"/>
    </xf>
    <xf numFmtId="0" fontId="14" fillId="0" borderId="0" xfId="0" applyFont="1" applyAlignment="1">
      <alignment horizontal="left"/>
    </xf>
    <xf numFmtId="0" fontId="14" fillId="5" borderId="0" xfId="0" applyFont="1" applyFill="1" applyAlignment="1">
      <alignment horizontal="right"/>
    </xf>
    <xf numFmtId="186" fontId="14" fillId="5" borderId="0" xfId="0" applyNumberFormat="1" applyFont="1" applyFill="1" applyAlignment="1">
      <alignment horizontal="right"/>
    </xf>
    <xf numFmtId="0" fontId="14" fillId="0" borderId="0" xfId="0" applyFont="1" applyAlignment="1">
      <alignment horizontal="right"/>
    </xf>
    <xf numFmtId="184" fontId="11" fillId="0" borderId="0" xfId="0" applyNumberFormat="1" applyFont="1" applyAlignment="1">
      <alignment horizontal="right"/>
    </xf>
    <xf numFmtId="184" fontId="4" fillId="0" borderId="0" xfId="0" applyNumberFormat="1" applyFont="1" applyAlignment="1">
      <alignment horizontal="right"/>
    </xf>
    <xf numFmtId="0" fontId="4" fillId="0" borderId="0" xfId="0" applyFont="1" applyAlignment="1">
      <alignment horizontal="left"/>
    </xf>
    <xf numFmtId="0" fontId="4" fillId="0" borderId="0" xfId="0" applyFont="1" applyAlignment="1">
      <alignment horizontal="right" wrapText="1"/>
    </xf>
    <xf numFmtId="0" fontId="11" fillId="0" borderId="0" xfId="0" applyFont="1" applyAlignment="1">
      <alignment vertical="top" wrapText="1"/>
    </xf>
    <xf numFmtId="180" fontId="21" fillId="0" borderId="0" xfId="0" applyNumberFormat="1" applyFont="1" applyAlignment="1">
      <alignment horizontal="right" vertical="top" wrapText="1"/>
    </xf>
    <xf numFmtId="0" fontId="25" fillId="5" borderId="0" xfId="0" applyFont="1" applyFill="1" applyAlignment="1">
      <alignment horizontal="right" wrapText="1"/>
    </xf>
    <xf numFmtId="0" fontId="20" fillId="5" borderId="0" xfId="0" applyFont="1" applyFill="1" applyAlignment="1">
      <alignment horizontal="right" wrapText="1"/>
    </xf>
    <xf numFmtId="180" fontId="19" fillId="0" borderId="0" xfId="0" applyNumberFormat="1" applyFont="1" applyAlignment="1">
      <alignment horizontal="right"/>
    </xf>
    <xf numFmtId="180" fontId="25" fillId="0" borderId="0" xfId="0" applyNumberFormat="1" applyFont="1" applyAlignment="1">
      <alignment horizontal="right"/>
    </xf>
    <xf numFmtId="179" fontId="4" fillId="0" borderId="0" xfId="0" applyNumberFormat="1" applyFont="1" applyAlignment="1">
      <alignment horizontal="right"/>
    </xf>
    <xf numFmtId="179" fontId="20" fillId="0" borderId="0" xfId="0" applyNumberFormat="1" applyFont="1" applyAlignment="1">
      <alignment horizontal="right"/>
    </xf>
    <xf numFmtId="183" fontId="4" fillId="0" borderId="0" xfId="0" applyNumberFormat="1" applyFont="1" applyAlignment="1">
      <alignment horizontal="right"/>
    </xf>
    <xf numFmtId="186" fontId="4" fillId="0" borderId="0" xfId="0" applyNumberFormat="1" applyFont="1" applyAlignment="1">
      <alignment horizontal="right"/>
    </xf>
    <xf numFmtId="0" fontId="16" fillId="0" borderId="0" xfId="13" applyAlignment="1"/>
    <xf numFmtId="0" fontId="4" fillId="0" borderId="0" xfId="16" applyFont="1"/>
    <xf numFmtId="0" fontId="11" fillId="0" borderId="0" xfId="16" applyFont="1" applyAlignment="1">
      <alignment horizontal="center" vertical="center"/>
    </xf>
    <xf numFmtId="0" fontId="4" fillId="0" borderId="0" xfId="16" applyFont="1" applyAlignment="1">
      <alignment wrapText="1"/>
    </xf>
    <xf numFmtId="0" fontId="11" fillId="0" borderId="0" xfId="16" applyFont="1" applyAlignment="1">
      <alignment horizontal="center" vertical="top" wrapText="1"/>
    </xf>
    <xf numFmtId="186" fontId="11" fillId="0" borderId="0" xfId="16" applyNumberFormat="1" applyFont="1" applyAlignment="1">
      <alignment horizontal="center" vertical="top" wrapText="1"/>
    </xf>
    <xf numFmtId="188" fontId="11" fillId="0" borderId="0" xfId="16" applyNumberFormat="1" applyFont="1" applyAlignment="1">
      <alignment horizontal="center" vertical="top" wrapText="1"/>
    </xf>
    <xf numFmtId="0" fontId="11" fillId="0" borderId="0" xfId="16" applyFont="1" applyAlignment="1">
      <alignment vertical="top" wrapText="1"/>
    </xf>
    <xf numFmtId="0" fontId="10" fillId="5" borderId="0" xfId="16" applyFont="1" applyFill="1" applyAlignment="1">
      <alignment wrapText="1"/>
    </xf>
    <xf numFmtId="0" fontId="10" fillId="5" borderId="0" xfId="16" applyFont="1" applyFill="1" applyAlignment="1">
      <alignment horizontal="left" wrapText="1"/>
    </xf>
    <xf numFmtId="0" fontId="9" fillId="4" borderId="0" xfId="16" applyFont="1" applyFill="1"/>
    <xf numFmtId="49" fontId="4" fillId="0" borderId="0" xfId="16" applyNumberFormat="1" applyFont="1"/>
    <xf numFmtId="0" fontId="20" fillId="0" borderId="0" xfId="16" applyFont="1"/>
    <xf numFmtId="0" fontId="11" fillId="0" borderId="0" xfId="16" applyFont="1" applyAlignment="1">
      <alignment horizontal="left" vertical="top"/>
    </xf>
    <xf numFmtId="0" fontId="19" fillId="0" borderId="0" xfId="16" applyFont="1" applyAlignment="1">
      <alignment wrapText="1"/>
    </xf>
    <xf numFmtId="0" fontId="5" fillId="0" borderId="0" xfId="16" applyFont="1"/>
    <xf numFmtId="0" fontId="28" fillId="0" borderId="0" xfId="17"/>
    <xf numFmtId="0" fontId="29" fillId="0" borderId="0" xfId="17" applyFont="1"/>
    <xf numFmtId="191" fontId="28" fillId="0" borderId="0" xfId="17" applyNumberFormat="1"/>
    <xf numFmtId="10" fontId="28" fillId="0" borderId="0" xfId="17" applyNumberFormat="1"/>
    <xf numFmtId="0" fontId="32" fillId="0" borderId="0" xfId="17" applyFont="1"/>
    <xf numFmtId="9" fontId="28" fillId="0" borderId="0" xfId="17" applyNumberFormat="1"/>
    <xf numFmtId="10" fontId="33" fillId="0" borderId="0" xfId="17" applyNumberFormat="1" applyFont="1"/>
    <xf numFmtId="2" fontId="28" fillId="0" borderId="0" xfId="17" applyNumberFormat="1"/>
    <xf numFmtId="0" fontId="34" fillId="0" borderId="0" xfId="17" applyFont="1"/>
    <xf numFmtId="176" fontId="32" fillId="0" borderId="0" xfId="17" applyNumberFormat="1" applyFont="1"/>
    <xf numFmtId="176" fontId="28" fillId="0" borderId="0" xfId="17" applyNumberFormat="1"/>
    <xf numFmtId="2" fontId="32" fillId="0" borderId="0" xfId="17" applyNumberFormat="1" applyFont="1"/>
    <xf numFmtId="0" fontId="35" fillId="0" borderId="0" xfId="17" applyFont="1"/>
    <xf numFmtId="10" fontId="35" fillId="0" borderId="0" xfId="17" applyNumberFormat="1" applyFont="1"/>
    <xf numFmtId="176" fontId="0" fillId="0" borderId="0" xfId="19" applyNumberFormat="1" applyFont="1"/>
    <xf numFmtId="177" fontId="0" fillId="0" borderId="0" xfId="19" applyFont="1"/>
    <xf numFmtId="0" fontId="0" fillId="0" borderId="0" xfId="19" applyNumberFormat="1" applyFont="1"/>
    <xf numFmtId="0" fontId="33" fillId="0" borderId="0" xfId="17" applyFont="1"/>
    <xf numFmtId="178" fontId="29" fillId="0" borderId="0" xfId="20" applyFont="1"/>
    <xf numFmtId="178" fontId="36" fillId="0" borderId="0" xfId="20" applyFont="1"/>
    <xf numFmtId="0" fontId="33" fillId="0" borderId="0" xfId="19" applyNumberFormat="1" applyFont="1"/>
    <xf numFmtId="2" fontId="34" fillId="0" borderId="0" xfId="17" applyNumberFormat="1" applyFont="1"/>
    <xf numFmtId="10" fontId="34" fillId="0" borderId="0" xfId="17" applyNumberFormat="1" applyFont="1"/>
    <xf numFmtId="0" fontId="37" fillId="0" borderId="0" xfId="17" applyFont="1"/>
    <xf numFmtId="0" fontId="3" fillId="0" borderId="0" xfId="17" applyFont="1"/>
    <xf numFmtId="0" fontId="31" fillId="0" borderId="0" xfId="17" quotePrefix="1" applyFont="1"/>
    <xf numFmtId="0" fontId="14" fillId="6" borderId="0" xfId="0" applyFont="1" applyFill="1" applyAlignment="1">
      <alignment horizontal="left" vertical="top"/>
    </xf>
    <xf numFmtId="43" fontId="11" fillId="6" borderId="0" xfId="0" applyNumberFormat="1" applyFont="1" applyFill="1" applyAlignment="1">
      <alignment horizontal="left" vertical="top"/>
    </xf>
    <xf numFmtId="192" fontId="11" fillId="6" borderId="0" xfId="0" applyNumberFormat="1" applyFont="1" applyFill="1" applyAlignment="1">
      <alignment horizontal="left" vertical="top"/>
    </xf>
    <xf numFmtId="179" fontId="14" fillId="6" borderId="1" xfId="0" applyNumberFormat="1" applyFont="1" applyFill="1" applyBorder="1" applyAlignment="1">
      <alignment horizontal="right" vertical="top" wrapText="1"/>
    </xf>
    <xf numFmtId="192" fontId="4" fillId="0" borderId="0" xfId="0" applyNumberFormat="1" applyFont="1"/>
    <xf numFmtId="178" fontId="4" fillId="0" borderId="0" xfId="0" applyNumberFormat="1" applyFont="1"/>
    <xf numFmtId="179" fontId="14" fillId="6" borderId="0" xfId="0" applyNumberFormat="1" applyFont="1" applyFill="1" applyAlignment="1">
      <alignment horizontal="right" vertical="top" wrapText="1"/>
    </xf>
    <xf numFmtId="2" fontId="26" fillId="0" borderId="0" xfId="18" applyNumberFormat="1" applyFont="1"/>
    <xf numFmtId="0" fontId="11" fillId="6" borderId="0" xfId="0" applyFont="1" applyFill="1" applyAlignment="1">
      <alignment horizontal="left" vertical="top"/>
    </xf>
    <xf numFmtId="179" fontId="11" fillId="6" borderId="0" xfId="0" applyNumberFormat="1" applyFont="1" applyFill="1" applyAlignment="1">
      <alignment horizontal="right" vertical="top" wrapText="1"/>
    </xf>
    <xf numFmtId="0" fontId="42" fillId="0" borderId="0" xfId="0" applyFont="1"/>
    <xf numFmtId="0" fontId="41" fillId="0" borderId="12" xfId="0" applyFont="1" applyBorder="1" applyAlignment="1">
      <alignment horizontal="center" vertical="center"/>
    </xf>
    <xf numFmtId="0" fontId="41" fillId="0" borderId="11" xfId="0" applyFont="1" applyBorder="1" applyAlignment="1">
      <alignment horizontal="center" vertical="center"/>
    </xf>
    <xf numFmtId="14" fontId="41" fillId="0" borderId="11" xfId="0" applyNumberFormat="1" applyFont="1" applyBorder="1" applyAlignment="1">
      <alignment horizontal="center" vertical="center"/>
    </xf>
    <xf numFmtId="0" fontId="41" fillId="0" borderId="13" xfId="0" applyFont="1" applyBorder="1" applyAlignment="1">
      <alignment horizontal="center" vertical="center"/>
    </xf>
    <xf numFmtId="0" fontId="41" fillId="0" borderId="17" xfId="0" applyFont="1" applyBorder="1" applyAlignment="1">
      <alignment horizontal="center" vertical="center"/>
    </xf>
    <xf numFmtId="0" fontId="41" fillId="0" borderId="18" xfId="0" applyFont="1" applyBorder="1" applyAlignment="1">
      <alignment horizontal="center" vertical="center"/>
    </xf>
    <xf numFmtId="14" fontId="41" fillId="0" borderId="18" xfId="0" applyNumberFormat="1" applyFont="1" applyBorder="1" applyAlignment="1">
      <alignment horizontal="center" vertical="center"/>
    </xf>
    <xf numFmtId="0" fontId="41" fillId="0" borderId="19" xfId="0" applyFont="1" applyBorder="1" applyAlignment="1">
      <alignment horizontal="center" vertical="center"/>
    </xf>
    <xf numFmtId="0" fontId="42" fillId="0" borderId="0" xfId="0" applyFont="1" applyAlignment="1">
      <alignment horizontal="center" vertical="center"/>
    </xf>
    <xf numFmtId="10" fontId="41" fillId="0" borderId="11" xfId="21" applyNumberFormat="1" applyFont="1" applyBorder="1" applyAlignment="1">
      <alignment horizontal="center" vertical="center"/>
    </xf>
    <xf numFmtId="10" fontId="41" fillId="0" borderId="18" xfId="21" applyNumberFormat="1" applyFont="1" applyBorder="1" applyAlignment="1">
      <alignment horizontal="center" vertical="center"/>
    </xf>
    <xf numFmtId="0" fontId="42" fillId="0" borderId="11" xfId="0" applyFont="1" applyBorder="1" applyAlignment="1">
      <alignment horizontal="center" vertical="center"/>
    </xf>
    <xf numFmtId="10" fontId="42" fillId="0" borderId="11" xfId="21" applyNumberFormat="1" applyFont="1" applyBorder="1" applyAlignment="1">
      <alignment horizontal="center" vertical="center"/>
    </xf>
    <xf numFmtId="2" fontId="42" fillId="0" borderId="11" xfId="0" applyNumberFormat="1" applyFont="1" applyBorder="1" applyAlignment="1">
      <alignment horizontal="center" vertical="center"/>
    </xf>
    <xf numFmtId="2" fontId="42" fillId="0" borderId="11" xfId="21" applyNumberFormat="1" applyFont="1" applyBorder="1" applyAlignment="1">
      <alignment horizontal="center" vertical="center"/>
    </xf>
    <xf numFmtId="0" fontId="43" fillId="0" borderId="11" xfId="0" applyFont="1" applyBorder="1" applyAlignment="1">
      <alignment horizontal="center" vertical="center"/>
    </xf>
    <xf numFmtId="9" fontId="42" fillId="0" borderId="11" xfId="21" applyFont="1" applyBorder="1" applyAlignment="1">
      <alignment horizontal="center" vertical="center"/>
    </xf>
    <xf numFmtId="0" fontId="40" fillId="7" borderId="20" xfId="0" applyFont="1" applyFill="1" applyBorder="1" applyAlignment="1">
      <alignment horizontal="right"/>
    </xf>
    <xf numFmtId="0" fontId="42" fillId="0" borderId="12" xfId="0" applyFont="1" applyBorder="1" applyAlignment="1">
      <alignment horizontal="center" vertical="center"/>
    </xf>
    <xf numFmtId="2" fontId="42" fillId="0" borderId="13" xfId="0" applyNumberFormat="1" applyFont="1" applyBorder="1" applyAlignment="1">
      <alignment horizontal="center" vertical="center"/>
    </xf>
    <xf numFmtId="2" fontId="28" fillId="0" borderId="0" xfId="17" quotePrefix="1" applyNumberFormat="1"/>
    <xf numFmtId="180" fontId="11" fillId="6" borderId="0" xfId="0" applyNumberFormat="1" applyFont="1" applyFill="1" applyAlignment="1">
      <alignment horizontal="right" vertical="top" wrapText="1"/>
    </xf>
    <xf numFmtId="2" fontId="26" fillId="0" borderId="0" xfId="18" applyNumberFormat="1" applyFont="1" applyFill="1"/>
    <xf numFmtId="0" fontId="46" fillId="0" borderId="0" xfId="0" applyFont="1"/>
    <xf numFmtId="0" fontId="47" fillId="0" borderId="0" xfId="0" applyFont="1"/>
    <xf numFmtId="0" fontId="44" fillId="0" borderId="26" xfId="0" applyFont="1" applyBorder="1"/>
    <xf numFmtId="0" fontId="44" fillId="0" borderId="26" xfId="0" applyFont="1" applyBorder="1" applyAlignment="1">
      <alignment horizontal="left"/>
    </xf>
    <xf numFmtId="179" fontId="46" fillId="0" borderId="0" xfId="0" applyNumberFormat="1" applyFont="1" applyAlignment="1">
      <alignment horizontal="right"/>
    </xf>
    <xf numFmtId="0" fontId="46" fillId="0" borderId="24" xfId="0" applyFont="1" applyBorder="1"/>
    <xf numFmtId="179" fontId="44" fillId="0" borderId="24" xfId="0" applyNumberFormat="1" applyFont="1" applyBorder="1" applyAlignment="1">
      <alignment horizontal="right"/>
    </xf>
    <xf numFmtId="193" fontId="46" fillId="0" borderId="0" xfId="0" applyNumberFormat="1" applyFont="1" applyAlignment="1">
      <alignment horizontal="right"/>
    </xf>
    <xf numFmtId="0" fontId="48" fillId="0" borderId="9" xfId="0" applyFont="1" applyBorder="1"/>
    <xf numFmtId="0" fontId="48" fillId="0" borderId="25" xfId="0" applyFont="1" applyBorder="1"/>
    <xf numFmtId="0" fontId="49" fillId="0" borderId="0" xfId="0" applyFont="1"/>
    <xf numFmtId="10" fontId="46" fillId="0" borderId="0" xfId="0" applyNumberFormat="1" applyFont="1"/>
    <xf numFmtId="0" fontId="50" fillId="0" borderId="0" xfId="22" applyFont="1"/>
    <xf numFmtId="0" fontId="48" fillId="0" borderId="24" xfId="0" applyFont="1" applyBorder="1"/>
    <xf numFmtId="0" fontId="48" fillId="0" borderId="26" xfId="0" applyFont="1" applyBorder="1"/>
    <xf numFmtId="0" fontId="46" fillId="0" borderId="0" xfId="0" applyFont="1" applyAlignment="1">
      <alignment wrapText="1"/>
    </xf>
    <xf numFmtId="193" fontId="46" fillId="0" borderId="0" xfId="0" applyNumberFormat="1" applyFont="1"/>
    <xf numFmtId="0" fontId="46" fillId="8" borderId="0" xfId="0" applyFont="1" applyFill="1"/>
    <xf numFmtId="189" fontId="44" fillId="0" borderId="24" xfId="0" applyNumberFormat="1" applyFont="1" applyBorder="1"/>
    <xf numFmtId="0" fontId="44" fillId="0" borderId="0" xfId="0" applyFont="1"/>
    <xf numFmtId="0" fontId="52" fillId="0" borderId="0" xfId="0" applyFont="1" applyAlignment="1">
      <alignment horizontal="left" vertical="top" wrapText="1"/>
    </xf>
    <xf numFmtId="0" fontId="52" fillId="8" borderId="0" xfId="0" applyFont="1" applyFill="1" applyAlignment="1">
      <alignment horizontal="left" vertical="top" wrapText="1"/>
    </xf>
    <xf numFmtId="0" fontId="53" fillId="0" borderId="24" xfId="0" applyFont="1" applyBorder="1" applyAlignment="1">
      <alignment horizontal="left"/>
    </xf>
    <xf numFmtId="0" fontId="55" fillId="0" borderId="24" xfId="0" applyFont="1" applyBorder="1" applyAlignment="1">
      <alignment horizontal="left"/>
    </xf>
    <xf numFmtId="188" fontId="52" fillId="0" borderId="0" xfId="0" applyNumberFormat="1" applyFont="1" applyAlignment="1">
      <alignment horizontal="right" wrapText="1"/>
    </xf>
    <xf numFmtId="183" fontId="52" fillId="0" borderId="0" xfId="0" applyNumberFormat="1" applyFont="1" applyAlignment="1">
      <alignment horizontal="right" wrapText="1"/>
    </xf>
    <xf numFmtId="182" fontId="52" fillId="0" borderId="0" xfId="0" applyNumberFormat="1" applyFont="1" applyAlignment="1">
      <alignment horizontal="right" wrapText="1"/>
    </xf>
    <xf numFmtId="188" fontId="52" fillId="8" borderId="0" xfId="0" applyNumberFormat="1" applyFont="1" applyFill="1" applyAlignment="1">
      <alignment horizontal="right" wrapText="1"/>
    </xf>
    <xf numFmtId="183" fontId="52" fillId="8" borderId="0" xfId="0" applyNumberFormat="1" applyFont="1" applyFill="1" applyAlignment="1">
      <alignment horizontal="right" wrapText="1"/>
    </xf>
    <xf numFmtId="182" fontId="52" fillId="8" borderId="0" xfId="0" applyNumberFormat="1" applyFont="1" applyFill="1" applyAlignment="1">
      <alignment horizontal="right" wrapText="1"/>
    </xf>
    <xf numFmtId="0" fontId="52" fillId="8" borderId="0" xfId="0" applyFont="1" applyFill="1" applyAlignment="1">
      <alignment horizontal="right" wrapText="1"/>
    </xf>
    <xf numFmtId="191" fontId="29" fillId="0" borderId="0" xfId="17" applyNumberFormat="1" applyFont="1"/>
    <xf numFmtId="189" fontId="0" fillId="0" borderId="0" xfId="18" applyNumberFormat="1" applyFont="1" applyFill="1" applyAlignment="1">
      <alignment horizontal="left"/>
    </xf>
    <xf numFmtId="2" fontId="29" fillId="0" borderId="0" xfId="17" applyNumberFormat="1" applyFont="1"/>
    <xf numFmtId="190" fontId="0" fillId="0" borderId="0" xfId="18" applyNumberFormat="1" applyFont="1" applyFill="1"/>
    <xf numFmtId="2" fontId="33" fillId="0" borderId="0" xfId="17" applyNumberFormat="1" applyFont="1"/>
    <xf numFmtId="2" fontId="28" fillId="12" borderId="0" xfId="17" applyNumberFormat="1" applyFill="1"/>
    <xf numFmtId="2" fontId="28" fillId="0" borderId="23" xfId="17" applyNumberFormat="1" applyBorder="1"/>
    <xf numFmtId="0" fontId="29" fillId="11" borderId="6" xfId="17" applyFont="1" applyFill="1" applyBorder="1" applyAlignment="1">
      <alignment horizontal="center"/>
    </xf>
    <xf numFmtId="0" fontId="28" fillId="11" borderId="22" xfId="17" applyFill="1" applyBorder="1"/>
    <xf numFmtId="0" fontId="29" fillId="11" borderId="22" xfId="17" applyFont="1" applyFill="1" applyBorder="1" applyAlignment="1">
      <alignment horizontal="center"/>
    </xf>
    <xf numFmtId="0" fontId="28" fillId="11" borderId="16" xfId="17" applyFill="1" applyBorder="1"/>
    <xf numFmtId="0" fontId="57" fillId="0" borderId="0" xfId="23" applyFont="1"/>
    <xf numFmtId="0" fontId="57" fillId="11" borderId="0" xfId="23" applyFont="1" applyFill="1"/>
    <xf numFmtId="0" fontId="58" fillId="0" borderId="0" xfId="23" applyFont="1"/>
    <xf numFmtId="0" fontId="59" fillId="0" borderId="0" xfId="23" applyFont="1"/>
    <xf numFmtId="0" fontId="59" fillId="13" borderId="0" xfId="23" applyFont="1" applyFill="1"/>
    <xf numFmtId="0" fontId="60" fillId="0" borderId="0" xfId="23" applyFont="1"/>
    <xf numFmtId="0" fontId="61" fillId="0" borderId="0" xfId="23" applyFont="1"/>
    <xf numFmtId="0" fontId="62" fillId="14" borderId="27" xfId="23" applyFont="1" applyFill="1" applyBorder="1" applyAlignment="1">
      <alignment vertical="center"/>
    </xf>
    <xf numFmtId="0" fontId="62" fillId="14" borderId="27" xfId="23" applyFont="1" applyFill="1" applyBorder="1" applyAlignment="1">
      <alignment horizontal="center" vertical="center" wrapText="1"/>
    </xf>
    <xf numFmtId="194" fontId="62" fillId="14" borderId="27" xfId="23" applyNumberFormat="1" applyFont="1" applyFill="1" applyBorder="1" applyAlignment="1">
      <alignment horizontal="center" vertical="center" wrapText="1"/>
    </xf>
    <xf numFmtId="194" fontId="62" fillId="14" borderId="27" xfId="23" applyNumberFormat="1" applyFont="1" applyFill="1" applyBorder="1" applyAlignment="1">
      <alignment vertical="center"/>
    </xf>
    <xf numFmtId="194" fontId="62" fillId="14" borderId="0" xfId="23" applyNumberFormat="1" applyFont="1" applyFill="1" applyAlignment="1">
      <alignment vertical="center"/>
    </xf>
    <xf numFmtId="0" fontId="62" fillId="14" borderId="27" xfId="23" applyFont="1" applyFill="1" applyBorder="1" applyAlignment="1">
      <alignment horizontal="centerContinuous" vertical="center"/>
    </xf>
    <xf numFmtId="0" fontId="63" fillId="0" borderId="0" xfId="23" applyFont="1"/>
    <xf numFmtId="0" fontId="62" fillId="14" borderId="0" xfId="23" applyFont="1" applyFill="1" applyAlignment="1">
      <alignment horizontal="left" vertical="center" wrapText="1"/>
    </xf>
    <xf numFmtId="0" fontId="62" fillId="14" borderId="0" xfId="23" applyFont="1" applyFill="1" applyAlignment="1">
      <alignment horizontal="center" vertical="center" wrapText="1"/>
    </xf>
    <xf numFmtId="194" fontId="62" fillId="14" borderId="0" xfId="23" applyNumberFormat="1" applyFont="1" applyFill="1" applyAlignment="1">
      <alignment horizontal="center" vertical="center"/>
    </xf>
    <xf numFmtId="0" fontId="62" fillId="14" borderId="0" xfId="23" applyFont="1" applyFill="1" applyAlignment="1">
      <alignment horizontal="center" vertical="center"/>
    </xf>
    <xf numFmtId="0" fontId="59" fillId="0" borderId="11" xfId="24" applyNumberFormat="1" applyFont="1" applyFill="1" applyBorder="1" applyAlignment="1"/>
    <xf numFmtId="0" fontId="59" fillId="0" borderId="11" xfId="24" applyNumberFormat="1" applyFont="1" applyBorder="1"/>
    <xf numFmtId="0" fontId="2" fillId="0" borderId="0" xfId="23"/>
    <xf numFmtId="0" fontId="35" fillId="0" borderId="0" xfId="23" applyFont="1" applyAlignment="1">
      <alignment horizontal="center"/>
    </xf>
    <xf numFmtId="4" fontId="2" fillId="0" borderId="0" xfId="23" applyNumberFormat="1"/>
    <xf numFmtId="195" fontId="2" fillId="0" borderId="0" xfId="23" applyNumberFormat="1"/>
    <xf numFmtId="195" fontId="57" fillId="11" borderId="0" xfId="23" applyNumberFormat="1" applyFont="1" applyFill="1"/>
    <xf numFmtId="0" fontId="2" fillId="0" borderId="0" xfId="23" applyAlignment="1">
      <alignment horizontal="center"/>
    </xf>
    <xf numFmtId="0" fontId="59" fillId="0" borderId="0" xfId="24" applyNumberFormat="1" applyFont="1" applyFill="1" applyBorder="1" applyAlignment="1"/>
    <xf numFmtId="194" fontId="36" fillId="15" borderId="26" xfId="23" applyNumberFormat="1" applyFont="1" applyFill="1" applyBorder="1" applyAlignment="1">
      <alignment horizontal="left" vertical="center" wrapText="1"/>
    </xf>
    <xf numFmtId="0" fontId="57" fillId="15" borderId="26" xfId="23" applyFont="1" applyFill="1" applyBorder="1" applyAlignment="1">
      <alignment horizontal="center" vertical="center"/>
    </xf>
    <xf numFmtId="196" fontId="57" fillId="15" borderId="26" xfId="24" applyNumberFormat="1" applyFont="1" applyFill="1" applyBorder="1" applyAlignment="1">
      <alignment horizontal="right" wrapText="1"/>
    </xf>
    <xf numFmtId="194" fontId="57" fillId="15" borderId="26" xfId="24" applyNumberFormat="1" applyFont="1" applyFill="1" applyBorder="1" applyAlignment="1">
      <alignment horizontal="center" wrapText="1"/>
    </xf>
    <xf numFmtId="195" fontId="57" fillId="15" borderId="26" xfId="24" applyNumberFormat="1" applyFont="1" applyFill="1" applyBorder="1" applyAlignment="1">
      <alignment horizontal="right"/>
    </xf>
    <xf numFmtId="0" fontId="59" fillId="13" borderId="0" xfId="24" applyNumberFormat="1" applyFont="1" applyFill="1" applyBorder="1" applyAlignment="1"/>
    <xf numFmtId="194" fontId="59" fillId="16" borderId="0" xfId="23" applyNumberFormat="1" applyFont="1" applyFill="1" applyAlignment="1">
      <alignment horizontal="center" wrapText="1"/>
    </xf>
    <xf numFmtId="0" fontId="59" fillId="16" borderId="0" xfId="23" applyFont="1" applyFill="1" applyAlignment="1">
      <alignment horizontal="center" vertical="center"/>
    </xf>
    <xf numFmtId="194" fontId="57" fillId="0" borderId="0" xfId="23" applyNumberFormat="1" applyFont="1" applyAlignment="1">
      <alignment horizontal="right" wrapText="1"/>
    </xf>
    <xf numFmtId="194" fontId="57" fillId="0" borderId="0" xfId="24" applyNumberFormat="1" applyFont="1" applyFill="1" applyBorder="1" applyAlignment="1">
      <alignment horizontal="right" wrapText="1"/>
    </xf>
    <xf numFmtId="194" fontId="59" fillId="16" borderId="0" xfId="24" applyNumberFormat="1" applyFont="1" applyFill="1" applyBorder="1" applyAlignment="1">
      <alignment horizontal="center" wrapText="1"/>
    </xf>
    <xf numFmtId="195" fontId="59" fillId="16" borderId="0" xfId="24" applyNumberFormat="1" applyFont="1" applyFill="1" applyBorder="1" applyAlignment="1">
      <alignment horizontal="center"/>
    </xf>
    <xf numFmtId="194" fontId="58" fillId="0" borderId="21" xfId="23" applyNumberFormat="1" applyFont="1" applyBorder="1" applyAlignment="1">
      <alignment horizontal="left" wrapText="1"/>
    </xf>
    <xf numFmtId="0" fontId="2" fillId="0" borderId="21" xfId="23" applyBorder="1"/>
    <xf numFmtId="195" fontId="2" fillId="0" borderId="21" xfId="23" applyNumberFormat="1" applyBorder="1"/>
    <xf numFmtId="194" fontId="58" fillId="0" borderId="0" xfId="23" applyNumberFormat="1" applyFont="1" applyAlignment="1">
      <alignment horizontal="left" wrapText="1"/>
    </xf>
    <xf numFmtId="194" fontId="58" fillId="0" borderId="24" xfId="23" applyNumberFormat="1" applyFont="1" applyBorder="1" applyAlignment="1">
      <alignment horizontal="left" wrapText="1"/>
    </xf>
    <xf numFmtId="0" fontId="2" fillId="0" borderId="24" xfId="23" applyBorder="1"/>
    <xf numFmtId="195" fontId="2" fillId="0" borderId="24" xfId="23" applyNumberFormat="1" applyBorder="1"/>
    <xf numFmtId="195" fontId="59" fillId="16" borderId="0" xfId="24" applyNumberFormat="1" applyFont="1" applyFill="1" applyBorder="1" applyAlignment="1">
      <alignment horizontal="right"/>
    </xf>
    <xf numFmtId="0" fontId="62" fillId="14" borderId="0" xfId="23" applyFont="1" applyFill="1" applyAlignment="1">
      <alignment horizontal="left" vertical="center"/>
    </xf>
    <xf numFmtId="194" fontId="62" fillId="14" borderId="0" xfId="23" applyNumberFormat="1" applyFont="1" applyFill="1" applyAlignment="1">
      <alignment horizontal="center" vertical="center" wrapText="1"/>
    </xf>
    <xf numFmtId="194" fontId="58" fillId="16" borderId="21" xfId="23" applyNumberFormat="1" applyFont="1" applyFill="1" applyBorder="1" applyAlignment="1">
      <alignment horizontal="left" wrapText="1"/>
    </xf>
    <xf numFmtId="2" fontId="2" fillId="0" borderId="0" xfId="23" applyNumberFormat="1"/>
    <xf numFmtId="2" fontId="2" fillId="17" borderId="0" xfId="23" applyNumberFormat="1" applyFill="1"/>
    <xf numFmtId="194" fontId="58" fillId="16" borderId="24" xfId="23" applyNumberFormat="1" applyFont="1" applyFill="1" applyBorder="1" applyAlignment="1">
      <alignment horizontal="left" wrapText="1"/>
    </xf>
    <xf numFmtId="194" fontId="58" fillId="16" borderId="0" xfId="23" applyNumberFormat="1" applyFont="1" applyFill="1" applyAlignment="1">
      <alignment horizontal="left" wrapText="1"/>
    </xf>
    <xf numFmtId="0" fontId="64" fillId="0" borderId="0" xfId="24" applyNumberFormat="1" applyFont="1" applyFill="1"/>
    <xf numFmtId="0" fontId="64" fillId="0" borderId="0" xfId="24" applyNumberFormat="1" applyFont="1" applyFill="1" applyBorder="1" applyAlignment="1"/>
    <xf numFmtId="0" fontId="2" fillId="11" borderId="0" xfId="23" applyFill="1"/>
    <xf numFmtId="0" fontId="58" fillId="0" borderId="0" xfId="24" applyNumberFormat="1" applyFont="1" applyFill="1" applyBorder="1" applyAlignment="1">
      <alignment wrapText="1"/>
    </xf>
    <xf numFmtId="0" fontId="58" fillId="0" borderId="0" xfId="23" applyFont="1" applyAlignment="1">
      <alignment wrapText="1"/>
    </xf>
    <xf numFmtId="0" fontId="64" fillId="0" borderId="0" xfId="23" applyFont="1" applyAlignment="1">
      <alignment wrapText="1"/>
    </xf>
    <xf numFmtId="0" fontId="57" fillId="0" borderId="0" xfId="23" applyFont="1" applyAlignment="1">
      <alignment wrapText="1"/>
    </xf>
    <xf numFmtId="0" fontId="57" fillId="11" borderId="0" xfId="23" applyFont="1" applyFill="1" applyAlignment="1">
      <alignment wrapText="1"/>
    </xf>
    <xf numFmtId="2" fontId="2" fillId="11" borderId="0" xfId="23" applyNumberFormat="1" applyFill="1"/>
    <xf numFmtId="0" fontId="2" fillId="11" borderId="24" xfId="23" applyFill="1" applyBorder="1"/>
    <xf numFmtId="194" fontId="61" fillId="16" borderId="0" xfId="23" applyNumberFormat="1" applyFont="1" applyFill="1" applyAlignment="1">
      <alignment horizontal="left" wrapText="1"/>
    </xf>
    <xf numFmtId="0" fontId="65" fillId="13" borderId="0" xfId="23" applyFont="1" applyFill="1"/>
    <xf numFmtId="0" fontId="59" fillId="13" borderId="0" xfId="25" applyNumberFormat="1" applyFont="1" applyFill="1"/>
    <xf numFmtId="0" fontId="59" fillId="0" borderId="0" xfId="25" applyNumberFormat="1" applyFont="1"/>
    <xf numFmtId="0" fontId="58" fillId="13" borderId="0" xfId="23" quotePrefix="1" applyFont="1" applyFill="1"/>
    <xf numFmtId="0" fontId="59" fillId="13" borderId="0" xfId="24" applyNumberFormat="1" applyFont="1" applyFill="1"/>
    <xf numFmtId="0" fontId="59" fillId="0" borderId="0" xfId="24" applyNumberFormat="1" applyFont="1"/>
    <xf numFmtId="0" fontId="59" fillId="13" borderId="0" xfId="23" quotePrefix="1" applyFont="1" applyFill="1"/>
    <xf numFmtId="0" fontId="58" fillId="13" borderId="0" xfId="23" applyFont="1" applyFill="1"/>
    <xf numFmtId="0" fontId="59" fillId="13" borderId="0" xfId="23" applyFont="1" applyFill="1" applyAlignment="1">
      <alignment horizontal="center" vertical="center" wrapText="1"/>
    </xf>
    <xf numFmtId="0" fontId="57" fillId="11" borderId="0" xfId="23" applyFont="1" applyFill="1" applyAlignment="1">
      <alignment horizontal="left" vertical="top" wrapText="1"/>
    </xf>
    <xf numFmtId="0" fontId="66" fillId="0" borderId="0" xfId="0" applyFont="1"/>
    <xf numFmtId="189" fontId="46" fillId="0" borderId="0" xfId="0" applyNumberFormat="1" applyFont="1"/>
    <xf numFmtId="0" fontId="67" fillId="0" borderId="0" xfId="0" applyFont="1"/>
    <xf numFmtId="0" fontId="51" fillId="9" borderId="26" xfId="0" applyFont="1" applyFill="1" applyBorder="1"/>
    <xf numFmtId="189" fontId="46" fillId="10" borderId="0" xfId="0" applyNumberFormat="1" applyFont="1" applyFill="1"/>
    <xf numFmtId="191" fontId="46" fillId="0" borderId="0" xfId="0" applyNumberFormat="1" applyFont="1"/>
    <xf numFmtId="190" fontId="46" fillId="0" borderId="0" xfId="0" applyNumberFormat="1" applyFont="1"/>
    <xf numFmtId="0" fontId="44" fillId="0" borderId="0" xfId="0" applyFont="1" applyAlignment="1">
      <alignment horizontal="left"/>
    </xf>
    <xf numFmtId="0" fontId="1" fillId="0" borderId="0" xfId="17" applyFont="1"/>
    <xf numFmtId="0" fontId="29" fillId="0" borderId="0" xfId="17" applyFont="1" applyAlignment="1">
      <alignment horizontal="left"/>
    </xf>
    <xf numFmtId="0" fontId="1" fillId="0" borderId="21" xfId="17" applyFont="1" applyBorder="1"/>
    <xf numFmtId="0" fontId="28" fillId="0" borderId="21" xfId="17" applyBorder="1"/>
    <xf numFmtId="2" fontId="28" fillId="12" borderId="7" xfId="17" applyNumberFormat="1" applyFill="1" applyBorder="1"/>
    <xf numFmtId="2" fontId="28" fillId="12" borderId="9" xfId="17" applyNumberFormat="1" applyFill="1" applyBorder="1"/>
    <xf numFmtId="2" fontId="28" fillId="12" borderId="10" xfId="17" applyNumberFormat="1" applyFill="1" applyBorder="1"/>
    <xf numFmtId="2" fontId="28" fillId="11" borderId="14" xfId="17" applyNumberFormat="1" applyFill="1" applyBorder="1"/>
    <xf numFmtId="2" fontId="28" fillId="0" borderId="24" xfId="17" applyNumberFormat="1" applyBorder="1"/>
    <xf numFmtId="2" fontId="28" fillId="0" borderId="14" xfId="17" applyNumberFormat="1" applyBorder="1"/>
    <xf numFmtId="2" fontId="1" fillId="0" borderId="0" xfId="17" applyNumberFormat="1" applyFont="1"/>
    <xf numFmtId="10" fontId="1" fillId="0" borderId="0" xfId="17" applyNumberFormat="1" applyFont="1"/>
    <xf numFmtId="0" fontId="1" fillId="0" borderId="0" xfId="17" quotePrefix="1" applyFont="1"/>
    <xf numFmtId="2" fontId="1" fillId="0" borderId="0" xfId="17" quotePrefix="1" applyNumberFormat="1" applyFont="1"/>
    <xf numFmtId="191" fontId="1" fillId="0" borderId="0" xfId="17" applyNumberFormat="1" applyFont="1"/>
    <xf numFmtId="0" fontId="1" fillId="0" borderId="3" xfId="17" applyFont="1" applyBorder="1" applyAlignment="1">
      <alignment horizontal="left"/>
    </xf>
    <xf numFmtId="0" fontId="1" fillId="11" borderId="0" xfId="17" applyFont="1" applyFill="1" applyAlignment="1">
      <alignment horizontal="center"/>
    </xf>
    <xf numFmtId="0" fontId="1" fillId="11" borderId="6" xfId="17" applyFont="1" applyFill="1" applyBorder="1" applyAlignment="1">
      <alignment horizontal="center"/>
    </xf>
    <xf numFmtId="0" fontId="1" fillId="11" borderId="8" xfId="17" applyFont="1" applyFill="1" applyBorder="1" applyAlignment="1">
      <alignment horizontal="center"/>
    </xf>
    <xf numFmtId="0" fontId="1" fillId="0" borderId="19" xfId="17" applyFont="1" applyBorder="1"/>
    <xf numFmtId="178" fontId="1" fillId="0" borderId="0" xfId="20" applyFont="1"/>
    <xf numFmtId="0" fontId="42" fillId="0" borderId="28" xfId="0" applyFont="1" applyBorder="1"/>
    <xf numFmtId="0" fontId="42" fillId="0" borderId="29" xfId="0" applyFont="1" applyBorder="1"/>
    <xf numFmtId="0" fontId="42" fillId="0" borderId="30" xfId="0" applyFont="1" applyBorder="1"/>
    <xf numFmtId="0" fontId="42" fillId="0" borderId="31" xfId="0" applyFont="1" applyBorder="1"/>
    <xf numFmtId="0" fontId="42" fillId="0" borderId="32" xfId="0" applyFont="1" applyBorder="1"/>
    <xf numFmtId="0" fontId="43" fillId="0" borderId="31" xfId="0" applyFont="1" applyBorder="1"/>
    <xf numFmtId="0" fontId="43" fillId="0" borderId="0" xfId="0" applyFont="1"/>
    <xf numFmtId="0" fontId="43" fillId="0" borderId="33" xfId="0" applyFont="1" applyBorder="1"/>
    <xf numFmtId="0" fontId="43" fillId="0" borderId="2" xfId="0" applyFont="1" applyBorder="1"/>
    <xf numFmtId="0" fontId="42" fillId="0" borderId="2" xfId="0" applyFont="1" applyBorder="1"/>
    <xf numFmtId="0" fontId="42" fillId="0" borderId="34" xfId="0" applyFont="1" applyBorder="1"/>
    <xf numFmtId="0" fontId="46" fillId="0" borderId="29" xfId="0" applyFont="1" applyBorder="1"/>
    <xf numFmtId="0" fontId="46" fillId="0" borderId="30" xfId="0" applyFont="1" applyBorder="1"/>
    <xf numFmtId="0" fontId="46" fillId="0" borderId="32" xfId="0" applyFont="1" applyBorder="1"/>
    <xf numFmtId="0" fontId="46" fillId="0" borderId="2" xfId="0" applyFont="1" applyBorder="1"/>
    <xf numFmtId="0" fontId="46" fillId="0" borderId="34" xfId="0" applyFont="1" applyBorder="1"/>
    <xf numFmtId="0" fontId="51" fillId="19" borderId="26" xfId="0" applyFont="1" applyFill="1" applyBorder="1" applyAlignment="1">
      <alignment horizontal="left" wrapText="1"/>
    </xf>
    <xf numFmtId="0" fontId="51" fillId="19" borderId="26" xfId="0" applyFont="1" applyFill="1" applyBorder="1"/>
    <xf numFmtId="0" fontId="51" fillId="19" borderId="25" xfId="0" applyFont="1" applyFill="1" applyBorder="1" applyAlignment="1">
      <alignment wrapText="1"/>
    </xf>
    <xf numFmtId="0" fontId="52" fillId="10" borderId="0" xfId="0" applyFont="1" applyFill="1" applyAlignment="1">
      <alignment horizontal="left" vertical="top" wrapText="1"/>
    </xf>
    <xf numFmtId="0" fontId="46" fillId="10" borderId="0" xfId="0" applyFont="1" applyFill="1"/>
    <xf numFmtId="10" fontId="46" fillId="10" borderId="0" xfId="0" applyNumberFormat="1" applyFont="1" applyFill="1"/>
    <xf numFmtId="191" fontId="46" fillId="10" borderId="0" xfId="0" applyNumberFormat="1" applyFont="1" applyFill="1" applyAlignment="1">
      <alignment horizontal="right"/>
    </xf>
    <xf numFmtId="190" fontId="46" fillId="10" borderId="0" xfId="0" applyNumberFormat="1" applyFont="1" applyFill="1"/>
    <xf numFmtId="191" fontId="46" fillId="10" borderId="0" xfId="0" applyNumberFormat="1" applyFont="1" applyFill="1"/>
    <xf numFmtId="0" fontId="44" fillId="10" borderId="26" xfId="0" applyFont="1" applyFill="1" applyBorder="1"/>
    <xf numFmtId="10" fontId="44" fillId="10" borderId="26" xfId="0" applyNumberFormat="1" applyFont="1" applyFill="1" applyBorder="1"/>
    <xf numFmtId="189" fontId="44" fillId="10" borderId="26" xfId="0" applyNumberFormat="1" applyFont="1" applyFill="1" applyBorder="1"/>
    <xf numFmtId="191" fontId="44" fillId="10" borderId="26" xfId="0" applyNumberFormat="1" applyFont="1" applyFill="1" applyBorder="1"/>
    <xf numFmtId="190" fontId="44" fillId="10" borderId="26" xfId="0" applyNumberFormat="1" applyFont="1" applyFill="1" applyBorder="1"/>
    <xf numFmtId="189" fontId="56" fillId="10" borderId="26" xfId="0" applyNumberFormat="1" applyFont="1" applyFill="1" applyBorder="1"/>
    <xf numFmtId="189" fontId="46" fillId="20" borderId="0" xfId="0" applyNumberFormat="1" applyFont="1" applyFill="1"/>
    <xf numFmtId="0" fontId="39" fillId="21" borderId="14" xfId="0" applyFont="1" applyFill="1" applyBorder="1" applyAlignment="1">
      <alignment horizontal="center" vertical="center"/>
    </xf>
    <xf numFmtId="0" fontId="39" fillId="21" borderId="15" xfId="0" applyFont="1" applyFill="1" applyBorder="1" applyAlignment="1">
      <alignment horizontal="center" vertical="center"/>
    </xf>
    <xf numFmtId="0" fontId="39" fillId="21" borderId="16" xfId="0" applyFont="1" applyFill="1" applyBorder="1" applyAlignment="1">
      <alignment horizontal="center" vertical="center"/>
    </xf>
    <xf numFmtId="0" fontId="42" fillId="21" borderId="14" xfId="0" applyFont="1" applyFill="1" applyBorder="1" applyAlignment="1">
      <alignment horizontal="center" vertical="center"/>
    </xf>
    <xf numFmtId="0" fontId="42" fillId="21" borderId="15" xfId="0" applyFont="1" applyFill="1" applyBorder="1" applyAlignment="1">
      <alignment horizontal="center" vertical="center"/>
    </xf>
    <xf numFmtId="0" fontId="42" fillId="21" borderId="16" xfId="0" applyFont="1" applyFill="1" applyBorder="1" applyAlignment="1">
      <alignment horizontal="center" vertical="center"/>
    </xf>
    <xf numFmtId="0" fontId="42" fillId="10" borderId="12" xfId="0" applyFont="1" applyFill="1" applyBorder="1" applyAlignment="1">
      <alignment horizontal="center" vertical="center"/>
    </xf>
    <xf numFmtId="2" fontId="42" fillId="10" borderId="11" xfId="0" applyNumberFormat="1" applyFont="1" applyFill="1" applyBorder="1" applyAlignment="1">
      <alignment horizontal="center" vertical="center"/>
    </xf>
    <xf numFmtId="9" fontId="42" fillId="10" borderId="11" xfId="21" applyFont="1" applyFill="1" applyBorder="1" applyAlignment="1">
      <alignment horizontal="center" vertical="center"/>
    </xf>
    <xf numFmtId="2" fontId="42" fillId="10" borderId="13" xfId="0" applyNumberFormat="1" applyFont="1" applyFill="1" applyBorder="1" applyAlignment="1">
      <alignment horizontal="center" vertical="center"/>
    </xf>
    <xf numFmtId="0" fontId="42" fillId="10" borderId="17" xfId="0" applyFont="1" applyFill="1" applyBorder="1" applyAlignment="1">
      <alignment horizontal="center" vertical="center"/>
    </xf>
    <xf numFmtId="2" fontId="42" fillId="10" borderId="18" xfId="0" applyNumberFormat="1" applyFont="1" applyFill="1" applyBorder="1" applyAlignment="1">
      <alignment horizontal="center" vertical="center"/>
    </xf>
    <xf numFmtId="9" fontId="42" fillId="10" borderId="18" xfId="21" applyFont="1" applyFill="1" applyBorder="1" applyAlignment="1">
      <alignment horizontal="center" vertical="center"/>
    </xf>
    <xf numFmtId="2" fontId="42" fillId="10" borderId="19" xfId="0" applyNumberFormat="1" applyFont="1" applyFill="1" applyBorder="1" applyAlignment="1">
      <alignment horizontal="center" vertical="center"/>
    </xf>
    <xf numFmtId="0" fontId="69" fillId="21" borderId="0" xfId="0" applyFont="1" applyFill="1"/>
    <xf numFmtId="0" fontId="69" fillId="21" borderId="0" xfId="17" applyFont="1" applyFill="1"/>
    <xf numFmtId="0" fontId="28" fillId="10" borderId="0" xfId="17" applyFill="1"/>
    <xf numFmtId="10" fontId="1" fillId="10" borderId="0" xfId="17" applyNumberFormat="1" applyFont="1" applyFill="1"/>
    <xf numFmtId="10" fontId="28" fillId="10" borderId="0" xfId="17" applyNumberFormat="1" applyFill="1"/>
    <xf numFmtId="0" fontId="1" fillId="10" borderId="0" xfId="17" applyFont="1" applyFill="1"/>
    <xf numFmtId="2" fontId="28" fillId="10" borderId="0" xfId="17" applyNumberFormat="1" applyFill="1"/>
    <xf numFmtId="2" fontId="1" fillId="10" borderId="0" xfId="17" applyNumberFormat="1" applyFont="1" applyFill="1"/>
    <xf numFmtId="10" fontId="1" fillId="10" borderId="0" xfId="21" applyNumberFormat="1" applyFont="1" applyFill="1"/>
    <xf numFmtId="0" fontId="1" fillId="10" borderId="0" xfId="17" quotePrefix="1" applyFont="1" applyFill="1"/>
    <xf numFmtId="10" fontId="1" fillId="10" borderId="0" xfId="21" quotePrefix="1" applyNumberFormat="1" applyFont="1" applyFill="1"/>
    <xf numFmtId="0" fontId="70" fillId="21" borderId="0" xfId="17" applyFont="1" applyFill="1"/>
    <xf numFmtId="0" fontId="28" fillId="10" borderId="0" xfId="17" applyFill="1" applyAlignment="1">
      <alignment horizontal="left"/>
    </xf>
    <xf numFmtId="10" fontId="0" fillId="10" borderId="0" xfId="18" applyNumberFormat="1" applyFont="1" applyFill="1" applyAlignment="1">
      <alignment horizontal="left"/>
    </xf>
    <xf numFmtId="0" fontId="39" fillId="21" borderId="0" xfId="17" applyFont="1" applyFill="1"/>
    <xf numFmtId="0" fontId="71" fillId="21" borderId="0" xfId="17" applyFont="1" applyFill="1"/>
    <xf numFmtId="191" fontId="28" fillId="10" borderId="0" xfId="17" applyNumberFormat="1" applyFill="1"/>
    <xf numFmtId="0" fontId="29" fillId="10" borderId="0" xfId="17" applyFont="1" applyFill="1"/>
    <xf numFmtId="0" fontId="68" fillId="10" borderId="0" xfId="17" applyFont="1" applyFill="1"/>
    <xf numFmtId="9" fontId="1" fillId="10" borderId="0" xfId="21" applyFont="1" applyFill="1"/>
    <xf numFmtId="0" fontId="51" fillId="21" borderId="0" xfId="0" applyFont="1" applyFill="1"/>
    <xf numFmtId="0" fontId="51" fillId="21" borderId="0" xfId="0" applyFont="1" applyFill="1" applyAlignment="1">
      <alignment horizontal="left"/>
    </xf>
    <xf numFmtId="179" fontId="46" fillId="10" borderId="0" xfId="0" applyNumberFormat="1" applyFont="1" applyFill="1" applyAlignment="1">
      <alignment horizontal="right"/>
    </xf>
    <xf numFmtId="193" fontId="46" fillId="10" borderId="0" xfId="0" applyNumberFormat="1" applyFont="1" applyFill="1" applyAlignment="1">
      <alignment horizontal="right"/>
    </xf>
    <xf numFmtId="0" fontId="46" fillId="10" borderId="24" xfId="0" applyFont="1" applyFill="1" applyBorder="1"/>
    <xf numFmtId="193" fontId="46" fillId="10" borderId="24" xfId="0" applyNumberFormat="1" applyFont="1" applyFill="1" applyBorder="1" applyAlignment="1">
      <alignment horizontal="right"/>
    </xf>
    <xf numFmtId="0" fontId="49" fillId="10" borderId="0" xfId="0" applyFont="1" applyFill="1"/>
    <xf numFmtId="179" fontId="46" fillId="10" borderId="0" xfId="0" applyNumberFormat="1" applyFont="1" applyFill="1"/>
    <xf numFmtId="0" fontId="48" fillId="10" borderId="9" xfId="0" applyFont="1" applyFill="1" applyBorder="1"/>
    <xf numFmtId="189" fontId="44" fillId="10" borderId="24" xfId="0" applyNumberFormat="1" applyFont="1" applyFill="1" applyBorder="1"/>
    <xf numFmtId="0" fontId="46" fillId="10" borderId="0" xfId="0" applyFont="1" applyFill="1" applyAlignment="1">
      <alignment wrapText="1"/>
    </xf>
    <xf numFmtId="193" fontId="46" fillId="10" borderId="0" xfId="0" applyNumberFormat="1" applyFont="1" applyFill="1"/>
    <xf numFmtId="2" fontId="72" fillId="18" borderId="0" xfId="17" applyNumberFormat="1" applyFont="1" applyFill="1"/>
    <xf numFmtId="0" fontId="56" fillId="18" borderId="24" xfId="0" applyFont="1" applyFill="1" applyBorder="1"/>
    <xf numFmtId="189" fontId="56" fillId="18" borderId="24" xfId="0" applyNumberFormat="1" applyFont="1" applyFill="1" applyBorder="1"/>
    <xf numFmtId="0" fontId="75" fillId="10" borderId="0" xfId="0" applyFont="1" applyFill="1"/>
    <xf numFmtId="0" fontId="44" fillId="10" borderId="0" xfId="0" applyFont="1" applyFill="1"/>
    <xf numFmtId="0" fontId="72" fillId="0" borderId="0" xfId="0" applyFont="1"/>
    <xf numFmtId="2" fontId="0" fillId="10" borderId="23" xfId="18" applyNumberFormat="1" applyFont="1" applyFill="1" applyBorder="1"/>
    <xf numFmtId="2" fontId="0" fillId="10" borderId="36" xfId="18" applyNumberFormat="1" applyFont="1" applyFill="1" applyBorder="1"/>
    <xf numFmtId="10" fontId="0" fillId="10" borderId="24" xfId="18" applyNumberFormat="1" applyFont="1" applyFill="1" applyBorder="1"/>
    <xf numFmtId="10" fontId="0" fillId="10" borderId="35" xfId="18" applyNumberFormat="1" applyFont="1" applyFill="1" applyBorder="1"/>
    <xf numFmtId="2" fontId="28" fillId="10" borderId="23" xfId="17" applyNumberFormat="1" applyFill="1" applyBorder="1"/>
    <xf numFmtId="2" fontId="1" fillId="10" borderId="14" xfId="17" applyNumberFormat="1" applyFont="1" applyFill="1" applyBorder="1"/>
    <xf numFmtId="2" fontId="1" fillId="10" borderId="24" xfId="21" applyNumberFormat="1" applyFont="1" applyFill="1" applyBorder="1"/>
    <xf numFmtId="2" fontId="1" fillId="10" borderId="14" xfId="21" applyNumberFormat="1" applyFont="1" applyFill="1" applyBorder="1"/>
    <xf numFmtId="0" fontId="54" fillId="7" borderId="11" xfId="0" applyFont="1" applyFill="1" applyBorder="1" applyAlignment="1">
      <alignment horizontal="center" vertical="center" wrapText="1"/>
    </xf>
    <xf numFmtId="0" fontId="44" fillId="0" borderId="11" xfId="0" applyFont="1" applyBorder="1" applyAlignment="1">
      <alignment horizontal="center" vertical="center"/>
    </xf>
    <xf numFmtId="0" fontId="53" fillId="0" borderId="19" xfId="0" applyFont="1" applyBorder="1" applyAlignment="1">
      <alignment horizontal="center" vertical="center"/>
    </xf>
    <xf numFmtId="0" fontId="53" fillId="0" borderId="21" xfId="0" applyFont="1" applyBorder="1" applyAlignment="1">
      <alignment horizontal="center" vertical="center"/>
    </xf>
    <xf numFmtId="0" fontId="53" fillId="0" borderId="17" xfId="0" applyFont="1" applyBorder="1" applyAlignment="1">
      <alignment horizontal="center" vertical="center"/>
    </xf>
    <xf numFmtId="0" fontId="53" fillId="0" borderId="22" xfId="0" applyFont="1" applyBorder="1" applyAlignment="1">
      <alignment horizontal="center" vertical="center"/>
    </xf>
    <xf numFmtId="0" fontId="53" fillId="0" borderId="0" xfId="0" applyFont="1" applyAlignment="1">
      <alignment horizontal="center" vertical="center"/>
    </xf>
    <xf numFmtId="0" fontId="53" fillId="0" borderId="23" xfId="0" applyFont="1" applyBorder="1" applyAlignment="1">
      <alignment horizontal="center" vertical="center"/>
    </xf>
    <xf numFmtId="0" fontId="51" fillId="21" borderId="24" xfId="0" applyFont="1" applyFill="1" applyBorder="1" applyAlignment="1">
      <alignment horizontal="center"/>
    </xf>
    <xf numFmtId="0" fontId="51" fillId="21" borderId="0" xfId="0" applyFont="1" applyFill="1" applyAlignment="1">
      <alignment horizontal="center"/>
    </xf>
    <xf numFmtId="0" fontId="73" fillId="0" borderId="0" xfId="0" applyFont="1" applyAlignment="1">
      <alignment horizontal="center" vertical="center"/>
    </xf>
    <xf numFmtId="0" fontId="74" fillId="0" borderId="0" xfId="0" applyFont="1" applyAlignment="1">
      <alignment horizontal="center" vertical="center"/>
    </xf>
    <xf numFmtId="0" fontId="58" fillId="11" borderId="0" xfId="24" applyNumberFormat="1" applyFont="1" applyFill="1" applyAlignment="1">
      <alignment horizontal="center" vertical="center" wrapText="1"/>
    </xf>
    <xf numFmtId="0" fontId="57" fillId="11" borderId="0" xfId="23" applyFont="1" applyFill="1" applyAlignment="1">
      <alignment horizontal="left" vertical="top" wrapText="1"/>
    </xf>
    <xf numFmtId="0" fontId="59" fillId="11" borderId="0" xfId="23" applyFont="1" applyFill="1" applyAlignment="1">
      <alignment horizontal="left" vertical="top" wrapText="1"/>
    </xf>
    <xf numFmtId="0" fontId="29" fillId="11" borderId="4" xfId="17" applyFont="1" applyFill="1" applyBorder="1" applyAlignment="1">
      <alignment horizontal="center" vertical="center"/>
    </xf>
    <xf numFmtId="0" fontId="29" fillId="11" borderId="5" xfId="17" applyFont="1" applyFill="1" applyBorder="1" applyAlignment="1">
      <alignment horizontal="center" vertical="center"/>
    </xf>
    <xf numFmtId="0" fontId="29" fillId="11" borderId="21" xfId="17" applyFont="1" applyFill="1" applyBorder="1" applyAlignment="1">
      <alignment horizontal="center"/>
    </xf>
    <xf numFmtId="0" fontId="29" fillId="11" borderId="17" xfId="17" applyFont="1" applyFill="1" applyBorder="1" applyAlignment="1">
      <alignment horizontal="center"/>
    </xf>
    <xf numFmtId="0" fontId="14" fillId="5" borderId="0" xfId="0" applyFont="1" applyFill="1" applyAlignment="1">
      <alignment horizontal="center" wrapText="1"/>
    </xf>
    <xf numFmtId="0" fontId="11" fillId="0" borderId="0" xfId="0" applyFont="1" applyAlignment="1">
      <alignment vertical="top" wrapText="1"/>
    </xf>
    <xf numFmtId="0" fontId="4" fillId="0" borderId="0" xfId="0" applyFont="1"/>
    <xf numFmtId="0" fontId="20" fillId="5" borderId="0" xfId="0" applyFont="1" applyFill="1" applyAlignment="1">
      <alignment horizontal="center" wrapText="1"/>
    </xf>
    <xf numFmtId="0" fontId="4" fillId="19" borderId="0" xfId="0" applyFont="1" applyFill="1"/>
    <xf numFmtId="0" fontId="76" fillId="19" borderId="0" xfId="0" applyFont="1" applyFill="1"/>
    <xf numFmtId="0" fontId="77" fillId="19" borderId="0" xfId="0" applyFont="1" applyFill="1"/>
    <xf numFmtId="0" fontId="78" fillId="19" borderId="0" xfId="0" applyFont="1" applyFill="1"/>
  </cellXfs>
  <cellStyles count="29">
    <cellStyle name="ChartingText" xfId="14" xr:uid="{7315A360-F5BA-4A21-8895-B58FDB8858D5}"/>
    <cellStyle name="CHPAboveAverage" xfId="15" xr:uid="{CE3CA373-D78C-439E-8AAC-4CFC62652C1D}"/>
    <cellStyle name="CHPBelowAverage" xfId="15" xr:uid="{A9ACBCCF-8DD2-41CE-A221-C6A1F02675E9}"/>
    <cellStyle name="CHPBottom" xfId="15" xr:uid="{9FCA7804-58FD-4FA7-95EC-94382E117934}"/>
    <cellStyle name="CHPTop" xfId="15" xr:uid="{A6940285-FC9A-4395-A579-941CF4A97978}"/>
    <cellStyle name="ColumnHeaderNormal" xfId="6" xr:uid="{F5017F13-2892-4AAB-A8FE-BC18415F5A4E}"/>
    <cellStyle name="Comma 2" xfId="20" xr:uid="{D86A09AB-4A6C-493F-B12D-E543D284A71E}"/>
    <cellStyle name="Currency 2" xfId="19" xr:uid="{390A22D8-A560-4F96-88F1-18CF7A27576E}"/>
    <cellStyle name="Currency 2 2" xfId="24" xr:uid="{9848C8A3-2DE5-41D9-94BB-4F034B227521}"/>
    <cellStyle name="Hyperlink" xfId="22" builtinId="8"/>
    <cellStyle name="Invisible" xfId="13" xr:uid="{598F2673-990D-40EC-BA2A-A78826B6E750}"/>
    <cellStyle name="NewColumnHeaderNormal" xfId="4" xr:uid="{F775BAB1-80A9-49B1-AFCD-8CFC0392C73D}"/>
    <cellStyle name="NewSectionHeaderNormal" xfId="3" xr:uid="{BB01845A-FF6C-4D3F-B982-23C9482554CC}"/>
    <cellStyle name="NewTitleNormal" xfId="2" xr:uid="{48FDDCD9-5E21-4D69-9E76-A94FD59CBB80}"/>
    <cellStyle name="Normal" xfId="0" builtinId="0"/>
    <cellStyle name="Normal 2" xfId="16" xr:uid="{24E67F5D-9371-4AC4-9B63-768A14AD3080}"/>
    <cellStyle name="Normal 3" xfId="17" xr:uid="{DBDE6240-28C1-44AD-98FA-A97029EF3AA1}"/>
    <cellStyle name="Normal 4" xfId="23" xr:uid="{0D93F085-2BD7-4483-8EAF-A484CDF0665A}"/>
    <cellStyle name="Per cent" xfId="21" builtinId="5"/>
    <cellStyle name="Percent 2" xfId="18" xr:uid="{51EB6856-21B3-4AA6-BABF-7785CF964ED5}"/>
    <cellStyle name="Percent 3" xfId="25" xr:uid="{EA60E75C-AB6A-4678-9A89-C040CBC98DB4}"/>
    <cellStyle name="SectionHeaderNormal" xfId="5" xr:uid="{6B8F4444-0F4D-4D69-AA50-1F728A8EAE5A}"/>
    <cellStyle name="SubScript" xfId="9" xr:uid="{3A71BCC4-2492-4A3C-A158-2AD73B664E0F}"/>
    <cellStyle name="SuperScript" xfId="8" xr:uid="{26C68F73-6EC3-40EF-9D1C-1FCD0F45F39D}"/>
    <cellStyle name="TextBold" xfId="10" xr:uid="{15C51723-0DF5-481E-BB01-4802E1744790}"/>
    <cellStyle name="TextItalic" xfId="11" xr:uid="{B70038D9-3B22-4E45-8C42-F5794707320D}"/>
    <cellStyle name="TextNormal" xfId="7" xr:uid="{505080CB-253E-4B6D-A437-C637695C0031}"/>
    <cellStyle name="TitleNormal" xfId="1" xr:uid="{D9DB3CB8-ADFB-49A5-BB41-287F725127A7}"/>
    <cellStyle name="Total" xfId="12" builtinId="25" customBuiltin="1"/>
  </cellStyles>
  <dxfs count="33">
    <dxf>
      <font>
        <b/>
        <i val="0"/>
        <strike val="0"/>
        <u val="none"/>
        <sz val="11"/>
        <color theme="1"/>
        <name val="Aptos Narrow"/>
        <family val="2"/>
        <scheme val="none"/>
      </font>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ont>
        <b/>
        <strike val="0"/>
        <outline val="0"/>
        <shadow val="0"/>
        <u val="none"/>
        <vertAlign val="baseline"/>
        <sz val="10"/>
        <color theme="0"/>
        <name val="Arial"/>
        <family val="2"/>
        <scheme val="none"/>
      </font>
      <fill>
        <patternFill patternType="solid">
          <fgColor indexed="64"/>
          <bgColor theme="3" tint="9.9978637043366805E-2"/>
        </patternFill>
      </fill>
    </dxf>
    <dxf>
      <alignment horizontal="left"/>
    </dxf>
    <dxf>
      <font>
        <b/>
        <strike val="0"/>
        <outline val="0"/>
        <shadow val="0"/>
        <u val="none"/>
        <vertAlign val="baseline"/>
        <sz val="11"/>
        <color theme="0"/>
        <name val="等线"/>
        <scheme val="minor"/>
      </font>
      <fill>
        <patternFill patternType="solid">
          <fgColor indexed="64"/>
          <bgColor theme="3" tint="9.9978637043366805E-2"/>
        </patternFill>
      </fill>
    </dxf>
    <dxf>
      <font>
        <sz val="11"/>
        <name val="Aptos Narrow"/>
        <family val="2"/>
        <scheme val="minor"/>
      </font>
      <numFmt numFmtId="2" formatCode="0.00"/>
      <fill>
        <patternFill patternType="solid">
          <fgColor indexed="64"/>
          <bgColor rgb="FFFFFFFF"/>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z val="11"/>
        <name val="Aptos Narrow"/>
        <family val="2"/>
        <scheme val="minor"/>
      </font>
      <numFmt numFmtId="2" formatCode="0.00"/>
      <fill>
        <patternFill patternType="solid">
          <fgColor indexed="64"/>
          <bgColor rgb="FFC2DFFA"/>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Aptos Narrow"/>
        <family val="2"/>
        <scheme val="minor"/>
      </font>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minor"/>
      </font>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fill>
        <patternFill patternType="solid">
          <fgColor indexed="64"/>
          <bgColor theme="3" tint="9.9978637043366805E-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indexed="8"/>
        <name val="Aptos Narrow"/>
        <family val="2"/>
        <scheme val="minor"/>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indexed="8"/>
        <name val="Aptos Narrow"/>
        <family val="2"/>
        <scheme val="minor"/>
      </font>
      <numFmt numFmtId="19" formatCode="yyyy/mm/dd"/>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Aptos Narrow"/>
        <family val="2"/>
        <scheme val="minor"/>
      </font>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Aptos Narrow"/>
        <family val="2"/>
        <scheme val="minor"/>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Aptos Narrow"/>
        <family val="2"/>
        <scheme val="minor"/>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FA4040"/>
      <rgbColor rgb="00FFFFEB"/>
      <rgbColor rgb="00EEEEEE"/>
      <rgbColor rgb="00F0F0DC"/>
      <rgbColor rgb="00993366"/>
      <rgbColor rgb="00F5F5E1"/>
      <rgbColor rgb="00004080"/>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1.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47" Type="http://schemas.openxmlformats.org/officeDocument/2006/relationships/externalLink" Target="externalLinks/externalLink32.xml"/><Relationship Id="rId63" Type="http://schemas.openxmlformats.org/officeDocument/2006/relationships/externalLink" Target="externalLinks/externalLink48.xml"/><Relationship Id="rId68" Type="http://schemas.openxmlformats.org/officeDocument/2006/relationships/externalLink" Target="externalLinks/externalLink53.xml"/><Relationship Id="rId16" Type="http://schemas.openxmlformats.org/officeDocument/2006/relationships/externalLink" Target="externalLinks/externalLink1.xml"/><Relationship Id="rId11" Type="http://schemas.openxmlformats.org/officeDocument/2006/relationships/worksheet" Target="worksheets/sheet11.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53" Type="http://schemas.openxmlformats.org/officeDocument/2006/relationships/externalLink" Target="externalLinks/externalLink38.xml"/><Relationship Id="rId58" Type="http://schemas.openxmlformats.org/officeDocument/2006/relationships/externalLink" Target="externalLinks/externalLink43.xml"/><Relationship Id="rId74" Type="http://schemas.openxmlformats.org/officeDocument/2006/relationships/externalLink" Target="externalLinks/externalLink59.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46.xml"/><Relationship Id="rId82" Type="http://schemas.openxmlformats.org/officeDocument/2006/relationships/customXml" Target="../customXml/item3.xml"/><Relationship Id="rId19" Type="http://schemas.openxmlformats.org/officeDocument/2006/relationships/externalLink" Target="externalLinks/externalLink4.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56" Type="http://schemas.openxmlformats.org/officeDocument/2006/relationships/externalLink" Target="externalLinks/externalLink41.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80"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externalLink" Target="externalLinks/externalLink31.xml"/><Relationship Id="rId59" Type="http://schemas.openxmlformats.org/officeDocument/2006/relationships/externalLink" Target="externalLinks/externalLink44.xml"/><Relationship Id="rId67" Type="http://schemas.openxmlformats.org/officeDocument/2006/relationships/externalLink" Target="externalLinks/externalLink5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54" Type="http://schemas.openxmlformats.org/officeDocument/2006/relationships/externalLink" Target="externalLinks/externalLink39.xml"/><Relationship Id="rId62" Type="http://schemas.openxmlformats.org/officeDocument/2006/relationships/externalLink" Target="externalLinks/externalLink47.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externalLink" Target="externalLinks/externalLink34.xml"/><Relationship Id="rId57" Type="http://schemas.openxmlformats.org/officeDocument/2006/relationships/externalLink" Target="externalLinks/externalLink42.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externalLink" Target="externalLinks/externalLink29.xml"/><Relationship Id="rId52" Type="http://schemas.openxmlformats.org/officeDocument/2006/relationships/externalLink" Target="externalLinks/externalLink37.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73" Type="http://schemas.openxmlformats.org/officeDocument/2006/relationships/externalLink" Target="externalLinks/externalLink58.xml"/><Relationship Id="rId78" Type="http://schemas.openxmlformats.org/officeDocument/2006/relationships/sharedStrings" Target="sharedStrings.xml"/><Relationship Id="rId8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56.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99060</xdr:colOff>
      <xdr:row>2</xdr:row>
      <xdr:rowOff>83820</xdr:rowOff>
    </xdr:to>
    <xdr:pic>
      <xdr:nvPicPr>
        <xdr:cNvPr id="2" name="Picture 1">
          <a:extLst>
            <a:ext uri="{FF2B5EF4-FFF2-40B4-BE49-F238E27FC236}">
              <a16:creationId xmlns:a16="http://schemas.microsoft.com/office/drawing/2014/main" id="{33532984-576A-F174-A66D-42626E2139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04800"/>
          <a:ext cx="99060" cy="83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9</xdr:col>
      <xdr:colOff>0</xdr:colOff>
      <xdr:row>48</xdr:row>
      <xdr:rowOff>0</xdr:rowOff>
    </xdr:from>
    <xdr:ext cx="304800" cy="295730"/>
    <xdr:sp macro="" textlink="">
      <xdr:nvSpPr>
        <xdr:cNvPr id="2" name="AutoShape 1">
          <a:extLst>
            <a:ext uri="{FF2B5EF4-FFF2-40B4-BE49-F238E27FC236}">
              <a16:creationId xmlns:a16="http://schemas.microsoft.com/office/drawing/2014/main" id="{36C0CC23-15B9-4296-9DB6-F7EBA03E1A83}"/>
            </a:ext>
          </a:extLst>
        </xdr:cNvPr>
        <xdr:cNvSpPr>
          <a:spLocks noChangeAspect="1" noChangeArrowheads="1"/>
        </xdr:cNvSpPr>
      </xdr:nvSpPr>
      <xdr:spPr bwMode="auto">
        <a:xfrm>
          <a:off x="11328400" y="8775700"/>
          <a:ext cx="304800" cy="2957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63</xdr:row>
      <xdr:rowOff>0</xdr:rowOff>
    </xdr:from>
    <xdr:ext cx="304800" cy="308429"/>
    <xdr:sp macro="" textlink="">
      <xdr:nvSpPr>
        <xdr:cNvPr id="3" name="AutoShape 2">
          <a:extLst>
            <a:ext uri="{FF2B5EF4-FFF2-40B4-BE49-F238E27FC236}">
              <a16:creationId xmlns:a16="http://schemas.microsoft.com/office/drawing/2014/main" id="{0DDA83AE-6E0C-411F-8F2E-424ED473476F}"/>
            </a:ext>
          </a:extLst>
        </xdr:cNvPr>
        <xdr:cNvSpPr>
          <a:spLocks noChangeAspect="1" noChangeArrowheads="1"/>
        </xdr:cNvSpPr>
      </xdr:nvSpPr>
      <xdr:spPr bwMode="auto">
        <a:xfrm>
          <a:off x="13360400" y="11271250"/>
          <a:ext cx="304800" cy="3084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21</xdr:col>
      <xdr:colOff>0</xdr:colOff>
      <xdr:row>37</xdr:row>
      <xdr:rowOff>0</xdr:rowOff>
    </xdr:from>
    <xdr:to>
      <xdr:col>21</xdr:col>
      <xdr:colOff>304800</xdr:colOff>
      <xdr:row>38</xdr:row>
      <xdr:rowOff>120651</xdr:rowOff>
    </xdr:to>
    <xdr:sp macro="" textlink="">
      <xdr:nvSpPr>
        <xdr:cNvPr id="4" name="AutoShape 5">
          <a:extLst>
            <a:ext uri="{FF2B5EF4-FFF2-40B4-BE49-F238E27FC236}">
              <a16:creationId xmlns:a16="http://schemas.microsoft.com/office/drawing/2014/main" id="{88D930D8-8D83-4AB1-8EE7-977CF6C3785A}"/>
            </a:ext>
          </a:extLst>
        </xdr:cNvPr>
        <xdr:cNvSpPr>
          <a:spLocks noChangeAspect="1" noChangeArrowheads="1"/>
        </xdr:cNvSpPr>
      </xdr:nvSpPr>
      <xdr:spPr bwMode="auto">
        <a:xfrm>
          <a:off x="23063200" y="692150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981075</xdr:colOff>
      <xdr:row>2</xdr:row>
      <xdr:rowOff>90488</xdr:rowOff>
    </xdr:to>
    <xdr:pic>
      <xdr:nvPicPr>
        <xdr:cNvPr id="7170" name="Picture 2">
          <a:extLst>
            <a:ext uri="{FF2B5EF4-FFF2-40B4-BE49-F238E27FC236}">
              <a16:creationId xmlns:a16="http://schemas.microsoft.com/office/drawing/2014/main" id="{39D64D12-3150-0795-9D39-017DE0865E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81075" cy="3476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981075</xdr:colOff>
      <xdr:row>2</xdr:row>
      <xdr:rowOff>90488</xdr:rowOff>
    </xdr:to>
    <xdr:pic>
      <xdr:nvPicPr>
        <xdr:cNvPr id="3074" name="Picture 2">
          <a:extLst>
            <a:ext uri="{FF2B5EF4-FFF2-40B4-BE49-F238E27FC236}">
              <a16:creationId xmlns:a16="http://schemas.microsoft.com/office/drawing/2014/main" id="{F55C8E68-8EED-43CC-7596-B7AD04660D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81075" cy="3476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981075</xdr:colOff>
      <xdr:row>2</xdr:row>
      <xdr:rowOff>90488</xdr:rowOff>
    </xdr:to>
    <xdr:pic>
      <xdr:nvPicPr>
        <xdr:cNvPr id="5122" name="Picture 2">
          <a:extLst>
            <a:ext uri="{FF2B5EF4-FFF2-40B4-BE49-F238E27FC236}">
              <a16:creationId xmlns:a16="http://schemas.microsoft.com/office/drawing/2014/main" id="{0B05E8B2-EC0A-850D-4E6A-156B6FA474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81075" cy="3476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981075</xdr:colOff>
      <xdr:row>2</xdr:row>
      <xdr:rowOff>90488</xdr:rowOff>
    </xdr:to>
    <xdr:pic>
      <xdr:nvPicPr>
        <xdr:cNvPr id="1026" name="Picture 2">
          <a:extLst>
            <a:ext uri="{FF2B5EF4-FFF2-40B4-BE49-F238E27FC236}">
              <a16:creationId xmlns:a16="http://schemas.microsoft.com/office/drawing/2014/main" id="{1D60DF4A-4B80-D114-8802-9E0DA9FFBE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81075" cy="3476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14288</xdr:colOff>
      <xdr:row>68</xdr:row>
      <xdr:rowOff>0</xdr:rowOff>
    </xdr:from>
    <xdr:to>
      <xdr:col>3</xdr:col>
      <xdr:colOff>614363</xdr:colOff>
      <xdr:row>68</xdr:row>
      <xdr:rowOff>1905000</xdr:rowOff>
    </xdr:to>
    <xdr:pic>
      <xdr:nvPicPr>
        <xdr:cNvPr id="1027" name="Picture 3">
          <a:extLst>
            <a:ext uri="{FF2B5EF4-FFF2-40B4-BE49-F238E27FC236}">
              <a16:creationId xmlns:a16="http://schemas.microsoft.com/office/drawing/2014/main" id="{D64977F6-6F5C-43FC-5B82-C381ED4139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88" y="9720263"/>
          <a:ext cx="5986462"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981075</xdr:colOff>
      <xdr:row>2</xdr:row>
      <xdr:rowOff>90488</xdr:rowOff>
    </xdr:to>
    <xdr:pic>
      <xdr:nvPicPr>
        <xdr:cNvPr id="13314" name="Picture 2">
          <a:extLst>
            <a:ext uri="{FF2B5EF4-FFF2-40B4-BE49-F238E27FC236}">
              <a16:creationId xmlns:a16="http://schemas.microsoft.com/office/drawing/2014/main" id="{C9BE9D8B-F601-94B2-2997-05E701B570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81075" cy="3476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981075</xdr:colOff>
      <xdr:row>2</xdr:row>
      <xdr:rowOff>90488</xdr:rowOff>
    </xdr:to>
    <xdr:pic>
      <xdr:nvPicPr>
        <xdr:cNvPr id="2" name="Picture 2">
          <a:extLst>
            <a:ext uri="{FF2B5EF4-FFF2-40B4-BE49-F238E27FC236}">
              <a16:creationId xmlns:a16="http://schemas.microsoft.com/office/drawing/2014/main" id="{9AA173B3-CEF4-4A0D-84F0-0F195F4340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47700" cy="3476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981075</xdr:colOff>
      <xdr:row>2</xdr:row>
      <xdr:rowOff>90488</xdr:rowOff>
    </xdr:to>
    <xdr:pic>
      <xdr:nvPicPr>
        <xdr:cNvPr id="9218" name="Picture 2">
          <a:extLst>
            <a:ext uri="{FF2B5EF4-FFF2-40B4-BE49-F238E27FC236}">
              <a16:creationId xmlns:a16="http://schemas.microsoft.com/office/drawing/2014/main" id="{AB51ACD5-8B8C-21F8-424C-A8D8037D55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81075" cy="3476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85</xdr:row>
      <xdr:rowOff>0</xdr:rowOff>
    </xdr:from>
    <xdr:to>
      <xdr:col>1</xdr:col>
      <xdr:colOff>814388</xdr:colOff>
      <xdr:row>87</xdr:row>
      <xdr:rowOff>95250</xdr:rowOff>
    </xdr:to>
    <xdr:pic>
      <xdr:nvPicPr>
        <xdr:cNvPr id="9219" name="Picture 3">
          <a:extLst>
            <a:ext uri="{FF2B5EF4-FFF2-40B4-BE49-F238E27FC236}">
              <a16:creationId xmlns:a16="http://schemas.microsoft.com/office/drawing/2014/main" id="{E6C269DA-625B-B6AE-7224-D8910895A1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271838" y="11034713"/>
          <a:ext cx="814387" cy="5381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CACLGSFLAMES/Data/Excel/2003data/Brazil/Veracel/35K%20Chlorate-Less%20Chem-Isl-April-13-2003-.xls" TargetMode="External"/><Relationship Id="rId1" Type="http://schemas.openxmlformats.org/officeDocument/2006/relationships/externalLinkPath" Target="/CACLGSFLAMES/Data/Excel/2003data/Brazil/Veracel/35K%20Chlorate-Less%20Chem-Isl-April-13-200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utoronto-my.sharepoint.com/Users/cheng/Library/Containers/com.microsoft.Excel/Data/Documents/C:/CACLGSFLAMES/Data/Excel/2003data/Brazil/Veracel/35K%20Chlorate-Less%20Chem-Isl-April-13-200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NANCE/fs/2001/fs0106/FS0106.xls" TargetMode="External"/><Relationship Id="rId1" Type="http://schemas.openxmlformats.org/officeDocument/2006/relationships/externalLinkPath" Target="/FINANCE/fs/2001/fs0106/FS010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utoronto-my.sharepoint.com/Users/cheng/Library/Containers/com.microsoft.Excel/Data/Documents/C:/FINANCE/fs/2001/fs0106/FS0106.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CACLGSFLAMES/Data/Excel/2000data/finalstratplan/Huron2000/basecase3.xls" TargetMode="External"/><Relationship Id="rId1" Type="http://schemas.openxmlformats.org/officeDocument/2006/relationships/externalLinkPath" Target="/CACLGSFLAMES/Data/Excel/2000data/finalstratplan/Huron2000/basecase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utoronto-my.sharepoint.com/Users/cheng/Library/Containers/com.microsoft.Excel/Data/Documents/C:/CACLGSFLAMES/Data/Excel/2000data/finalstratplan/Huron2000/basecase3.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VAL/Nichols/Intellectual_P/D&amp;T_US_Docs/nichexa.xls" TargetMode="External"/><Relationship Id="rId1" Type="http://schemas.openxmlformats.org/officeDocument/2006/relationships/externalLinkPath" Target="/VAL/Nichols/Intellectual_P/D&amp;T_US_Docs/nichex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utoronto-my.sharepoint.com/Users/cheng/Library/Containers/com.microsoft.Excel/Data/Documents/C:/VAL/Nichols/Intellectual_P/D&amp;T_US_Docs/nichexa.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CLIENTS/FEI/INPROC5C.XLS" TargetMode="External"/><Relationship Id="rId1" Type="http://schemas.openxmlformats.org/officeDocument/2006/relationships/externalLinkPath" Target="/CLIENTS/FEI/INPROC5C.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utoronto-my.sharepoint.com/Users/cheng/Library/Containers/com.microsoft.Excel/Data/Documents/C:/CLIENTS/FEI/INPROC5C.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I:\Forecast%202001\5yr%20Forecast%20jan05%2011cent%20$150M%20equity%2077MW.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utoronto-my.sharepoint.com/Users/cheng/Library/Containers/com.microsoft.Excel/Data/Documents/I:/Forecast%202001/5yr%20Forecast%20jan05%2011cent%20$150M%20equity%2077MW.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CACLGSFLAMES/Data/3M%20Pricing/Block%20Pricing%20-%202001.xls" TargetMode="External"/><Relationship Id="rId1" Type="http://schemas.openxmlformats.org/officeDocument/2006/relationships/externalLinkPath" Target="/CACLGSFLAMES/Data/3M%20Pricing/Block%20Pricing%20-%20200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utoronto-my.sharepoint.com/Users/cheng/Library/Containers/com.microsoft.Excel/Data/Documents/C:/CACLGSFLAMES/Data/3M%20Pricing/Block%20Pricing%20-%202001.xls"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Server/data%20(d)/CLIENTS%20Stan's%20Server/E/Engineered%20Drilling%20Solutions%20Inc/2008%20-%202009%20Cash%20Flows/March%2009/$Mar%2009%20Cash%20Flow%20&amp;%20Micheal%20Budget%202010.xls" TargetMode="External"/><Relationship Id="rId1" Type="http://schemas.openxmlformats.org/officeDocument/2006/relationships/externalLinkPath" Target="/Server/data%20(d)/CLIENTS%20Stan's%20Server/E/Engineered%20Drilling%20Solutions%20Inc/2008%20-%202009%20Cash%20Flows/March%2009/$Mar%2009%20Cash%20Flow%20&amp;%20Micheal%20Budget%202010.xls" TargetMode="External"/></Relationships>
</file>

<file path=xl/externalLinks/_rels/externalLink16.xml.rels><?xml version="1.0" encoding="UTF-8" standalone="yes"?>
<Relationships xmlns="http://schemas.openxmlformats.org/package/2006/relationships"><Relationship Id="rId2" Type="http://schemas.microsoft.com/office/2019/04/relationships/externalLinkLongPath" Target="https://utoronto-my.sharepoint.com/Users/cheng/Library/Containers/com.microsoft.Excel/Data/Documents/C:/Server/data%20(d)/CLIENTS%20Stan's%20Server/E/Engineered%20Drilling%20Solutions%20Inc/2008%20-%202009%20Cash%20Flows/March%2009/$Mar%2009%20Cash%20Flow%20&amp;%20Micheal%20Budget%202010.xls?808FB0F4" TargetMode="External"/><Relationship Id="rId1" Type="http://schemas.openxmlformats.org/officeDocument/2006/relationships/externalLinkPath" Target="file:///\\808FB0F4\$Mar%2009%20Cash%20Flow%20&amp;%20Micheal%20Budget%202010.xls"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Users/ryanb/Downloads/Colfax-Model-vFINAL-First.xlsx" TargetMode="External"/><Relationship Id="rId1" Type="http://schemas.openxmlformats.org/officeDocument/2006/relationships/externalLinkPath" Target="/Users/ryanb/Downloads/Colfax-Model-vFINAL-Firs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utoronto-my.sharepoint.com/Users/cheng/Library/Containers/com.microsoft.Excel/Data/Documents/C:/Users/ryanb/Downloads/Colfax-Model-vFINAL-First.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Users/Cheryl%20Grant/Dropbox/Corporate%20(1)/6%20-%20Clients/2017%20Clients/2017%20Blackstone/6%20-%20VDR/Nuovo%20VDR/1.6%20NPI%20Financials%20&amp;%20Forecast.xlsx" TargetMode="External"/><Relationship Id="rId1" Type="http://schemas.openxmlformats.org/officeDocument/2006/relationships/externalLinkPath" Target="/Users/Cheryl%20Grant/Dropbox/Corporate%20(1)/6%20-%20Clients/2017%20Clients/2017%20Blackstone/6%20-%20VDR/Nuovo%20VDR/1.6%20NPI%20Financials%20&amp;%20Forecast.xlsx" TargetMode="External"/></Relationships>
</file>

<file path=xl/externalLinks/_rels/externalLink20.xml.rels><?xml version="1.0" encoding="UTF-8" standalone="yes"?>
<Relationships xmlns="http://schemas.openxmlformats.org/package/2006/relationships"><Relationship Id="rId2" Type="http://schemas.microsoft.com/office/2019/04/relationships/externalLinkLongPath" Target="https://utoronto-my.sharepoint.com/Users/cheng/Library/Containers/com.microsoft.Excel/Data/Documents/C:/Users/Cheryl%20Grant/Dropbox/Corporate%20(1)/6%20-%20Clients/2017%20Clients/2017%20Blackstone/6%20-%20VDR/Nuovo%20VDR/1.6%20NPI%20Financials%20&amp;%20Forecast.xlsx?0B3B5CE7" TargetMode="External"/><Relationship Id="rId1" Type="http://schemas.openxmlformats.org/officeDocument/2006/relationships/externalLinkPath" Target="file:///\\0B3B5CE7\1.6%20NPI%20Financials%20&amp;%20Forecast.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H:\KPL%20Action%20List\KPL%20Action%20and%20Roles%20File%20March%202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utoronto-my.sharepoint.com/Users/cheng/Library/Containers/com.microsoft.Excel/Data/Documents/H:/KPL%20Action%20List/KPL%20Action%20and%20Roles%20File%20March%2020.xls"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2K3SB2/Data/Documents%20and%20Settings/User/Local%20Settings/Temporary%20Internet%20Files/OLK1F/Chris%20Business/Coporate%20Plans/BH%20-%20RANCO%20Corporate/Building%20Willie%20Quote.xls" TargetMode="External"/><Relationship Id="rId1" Type="http://schemas.openxmlformats.org/officeDocument/2006/relationships/externalLinkPath" Target="/2K3SB2/Data/Documents%20and%20Settings/User/Local%20Settings/Temporary%20Internet%20Files/OLK1F/Chris%20Business/Coporate%20Plans/BH%20-%20RANCO%20Corporate/Building%20Willie%20Quote.xls" TargetMode="External"/></Relationships>
</file>

<file path=xl/externalLinks/_rels/externalLink24.xml.rels><?xml version="1.0" encoding="UTF-8" standalone="yes"?>
<Relationships xmlns="http://schemas.openxmlformats.org/package/2006/relationships"><Relationship Id="rId2" Type="http://schemas.microsoft.com/office/2019/04/relationships/externalLinkLongPath" Target="https://utoronto-my.sharepoint.com/Users/cheng/Library/Containers/com.microsoft.Excel/Data/Documents/C:/2K3SB2/Data/Documents%20and%20Settings/User/Local%20Settings/Temporary%20Internet%20Files/OLK1F/Chris%20Business/Coporate%20Plans/BH%20-%20RANCO%20Corporate/Building%20Willie%20Quote.xls?FB2455CE" TargetMode="External"/><Relationship Id="rId1" Type="http://schemas.openxmlformats.org/officeDocument/2006/relationships/externalLinkPath" Target="file:///\\FB2455CE\Building%20Willie%20Quote.xls"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Bigcountry1/financial/My%20Documents/Big%20Country/Business%20Plan/PF%20Balance%20Sheet,%20v.1.xls" TargetMode="External"/><Relationship Id="rId1" Type="http://schemas.openxmlformats.org/officeDocument/2006/relationships/externalLinkPath" Target="/Bigcountry1/financial/My%20Documents/Big%20Country/Business%20Plan/PF%20Balance%20Sheet,%20v.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utoronto-my.sharepoint.com/Users/cheng/Library/Containers/com.microsoft.Excel/Data/Documents/C:/Bigcountry1/financial/My%20Documents/Big%20Country/Business%20Plan/PF%20Balance%20Sheet,%20v.1.xls"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BIGCOUNTRY1/Mgmt%20Fin/My%20Documents/Big%20Country/Business%20Plan/PF%20Balance%20Sheet,%20v.1.xls" TargetMode="External"/><Relationship Id="rId1" Type="http://schemas.openxmlformats.org/officeDocument/2006/relationships/externalLinkPath" Target="/BIGCOUNTRY1/Mgmt%20Fin/My%20Documents/Big%20Country/Business%20Plan/PF%20Balance%20Sheet,%20v.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utoronto-my.sharepoint.com/Users/cheng/Library/Containers/com.microsoft.Excel/Data/Documents/C:/BIGCOUNTRY1/Mgmt%20Fin/My%20Documents/Big%20Country/Business%20Plan/PF%20Balance%20Sheet,%20v.1.xls"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Documents%20and%20Settings/Ryan%20Kalmacoff/Local%20Settings/Temporary%20Internet%20Files/Content.Outlook/YRLWSY1G/Powerpoint/TTM%20Transactions.xls" TargetMode="External"/><Relationship Id="rId1" Type="http://schemas.openxmlformats.org/officeDocument/2006/relationships/externalLinkPath" Target="/Documents%20and%20Settings/Ryan%20Kalmacoff/Local%20Settings/Temporary%20Internet%20Files/Content.Outlook/YRLWSY1G/Powerpoint/TTM%20Transactions.xls" TargetMode="External"/></Relationships>
</file>

<file path=xl/externalLinks/_rels/externalLink30.xml.rels><?xml version="1.0" encoding="UTF-8" standalone="yes"?>
<Relationships xmlns="http://schemas.openxmlformats.org/package/2006/relationships"><Relationship Id="rId2" Type="http://schemas.microsoft.com/office/2019/04/relationships/externalLinkLongPath" Target="https://utoronto-my.sharepoint.com/Users/cheng/Library/Containers/com.microsoft.Excel/Data/Documents/C:/Documents%20and%20Settings/Ryan%20Kalmacoff/Local%20Settings/Temporary%20Internet%20Files/Content.Outlook/YRLWSY1G/Powerpoint/TTM%20Transactions.xls?31E00CB7" TargetMode="External"/><Relationship Id="rId1" Type="http://schemas.openxmlformats.org/officeDocument/2006/relationships/externalLinkPath" Target="file:///\\31E00CB7\TTM%20Transactions.xls" TargetMode="External"/></Relationships>
</file>

<file path=xl/externalLinks/_rels/externalLink31.xml.rels><?xml version="1.0" encoding="UTF-8" standalone="yes"?>
<Relationships xmlns="http://schemas.openxmlformats.org/package/2006/relationships"><Relationship Id="rId2" Type="http://schemas.openxmlformats.org/officeDocument/2006/relationships/externalLinkPath" Target="../../../Bigcountry1/mgmt%20fin/Monthly%20Financials/Budget%20to%20Actual%20v.14,%2010-12-00.xls" TargetMode="External"/><Relationship Id="rId1" Type="http://schemas.openxmlformats.org/officeDocument/2006/relationships/externalLinkPath" Target="/Bigcountry1/mgmt%20fin/Monthly%20Financials/Budget%20to%20Actual%20v.14,%2010-12-00.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utoronto-my.sharepoint.com/Users/cheng/Library/Containers/com.microsoft.Excel/Data/Documents/C:/Bigcountry1/mgmt%20fin/Monthly%20Financials/Budget%20to%20Actual%20v.14,%2010-12-00.xls" TargetMode="External"/></Relationships>
</file>

<file path=xl/externalLinks/_rels/externalLink33.xml.rels><?xml version="1.0" encoding="UTF-8" standalone="yes"?>
<Relationships xmlns="http://schemas.openxmlformats.org/package/2006/relationships"><Relationship Id="rId2" Type="http://schemas.openxmlformats.org/officeDocument/2006/relationships/externalLinkPath" Target="../../../2K3SB2/Data/Documents%20and%20Settings/User/Local%20Settings/Temporary%20Internet%20Files/OLK1F/Chris%20Business/Coporate%20Plans/BH%20-%20RANCO%20Corporate/Building.xls" TargetMode="External"/><Relationship Id="rId1" Type="http://schemas.openxmlformats.org/officeDocument/2006/relationships/externalLinkPath" Target="/2K3SB2/Data/Documents%20and%20Settings/User/Local%20Settings/Temporary%20Internet%20Files/OLK1F/Chris%20Business/Coporate%20Plans/BH%20-%20RANCO%20Corporate/Building.xls" TargetMode="External"/></Relationships>
</file>

<file path=xl/externalLinks/_rels/externalLink34.xml.rels><?xml version="1.0" encoding="UTF-8" standalone="yes"?>
<Relationships xmlns="http://schemas.openxmlformats.org/package/2006/relationships"><Relationship Id="rId2" Type="http://schemas.microsoft.com/office/2019/04/relationships/externalLinkLongPath" Target="https://utoronto-my.sharepoint.com/Users/cheng/Library/Containers/com.microsoft.Excel/Data/Documents/C:/2K3SB2/Data/Documents%20and%20Settings/User/Local%20Settings/Temporary%20Internet%20Files/OLK1F/Chris%20Business/Coporate%20Plans/BH%20-%20RANCO%20Corporate/Building.xls?FB2455CE" TargetMode="External"/><Relationship Id="rId1" Type="http://schemas.openxmlformats.org/officeDocument/2006/relationships/externalLinkPath" Target="file:///\\FB2455CE\Building.xls" TargetMode="External"/></Relationships>
</file>

<file path=xl/externalLinks/_rels/externalLink35.xml.rels><?xml version="1.0" encoding="UTF-8" standalone="yes"?>
<Relationships xmlns="http://schemas.openxmlformats.org/package/2006/relationships"><Relationship Id="rId2" Type="http://schemas.openxmlformats.org/officeDocument/2006/relationships/externalLinkPath" Target="../../../AreaAGas/AAResults.xls" TargetMode="External"/><Relationship Id="rId1" Type="http://schemas.openxmlformats.org/officeDocument/2006/relationships/externalLinkPath" Target="/AreaAGas/AAResult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utoronto-my.sharepoint.com/Users/cheng/Library/Containers/com.microsoft.Excel/Data/Documents/C:/AreaAGas/AAResults.xls"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Users/sophia/Desktop/uoft/TSIC/Manchester%20United%20Model%20.xlsx" TargetMode="External"/><Relationship Id="rId1" Type="http://schemas.openxmlformats.org/officeDocument/2006/relationships/externalLinkPath" Target="/Users/sophia/Desktop/uoft/TSIC/Manchester%20United%20Model%20.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utoronto-my.sharepoint.com/Users/cheng/Library/Containers/com.microsoft.Excel/Data/Documents/C:/Users/sophia/Desktop/uoft/TSIC/Manchester%20United%20Model%20.xlsx"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CACLGSFLAMES/Data/Excel/Cash%20Flow%20Models/Cash%20Flow%20Consolidation%20Model%202001.xls" TargetMode="External"/><Relationship Id="rId1" Type="http://schemas.openxmlformats.org/officeDocument/2006/relationships/externalLinkPath" Target="/CACLGSFLAMES/Data/Excel/Cash%20Flow%20Models/Cash%20Flow%20Consolidation%20Model%20200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utoronto-my.sharepoint.com/Users/cheng/Library/Containers/com.microsoft.Excel/Data/Documents/C:/CACLGSFLAMES/Data/Excel/Cash%20Flow%20Models/Cash%20Flow%20Consolidation%20Model%202001.xls" TargetMode="External"/></Relationships>
</file>

<file path=xl/externalLinks/_rels/externalLink41.xml.rels><?xml version="1.0" encoding="UTF-8" standalone="yes"?>
<Relationships xmlns="http://schemas.openxmlformats.org/package/2006/relationships"><Relationship Id="rId2" Type="http://schemas.openxmlformats.org/officeDocument/2006/relationships/externalLinkPath" Target="../../../Documents%20and%20Settings/DTUPLIN/Local%20Settings/Temporary%20Internet%20Files/OLKB3/BUY%20Worksheets.xls" TargetMode="External"/><Relationship Id="rId1" Type="http://schemas.openxmlformats.org/officeDocument/2006/relationships/externalLinkPath" Target="/Documents%20and%20Settings/DTUPLIN/Local%20Settings/Temporary%20Internet%20Files/OLKB3/BUY%20Worksheets.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utoronto-my.sharepoint.com/Users/cheng/Library/Containers/com.microsoft.Excel/Data/Documents/C:/Documents%20and%20Settings/DTUPLIN/Local%20Settings/Temporary%20Internet%20Files/OLKB3/BUY%20Worksheets.xls" TargetMode="External"/></Relationships>
</file>

<file path=xl/externalLinks/_rels/externalLink43.xml.rels><?xml version="1.0" encoding="UTF-8" standalone="yes"?>
<Relationships xmlns="http://schemas.openxmlformats.org/package/2006/relationships"><Relationship Id="rId2" Type="http://schemas.openxmlformats.org/officeDocument/2006/relationships/externalLinkPath" Target="../../../CACLGSFLAMES/Data/Documents%20and%20Settings/kzack/_Data/Clients/Hyduke/Financial%20models%20-%20base%20case%20120301.xls" TargetMode="External"/><Relationship Id="rId1" Type="http://schemas.openxmlformats.org/officeDocument/2006/relationships/externalLinkPath" Target="/CACLGSFLAMES/Data/Documents%20and%20Settings/kzack/_Data/Clients/Hyduke/Financial%20models%20-%20base%20case%2012030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utoronto-my.sharepoint.com/Users/cheng/Library/Containers/com.microsoft.Excel/Data/Documents/C:/CACLGSFLAMES/Data/Documents%20and%20Settings/kzack/_Data/Clients/Hyduke/Financial%20models%20-%20base%20case%20120301.xls" TargetMode="External"/></Relationships>
</file>

<file path=xl/externalLinks/_rels/externalLink45.xml.rels><?xml version="1.0" encoding="UTF-8" standalone="yes"?>
<Relationships xmlns="http://schemas.openxmlformats.org/package/2006/relationships"><Relationship Id="rId2" Type="http://schemas.openxmlformats.org/officeDocument/2006/relationships/externalLinkPath" Target="../../../2006/2006%20Rosetta/Proposal/Rosetta%20Analysis.xls" TargetMode="External"/><Relationship Id="rId1" Type="http://schemas.openxmlformats.org/officeDocument/2006/relationships/externalLinkPath" Target="/2006/2006%20Rosetta/Proposal/Rosetta%20Analysis.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utoronto-my.sharepoint.com/Users/cheng/Library/Containers/com.microsoft.Excel/Data/Documents/C:/2006/2006%20Rosetta/Proposal/Rosetta%20Analysis.xls" TargetMode="External"/></Relationships>
</file>

<file path=xl/externalLinks/_rels/externalLink47.xml.rels><?xml version="1.0" encoding="UTF-8" standalone="yes"?>
<Relationships xmlns="http://schemas.openxmlformats.org/package/2006/relationships"><Relationship Id="rId2" Type="http://schemas.openxmlformats.org/officeDocument/2006/relationships/externalLinkPath" Target="../../../VAL/Avery%20Cooper%20&amp;%20Co/831524NWT/831524nwt.XLS" TargetMode="External"/><Relationship Id="rId1" Type="http://schemas.openxmlformats.org/officeDocument/2006/relationships/externalLinkPath" Target="/VAL/Avery%20Cooper%20&amp;%20Co/831524NWT/831524nwt.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s://utoronto-my.sharepoint.com/Users/cheng/Library/Containers/com.microsoft.Excel/Data/Documents/C:/VAL/Avery%20Cooper%20&amp;%20Co/831524NWT/831524nwt.XLS" TargetMode="External"/></Relationships>
</file>

<file path=xl/externalLinks/_rels/externalLink49.xml.rels><?xml version="1.0" encoding="UTF-8" standalone="yes"?>
<Relationships xmlns="http://schemas.openxmlformats.org/package/2006/relationships"><Relationship Id="rId2" Type="http://schemas.openxmlformats.org/officeDocument/2006/relationships/externalLinkPath" Target="../../../Active/Clients/Files/NortelAP/MODEL2.XLS" TargetMode="External"/><Relationship Id="rId1" Type="http://schemas.openxmlformats.org/officeDocument/2006/relationships/externalLinkPath" Target="/Active/Clients/Files/NortelAP/MODEL2.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utoronto-my.sharepoint.com/Users/cheng/Library/Containers/com.microsoft.Excel/Data/Documents/C:/Active/Clients/Files/NortelAP/MODEL2.XLS" TargetMode="External"/></Relationships>
</file>

<file path=xl/externalLinks/_rels/externalLink51.xml.rels><?xml version="1.0" encoding="UTF-8" standalone="yes"?>
<Relationships xmlns="http://schemas.openxmlformats.org/package/2006/relationships"><Relationship Id="rId2" Type="http://schemas.openxmlformats.org/officeDocument/2006/relationships/externalLinkPath" Target="../../../Users/Shelley%20Milne/Documents/companies/Action%20Documents/Financial%20Info/FS%20WP%20-%20FY20140930/2014%20Credit%20Line%20Projections.xlsx" TargetMode="External"/><Relationship Id="rId1" Type="http://schemas.openxmlformats.org/officeDocument/2006/relationships/externalLinkPath" Target="/Users/Shelley%20Milne/Documents/companies/Action%20Documents/Financial%20Info/FS%20WP%20-%20FY20140930/2014%20Credit%20Line%20Projections.xlsx" TargetMode="External"/></Relationships>
</file>

<file path=xl/externalLinks/_rels/externalLink52.xml.rels><?xml version="1.0" encoding="UTF-8" standalone="yes"?>
<Relationships xmlns="http://schemas.openxmlformats.org/package/2006/relationships"><Relationship Id="rId2" Type="http://schemas.microsoft.com/office/2019/04/relationships/externalLinkLongPath" Target="https://utoronto-my.sharepoint.com/Users/cheng/Library/Containers/com.microsoft.Excel/Data/Documents/C:/Users/Shelley%20Milne/Documents/companies/Action%20Documents/Financial%20Info/FS%20WP%20-%20FY20140930/2014%20Credit%20Line%20Projections.xlsx?5CDD0E13" TargetMode="External"/><Relationship Id="rId1" Type="http://schemas.openxmlformats.org/officeDocument/2006/relationships/externalLinkPath" Target="file:///\\5CDD0E13\2014%20Credit%20Line%20Projections.xlsx"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VAL/Avery%20Cooper%20&amp;%20Co/831524NWT/831524nwttest.XLS" TargetMode="External"/><Relationship Id="rId1" Type="http://schemas.openxmlformats.org/officeDocument/2006/relationships/externalLinkPath" Target="/VAL/Avery%20Cooper%20&amp;%20Co/831524NWT/831524nwttest.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utoronto-my.sharepoint.com/Users/cheng/Library/Containers/com.microsoft.Excel/Data/Documents/C:/VAL/Avery%20Cooper%20&amp;%20Co/831524NWT/831524nwttest.XLS" TargetMode="External"/></Relationships>
</file>

<file path=xl/externalLinks/_rels/externalLink55.xml.rels><?xml version="1.0" encoding="UTF-8" standalone="yes"?>
<Relationships xmlns="http://schemas.openxmlformats.org/package/2006/relationships"><Relationship Id="rId2" Type="http://schemas.openxmlformats.org/officeDocument/2006/relationships/externalLinkPath" Target="../../../personal/ryanb_williams_mail_utoronto_ca/Documents/Files/EC's/Case%20Comp/Case%20Comp%20Team/Waterloo/Comps%20and%20Precedents.xlsx" TargetMode="External"/><Relationship Id="rId1" Type="http://schemas.openxmlformats.org/officeDocument/2006/relationships/externalLinkPath" Target="/personal/ryanb_williams_mail_utoronto_ca/Documents/Files/EC's/Case%20Comp/Case%20Comp%20Team/Waterloo/Comps%20and%20Precedents.xlsx" TargetMode="External"/></Relationships>
</file>

<file path=xl/externalLinks/_rels/externalLink56.xml.rels><?xml version="1.0" encoding="UTF-8" standalone="yes"?>
<Relationships xmlns="http://schemas.openxmlformats.org/package/2006/relationships"><Relationship Id="rId2" Type="http://schemas.microsoft.com/office/2019/04/relationships/externalLinkLongPath" Target="https://utoronto-my.sharepoint.com/Users/cheng/Library/Containers/com.microsoft.Excel/Data/Documents/C:/personal/ryanb_williams_mail_utoronto_ca/Documents/Files/EC's/Case%20Comp/Case%20Comp%20Team/Waterloo/Comps%20and%20Precedents.xlsx?182C02E5" TargetMode="External"/><Relationship Id="rId1" Type="http://schemas.openxmlformats.org/officeDocument/2006/relationships/externalLinkPath" Target="file:///\\182C02E5\Comps%20and%20Precedents.xlsx"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CACLGSFLAMES/Data/FSS/Corporate%20Finance/Research/O&amp;G%20Industry%20Research/Equity%20Indicies.xls" TargetMode="External"/><Relationship Id="rId1" Type="http://schemas.openxmlformats.org/officeDocument/2006/relationships/externalLinkPath" Target="/CACLGSFLAMES/Data/FSS/Corporate%20Finance/Research/O&amp;G%20Industry%20Research/Equity%20Indicies.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s://utoronto-my.sharepoint.com/Users/cheng/Library/Containers/com.microsoft.Excel/Data/Documents/C:/CACLGSFLAMES/Data/FSS/Corporate%20Finance/Research/O&amp;G%20Industry%20Research/Equity%20Indicies.xls" TargetMode="External"/></Relationships>
</file>

<file path=xl/externalLinks/_rels/externalLink59.xml.rels><?xml version="1.0" encoding="UTF-8" standalone="yes"?>
<Relationships xmlns="http://schemas.openxmlformats.org/package/2006/relationships"><Relationship Id="rId2" Type="http://schemas.openxmlformats.org/officeDocument/2006/relationships/externalLinkPath" Target="../../../C:/Downloads/YHOO-Valuation.xls" TargetMode="External"/><Relationship Id="rId1" Type="http://schemas.openxmlformats.org/officeDocument/2006/relationships/externalLinkPath" Target="/C:/Downloads/YHOO-Valuation.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https://utoronto-my.sharepoint.com/Users/cheng/Library/Containers/com.microsoft.Excel/Data/Documents/C:/C:/Downloads/YHOO-Valuati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Veracel -Dedicated -Full"/>
      <sheetName val="Integrated"/>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acel -Dedicated -Full"/>
      <sheetName val="Integrated"/>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highlights"/>
      <sheetName val="bs"/>
      <sheetName val="is"/>
      <sheetName val="retearn"/>
      <sheetName val="cstrev"/>
      <sheetName val="genadm"/>
      <sheetName val="ernctr"/>
      <sheetName val="cntcpl"/>
      <sheetName val="conprg"/>
      <sheetName val="comb bs"/>
      <sheetName val="comb is ytd"/>
      <sheetName val="comb cr ytd"/>
      <sheetName val="comb ga ytd"/>
      <sheetName val="comb is "/>
      <sheetName val="comb cr"/>
      <sheetName val="comb ga"/>
      <sheetName val="graphs"/>
      <sheetName val="Sheet1"/>
      <sheetName val="proj bs"/>
      <sheetName val="proj is"/>
      <sheetName val="GLBYLEA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adm"/>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ssumption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Variables"/>
      <sheetName val="Table of Contents"/>
      <sheetName val="AllocValue"/>
      <sheetName val="Allocation"/>
      <sheetName val="BusinessEntValu"/>
      <sheetName val="RevenuesDetail"/>
      <sheetName val="DevTechExp"/>
      <sheetName val="InProcTechExp"/>
      <sheetName val="FutTechExp"/>
      <sheetName val="COC Analysis"/>
      <sheetName val="DT - 1"/>
      <sheetName val="DT - 2"/>
      <sheetName val="DT - 3"/>
      <sheetName val="DT - 4"/>
      <sheetName val="CoreTech"/>
      <sheetName val="DT-Notes"/>
      <sheetName val="IPT - A"/>
      <sheetName val="IPT - B"/>
      <sheetName val="IPT - C"/>
      <sheetName val="IPT - D"/>
      <sheetName val="IPT - E"/>
      <sheetName val="IPT - F"/>
      <sheetName val="IPT-Notes"/>
      <sheetName val="FutProducts"/>
      <sheetName val="Workforce"/>
      <sheetName val="Non-Compete"/>
      <sheetName val="CustRel"/>
      <sheetName val="ContribAssets"/>
      <sheetName val="COC Recon"/>
      <sheetName val="CF Check"/>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Variabl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Qtr 4"/>
      <sheetName val="Existing"/>
      <sheetName val="Existing Patents"/>
      <sheetName val="Existing Chart"/>
      <sheetName val="In Process Patents"/>
      <sheetName val="In Process Units, ASPs"/>
      <sheetName val="In Process"/>
      <sheetName val="In Proc Chart"/>
      <sheetName val="Total FEI"/>
      <sheetName val="Product Life Cycles"/>
      <sheetName val="Fixed Assets"/>
      <sheetName val="OWC"/>
      <sheetName val="Valuation of Intangi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of Intangibl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 GM"/>
      <sheetName val="Summary"/>
      <sheetName val="Notes"/>
      <sheetName val="BS input"/>
      <sheetName val="IS input"/>
      <sheetName val="SCFP input"/>
    </sheetNames>
    <sheetDataSet>
      <sheetData sheetId="0"/>
      <sheetData sheetId="1"/>
      <sheetData sheetId="2"/>
      <sheetData sheetId="3"/>
      <sheetData sheetId="4"/>
      <sheetData sheetId="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F"/>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p Ex"/>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 Ex"/>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s"/>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BALANCE SHEET"/>
      <sheetName val="STATEMENT OF INCOME "/>
      <sheetName val="MONTHLY INCOME STATEMENTS"/>
      <sheetName val="Current Year"/>
      <sheetName val="Prior Years"/>
      <sheetName val="CHANGES OF CASH FLOWS"/>
      <sheetName val="HISTORICAL INCOME STATEMENTS"/>
      <sheetName val="CASH AND SHORT TERM DEPOSITS"/>
      <sheetName val="ACCOUNTS RECEIVABLE"/>
      <sheetName val="INVENTORY"/>
      <sheetName val="Monthly BS"/>
      <sheetName val="Mapping"/>
      <sheetName val="Dates"/>
      <sheetName val="BlueLinkBudg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Dates"/>
      <sheetName val="Current Year"/>
    </sheetNames>
    <sheetDataSet>
      <sheetData sheetId="0" refreshError="1"/>
      <sheetData sheetId="1" refreshError="1"/>
      <sheetData sheetId="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n Action Items"/>
      <sheetName val="Prospect List"/>
      <sheetName val="Agreements"/>
      <sheetName val="Closed Actions"/>
      <sheetName val="Dropdowns"/>
    </sheetNames>
    <sheetDataSet>
      <sheetData sheetId="0"/>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downs"/>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ustomize Your Invoice"/>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ize Your Invoice"/>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ales Forecast"/>
      <sheetName val="Logistics"/>
      <sheetName val="Assumptions"/>
      <sheetName val="Balance"/>
      <sheetName val="Personnel"/>
    </sheetNames>
    <sheetDataSet>
      <sheetData sheetId="0" refreshError="1"/>
      <sheetData sheetId="1" refreshError="1"/>
      <sheetData sheetId="2" refreshError="1"/>
      <sheetData sheetId="3" refreshError="1"/>
      <sheetData sheetId="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Forecast"/>
      <sheetName val="Logistics"/>
      <sheetName val="Assumptions"/>
      <sheetName val="Balance"/>
      <sheetName val="Personnel"/>
    </sheetNames>
    <sheetDataSet>
      <sheetData sheetId="0" refreshError="1"/>
      <sheetData sheetId="1" refreshError="1"/>
      <sheetData sheetId="2" refreshError="1"/>
      <sheetData sheetId="3" refreshError="1"/>
      <sheetData sheetId="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ales Forecast"/>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Forecast"/>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Buy-Side Deals"/>
      <sheetName val="Segments"/>
      <sheetName val="US Buyers"/>
      <sheetName val="PSAC"/>
      <sheetName val="US OFS"/>
    </sheetNames>
    <sheetDataSet>
      <sheetData sheetId="0" refreshError="1"/>
      <sheetData sheetId="1"/>
      <sheetData sheetId="2"/>
      <sheetData sheetId="3" refreshError="1"/>
      <sheetData sheetId="4" refreshError="1"/>
      <sheetData sheetId="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gment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Year 1 Income St - Biz Plan v.1"/>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ar 1 Income St - Biz Plan v.1"/>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voic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oice"/>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cROR"/>
      <sheetName val="IncROR WUG-MinCapPrice18Flat"/>
      <sheetName val="IncEcon"/>
      <sheetName val="Results Summary"/>
      <sheetName val="GS Results"/>
      <sheetName val="DetailResults"/>
      <sheetName val="Sheet1"/>
      <sheetName val="Area Strat Profiles"/>
      <sheetName val="Waterfall plots"/>
    </sheetNames>
    <sheetDataSet>
      <sheetData sheetId="0"/>
      <sheetData sheetId="1"/>
      <sheetData sheetId="2"/>
      <sheetData sheetId="3"/>
      <sheetData sheetId="4"/>
      <sheetData sheetId="5"/>
      <sheetData sheetId="6"/>
      <sheetData sheetId="7"/>
      <sheetData sheetId="8"/>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ummary"/>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 Sheet"/>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ssumptions"/>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s>
    <sheetDataSet>
      <sheetData sheetId="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meframe"/>
      <sheetName val="AP"/>
      <sheetName val="PL"/>
      <sheetName val="BS"/>
      <sheetName val="Print"/>
      <sheetName val="AOG Asset List"/>
      <sheetName val="BH CAT"/>
      <sheetName val="OFFER"/>
      <sheetName val="Summary"/>
      <sheetName val="Options"/>
      <sheetName val="BS (2)"/>
      <sheetName val="PL (2)"/>
      <sheetName val="AOG Asset List "/>
      <sheetName val="Projects"/>
      <sheetName val="Current AR"/>
    </sheetNames>
    <sheetDataSet>
      <sheetData sheetId="0"/>
      <sheetData sheetId="1" refreshError="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sheetData sheetId="13"/>
      <sheetData sheetId="1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Options"/>
    </sheetNames>
    <sheetDataSet>
      <sheetData sheetId="0" refreshError="1"/>
      <sheetData sheetId="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yduke Alone"/>
    </sheetNames>
    <sheetDataSet>
      <sheetData sheetId="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yduke Alone"/>
    </sheetNames>
    <sheetDataSet>
      <sheetData sheetId="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Reserve NAV Tornado"/>
      <sheetName val="Prod NAV Tornado (2)"/>
      <sheetName val="Summary"/>
      <sheetName val="MultAltTornado"/>
      <sheetName val="Sheet2"/>
      <sheetName val="WaterFall"/>
      <sheetName val="Sheet3"/>
    </sheetNames>
    <sheetDataSet>
      <sheetData sheetId="0"/>
      <sheetData sheetId="1"/>
      <sheetData sheetId="2"/>
      <sheetData sheetId="3"/>
      <sheetData sheetId="4"/>
      <sheetData sheetId="5"/>
      <sheetData sheetId="6"/>
      <sheetData sheetId="7"/>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erve NAV Tornado"/>
    </sheetNames>
    <sheetDataSet>
      <sheetData sheetId="0"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CHEDULE 1"/>
      <sheetName val="sCH1A"/>
      <sheetName val="SCHEDULE 2"/>
      <sheetName val="SCHEDULE 3"/>
      <sheetName val="SCHEDULE 4"/>
      <sheetName val="SCHEDULE 5"/>
      <sheetName val="SCHEDULE 6"/>
      <sheetName val="SCHEDULE 7"/>
      <sheetName val="SCHEDULE 8"/>
      <sheetName val="reconcile"/>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 4"/>
    </sheetNames>
    <sheetDataSet>
      <sheetData sheetId="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FA"/>
      <sheetName val="Product Line Forecast"/>
      <sheetName val="Valuation Model"/>
      <sheetName val="Assembled Workforce"/>
      <sheetName val="CF Allocation"/>
      <sheetName val="FMV BS"/>
      <sheetName val="Non-Compete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Model"/>
    </sheetNames>
    <sheetDataSet>
      <sheetData sheetId="0"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alistic"/>
      <sheetName val="Actual - updates"/>
      <sheetName val="conservative"/>
      <sheetName val="optimistic"/>
      <sheetName val="calculations"/>
      <sheetName val="FS Summary"/>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ations"/>
    </sheetNames>
    <sheetDataSet>
      <sheetData sheetId="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CHEDULE 1"/>
      <sheetName val="SCHEDULE 2"/>
      <sheetName val="SCHEDULE 3"/>
      <sheetName val="SCHEDULE 4"/>
      <sheetName val="SCHEDULE 5"/>
      <sheetName val="SCHEDULE 6"/>
      <sheetName val="SCHEDULE 7"/>
      <sheetName val="SCHEDULE 8"/>
      <sheetName val="SCHEDULE 9"/>
      <sheetName val="SCHEDULE 3(OLD)"/>
      <sheetName val="SCHEDULE 5(OLD)"/>
      <sheetName val="SCHEDULE X"/>
      <sheetName val="Investments"/>
      <sheetName val="no taxes"/>
      <sheetName val="Jetc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 4"/>
    </sheetNames>
    <sheetDataSet>
      <sheetData sheetId="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s"/>
    </sheetNames>
    <sheetDataSet>
      <sheetData sheetId="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s>
    <sheetDataSet>
      <sheetData sheetId="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B"/>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s"/>
      <sheetName val="Revenue Build"/>
      <sheetName val="Expense Build"/>
      <sheetName val="Operating Model"/>
      <sheetName val="Valuation Summary"/>
      <sheetName val="Valuation Graph"/>
      <sheetName val="Public Comps"/>
      <sheetName val="Public-Comps-Data"/>
      <sheetName val="YHOO-Equity-Interests"/>
      <sheetName val="YHOO-NOLs"/>
      <sheetName val="M&amp;A-Comps"/>
      <sheetName val="M&amp;A-Comps-Data"/>
      <sheetName val="M&amp;A-Premiums"/>
      <sheetName val="DCF"/>
      <sheetName val="WACC"/>
      <sheetName val="Future-Share-Price"/>
      <sheetName val="Sum-of-Parts"/>
      <sheetName val="Liquidation"/>
      <sheetName val="Share-Calcula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ACA39A0-8BDA-4DD4-861E-2291B8ED7C32}" name="Table6" displayName="Table6" ref="A3:G5" totalsRowShown="0" headerRowDxfId="32" dataDxfId="30" headerRowBorderDxfId="31" tableBorderDxfId="29" totalsRowBorderDxfId="28">
  <autoFilter ref="A3:G5" xr:uid="{7ACA39A0-8BDA-4DD4-861E-2291B8ED7C32}"/>
  <tableColumns count="7">
    <tableColumn id="1" xr3:uid="{6538AC8B-554F-4B7D-8A1A-E2EAFE5EDDE1}" name="Description" dataDxfId="27"/>
    <tableColumn id="2" xr3:uid="{AF02C6A6-E998-41D9-9E26-D7DECBD6A9B1}" name="Type" dataDxfId="26"/>
    <tableColumn id="3" xr3:uid="{FB6FA098-3AC5-44DF-9DD4-DDF504D6DAE5}" name="Principal Due (CAD mm)" dataDxfId="25"/>
    <tableColumn id="4" xr3:uid="{E6E18F67-71B7-4EA5-94E4-3555E28AB230}" name="Coupon/Base Rate" dataDxfId="24"/>
    <tableColumn id="5" xr3:uid="{567E9784-3B20-477B-8F9A-A8A809223D82}" name="Floating Rate" dataDxfId="23"/>
    <tableColumn id="6" xr3:uid="{6D143AA4-FC63-490E-849C-D1EAD21DB6E1}" name="Maturity date" dataDxfId="22"/>
    <tableColumn id="7" xr3:uid="{0BE85F0F-A8E0-4177-918A-091D55C5541E}" name="Maturity Year" dataDxfId="21"/>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2AAC93E-5F8C-4464-85AA-F80E2DB3C689}" name="Table9" displayName="Table9" ref="A15:F20" totalsRowShown="0" headerRowDxfId="20" dataDxfId="18" headerRowBorderDxfId="19" tableBorderDxfId="17" totalsRowBorderDxfId="16">
  <autoFilter ref="A15:F20" xr:uid="{02AAC93E-5F8C-4464-85AA-F80E2DB3C689}"/>
  <tableColumns count="6">
    <tableColumn id="1" xr3:uid="{152645D2-716E-42D9-9810-880B13548291}" name="Year" dataDxfId="15"/>
    <tableColumn id="2" xr3:uid="{104AE53C-EB27-4B61-80C3-6E33DD6F8A0D}" name="EPS($)" dataDxfId="14"/>
    <tableColumn id="3" xr3:uid="{ED930004-5225-47F4-A8B2-070C3137E6FE}" name="DPS($)" dataDxfId="13"/>
    <tableColumn id="4" xr3:uid="{5FA824EC-ABA4-4193-910A-11E5CFC1124C}" name="Payout Ratio" dataDxfId="12"/>
    <tableColumn id="5" xr3:uid="{1366669E-6FFF-4F25-8DDC-C9E715A8D13A}" name="Repurchase of Common Stock($mm)" dataDxfId="11" dataCellStyle="Hyperlink"/>
    <tableColumn id="6" xr3:uid="{C5BB79A2-BFEB-43C3-B28B-614F2D782BE1}" name="Common Dividends Paid" dataDxfId="10" dataCellStyle="Hyperlink"/>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89C0A9B-F9B4-45FB-9A98-173A817CB6DC}" name="Table116" displayName="Table116" ref="A6:B10" totalsRowShown="0" headerRowDxfId="9">
  <tableColumns count="2">
    <tableColumn id="1" xr3:uid="{D78A70EA-DB7C-496B-9089-F2896E942753}" name="Assumption"/>
    <tableColumn id="2" xr3:uid="{EDF5A64C-CEB3-41C3-9807-5D536D2E621F}" name="Value" dataDxfId="8"/>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6E1785C-520C-4F63-8433-C3E6DA21CF63}" name="Table128" displayName="Table128" ref="A13:L35" totalsRowShown="0" headerRowDxfId="7">
  <tableColumns count="12">
    <tableColumn id="1" xr3:uid="{CC4677AC-113D-41CB-A430-A036E4E1CAD5}" name="Fiscal Years Ending September 30th " dataDxfId="6"/>
    <tableColumn id="12" xr3:uid="{9EA7CAD2-7F6F-4F49-BEF1-1B30A3760B51}" name="F2021A" dataDxfId="5" dataCellStyle="Normal 3">
      <calculatedColumnFormula>'Raw - Income Statement'!B19</calculatedColumnFormula>
    </tableColumn>
    <tableColumn id="11" xr3:uid="{9E8D2CCF-B411-4D13-9CB8-BA4EC86255A8}" name="F2022A" dataDxfId="4" dataCellStyle="Normal 3">
      <calculatedColumnFormula>'Raw - Income Statement'!C19</calculatedColumnFormula>
    </tableColumn>
    <tableColumn id="10" xr3:uid="{9EA70A90-931C-4205-A583-6F0B5F46FBDE}" name="F2023A" dataDxfId="3" dataCellStyle="Normal 3">
      <calculatedColumnFormula>'Raw - Income Statement'!D17</calculatedColumnFormula>
    </tableColumn>
    <tableColumn id="2" xr3:uid="{462A12BE-42FA-4B81-8A39-86F4899C3BFF}" name="F2024A" dataDxfId="2"/>
    <tableColumn id="3" xr3:uid="{C51B827D-6049-4A9D-8B23-86FA5F70C7C2}" name="F2025A" dataDxfId="1"/>
    <tableColumn id="4" xr3:uid="{3B769859-E036-42C4-A4C4-2345781E6341}" name="F2026E"/>
    <tableColumn id="5" xr3:uid="{5C51A612-7129-48D1-BEF8-D26A0F9D71F5}" name="F2027E"/>
    <tableColumn id="6" xr3:uid="{7DEF0B39-7A09-4127-B1FF-EB5B92064171}" name="F2028E"/>
    <tableColumn id="7" xr3:uid="{3BE66B72-C18B-41C1-935D-771555B3D0AA}" name="F2029E"/>
    <tableColumn id="8" xr3:uid="{0F7D6927-CC0F-437D-ACBC-CB4392FADDE4}" name="F2030E"/>
    <tableColumn id="9" xr3:uid="{5AE2C4B5-6B27-4445-B985-61F3E22A2B3F}" name="F2031E"/>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C0FA9F8-8BDD-46F6-BDE0-A7EA61528A51}" name="Table139" displayName="Table139" ref="A37:E46" headerRowCount="0" totalsRowShown="0">
  <tableColumns count="5">
    <tableColumn id="1" xr3:uid="{5B3CBED1-F494-4F17-9FB9-2DB5C775F3DD}" name="Column1"/>
    <tableColumn id="2" xr3:uid="{51E438E4-ADBB-4E16-AF63-CFD1BC3CD3E4}" name="Column2"/>
    <tableColumn id="3" xr3:uid="{DD2240F3-0733-47C2-9F3C-A1E965A10992}" name="Column3"/>
    <tableColumn id="4" xr3:uid="{BE15273F-6798-453F-BDB8-AE98812E188C}" name="Column4">
      <calculatedColumnFormula>G34+G35+D36</calculatedColumnFormula>
    </tableColumn>
    <tableColumn id="5" xr3:uid="{23156F04-C05D-40D9-8B56-29BDA2D2BAC3}" name="Column5">
      <calculatedColumnFormula>H34+H35+E36</calculatedColumnFormula>
    </tableColum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DC9E183-DB7E-443D-B39C-FD37200B6168}" name="Table1411" displayName="Table1411" ref="A48:E50" headerRowCount="0" totalsRowShown="0">
  <tableColumns count="5">
    <tableColumn id="1" xr3:uid="{69519F3A-FA8E-4E3E-A925-DE8FB867A972}" name="Column1" dataDxfId="0"/>
    <tableColumn id="2" xr3:uid="{F3FC4538-A16A-4E10-87D0-7757FEB2F55E}" name="Column2"/>
    <tableColumn id="3" xr3:uid="{5B6FE64C-4333-47F8-B1C6-4A51132E37CF}" name="Column3"/>
    <tableColumn id="4" xr3:uid="{CA18F620-8F44-41DD-BEFF-0FCB95CEE93D}" name="Column4"/>
    <tableColumn id="5" xr3:uid="{D07804FC-48D1-4BEA-A58A-030C31B197B6}" name="Column5"/>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R6" dT="2026-03-17T22:41:50.17" personId="{00000000-0000-0000-0000-000000000000}" id="{B586C278-DD20-46B8-9783-757E042E1CBE}">
    <text>Taken from Capital IQ</text>
  </threadedComment>
  <threadedComment ref="D7" dT="2026-03-17T22:30:44.09" personId="{00000000-0000-0000-0000-000000000000}" id="{8328AD36-2747-477C-944E-E91D4D70F8E0}">
    <text>Comparable companies were selected based on similarity in industry (food retail), revenue drivers (grocery sales and private label products), capital intensity (store and distribution infrastructure), geographical location (operated in Canada), and exposure to mature consumer markets. Out of the comparable companies listed in Capital IQ, only Loblaws and Empire met all of the above criteria relevant for a comparables analysis.</text>
  </threadedComment>
  <threadedComment ref="O29" dT="2026-03-17T22:42:54.38" personId="{00000000-0000-0000-0000-000000000000}" id="{429F04F3-15C8-4AD4-BDC8-C9E1C78A3B91}">
    <text>For EV multiples (EV/Revenue and EV/EBIITDA), equity value is calculated by adding cash and short term investments to implied valuation and subtracting minority interest, preferred equity, and debt.</text>
  </threadedComment>
  <threadedComment ref="P29" dT="2026-03-17T22:42:38.65" personId="{00000000-0000-0000-0000-000000000000}" id="{A869E108-38FF-4130-8656-A4BE5C3942EB}">
    <text xml:space="preserve">For Equity multiples (P/E ratio), equity value is its implied valuation.
</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6-03-23T17:39:39.24" personId="{00000000-0000-0000-0000-000000000000}" id="{F9145DB0-0B6C-4711-9E10-874700641B40}">
    <text xml:space="preserve">Metro Inc. (MRU.TO) Stock Historical Prices &amp; Data - Yahoo Finance </text>
    <extLst>
      <x:ext xmlns:xltc2="http://schemas.microsoft.com/office/spreadsheetml/2020/threadedcomments2" uri="{F7C98A9C-CBB3-438F-8F68-D28B6AF4A901}">
        <xltc2:checksum>2567588767</xltc2:checksum>
        <xltc2:hyperlink startIndex="0" length="66" url="https://ca.finance.yahoo.com/quote/MRU.TO/history/"/>
      </x:ext>
    </extLst>
  </threadedComment>
  <threadedComment ref="B3" dT="2026-03-23T17:39:50.31" personId="{00000000-0000-0000-0000-000000000000}" id="{99E8C894-7DD1-4F62-9452-87E8E4926D2B}">
    <text>Taken from Capital IQ</text>
  </threadedComment>
  <threadedComment ref="B7" dT="2026-03-10T17:45:46.24" personId="{00000000-0000-0000-0000-000000000000}" id="{C0753B09-5D4C-4EAA-BA55-757918EA78FD}">
    <text xml:space="preserve">A 5 year forecast period is appropriate for Metro Inc. because the company operates in the mature grocery retail industry and shows stable financial performance. Metro  has historically experienced modest growth of around 3–5% annually (https://simplywall.st/stocks/ca/consumer-retailing/tsx-mru/metro-shares/past?utm_source=chatgpt.com). Given this stability a two-stage  valuation (first stage being 5 years) of Metro Inc. is sufficient.
</text>
    <extLst>
      <x:ext xmlns:xltc2="http://schemas.microsoft.com/office/spreadsheetml/2020/threadedcomments2" uri="{F7C98A9C-CBB3-438F-8F68-D28B6AF4A901}">
        <xltc2:checksum>3302335577</xltc2:checksum>
        <xltc2:hyperlink startIndex="237" length="99" url="https://simplywall.st/stocks/ca/consumer-retailing/tsx-mru/metro-shares/past?utm_source=chatgpt.com"/>
      </x:ext>
    </extLst>
  </threadedComment>
  <threadedComment ref="B9" dT="2026-03-10T18:02:54.69" personId="{00000000-0000-0000-0000-000000000000}" id="{18B45277-9E47-4C8D-AC6D-374EC4EDD5EF}">
    <text>The terminal growth rate should not exceed the long-term Canadian economic growth rate. Long-run real GDP growth is expected to be 1.52%  in 2030 (Projections - Bank of Canada). To remain consistent with a mature industry, a terminal growth rate of 1.45% is assumed.</text>
    <extLst>
      <x:ext xmlns:xltc2="http://schemas.microsoft.com/office/spreadsheetml/2020/threadedcomments2" uri="{F7C98A9C-CBB3-438F-8F68-D28B6AF4A901}">
        <xltc2:checksum>1967961532</xltc2:checksum>
        <xltc2:hyperlink startIndex="147" length="28" url="https://www.bankofcanada.ca/publications/mpr/mpr-2024-10-23/projections/#:~:text=Economic%20growth%20in%20Canada%20is%20forecast%20to%20pick,growth%20in%20potential%20output%20is%20expected%20to%20moderate."/>
      </x:ext>
    </extLst>
  </threadedComment>
  <threadedComment ref="B10" dT="2026-03-14T18:27:40.07" personId="{00000000-0000-0000-0000-000000000000}" id="{EB37C54B-585F-44F7-B7C5-6D401946232F}">
    <text>Found using Capital IQ</text>
  </threadedComment>
  <threadedComment ref="D13" dT="2026-03-14T17:33:30.46" personId="{00000000-0000-0000-0000-000000000000}" id="{2B2B1B1F-3605-4222-A560-ECF5E32D16B0}">
    <text xml:space="preserve">Fiscal year 2023 is excluded from the historical data used to estimate revenue and costs because we believe it be an outlier year driven by temporary factors, not reflecting regular operations. This is because it contains a 53rd operating week, which temporarily increases reported sales relative to a standard 52-week fiscal year (as mentioned in their 2023 annual report 2023 annuel 10Q EN_ ). Since this additional week does not represent normal operating performance and will not recur in future forecast periods, including it would overstate sustainable revenue growth and costs. </text>
    <extLst>
      <x:ext xmlns:xltc2="http://schemas.microsoft.com/office/spreadsheetml/2020/threadedcomments2" uri="{F7C98A9C-CBB3-438F-8F68-D28B6AF4A901}">
        <xltc2:checksum>1804459481</xltc2:checksum>
        <xltc2:hyperlink startIndex="373" length="19" url="https://corpo.metro.ca/userfiles/file/PDF/Rapport-Annuel/2023/en/annual_report_2023_EN.pdf"/>
      </x:ext>
    </extLst>
  </threadedComment>
  <threadedComment ref="G16" dT="2026-03-13T17:56:03.47" personId="{00000000-0000-0000-0000-000000000000}" id="{296FBD8E-9848-418B-BF7B-13FDB75EBBA5}">
    <text>Forecast values are estimated using a weighted average of the past 2 years of historical data, reflecting relatively stable revenue growth of Metro as a mature company in the industry.</text>
  </threadedComment>
  <threadedComment ref="G18" dT="2026-03-13T18:34:15.00" personId="{00000000-0000-0000-0000-000000000000}" id="{939FC372-6505-40C3-BD6F-21F8D32EC394}">
    <text xml:space="preserve">Forecast values are estimated using a weighted average of the past three years of historical data (excluding 2023). A weight of 50% is assigned to the most recent year, while the two earlier years are each assigned 25%, giving greater emphasis to recent operating performance while still incorporating historical trends.
</text>
  </threadedComment>
  <threadedComment ref="A20" dT="2026-03-11T20:46:49.64" personId="{00000000-0000-0000-0000-000000000000}" id="{376C8AEE-ECB6-45D6-870C-86093906F4B3}">
    <text>EBITDA / Revenue</text>
  </threadedComment>
  <threadedComment ref="G21" dT="2026-03-14T17:44:30.42" personId="{00000000-0000-0000-0000-000000000000}" id="{DC944A41-5D11-482A-B3C3-8CE3D6CA1488}">
    <text>Depreciation and amortization are forecast as a constant percentage of revenue based on the historical average, reflecting Metro’s stable capital asset base and ongoing store and infrastructure investments. The annual increase in depreciation and amortization expense is mainly due to higher retail investments and the commissioning of investments in their supply chain (as mentioned in their 2025 quarterly report 2025 Q4 CP EN )</text>
    <extLst>
      <x:ext xmlns:xltc2="http://schemas.microsoft.com/office/spreadsheetml/2020/threadedcomments2" uri="{F7C98A9C-CBB3-438F-8F68-D28B6AF4A901}">
        <xltc2:checksum>2091464734</xltc2:checksum>
        <xltc2:hyperlink startIndex="415" length="13" url="https://corpo.metro.ca/userfiles/file/PDF/communique/2025/METRO-Reports-2025-Fourth-Quarter-Results.pdf"/>
      </x:ext>
    </extLst>
  </threadedComment>
  <threadedComment ref="A23" dT="2026-03-11T20:47:19.86" personId="{00000000-0000-0000-0000-000000000000}" id="{B78E926D-B910-4744-91B7-9F3BE0B0DD72}">
    <text>EBIT / Revenue</text>
  </threadedComment>
  <threadedComment ref="G23" dT="2026-03-13T18:40:24.72" personId="{00000000-0000-0000-0000-000000000000}" id="{21CF84F4-B3CD-4258-875F-279AFE12C18B}">
    <text xml:space="preserve">EBIT margins are assumed to remain stable at approximately 6.8%, consistent with Metro’s historical operating performance. As a mature grocery retailer operating in a competitive industry with relatively stable cost structures, significant margin expansion is unlikely. Therefore, operating costs and revenues are assumed to grow proportionally, resulting in a stable EBIT margin over the forecast period. </text>
  </threadedComment>
  <threadedComment ref="G24" dT="2026-03-13T19:25:58.22" personId="{00000000-0000-0000-0000-000000000000}" id="{4E3AD493-4D2D-459D-BE80-EB3DC1A8191B}">
    <text xml:space="preserve">The effective tax rate is estimated using the five-year historical average, with equal weights applied to each year. </text>
  </threadedComment>
  <threadedComment ref="A29" dT="2026-03-14T18:08:14.15" personId="{00000000-0000-0000-0000-000000000000}" id="{45BDC949-F0BC-41F5-B59F-862ECF719170}">
    <text>Net working capital is calculated as the difference between current assets and current liabilities</text>
  </threadedComment>
  <threadedComment ref="G30" dT="2026-03-14T18:14:39.32" personId="{00000000-0000-0000-0000-000000000000}" id="{3FBA6925-AFC5-436D-BD0F-75AD97B33335}">
    <text xml:space="preserve">Net working capital as a percentage of revenue is forecast using a weighted average of the past three years of historical data. A higher weight is assigned to the most recent year (50%), while fiscal years 2024 and 2023 are each assigned a weight of 25%, reflecting greater emphasis on recent operating conditions. </text>
  </threadedComment>
  <threadedComment ref="A31" dT="2026-03-10T21:32:42.45" personId="{00000000-0000-0000-0000-000000000000}" id="{3EB67F3A-24FC-4B8E-8F17-7602332AAD09}">
    <text>NWC was calculated by subtracting current assets from current liabilities</text>
  </threadedComment>
  <threadedComment ref="G32" dT="2026-03-14T18:10:30.03" personId="{00000000-0000-0000-0000-000000000000}" id="{94E02C3C-1DCD-45B5-9786-19AC589AD8DD}">
    <text xml:space="preserve">Forecast CapEx % equals the average CapEx-to-revenue ratio over the past five fiscal years. </text>
  </threadedComment>
  <threadedComment ref="G33" dT="2026-03-13T19:47:11.09" personId="{00000000-0000-0000-0000-000000000000}" id="{FB47C142-9B14-4CE9-83CC-C7B3AE0F1AC3}">
    <text>Capital expenditures are projected as a percentage of revenue based on historical averages. Metro’s outlook indicates continued investments in store network expansion, pharmacy renovations, store modernization, and digital infrastructure. These initiatives suggest that capital spending will remain consistent with historical levels relative to revenue during the forecast period. (annual_report_2025_EN.pdf )</text>
    <extLst>
      <x:ext xmlns:xltc2="http://schemas.microsoft.com/office/spreadsheetml/2020/threadedcomments2" uri="{F7C98A9C-CBB3-438F-8F68-D28B6AF4A901}">
        <xltc2:checksum>477133274</xltc2:checksum>
        <xltc2:hyperlink startIndex="382" length="25" url="https://www.corpo.metro.ca/userfiles/file/PDF/Rapport-Annuel/2025/en/annual_report_2025_EN.pdf"/>
      </x:ext>
    </extLst>
  </threadedComment>
  <threadedComment ref="B49" dT="2026-03-23T17:44:47.22" personId="{00000000-0000-0000-0000-000000000000}" id="{D2DFA0C1-5D03-42F5-B47A-28DBD0A6DD6C}">
    <text>The multiple method is used to estimate terminal value, as it provides a more stable and market-based valuation. In contrast, the Gordon Growth model is highly sensitive to small changes in WACC and terminal growth rate, which can significantly distort valuation.
https://www.cfainstitute.org/insights/professional-learning/refresher-readings/2026/market-based-valuation-price-enterprise-value-multiples?utm_source=chatgpt.com)</text>
    <extLst>
      <x:ext xmlns:xltc2="http://schemas.microsoft.com/office/spreadsheetml/2020/threadedcomments2" uri="{F7C98A9C-CBB3-438F-8F68-D28B6AF4A901}">
        <xltc2:checksum>3887073736</xltc2:checksum>
        <xltc2:hyperlink startIndex="265" length="163" url="https://www.cfainstitute.org/insights/professional-learning/refresher-readings/2026/market-based-valuation-price-enterprise-value-multiples?utm_source=chatgpt.com)"/>
      </x:ext>
    </extLst>
  </threadedComment>
</ThreadedComments>
</file>

<file path=xl/worksheets/_rels/sheet4.xml.rels><?xml version="1.0" encoding="UTF-8" standalone="yes"?>
<Relationships xmlns="http://schemas.openxmlformats.org/package/2006/relationships"><Relationship Id="rId8" Type="http://schemas.openxmlformats.org/officeDocument/2006/relationships/hyperlink" Target="javascript:void(0);" TargetMode="External"/><Relationship Id="rId13" Type="http://schemas.openxmlformats.org/officeDocument/2006/relationships/hyperlink" Target="javascript:void(0);" TargetMode="External"/><Relationship Id="rId18" Type="http://schemas.openxmlformats.org/officeDocument/2006/relationships/drawing" Target="../drawings/drawing1.xml"/><Relationship Id="rId3" Type="http://schemas.openxmlformats.org/officeDocument/2006/relationships/hyperlink" Target="javascript:__doPostBack('_topDispSection$Toggle$ctl00$_gv$ctl01$ctl13','')" TargetMode="External"/><Relationship Id="rId7" Type="http://schemas.openxmlformats.org/officeDocument/2006/relationships/hyperlink" Target="javascript:__doPostBack('_topDispSection$Toggle$ctl00$_gv$ctl01$ctl18','')" TargetMode="External"/><Relationship Id="rId12" Type="http://schemas.openxmlformats.org/officeDocument/2006/relationships/hyperlink" Target="javascript:void(0);" TargetMode="External"/><Relationship Id="rId17" Type="http://schemas.openxmlformats.org/officeDocument/2006/relationships/hyperlink" Target="javascript:void(0);" TargetMode="External"/><Relationship Id="rId2" Type="http://schemas.openxmlformats.org/officeDocument/2006/relationships/hyperlink" Target="javascript:__doPostBack('_topDispSection$Toggle$ctl00$_gv$ctl01$ctl12','')" TargetMode="External"/><Relationship Id="rId16" Type="http://schemas.openxmlformats.org/officeDocument/2006/relationships/hyperlink" Target="javascript:void(0);" TargetMode="External"/><Relationship Id="rId20" Type="http://schemas.openxmlformats.org/officeDocument/2006/relationships/table" Target="../tables/table2.xml"/><Relationship Id="rId1" Type="http://schemas.openxmlformats.org/officeDocument/2006/relationships/hyperlink" Target="javascript:__doPostBack('_topDispSection$Toggle$ctl00$_gv$ctl01$ctl11','')" TargetMode="External"/><Relationship Id="rId6" Type="http://schemas.openxmlformats.org/officeDocument/2006/relationships/hyperlink" Target="javascript:__doPostBack('_topDispSection$Toggle$ctl00$_gv$ctl01$ctl16','')" TargetMode="External"/><Relationship Id="rId11" Type="http://schemas.openxmlformats.org/officeDocument/2006/relationships/hyperlink" Target="javascript:void(0);" TargetMode="External"/><Relationship Id="rId5" Type="http://schemas.openxmlformats.org/officeDocument/2006/relationships/hyperlink" Target="javascript:__doPostBack('_topDispSection$Toggle$ctl00$_gv$ctl01$ctl15','')" TargetMode="External"/><Relationship Id="rId15" Type="http://schemas.openxmlformats.org/officeDocument/2006/relationships/hyperlink" Target="javascript:void(0);" TargetMode="External"/><Relationship Id="rId10" Type="http://schemas.openxmlformats.org/officeDocument/2006/relationships/hyperlink" Target="javascript:void(0);" TargetMode="External"/><Relationship Id="rId19" Type="http://schemas.openxmlformats.org/officeDocument/2006/relationships/table" Target="../tables/table1.xml"/><Relationship Id="rId4" Type="http://schemas.openxmlformats.org/officeDocument/2006/relationships/hyperlink" Target="javascript:__doPostBack('_topDispSection$Toggle$ctl00$_gv$ctl01$ctl14','')" TargetMode="External"/><Relationship Id="rId9" Type="http://schemas.openxmlformats.org/officeDocument/2006/relationships/hyperlink" Target="javascript:void(0);" TargetMode="External"/><Relationship Id="rId14" Type="http://schemas.openxmlformats.org/officeDocument/2006/relationships/hyperlink" Target="javascript:void(0);"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ages.stern.nyu.edu/~adamodar/New_Home_Page/datafile/ctryprem.html" TargetMode="External"/><Relationship Id="rId2" Type="http://schemas.openxmlformats.org/officeDocument/2006/relationships/hyperlink" Target="https://pages.stern.nyu.edu/~adamodar/New_Home_Page/datafile/ctryprem.html" TargetMode="External"/><Relationship Id="rId1" Type="http://schemas.openxmlformats.org/officeDocument/2006/relationships/hyperlink" Target="https://www.bankofcanada.ca/rates/interest-rates/canadian-bonds/" TargetMode="Externa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7" Type="http://schemas.microsoft.com/office/2017/10/relationships/threadedComment" Target="../threadedComments/threadedComment2.xml"/><Relationship Id="rId2" Type="http://schemas.openxmlformats.org/officeDocument/2006/relationships/table" Target="../tables/table3.xml"/><Relationship Id="rId1" Type="http://schemas.openxmlformats.org/officeDocument/2006/relationships/vmlDrawing" Target="../drawings/vmlDrawing2.vml"/><Relationship Id="rId6" Type="http://schemas.openxmlformats.org/officeDocument/2006/relationships/comments" Target="../comments2.xml"/><Relationship Id="rId5" Type="http://schemas.openxmlformats.org/officeDocument/2006/relationships/table" Target="../tables/table6.xml"/><Relationship Id="rId4"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556CD-0E24-4921-A0A1-781CF6B1F44A}">
  <dimension ref="A2:I9"/>
  <sheetViews>
    <sheetView showGridLines="0" tabSelected="1" workbookViewId="0">
      <selection activeCell="C12" sqref="C12"/>
    </sheetView>
  </sheetViews>
  <sheetFormatPr defaultRowHeight="12.75"/>
  <sheetData>
    <row r="2" spans="1:9">
      <c r="A2" s="394"/>
      <c r="B2" s="394"/>
      <c r="C2" s="394"/>
      <c r="D2" s="394"/>
      <c r="E2" s="394"/>
      <c r="F2" s="394"/>
      <c r="G2" s="394"/>
      <c r="H2" s="394"/>
      <c r="I2" s="394"/>
    </row>
    <row r="3" spans="1:9" ht="17.649999999999999">
      <c r="A3" s="394"/>
      <c r="B3" s="395" t="s">
        <v>654</v>
      </c>
      <c r="C3" s="395"/>
      <c r="D3" s="395"/>
      <c r="E3" s="396"/>
      <c r="F3" s="396"/>
      <c r="G3" s="396"/>
      <c r="H3" s="396"/>
      <c r="I3" s="396"/>
    </row>
    <row r="4" spans="1:9" ht="10.15">
      <c r="A4" s="394"/>
      <c r="B4" s="396"/>
      <c r="C4" s="396"/>
      <c r="D4" s="396"/>
      <c r="E4" s="396"/>
      <c r="F4" s="396"/>
      <c r="G4" s="396"/>
      <c r="H4" s="396"/>
      <c r="I4" s="396"/>
    </row>
    <row r="5" spans="1:9" ht="17.649999999999999">
      <c r="A5" s="394"/>
      <c r="B5" s="395" t="s">
        <v>655</v>
      </c>
      <c r="C5" s="396"/>
      <c r="D5" s="396"/>
      <c r="E5" s="396"/>
      <c r="F5" s="396"/>
      <c r="G5" s="396"/>
      <c r="H5" s="396"/>
      <c r="I5" s="396"/>
    </row>
    <row r="6" spans="1:9" ht="10.15">
      <c r="A6" s="394"/>
      <c r="B6" s="396"/>
      <c r="C6" s="396"/>
      <c r="D6" s="396"/>
      <c r="E6" s="396"/>
      <c r="F6" s="396"/>
      <c r="G6" s="396"/>
      <c r="H6" s="396"/>
      <c r="I6" s="396"/>
    </row>
    <row r="7" spans="1:9" ht="15">
      <c r="A7" s="394"/>
      <c r="B7" s="397" t="s">
        <v>656</v>
      </c>
      <c r="C7" s="396"/>
      <c r="D7" s="396"/>
      <c r="E7" s="396"/>
      <c r="F7" s="396"/>
      <c r="G7" s="396"/>
      <c r="H7" s="396"/>
      <c r="I7" s="396"/>
    </row>
    <row r="8" spans="1:9">
      <c r="A8" s="394"/>
      <c r="B8" s="394"/>
      <c r="C8" s="394"/>
      <c r="D8" s="394"/>
      <c r="E8" s="394"/>
      <c r="F8" s="394"/>
      <c r="G8" s="394"/>
      <c r="H8" s="394"/>
      <c r="I8" s="394"/>
    </row>
    <row r="9" spans="1:9">
      <c r="A9" s="394"/>
      <c r="B9" s="394"/>
      <c r="C9" s="394"/>
      <c r="D9" s="394"/>
      <c r="E9" s="394"/>
      <c r="F9" s="394"/>
      <c r="G9" s="394"/>
      <c r="H9" s="394"/>
      <c r="I9" s="394"/>
    </row>
  </sheetData>
  <phoneticPr fontId="2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62D35-0245-44E8-B981-C6F8FDF14C27}">
  <dimension ref="A1:I14"/>
  <sheetViews>
    <sheetView showGridLines="0" zoomScale="52" workbookViewId="0">
      <selection activeCell="E2" sqref="E2"/>
    </sheetView>
  </sheetViews>
  <sheetFormatPr defaultColWidth="8.86328125" defaultRowHeight="17.100000000000001" customHeight="1"/>
  <cols>
    <col min="1" max="1" width="33.86328125" customWidth="1"/>
    <col min="2" max="2" width="22.86328125" customWidth="1"/>
    <col min="3" max="3" width="43.46484375" customWidth="1"/>
    <col min="4" max="4" width="30" customWidth="1"/>
    <col min="5" max="5" width="43.86328125" customWidth="1"/>
    <col min="6" max="6" width="34.46484375" customWidth="1"/>
    <col min="7" max="7" width="28.46484375" customWidth="1"/>
    <col min="8" max="8" width="28.86328125" customWidth="1"/>
    <col min="9" max="9" width="30.46484375" customWidth="1"/>
  </cols>
  <sheetData>
    <row r="1" spans="1:9" ht="17.100000000000001" customHeight="1">
      <c r="A1" s="155" t="s">
        <v>0</v>
      </c>
      <c r="B1" s="155" t="s">
        <v>1</v>
      </c>
    </row>
    <row r="3" spans="1:9" ht="17.100000000000001" customHeight="1">
      <c r="A3" s="253" t="s">
        <v>2</v>
      </c>
      <c r="B3" s="253" t="s">
        <v>3</v>
      </c>
      <c r="C3" s="253" t="s">
        <v>4</v>
      </c>
      <c r="D3" s="253" t="s">
        <v>5</v>
      </c>
      <c r="E3" s="253" t="s">
        <v>6</v>
      </c>
      <c r="F3" s="253" t="s">
        <v>7</v>
      </c>
      <c r="G3" s="253" t="s">
        <v>8</v>
      </c>
      <c r="H3" s="253" t="s">
        <v>9</v>
      </c>
      <c r="I3" s="253" t="s">
        <v>10</v>
      </c>
    </row>
    <row r="4" spans="1:9" ht="17.100000000000001" customHeight="1">
      <c r="A4" s="154" t="s">
        <v>11</v>
      </c>
      <c r="B4" s="150" t="s">
        <v>12</v>
      </c>
      <c r="C4" s="160">
        <v>53297.3</v>
      </c>
      <c r="D4" s="160">
        <v>11205.2</v>
      </c>
      <c r="E4" s="160">
        <v>64623</v>
      </c>
      <c r="F4" s="160">
        <v>46910.9</v>
      </c>
      <c r="G4" s="160">
        <v>4136.6000000000004</v>
      </c>
      <c r="H4" s="161">
        <v>2.4</v>
      </c>
      <c r="I4" s="162">
        <v>0.59299999999999997</v>
      </c>
    </row>
    <row r="5" spans="1:9" ht="17.100000000000001" customHeight="1">
      <c r="A5" s="153" t="s">
        <v>13</v>
      </c>
      <c r="B5" s="133" t="s">
        <v>14</v>
      </c>
      <c r="C5" s="157">
        <v>8111.7</v>
      </c>
      <c r="D5" s="157">
        <v>5564.4</v>
      </c>
      <c r="E5" s="157">
        <v>13612.2</v>
      </c>
      <c r="F5" s="157">
        <v>23399.1</v>
      </c>
      <c r="G5" s="157">
        <v>1757.4</v>
      </c>
      <c r="H5" s="158">
        <v>3.3</v>
      </c>
      <c r="I5" s="159">
        <v>0.61050000000000004</v>
      </c>
    </row>
    <row r="6" spans="1:9" ht="17.100000000000001" customHeight="1">
      <c r="A6" s="154" t="s">
        <v>15</v>
      </c>
      <c r="B6" s="150" t="s">
        <v>16</v>
      </c>
      <c r="C6" s="160">
        <v>12555.2</v>
      </c>
      <c r="D6" s="160">
        <v>2247.8000000000002</v>
      </c>
      <c r="E6" s="160">
        <v>14803</v>
      </c>
      <c r="F6" s="160">
        <v>13942.7</v>
      </c>
      <c r="G6" s="160">
        <v>1184.8</v>
      </c>
      <c r="H6" s="161">
        <v>2.1</v>
      </c>
      <c r="I6" s="162">
        <v>0.34429999999999999</v>
      </c>
    </row>
    <row r="7" spans="1:9" ht="17.100000000000001" customHeight="1">
      <c r="A7" s="153" t="s">
        <v>17</v>
      </c>
      <c r="B7" s="133" t="s">
        <v>18</v>
      </c>
      <c r="C7" s="157">
        <v>54911.4</v>
      </c>
      <c r="D7" s="157">
        <v>13598</v>
      </c>
      <c r="E7" s="157">
        <v>69024.100000000006</v>
      </c>
      <c r="F7" s="157">
        <v>72387</v>
      </c>
      <c r="G7" s="157">
        <v>5469.3</v>
      </c>
      <c r="H7" s="158">
        <v>2.6</v>
      </c>
      <c r="I7" s="159">
        <v>0.50329999999999997</v>
      </c>
    </row>
    <row r="8" spans="1:9" ht="17.100000000000001" customHeight="1">
      <c r="A8" s="154" t="s">
        <v>19</v>
      </c>
      <c r="B8" s="150" t="s">
        <v>20</v>
      </c>
      <c r="C8" s="160">
        <v>4691.8</v>
      </c>
      <c r="D8" s="160">
        <v>739.1</v>
      </c>
      <c r="E8" s="160">
        <v>5431.3</v>
      </c>
      <c r="F8" s="160">
        <v>12902.8</v>
      </c>
      <c r="G8" s="160">
        <v>829.3</v>
      </c>
      <c r="H8" s="161">
        <v>1.2</v>
      </c>
      <c r="I8" s="162">
        <v>0.22739999999999999</v>
      </c>
    </row>
    <row r="9" spans="1:9" ht="17.100000000000001" customHeight="1">
      <c r="A9" s="153" t="s">
        <v>21</v>
      </c>
      <c r="B9" s="133" t="s">
        <v>22</v>
      </c>
      <c r="C9" s="157">
        <v>1544.6</v>
      </c>
      <c r="D9" s="157">
        <v>-2.4</v>
      </c>
      <c r="E9" s="157">
        <v>1542.2</v>
      </c>
      <c r="F9" s="157">
        <v>4894.8</v>
      </c>
      <c r="G9" s="157">
        <v>241.6</v>
      </c>
      <c r="H9" s="158">
        <v>0.6</v>
      </c>
      <c r="I9" s="159">
        <v>0.1154</v>
      </c>
    </row>
    <row r="10" spans="1:9" ht="17.100000000000001" customHeight="1">
      <c r="A10" s="154" t="s">
        <v>23</v>
      </c>
      <c r="B10" s="150" t="s">
        <v>24</v>
      </c>
      <c r="C10" s="160">
        <v>25316.9</v>
      </c>
      <c r="D10" s="160">
        <v>2430.6999999999998</v>
      </c>
      <c r="E10" s="160">
        <v>27747.599999999999</v>
      </c>
      <c r="F10" s="160">
        <v>16982.099999999999</v>
      </c>
      <c r="G10" s="160">
        <v>1389.4</v>
      </c>
      <c r="H10" s="161">
        <v>2</v>
      </c>
      <c r="I10" s="162">
        <v>0.42899999999999999</v>
      </c>
    </row>
    <row r="11" spans="1:9" ht="17.100000000000001" customHeight="1">
      <c r="A11" s="153" t="s">
        <v>25</v>
      </c>
      <c r="B11" s="133" t="s">
        <v>26</v>
      </c>
      <c r="C11" s="157">
        <v>8340.7999999999993</v>
      </c>
      <c r="D11" s="157">
        <v>2501</v>
      </c>
      <c r="E11" s="157">
        <v>10837.3</v>
      </c>
      <c r="F11" s="157">
        <v>15633.9</v>
      </c>
      <c r="G11" s="157">
        <v>1119.5999999999999</v>
      </c>
      <c r="H11" s="158">
        <v>2.4</v>
      </c>
      <c r="I11" s="159">
        <v>0.65110000000000001</v>
      </c>
    </row>
    <row r="12" spans="1:9" ht="17.100000000000001" customHeight="1">
      <c r="A12" s="154" t="s">
        <v>27</v>
      </c>
      <c r="B12" s="150" t="s">
        <v>28</v>
      </c>
      <c r="C12" s="160">
        <v>5275.3</v>
      </c>
      <c r="D12" s="160">
        <v>1448.1</v>
      </c>
      <c r="E12" s="160">
        <v>6694.3</v>
      </c>
      <c r="F12" s="160">
        <v>8073.9</v>
      </c>
      <c r="G12" s="160">
        <v>-352.9</v>
      </c>
      <c r="H12" s="163" t="s">
        <v>29</v>
      </c>
      <c r="I12" s="162">
        <v>0.81110000000000004</v>
      </c>
    </row>
    <row r="13" spans="1:9" ht="17.100000000000001" customHeight="1">
      <c r="A13" s="153" t="s">
        <v>30</v>
      </c>
      <c r="B13" s="133" t="s">
        <v>31</v>
      </c>
      <c r="C13" s="157">
        <v>31076.799999999999</v>
      </c>
      <c r="D13" s="157">
        <v>11283.8</v>
      </c>
      <c r="E13" s="157">
        <v>42447.8</v>
      </c>
      <c r="F13" s="157">
        <v>49848.9</v>
      </c>
      <c r="G13" s="157">
        <v>2340.6</v>
      </c>
      <c r="H13" s="158">
        <v>3.8</v>
      </c>
      <c r="I13" s="159">
        <v>0.7833</v>
      </c>
    </row>
    <row r="14" spans="1:9" ht="17.100000000000001" customHeight="1">
      <c r="A14" s="154" t="s">
        <v>0</v>
      </c>
      <c r="B14" s="150" t="s">
        <v>32</v>
      </c>
      <c r="C14" s="160">
        <v>14638.2</v>
      </c>
      <c r="D14" s="160">
        <v>3559.9</v>
      </c>
      <c r="E14" s="160">
        <v>18211.5</v>
      </c>
      <c r="F14" s="160">
        <v>16278.9</v>
      </c>
      <c r="G14" s="160">
        <v>1369.5</v>
      </c>
      <c r="H14" s="161">
        <v>2.4</v>
      </c>
      <c r="I14" s="162">
        <v>0.4088</v>
      </c>
    </row>
  </sheetData>
  <phoneticPr fontId="2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50536-8C0D-45FE-8969-F115B608BEA3}">
  <dimension ref="A1:M22"/>
  <sheetViews>
    <sheetView showGridLines="0" zoomScale="45" workbookViewId="0">
      <selection activeCell="D32" sqref="D32"/>
    </sheetView>
  </sheetViews>
  <sheetFormatPr defaultColWidth="9.1328125" defaultRowHeight="10.15"/>
  <cols>
    <col min="1" max="1" width="31" bestFit="1" customWidth="1"/>
    <col min="2" max="2" width="28" bestFit="1" customWidth="1"/>
    <col min="3" max="3" width="16.86328125" customWidth="1"/>
    <col min="4" max="4" width="24.1328125" customWidth="1"/>
    <col min="5" max="5" width="16.1328125" customWidth="1"/>
    <col min="6" max="6" width="28.46484375" customWidth="1"/>
    <col min="7" max="7" width="29.86328125" customWidth="1"/>
    <col min="8" max="8" width="24.46484375" customWidth="1"/>
    <col min="9" max="9" width="27.1328125" customWidth="1"/>
    <col min="10" max="10" width="33.86328125" customWidth="1"/>
    <col min="11" max="11" width="43.86328125" customWidth="1"/>
    <col min="12" max="12" width="35.46484375" customWidth="1"/>
    <col min="13" max="13" width="18.46484375" bestFit="1" customWidth="1"/>
    <col min="14" max="14" width="9.1328125" bestFit="1" customWidth="1"/>
  </cols>
  <sheetData>
    <row r="1" spans="1:13" ht="17.649999999999999">
      <c r="A1" s="156" t="s">
        <v>0</v>
      </c>
      <c r="B1" s="156" t="s">
        <v>33</v>
      </c>
    </row>
    <row r="3" spans="1:13" ht="15">
      <c r="A3" s="295" t="s">
        <v>34</v>
      </c>
      <c r="B3" s="296" t="s">
        <v>35</v>
      </c>
      <c r="C3" s="297" t="s">
        <v>36</v>
      </c>
      <c r="D3" s="297" t="s">
        <v>37</v>
      </c>
      <c r="E3" s="297" t="s">
        <v>38</v>
      </c>
      <c r="F3" s="297" t="s">
        <v>39</v>
      </c>
      <c r="G3" s="297" t="s">
        <v>40</v>
      </c>
      <c r="H3" s="297" t="s">
        <v>41</v>
      </c>
      <c r="I3" s="297" t="s">
        <v>42</v>
      </c>
      <c r="J3" s="297" t="s">
        <v>43</v>
      </c>
      <c r="K3" s="297" t="s">
        <v>44</v>
      </c>
      <c r="L3" s="296" t="s">
        <v>45</v>
      </c>
      <c r="M3" s="297" t="s">
        <v>46</v>
      </c>
    </row>
    <row r="4" spans="1:13" ht="30">
      <c r="A4" s="298" t="s">
        <v>47</v>
      </c>
      <c r="B4" s="299">
        <v>0.42</v>
      </c>
      <c r="C4" s="300">
        <v>3.4799999999999998E-2</v>
      </c>
      <c r="D4" s="300">
        <v>4.2299999999999997E-2</v>
      </c>
      <c r="E4" s="254">
        <f t="shared" ref="E4:E13" si="0">C4+B4*D4</f>
        <v>5.2565999999999995E-2</v>
      </c>
      <c r="F4" s="301">
        <v>16305</v>
      </c>
      <c r="G4" s="301">
        <v>763</v>
      </c>
      <c r="H4" s="300">
        <v>0.26140000000000002</v>
      </c>
      <c r="I4" s="300">
        <f t="shared" ref="I4:I13" si="1">(G4/F4)*(1-H4)</f>
        <v>3.4563127874885004E-2</v>
      </c>
      <c r="J4" s="302">
        <v>0.59299999999999997</v>
      </c>
      <c r="K4" s="302">
        <v>0.40100000000000002</v>
      </c>
      <c r="L4" s="302">
        <v>6.0000000000000001E-3</v>
      </c>
      <c r="M4" s="310">
        <f t="shared" ref="M4:M13" si="2">J4*I4+K4*E4+L4*E4</f>
        <v>4.1890296829806807E-2</v>
      </c>
    </row>
    <row r="5" spans="1:13" ht="30">
      <c r="A5" s="153" t="s">
        <v>48</v>
      </c>
      <c r="B5" s="133">
        <v>0.41</v>
      </c>
      <c r="C5" s="144">
        <v>3.4799999999999998E-2</v>
      </c>
      <c r="D5" s="144">
        <v>4.2299999999999997E-2</v>
      </c>
      <c r="E5" s="251">
        <f t="shared" si="0"/>
        <v>5.2142999999999995E-2</v>
      </c>
      <c r="F5" s="255">
        <v>7610</v>
      </c>
      <c r="G5" s="133">
        <v>287.39999999999998</v>
      </c>
      <c r="H5" s="144">
        <v>0.26140000000000002</v>
      </c>
      <c r="I5" s="144">
        <f t="shared" si="1"/>
        <v>2.7894039421813396E-2</v>
      </c>
      <c r="J5" s="256">
        <v>0.57499999999999996</v>
      </c>
      <c r="K5" s="256">
        <v>0.41499999999999998</v>
      </c>
      <c r="L5" s="256">
        <v>0.01</v>
      </c>
      <c r="M5" s="310">
        <f t="shared" si="2"/>
        <v>3.8199847667542697E-2</v>
      </c>
    </row>
    <row r="6" spans="1:13" ht="15">
      <c r="A6" s="298" t="s">
        <v>49</v>
      </c>
      <c r="B6" s="299">
        <v>0.14000000000000001</v>
      </c>
      <c r="C6" s="300">
        <v>3.4799999999999998E-2</v>
      </c>
      <c r="D6" s="300">
        <v>4.2299999999999997E-2</v>
      </c>
      <c r="E6" s="254">
        <f t="shared" si="0"/>
        <v>4.0721999999999994E-2</v>
      </c>
      <c r="F6" s="303">
        <v>3509</v>
      </c>
      <c r="G6" s="303">
        <v>112</v>
      </c>
      <c r="H6" s="300">
        <v>0.26140000000000002</v>
      </c>
      <c r="I6" s="300">
        <f t="shared" si="1"/>
        <v>2.3574579652322597E-2</v>
      </c>
      <c r="J6" s="302">
        <v>0.34399999999999997</v>
      </c>
      <c r="K6" s="302">
        <v>0.65600000000000003</v>
      </c>
      <c r="L6" s="302">
        <v>0</v>
      </c>
      <c r="M6" s="310">
        <f t="shared" si="2"/>
        <v>3.4823287400398972E-2</v>
      </c>
    </row>
    <row r="7" spans="1:13" ht="30">
      <c r="A7" s="153" t="s">
        <v>50</v>
      </c>
      <c r="B7" s="133">
        <v>0.76</v>
      </c>
      <c r="C7" s="144">
        <v>4.2099999999999999E-2</v>
      </c>
      <c r="D7" s="144">
        <v>4.4600000000000001E-2</v>
      </c>
      <c r="E7" s="251">
        <f t="shared" si="0"/>
        <v>7.5996000000000008E-2</v>
      </c>
      <c r="F7" s="133">
        <v>15722.6</v>
      </c>
      <c r="G7" s="133">
        <v>655.9</v>
      </c>
      <c r="H7" s="144">
        <v>0.25</v>
      </c>
      <c r="I7" s="144">
        <f t="shared" si="1"/>
        <v>3.1287764110261657E-2</v>
      </c>
      <c r="J7" s="256">
        <v>0.503</v>
      </c>
      <c r="K7" s="256">
        <v>0.49199999999999999</v>
      </c>
      <c r="L7" s="256">
        <v>5.0000000000000001E-3</v>
      </c>
      <c r="M7" s="310">
        <f t="shared" si="2"/>
        <v>5.3507757347461618E-2</v>
      </c>
    </row>
    <row r="8" spans="1:13" ht="30">
      <c r="A8" s="298" t="s">
        <v>51</v>
      </c>
      <c r="B8" s="299">
        <v>0.52</v>
      </c>
      <c r="C8" s="300">
        <v>3.3599999999999998E-2</v>
      </c>
      <c r="D8" s="300">
        <v>5.0099999999999999E-2</v>
      </c>
      <c r="E8" s="254">
        <f t="shared" si="0"/>
        <v>5.9651999999999997E-2</v>
      </c>
      <c r="F8" s="299">
        <v>916.1</v>
      </c>
      <c r="G8" s="299">
        <v>17.7</v>
      </c>
      <c r="H8" s="300">
        <v>0.25</v>
      </c>
      <c r="I8" s="300">
        <f t="shared" si="1"/>
        <v>1.4490776116144525E-2</v>
      </c>
      <c r="J8" s="302">
        <v>0.22700000000000001</v>
      </c>
      <c r="K8" s="302">
        <v>0.77300000000000002</v>
      </c>
      <c r="L8" s="302">
        <v>0</v>
      </c>
      <c r="M8" s="310">
        <f t="shared" si="2"/>
        <v>4.9400402178364805E-2</v>
      </c>
    </row>
    <row r="9" spans="1:13" ht="15">
      <c r="A9" s="153" t="s">
        <v>52</v>
      </c>
      <c r="B9" s="133">
        <v>0.45</v>
      </c>
      <c r="C9" s="144">
        <v>4.2099999999999999E-2</v>
      </c>
      <c r="D9" s="144">
        <v>4.4600000000000001E-2</v>
      </c>
      <c r="E9" s="251">
        <f t="shared" si="0"/>
        <v>6.2170000000000003E-2</v>
      </c>
      <c r="F9" s="133">
        <v>175.2</v>
      </c>
      <c r="G9" s="133">
        <v>0</v>
      </c>
      <c r="H9" s="144">
        <v>0.25</v>
      </c>
      <c r="I9" s="144">
        <f t="shared" si="1"/>
        <v>0</v>
      </c>
      <c r="J9" s="256">
        <v>0.115</v>
      </c>
      <c r="K9" s="256">
        <v>0.88500000000000001</v>
      </c>
      <c r="L9" s="256">
        <v>0</v>
      </c>
      <c r="M9" s="310">
        <f t="shared" si="2"/>
        <v>5.5020450000000005E-2</v>
      </c>
    </row>
    <row r="10" spans="1:13" ht="30">
      <c r="A10" s="298" t="s">
        <v>53</v>
      </c>
      <c r="B10" s="299">
        <v>0.65</v>
      </c>
      <c r="C10" s="300">
        <v>4.2099999999999999E-2</v>
      </c>
      <c r="D10" s="300">
        <v>4.4600000000000001E-2</v>
      </c>
      <c r="E10" s="254">
        <f t="shared" si="0"/>
        <v>7.109E-2</v>
      </c>
      <c r="F10" s="299">
        <v>2895.7</v>
      </c>
      <c r="G10" s="299">
        <v>116.9</v>
      </c>
      <c r="H10" s="300">
        <v>0.25</v>
      </c>
      <c r="I10" s="300">
        <f t="shared" si="1"/>
        <v>3.0277653071796116E-2</v>
      </c>
      <c r="J10" s="302">
        <v>0.42899999999999999</v>
      </c>
      <c r="K10" s="302">
        <v>0.57099999999999995</v>
      </c>
      <c r="L10" s="302">
        <v>0</v>
      </c>
      <c r="M10" s="310">
        <f t="shared" si="2"/>
        <v>5.3581503167800533E-2</v>
      </c>
    </row>
    <row r="11" spans="1:13" ht="15">
      <c r="A11" s="153" t="s">
        <v>54</v>
      </c>
      <c r="B11" s="133">
        <v>0.44</v>
      </c>
      <c r="C11" s="144">
        <v>8.72E-2</v>
      </c>
      <c r="D11" s="144">
        <v>8.1299999999999997E-2</v>
      </c>
      <c r="E11" s="251">
        <f t="shared" si="0"/>
        <v>0.122972</v>
      </c>
      <c r="F11" s="255">
        <v>57139</v>
      </c>
      <c r="G11" s="255">
        <v>4394</v>
      </c>
      <c r="H11" s="144">
        <v>0.27</v>
      </c>
      <c r="I11" s="144">
        <f t="shared" si="1"/>
        <v>5.6137139256899837E-2</v>
      </c>
      <c r="J11" s="256">
        <v>0.65100000000000002</v>
      </c>
      <c r="K11" s="256">
        <v>0.35</v>
      </c>
      <c r="L11" s="256">
        <v>-1E-3</v>
      </c>
      <c r="M11" s="310">
        <f t="shared" si="2"/>
        <v>7.94625056562418E-2</v>
      </c>
    </row>
    <row r="12" spans="1:13" ht="30">
      <c r="A12" s="298" t="s">
        <v>55</v>
      </c>
      <c r="B12" s="299">
        <v>0.42</v>
      </c>
      <c r="C12" s="300">
        <v>1.8200000000000001E-2</v>
      </c>
      <c r="D12" s="300">
        <v>5.1400000000000001E-2</v>
      </c>
      <c r="E12" s="254">
        <f t="shared" si="0"/>
        <v>3.9788000000000004E-2</v>
      </c>
      <c r="F12" s="299">
        <v>14989.9</v>
      </c>
      <c r="G12" s="299">
        <v>731.1</v>
      </c>
      <c r="H12" s="300">
        <v>0.25</v>
      </c>
      <c r="I12" s="300">
        <f t="shared" si="1"/>
        <v>3.6579630284391491E-2</v>
      </c>
      <c r="J12" s="302">
        <v>0.81100000000000005</v>
      </c>
      <c r="K12" s="302">
        <v>0.2</v>
      </c>
      <c r="L12" s="302">
        <v>-1.0999999999999999E-2</v>
      </c>
      <c r="M12" s="310">
        <f t="shared" si="2"/>
        <v>3.7186012160641498E-2</v>
      </c>
    </row>
    <row r="13" spans="1:13" ht="30">
      <c r="A13" s="153" t="s">
        <v>56</v>
      </c>
      <c r="B13" s="133">
        <v>0.38</v>
      </c>
      <c r="C13" s="144">
        <v>4.9599999999999998E-2</v>
      </c>
      <c r="D13" s="144">
        <v>4.2299999999999997E-2</v>
      </c>
      <c r="E13" s="251">
        <f t="shared" si="0"/>
        <v>6.5673999999999996E-2</v>
      </c>
      <c r="F13" s="255">
        <v>17198</v>
      </c>
      <c r="G13" s="255">
        <v>842</v>
      </c>
      <c r="H13" s="144">
        <v>0.3</v>
      </c>
      <c r="I13" s="144">
        <f t="shared" si="1"/>
        <v>3.4271426910105825E-2</v>
      </c>
      <c r="J13" s="256">
        <v>0.78300000000000003</v>
      </c>
      <c r="K13" s="256">
        <v>0.21099999999999999</v>
      </c>
      <c r="L13" s="256">
        <v>6.0000000000000001E-3</v>
      </c>
      <c r="M13" s="310">
        <f t="shared" si="2"/>
        <v>4.1085785270612865E-2</v>
      </c>
    </row>
    <row r="14" spans="1:13" ht="26.25" customHeight="1">
      <c r="A14" s="304" t="s">
        <v>57</v>
      </c>
      <c r="B14" s="304">
        <f>AVERAGE(B4:B13)</f>
        <v>0.45899999999999996</v>
      </c>
      <c r="C14" s="305"/>
      <c r="D14" s="305"/>
      <c r="E14" s="306">
        <f>AVERAGE(E4:E13)</f>
        <v>6.4277300000000009E-2</v>
      </c>
      <c r="F14" s="307"/>
      <c r="G14" s="307"/>
      <c r="H14" s="305"/>
      <c r="I14" s="305">
        <f>AVERAGE(I4:I13)</f>
        <v>2.8907613669862043E-2</v>
      </c>
      <c r="J14" s="308"/>
      <c r="K14" s="308"/>
      <c r="L14" s="308"/>
      <c r="M14" s="309">
        <f>AVERAGE(M4:M13)</f>
        <v>4.841578476788716E-2</v>
      </c>
    </row>
    <row r="16" spans="1:13" ht="20.85" customHeight="1">
      <c r="A16" s="257" t="s">
        <v>58</v>
      </c>
    </row>
    <row r="17" spans="1:1" ht="21" customHeight="1"/>
    <row r="18" spans="1:1" ht="20.85" customHeight="1">
      <c r="A18" s="133" t="s">
        <v>59</v>
      </c>
    </row>
    <row r="19" spans="1:1" ht="20.85" customHeight="1">
      <c r="A19" s="133" t="s">
        <v>60</v>
      </c>
    </row>
    <row r="20" spans="1:1" ht="20.85" customHeight="1">
      <c r="A20" s="133" t="s">
        <v>61</v>
      </c>
    </row>
    <row r="21" spans="1:1" ht="20.85" customHeight="1">
      <c r="A21" s="133" t="s">
        <v>62</v>
      </c>
    </row>
    <row r="22" spans="1:1" ht="21" customHeight="1">
      <c r="A22" s="133" t="s">
        <v>63</v>
      </c>
    </row>
  </sheetData>
  <phoneticPr fontId="2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B9E8C-6585-4835-A6D3-7BA201D525F9}">
  <dimension ref="A2:AO141"/>
  <sheetViews>
    <sheetView showGridLines="0" zoomScale="56" workbookViewId="0">
      <selection activeCell="A20" sqref="A20:F20"/>
    </sheetView>
  </sheetViews>
  <sheetFormatPr defaultColWidth="8.86328125" defaultRowHeight="15" customHeight="1"/>
  <cols>
    <col min="1" max="1" width="36.86328125" customWidth="1"/>
    <col min="2" max="2" width="17.46484375" bestFit="1" customWidth="1"/>
    <col min="3" max="3" width="23" customWidth="1"/>
    <col min="4" max="4" width="19.1328125" bestFit="1" customWidth="1"/>
    <col min="5" max="5" width="38.46484375" customWidth="1"/>
    <col min="6" max="6" width="26.1328125" customWidth="1"/>
    <col min="7" max="7" width="16.46484375" bestFit="1" customWidth="1"/>
  </cols>
  <sheetData>
    <row r="2" spans="1:41" ht="15" customHeight="1">
      <c r="A2" s="371" t="s">
        <v>64</v>
      </c>
      <c r="B2" s="371"/>
      <c r="C2" s="371"/>
      <c r="D2" s="371"/>
      <c r="E2" s="371"/>
      <c r="F2" s="371"/>
      <c r="G2" s="371"/>
    </row>
    <row r="3" spans="1:41" ht="15" customHeight="1">
      <c r="A3" s="311" t="s">
        <v>65</v>
      </c>
      <c r="B3" s="312" t="s">
        <v>66</v>
      </c>
      <c r="C3" s="312" t="s">
        <v>67</v>
      </c>
      <c r="D3" s="312" t="s">
        <v>68</v>
      </c>
      <c r="E3" s="312" t="s">
        <v>69</v>
      </c>
      <c r="F3" s="312" t="s">
        <v>70</v>
      </c>
      <c r="G3" s="313" t="s">
        <v>71</v>
      </c>
    </row>
    <row r="4" spans="1:41" ht="15" customHeight="1">
      <c r="A4" s="110" t="s">
        <v>72</v>
      </c>
      <c r="B4" s="111" t="s">
        <v>73</v>
      </c>
      <c r="C4" s="111">
        <v>450</v>
      </c>
      <c r="D4" s="119">
        <v>3.39E-2</v>
      </c>
      <c r="E4" s="111" t="s">
        <v>74</v>
      </c>
      <c r="F4" s="112" t="s">
        <v>75</v>
      </c>
      <c r="G4" s="113">
        <v>2027</v>
      </c>
    </row>
    <row r="5" spans="1:41" ht="15" customHeight="1">
      <c r="A5" s="114" t="s">
        <v>76</v>
      </c>
      <c r="B5" s="115" t="s">
        <v>73</v>
      </c>
      <c r="C5" s="115">
        <v>500</v>
      </c>
      <c r="D5" s="120">
        <v>3.9980000000000002E-2</v>
      </c>
      <c r="E5" s="115" t="s">
        <v>74</v>
      </c>
      <c r="F5" s="116" t="s">
        <v>77</v>
      </c>
      <c r="G5" s="117">
        <v>2029</v>
      </c>
    </row>
    <row r="6" spans="1:41" ht="15" customHeight="1">
      <c r="A6" s="118"/>
      <c r="B6" s="118"/>
      <c r="C6" s="118"/>
    </row>
    <row r="7" spans="1:41" ht="15" customHeight="1">
      <c r="A7" s="372" t="s">
        <v>78</v>
      </c>
      <c r="B7" s="372"/>
      <c r="C7" s="118"/>
    </row>
    <row r="8" spans="1:41" ht="15" customHeight="1">
      <c r="A8" s="125" t="s">
        <v>79</v>
      </c>
      <c r="B8" s="121">
        <f>SUM(Table6[Principal Due (CAD mm)])</f>
        <v>950</v>
      </c>
      <c r="C8" s="118"/>
    </row>
    <row r="9" spans="1:41" ht="15" customHeight="1">
      <c r="A9" s="125" t="s">
        <v>80</v>
      </c>
      <c r="B9" s="122">
        <f>SUMPRODUCT(Table6[Principal Due (CAD mm)],Table6[Coupon/Base Rate])/SUM(Table6[Principal Due (CAD mm)])</f>
        <v>3.7100000000000008E-2</v>
      </c>
      <c r="C9" s="118"/>
    </row>
    <row r="10" spans="1:41" ht="15" customHeight="1">
      <c r="A10" s="125" t="s">
        <v>81</v>
      </c>
      <c r="B10" s="123">
        <f>SUMPRODUCT(Table6[Principal Due (CAD mm)],Table6[Maturity Year])/SUM(Table6[Principal Due (CAD mm)])</f>
        <v>2028.0526315789473</v>
      </c>
      <c r="C10" s="118"/>
    </row>
    <row r="11" spans="1:41" ht="15" customHeight="1">
      <c r="A11" s="125" t="s">
        <v>82</v>
      </c>
      <c r="B11" s="124">
        <f>'Raw - Capital Structure Summary'!G18</f>
        <v>0.40880571817299999</v>
      </c>
      <c r="C11" s="109"/>
      <c r="D11" s="109"/>
      <c r="E11" s="118"/>
      <c r="F11" s="118"/>
      <c r="G11" s="118"/>
    </row>
    <row r="12" spans="1:41" ht="15" customHeight="1">
      <c r="A12" s="109"/>
      <c r="B12" s="109"/>
      <c r="C12" s="109"/>
      <c r="D12" s="109"/>
      <c r="E12" s="118"/>
      <c r="F12" s="118"/>
      <c r="G12" s="118"/>
    </row>
    <row r="13" spans="1:41" ht="15" customHeight="1">
      <c r="A13" s="373" t="s">
        <v>83</v>
      </c>
      <c r="B13" s="374"/>
      <c r="C13" s="374"/>
      <c r="D13" s="374"/>
      <c r="E13" s="374"/>
      <c r="F13" s="375"/>
      <c r="G13" s="118"/>
    </row>
    <row r="14" spans="1:41" ht="15" customHeight="1">
      <c r="A14" s="376"/>
      <c r="B14" s="377"/>
      <c r="C14" s="377"/>
      <c r="D14" s="377"/>
      <c r="E14" s="377"/>
      <c r="F14" s="378"/>
      <c r="G14" s="118"/>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c r="AH14" s="109"/>
      <c r="AI14" s="109"/>
      <c r="AJ14" s="109"/>
      <c r="AK14" s="109"/>
      <c r="AL14" s="109"/>
      <c r="AM14" s="109"/>
      <c r="AN14" s="109"/>
      <c r="AO14" s="109"/>
    </row>
    <row r="15" spans="1:41" ht="15" customHeight="1">
      <c r="A15" s="314" t="s">
        <v>84</v>
      </c>
      <c r="B15" s="315" t="s">
        <v>85</v>
      </c>
      <c r="C15" s="315" t="s">
        <v>86</v>
      </c>
      <c r="D15" s="315" t="s">
        <v>87</v>
      </c>
      <c r="E15" s="315" t="s">
        <v>88</v>
      </c>
      <c r="F15" s="316" t="s">
        <v>89</v>
      </c>
      <c r="G15" s="118"/>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c r="AH15" s="109"/>
      <c r="AI15" s="109"/>
      <c r="AJ15" s="109"/>
      <c r="AK15" s="109"/>
      <c r="AL15" s="109"/>
      <c r="AM15" s="109"/>
      <c r="AN15" s="109"/>
      <c r="AO15" s="109"/>
    </row>
    <row r="16" spans="1:41" ht="15" customHeight="1">
      <c r="A16" s="317">
        <v>2021</v>
      </c>
      <c r="B16" s="318">
        <v>3.3428100000000001</v>
      </c>
      <c r="C16" s="318">
        <v>1</v>
      </c>
      <c r="D16" s="319">
        <v>0.29173700000000002</v>
      </c>
      <c r="E16" s="318">
        <v>-456.3</v>
      </c>
      <c r="F16" s="320">
        <v>-240.1</v>
      </c>
      <c r="G16" s="118"/>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c r="AH16" s="109"/>
      <c r="AI16" s="109"/>
      <c r="AJ16" s="109"/>
      <c r="AK16" s="109"/>
      <c r="AL16" s="109"/>
      <c r="AM16" s="109"/>
      <c r="AN16" s="109"/>
      <c r="AO16" s="109"/>
    </row>
    <row r="17" spans="1:41" ht="15" customHeight="1">
      <c r="A17" s="128">
        <v>2022</v>
      </c>
      <c r="B17" s="123">
        <v>3.5268860000000002</v>
      </c>
      <c r="C17" s="123">
        <v>1.1000000000000001</v>
      </c>
      <c r="D17" s="126">
        <v>0.30481000000000003</v>
      </c>
      <c r="E17" s="123">
        <v>-470</v>
      </c>
      <c r="F17" s="129">
        <v>-257.89999999999998</v>
      </c>
      <c r="G17" s="118"/>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c r="AH17" s="109"/>
      <c r="AI17" s="109"/>
      <c r="AJ17" s="109"/>
      <c r="AK17" s="109"/>
      <c r="AL17" s="109"/>
      <c r="AM17" s="109"/>
      <c r="AN17" s="109"/>
      <c r="AO17" s="109"/>
    </row>
    <row r="18" spans="1:41" ht="15" customHeight="1">
      <c r="A18" s="317">
        <v>2023</v>
      </c>
      <c r="B18" s="318">
        <v>4.3647309999999999</v>
      </c>
      <c r="C18" s="318">
        <v>1.21</v>
      </c>
      <c r="D18" s="319">
        <v>0.27098899999999998</v>
      </c>
      <c r="E18" s="318">
        <v>-593.6</v>
      </c>
      <c r="F18" s="320">
        <v>-275</v>
      </c>
      <c r="G18" s="118"/>
      <c r="H18" s="109"/>
      <c r="I18" s="109"/>
      <c r="J18" s="109"/>
      <c r="K18" s="109"/>
      <c r="L18" s="109"/>
      <c r="M18" s="109"/>
      <c r="N18" s="109"/>
      <c r="O18" s="109"/>
      <c r="P18" s="109"/>
      <c r="Q18" s="109"/>
      <c r="R18" s="109"/>
      <c r="S18" s="109"/>
      <c r="T18" s="109"/>
      <c r="U18" s="109"/>
      <c r="V18" s="109"/>
      <c r="W18" s="109"/>
      <c r="X18" s="109"/>
      <c r="Y18" s="109"/>
      <c r="Z18" s="109"/>
      <c r="AA18" s="109"/>
      <c r="AB18" s="109"/>
      <c r="AC18" s="109"/>
      <c r="AD18" s="109"/>
      <c r="AE18" s="109"/>
      <c r="AF18" s="109"/>
      <c r="AG18" s="109"/>
      <c r="AH18" s="109"/>
      <c r="AI18" s="109"/>
      <c r="AJ18" s="109"/>
      <c r="AK18" s="109"/>
      <c r="AL18" s="109"/>
      <c r="AM18" s="109"/>
      <c r="AN18" s="109"/>
      <c r="AO18" s="109"/>
    </row>
    <row r="19" spans="1:41" ht="15" customHeight="1">
      <c r="A19" s="128">
        <v>2024</v>
      </c>
      <c r="B19" s="123">
        <v>4.1261659999999996</v>
      </c>
      <c r="C19" s="123">
        <v>1.34</v>
      </c>
      <c r="D19" s="126">
        <v>0.31718299999999999</v>
      </c>
      <c r="E19" s="123">
        <v>-485.7</v>
      </c>
      <c r="F19" s="129">
        <v>-294.60000000000002</v>
      </c>
      <c r="G19" s="109"/>
      <c r="H19" s="109"/>
      <c r="I19" s="109"/>
      <c r="J19" s="109"/>
      <c r="K19" s="109"/>
      <c r="L19" s="109"/>
      <c r="M19" s="109"/>
      <c r="N19" s="109"/>
      <c r="O19" s="109"/>
      <c r="P19" s="109"/>
      <c r="Q19" s="109"/>
      <c r="R19" s="109"/>
      <c r="S19" s="109"/>
      <c r="T19" s="109"/>
      <c r="U19" s="109"/>
      <c r="V19" s="109"/>
      <c r="W19" s="109"/>
      <c r="X19" s="109"/>
      <c r="Y19" s="109"/>
      <c r="Z19" s="109"/>
      <c r="AA19" s="109"/>
      <c r="AB19" s="109"/>
      <c r="AC19" s="109"/>
      <c r="AD19" s="109"/>
      <c r="AE19" s="109"/>
      <c r="AF19" s="109"/>
      <c r="AG19" s="109"/>
      <c r="AH19" s="109"/>
      <c r="AI19" s="109"/>
      <c r="AJ19" s="109"/>
      <c r="AK19" s="109"/>
      <c r="AL19" s="109"/>
      <c r="AM19" s="109"/>
      <c r="AN19" s="109"/>
      <c r="AO19" s="109"/>
    </row>
    <row r="20" spans="1:41" ht="15" customHeight="1">
      <c r="A20" s="321">
        <v>2025</v>
      </c>
      <c r="B20" s="322">
        <v>4.6459570000000001</v>
      </c>
      <c r="C20" s="322">
        <v>1.48</v>
      </c>
      <c r="D20" s="323">
        <v>0.311504</v>
      </c>
      <c r="E20" s="322">
        <v>-801.3</v>
      </c>
      <c r="F20" s="324">
        <v>-316.8</v>
      </c>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c r="AH20" s="109"/>
      <c r="AI20" s="109"/>
      <c r="AJ20" s="109"/>
      <c r="AK20" s="109"/>
      <c r="AL20" s="109"/>
      <c r="AM20" s="109"/>
      <c r="AN20" s="109"/>
      <c r="AO20" s="109"/>
    </row>
    <row r="21" spans="1:41" ht="15" customHeight="1" thickBot="1">
      <c r="A21" s="109"/>
      <c r="B21" s="109"/>
      <c r="C21" s="109"/>
      <c r="D21" s="109"/>
      <c r="E21" s="109"/>
      <c r="F21" s="127"/>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c r="AH21" s="109"/>
      <c r="AI21" s="109"/>
      <c r="AJ21" s="109"/>
      <c r="AK21" s="109"/>
      <c r="AL21" s="109"/>
      <c r="AM21" s="109"/>
      <c r="AN21" s="109"/>
      <c r="AO21" s="109"/>
    </row>
    <row r="22" spans="1:41" ht="15" customHeight="1">
      <c r="A22" s="109"/>
      <c r="B22" s="109"/>
      <c r="C22" s="109"/>
      <c r="D22" s="109"/>
      <c r="E22" s="109"/>
      <c r="F22" s="109"/>
      <c r="G22" s="109"/>
      <c r="H22" s="109"/>
      <c r="I22" s="109"/>
      <c r="J22" s="109"/>
      <c r="K22" s="109"/>
      <c r="L22" s="109"/>
      <c r="M22" s="109"/>
      <c r="N22" s="109"/>
      <c r="O22" s="109"/>
      <c r="P22" s="109"/>
      <c r="Q22" s="109"/>
      <c r="R22" s="109"/>
      <c r="S22" s="109"/>
      <c r="T22" s="109"/>
      <c r="U22" s="109"/>
      <c r="V22" s="109"/>
      <c r="W22" s="109"/>
      <c r="X22" s="109"/>
      <c r="Y22" s="109"/>
      <c r="Z22" s="109"/>
      <c r="AA22" s="109"/>
      <c r="AB22" s="109"/>
      <c r="AC22" s="109"/>
      <c r="AD22" s="109"/>
      <c r="AE22" s="109"/>
      <c r="AF22" s="109"/>
      <c r="AG22" s="109"/>
      <c r="AH22" s="109"/>
      <c r="AI22" s="109"/>
      <c r="AJ22" s="109"/>
      <c r="AK22" s="109"/>
      <c r="AL22" s="109"/>
      <c r="AM22" s="109"/>
      <c r="AN22" s="109"/>
      <c r="AO22" s="109"/>
    </row>
    <row r="23" spans="1:41" ht="15" customHeight="1">
      <c r="A23" s="109"/>
      <c r="B23" s="109"/>
      <c r="C23" s="109"/>
      <c r="D23" s="109"/>
      <c r="E23" s="109"/>
      <c r="F23" s="109"/>
      <c r="G23" s="109"/>
      <c r="H23" s="109"/>
      <c r="I23" s="109"/>
      <c r="J23" s="109"/>
      <c r="K23" s="109"/>
      <c r="L23" s="109"/>
      <c r="M23" s="109"/>
      <c r="N23" s="109"/>
      <c r="O23" s="109"/>
      <c r="P23" s="109"/>
      <c r="Q23" s="109"/>
      <c r="R23" s="109"/>
      <c r="S23" s="109"/>
      <c r="T23" s="109"/>
      <c r="U23" s="109"/>
      <c r="V23" s="109"/>
      <c r="W23" s="109"/>
      <c r="X23" s="109"/>
      <c r="Y23" s="109"/>
      <c r="Z23" s="109"/>
      <c r="AA23" s="109"/>
      <c r="AB23" s="109"/>
      <c r="AC23" s="109"/>
      <c r="AD23" s="109"/>
      <c r="AE23" s="109"/>
      <c r="AF23" s="109"/>
      <c r="AG23" s="109"/>
      <c r="AH23" s="109"/>
      <c r="AI23" s="109"/>
      <c r="AJ23" s="109"/>
      <c r="AK23" s="109"/>
      <c r="AL23" s="109"/>
      <c r="AM23" s="109"/>
      <c r="AN23" s="109"/>
      <c r="AO23" s="109"/>
    </row>
    <row r="24" spans="1:41" ht="15" customHeight="1">
      <c r="A24" s="109"/>
      <c r="B24" s="109"/>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c r="AH24" s="109"/>
      <c r="AI24" s="109"/>
      <c r="AJ24" s="109"/>
      <c r="AK24" s="109"/>
      <c r="AL24" s="109"/>
      <c r="AM24" s="109"/>
      <c r="AN24" s="109"/>
      <c r="AO24" s="109"/>
    </row>
    <row r="25" spans="1:41" ht="15" customHeight="1">
      <c r="A25" s="109"/>
      <c r="B25" s="109"/>
      <c r="C25" s="109"/>
      <c r="D25" s="109"/>
      <c r="E25" s="109"/>
      <c r="F25" s="109"/>
      <c r="G25" s="109"/>
      <c r="H25" s="109"/>
      <c r="I25" s="109"/>
      <c r="J25" s="109"/>
      <c r="K25" s="109"/>
      <c r="L25" s="109"/>
      <c r="M25" s="109"/>
      <c r="N25" s="109"/>
      <c r="O25" s="109"/>
      <c r="P25" s="109"/>
      <c r="Q25" s="109"/>
      <c r="R25" s="109"/>
      <c r="S25" s="109"/>
      <c r="T25" s="109"/>
      <c r="U25" s="109"/>
      <c r="V25" s="109"/>
      <c r="W25" s="109"/>
      <c r="X25" s="109"/>
      <c r="Y25" s="109"/>
      <c r="Z25" s="109"/>
      <c r="AA25" s="109"/>
      <c r="AB25" s="109"/>
      <c r="AC25" s="109"/>
      <c r="AD25" s="109"/>
      <c r="AE25" s="109"/>
      <c r="AF25" s="109"/>
      <c r="AG25" s="109"/>
      <c r="AH25" s="109"/>
      <c r="AI25" s="109"/>
      <c r="AJ25" s="109"/>
      <c r="AK25" s="109"/>
      <c r="AL25" s="109"/>
      <c r="AM25" s="109"/>
      <c r="AN25" s="109"/>
      <c r="AO25" s="109"/>
    </row>
    <row r="26" spans="1:41" ht="15" customHeight="1">
      <c r="A26" s="109"/>
      <c r="B26" s="109"/>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c r="AH26" s="109"/>
      <c r="AI26" s="109"/>
      <c r="AJ26" s="109"/>
      <c r="AK26" s="109"/>
      <c r="AL26" s="109"/>
      <c r="AM26" s="109"/>
      <c r="AN26" s="109"/>
      <c r="AO26" s="109"/>
    </row>
    <row r="27" spans="1:41" ht="15" customHeight="1">
      <c r="A27" s="109"/>
      <c r="B27" s="109"/>
      <c r="C27" s="109"/>
      <c r="D27" s="109"/>
      <c r="E27" s="109"/>
      <c r="F27" s="109"/>
      <c r="G27" s="109"/>
      <c r="H27" s="109"/>
      <c r="I27" s="109"/>
      <c r="J27" s="109"/>
      <c r="K27" s="109"/>
      <c r="L27" s="109"/>
      <c r="M27" s="109"/>
      <c r="N27" s="109"/>
      <c r="O27" s="109"/>
      <c r="P27" s="109"/>
      <c r="Q27" s="109"/>
      <c r="R27" s="109"/>
      <c r="S27" s="109"/>
      <c r="T27" s="109"/>
      <c r="U27" s="109"/>
      <c r="V27" s="109"/>
      <c r="W27" s="109"/>
      <c r="X27" s="109"/>
      <c r="Y27" s="109"/>
      <c r="Z27" s="109"/>
      <c r="AA27" s="109"/>
      <c r="AB27" s="109"/>
      <c r="AC27" s="109"/>
      <c r="AD27" s="109"/>
      <c r="AE27" s="109"/>
      <c r="AF27" s="109"/>
      <c r="AG27" s="109"/>
      <c r="AH27" s="109"/>
      <c r="AI27" s="109"/>
      <c r="AJ27" s="109"/>
      <c r="AK27" s="109"/>
      <c r="AL27" s="109"/>
      <c r="AM27" s="109"/>
      <c r="AN27" s="109"/>
      <c r="AO27" s="109"/>
    </row>
    <row r="28" spans="1:41" ht="15" customHeight="1">
      <c r="A28" s="109"/>
      <c r="B28" s="109"/>
      <c r="C28" s="109"/>
      <c r="D28" s="109"/>
      <c r="E28" s="109"/>
      <c r="F28" s="109"/>
      <c r="G28" s="109"/>
      <c r="H28" s="109"/>
      <c r="I28" s="109"/>
      <c r="J28" s="109"/>
      <c r="K28" s="109"/>
      <c r="L28" s="109"/>
      <c r="M28" s="109"/>
      <c r="N28" s="109"/>
      <c r="O28" s="109"/>
      <c r="P28" s="109"/>
      <c r="Q28" s="109"/>
      <c r="R28" s="109"/>
      <c r="S28" s="109"/>
      <c r="T28" s="109"/>
      <c r="U28" s="109"/>
      <c r="V28" s="109"/>
      <c r="W28" s="109"/>
      <c r="X28" s="109"/>
      <c r="Y28" s="109"/>
      <c r="Z28" s="109"/>
      <c r="AA28" s="109"/>
      <c r="AB28" s="109"/>
      <c r="AC28" s="109"/>
      <c r="AD28" s="109"/>
      <c r="AE28" s="109"/>
      <c r="AF28" s="109"/>
      <c r="AG28" s="109"/>
      <c r="AH28" s="109"/>
      <c r="AI28" s="109"/>
      <c r="AJ28" s="109"/>
      <c r="AK28" s="109"/>
      <c r="AL28" s="109"/>
      <c r="AM28" s="109"/>
      <c r="AN28" s="109"/>
      <c r="AO28" s="109"/>
    </row>
    <row r="29" spans="1:41" ht="15" customHeight="1">
      <c r="A29" s="10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c r="AH29" s="109"/>
      <c r="AI29" s="109"/>
      <c r="AJ29" s="109"/>
      <c r="AK29" s="109"/>
      <c r="AL29" s="109"/>
      <c r="AM29" s="109"/>
      <c r="AN29" s="109"/>
      <c r="AO29" s="109"/>
    </row>
    <row r="30" spans="1:41" ht="15" customHeight="1">
      <c r="A30" s="109"/>
      <c r="B30" s="109"/>
      <c r="C30" s="109"/>
      <c r="D30" s="109"/>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c r="AH30" s="109"/>
      <c r="AI30" s="109"/>
      <c r="AJ30" s="109"/>
      <c r="AK30" s="109"/>
      <c r="AL30" s="109"/>
      <c r="AM30" s="109"/>
      <c r="AN30" s="109"/>
      <c r="AO30" s="109"/>
    </row>
    <row r="31" spans="1:41" ht="15" customHeight="1">
      <c r="A31" s="109"/>
      <c r="B31" s="109"/>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c r="AH31" s="109"/>
      <c r="AI31" s="109"/>
      <c r="AJ31" s="109"/>
      <c r="AK31" s="109"/>
      <c r="AL31" s="109"/>
      <c r="AM31" s="109"/>
      <c r="AN31" s="109"/>
      <c r="AO31" s="109"/>
    </row>
    <row r="32" spans="1:41" ht="15" customHeight="1">
      <c r="A32" s="109"/>
      <c r="B32" s="109"/>
      <c r="C32" s="109"/>
      <c r="D32" s="109"/>
      <c r="E32" s="109"/>
      <c r="F32" s="109"/>
      <c r="G32" s="109"/>
      <c r="H32" s="109"/>
      <c r="I32" s="109"/>
      <c r="J32" s="109"/>
      <c r="K32" s="109"/>
      <c r="L32" s="109"/>
      <c r="M32" s="109"/>
      <c r="N32" s="109"/>
      <c r="O32" s="109"/>
      <c r="P32" s="109"/>
      <c r="Q32" s="109"/>
      <c r="R32" s="109"/>
      <c r="S32" s="109"/>
      <c r="T32" s="109"/>
      <c r="U32" s="109"/>
      <c r="V32" s="109"/>
      <c r="W32" s="109"/>
      <c r="X32" s="109"/>
      <c r="Y32" s="109"/>
      <c r="Z32" s="109"/>
      <c r="AA32" s="109"/>
      <c r="AB32" s="109"/>
      <c r="AC32" s="109"/>
      <c r="AD32" s="109"/>
      <c r="AE32" s="109"/>
      <c r="AF32" s="109"/>
      <c r="AG32" s="109"/>
      <c r="AH32" s="109"/>
      <c r="AI32" s="109"/>
      <c r="AJ32" s="109"/>
      <c r="AK32" s="109"/>
      <c r="AL32" s="109"/>
      <c r="AM32" s="109"/>
      <c r="AN32" s="109"/>
      <c r="AO32" s="109"/>
    </row>
    <row r="33" spans="1:41" ht="15" customHeight="1">
      <c r="A33" s="109"/>
      <c r="B33" s="109"/>
      <c r="C33" s="109"/>
      <c r="D33" s="109"/>
      <c r="E33" s="109"/>
      <c r="F33" s="109"/>
      <c r="G33" s="109"/>
      <c r="H33" s="109"/>
      <c r="I33" s="109"/>
      <c r="J33" s="109"/>
      <c r="K33" s="109"/>
      <c r="L33" s="109"/>
      <c r="M33" s="109"/>
      <c r="N33" s="109"/>
      <c r="O33" s="109"/>
      <c r="P33" s="109"/>
      <c r="Q33" s="109"/>
      <c r="R33" s="109"/>
      <c r="S33" s="109"/>
      <c r="T33" s="109"/>
      <c r="U33" s="109"/>
      <c r="V33" s="109"/>
      <c r="W33" s="109"/>
      <c r="X33" s="109"/>
      <c r="Y33" s="109"/>
      <c r="Z33" s="109"/>
      <c r="AA33" s="109"/>
      <c r="AB33" s="109"/>
      <c r="AC33" s="109"/>
      <c r="AD33" s="109"/>
      <c r="AE33" s="109"/>
      <c r="AF33" s="109"/>
      <c r="AG33" s="109"/>
      <c r="AH33" s="109"/>
      <c r="AI33" s="109"/>
      <c r="AJ33" s="109"/>
      <c r="AK33" s="109"/>
      <c r="AL33" s="109"/>
      <c r="AM33" s="109"/>
      <c r="AN33" s="109"/>
      <c r="AO33" s="109"/>
    </row>
    <row r="34" spans="1:41" ht="15" customHeight="1">
      <c r="A34" s="109"/>
      <c r="B34" s="109"/>
      <c r="C34" s="109"/>
      <c r="D34" s="109"/>
      <c r="E34" s="109"/>
      <c r="F34" s="109"/>
      <c r="G34" s="109"/>
      <c r="H34" s="109"/>
      <c r="I34" s="109"/>
      <c r="J34" s="109"/>
      <c r="K34" s="109"/>
      <c r="L34" s="109"/>
      <c r="M34" s="109"/>
      <c r="N34" s="109"/>
      <c r="O34" s="109"/>
      <c r="P34" s="109"/>
      <c r="Q34" s="109"/>
      <c r="R34" s="109"/>
      <c r="S34" s="109"/>
      <c r="T34" s="109"/>
      <c r="U34" s="109"/>
      <c r="V34" s="109"/>
      <c r="W34" s="109"/>
      <c r="X34" s="109"/>
      <c r="Y34" s="109"/>
      <c r="Z34" s="109"/>
      <c r="AA34" s="109"/>
      <c r="AB34" s="109"/>
      <c r="AC34" s="109"/>
      <c r="AD34" s="109"/>
      <c r="AE34" s="109"/>
      <c r="AF34" s="109"/>
      <c r="AG34" s="109"/>
      <c r="AH34" s="109"/>
      <c r="AI34" s="109"/>
      <c r="AJ34" s="109"/>
      <c r="AK34" s="109"/>
      <c r="AL34" s="109"/>
      <c r="AM34" s="109"/>
      <c r="AN34" s="109"/>
      <c r="AO34" s="109"/>
    </row>
    <row r="35" spans="1:41" ht="15" customHeight="1">
      <c r="A35" s="109"/>
      <c r="B35" s="109"/>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c r="AA35" s="109"/>
      <c r="AB35" s="109"/>
      <c r="AC35" s="109"/>
      <c r="AD35" s="109"/>
      <c r="AE35" s="109"/>
      <c r="AF35" s="109"/>
      <c r="AG35" s="109"/>
      <c r="AH35" s="109"/>
      <c r="AI35" s="109"/>
      <c r="AJ35" s="109"/>
      <c r="AK35" s="109"/>
      <c r="AL35" s="109"/>
      <c r="AM35" s="109"/>
      <c r="AN35" s="109"/>
      <c r="AO35" s="109"/>
    </row>
    <row r="36" spans="1:41" ht="15" customHeight="1">
      <c r="A36" s="109"/>
      <c r="B36" s="109"/>
      <c r="C36" s="109"/>
      <c r="D36" s="109"/>
      <c r="E36" s="109"/>
      <c r="F36" s="109"/>
      <c r="G36" s="109"/>
      <c r="H36" s="109"/>
      <c r="I36" s="109"/>
      <c r="J36" s="109"/>
      <c r="K36" s="109"/>
      <c r="L36" s="109"/>
      <c r="M36" s="109"/>
      <c r="N36" s="109"/>
      <c r="O36" s="109"/>
      <c r="P36" s="109"/>
      <c r="Q36" s="109"/>
      <c r="R36" s="109"/>
      <c r="S36" s="109"/>
      <c r="T36" s="109"/>
      <c r="U36" s="109"/>
      <c r="V36" s="109"/>
      <c r="W36" s="109"/>
      <c r="X36" s="109"/>
      <c r="Y36" s="109"/>
      <c r="Z36" s="109"/>
      <c r="AA36" s="109"/>
      <c r="AB36" s="109"/>
      <c r="AC36" s="109"/>
      <c r="AD36" s="109"/>
      <c r="AE36" s="109"/>
      <c r="AF36" s="109"/>
      <c r="AG36" s="109"/>
      <c r="AH36" s="109"/>
      <c r="AI36" s="109"/>
      <c r="AJ36" s="109"/>
      <c r="AK36" s="109"/>
      <c r="AL36" s="109"/>
      <c r="AM36" s="109"/>
      <c r="AN36" s="109"/>
      <c r="AO36" s="109"/>
    </row>
    <row r="37" spans="1:41" ht="15" customHeight="1">
      <c r="A37" s="109"/>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c r="AH37" s="109"/>
      <c r="AI37" s="109"/>
      <c r="AJ37" s="109"/>
      <c r="AK37" s="109"/>
      <c r="AL37" s="109"/>
      <c r="AM37" s="109"/>
      <c r="AN37" s="109"/>
      <c r="AO37" s="109"/>
    </row>
    <row r="38" spans="1:41" ht="15" customHeight="1">
      <c r="A38" s="109"/>
      <c r="B38" s="109"/>
      <c r="C38" s="109"/>
      <c r="D38" s="109"/>
      <c r="E38" s="109"/>
      <c r="F38" s="109"/>
      <c r="G38" s="109"/>
      <c r="H38" s="109"/>
      <c r="I38" s="109"/>
      <c r="J38" s="109"/>
      <c r="K38" s="109"/>
      <c r="L38" s="109"/>
      <c r="M38" s="109"/>
      <c r="N38" s="109"/>
      <c r="O38" s="109"/>
      <c r="P38" s="109"/>
      <c r="Q38" s="109"/>
      <c r="R38" s="109"/>
      <c r="S38" s="109"/>
      <c r="T38" s="109"/>
      <c r="U38" s="109"/>
      <c r="V38" s="109"/>
      <c r="W38" s="109"/>
      <c r="X38" s="109"/>
      <c r="Y38" s="109"/>
      <c r="Z38" s="109"/>
      <c r="AA38" s="109"/>
      <c r="AB38" s="109"/>
      <c r="AC38" s="109"/>
      <c r="AD38" s="109"/>
      <c r="AE38" s="109"/>
      <c r="AF38" s="109"/>
      <c r="AG38" s="109"/>
      <c r="AH38" s="109"/>
      <c r="AI38" s="109"/>
      <c r="AJ38" s="109"/>
      <c r="AK38" s="109"/>
      <c r="AL38" s="109"/>
      <c r="AM38" s="109"/>
      <c r="AN38" s="109"/>
      <c r="AO38" s="109"/>
    </row>
    <row r="39" spans="1:41" ht="15" customHeight="1">
      <c r="A39" s="109"/>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c r="AH39" s="109"/>
      <c r="AI39" s="109"/>
      <c r="AJ39" s="109"/>
      <c r="AK39" s="109"/>
      <c r="AL39" s="109"/>
      <c r="AM39" s="109"/>
      <c r="AN39" s="109"/>
      <c r="AO39" s="109"/>
    </row>
    <row r="40" spans="1:41" ht="15" customHeight="1">
      <c r="A40" s="109"/>
      <c r="B40" s="109"/>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c r="AH40" s="109"/>
      <c r="AI40" s="109"/>
      <c r="AJ40" s="109"/>
      <c r="AK40" s="109"/>
      <c r="AL40" s="109"/>
      <c r="AM40" s="109"/>
      <c r="AN40" s="109"/>
      <c r="AO40" s="109"/>
    </row>
    <row r="41" spans="1:41" ht="15" customHeight="1">
      <c r="A41" s="109"/>
      <c r="B41" s="109"/>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c r="AH41" s="109"/>
      <c r="AI41" s="109"/>
      <c r="AJ41" s="109"/>
      <c r="AK41" s="109"/>
      <c r="AL41" s="109"/>
      <c r="AM41" s="109"/>
      <c r="AN41" s="109"/>
      <c r="AO41" s="109"/>
    </row>
    <row r="42" spans="1:41" ht="15" customHeight="1">
      <c r="A42" s="109"/>
      <c r="B42" s="109"/>
      <c r="C42" s="109"/>
      <c r="D42" s="109"/>
      <c r="E42" s="109"/>
      <c r="F42" s="109"/>
      <c r="G42" s="109"/>
      <c r="H42" s="109"/>
      <c r="I42" s="109"/>
      <c r="J42" s="109"/>
      <c r="K42" s="109"/>
      <c r="L42" s="109"/>
      <c r="M42" s="109"/>
      <c r="N42" s="109"/>
      <c r="O42" s="109"/>
      <c r="P42" s="109"/>
      <c r="Q42" s="109"/>
      <c r="R42" s="109"/>
      <c r="S42" s="109"/>
      <c r="T42" s="109"/>
      <c r="U42" s="109"/>
      <c r="V42" s="109"/>
      <c r="W42" s="109"/>
      <c r="X42" s="109"/>
      <c r="Y42" s="109"/>
      <c r="Z42" s="109"/>
      <c r="AA42" s="109"/>
      <c r="AB42" s="109"/>
      <c r="AC42" s="109"/>
      <c r="AD42" s="109"/>
      <c r="AE42" s="109"/>
      <c r="AF42" s="109"/>
      <c r="AG42" s="109"/>
      <c r="AH42" s="109"/>
      <c r="AI42" s="109"/>
      <c r="AJ42" s="109"/>
      <c r="AK42" s="109"/>
      <c r="AL42" s="109"/>
      <c r="AM42" s="109"/>
      <c r="AN42" s="109"/>
      <c r="AO42" s="109"/>
    </row>
    <row r="43" spans="1:41" ht="15" customHeight="1">
      <c r="A43" s="109"/>
      <c r="B43" s="109"/>
      <c r="C43" s="109"/>
      <c r="D43" s="109"/>
      <c r="E43" s="109"/>
      <c r="F43" s="109"/>
      <c r="G43" s="109"/>
      <c r="H43" s="109"/>
      <c r="I43" s="109"/>
      <c r="J43" s="109"/>
      <c r="K43" s="109"/>
      <c r="L43" s="109"/>
      <c r="M43" s="109"/>
      <c r="N43" s="109"/>
      <c r="O43" s="109"/>
      <c r="P43" s="109"/>
      <c r="Q43" s="109"/>
      <c r="R43" s="109"/>
      <c r="S43" s="109"/>
      <c r="T43" s="109"/>
      <c r="U43" s="109"/>
      <c r="V43" s="109"/>
      <c r="W43" s="109"/>
      <c r="X43" s="109"/>
      <c r="Y43" s="109"/>
      <c r="Z43" s="109"/>
      <c r="AA43" s="109"/>
      <c r="AB43" s="109"/>
      <c r="AC43" s="109"/>
      <c r="AD43" s="109"/>
      <c r="AE43" s="109"/>
      <c r="AF43" s="109"/>
      <c r="AG43" s="109"/>
      <c r="AH43" s="109"/>
      <c r="AI43" s="109"/>
      <c r="AJ43" s="109"/>
      <c r="AK43" s="109"/>
      <c r="AL43" s="109"/>
      <c r="AM43" s="109"/>
      <c r="AN43" s="109"/>
      <c r="AO43" s="109"/>
    </row>
    <row r="44" spans="1:41" ht="15" customHeight="1">
      <c r="A44" s="109"/>
      <c r="B44" s="109"/>
      <c r="C44" s="109"/>
      <c r="D44" s="109"/>
      <c r="E44" s="109"/>
      <c r="F44" s="109"/>
      <c r="G44" s="109"/>
      <c r="H44" s="109"/>
      <c r="I44" s="109"/>
      <c r="J44" s="109"/>
      <c r="K44" s="109"/>
      <c r="L44" s="109"/>
      <c r="M44" s="109"/>
      <c r="N44" s="109"/>
      <c r="O44" s="109"/>
      <c r="P44" s="109"/>
      <c r="Q44" s="109"/>
      <c r="R44" s="109"/>
      <c r="S44" s="109"/>
      <c r="T44" s="109"/>
      <c r="U44" s="109"/>
      <c r="V44" s="109"/>
      <c r="W44" s="109"/>
      <c r="X44" s="109"/>
      <c r="Y44" s="109"/>
      <c r="Z44" s="109"/>
      <c r="AA44" s="109"/>
      <c r="AB44" s="109"/>
      <c r="AC44" s="109"/>
      <c r="AD44" s="109"/>
      <c r="AE44" s="109"/>
      <c r="AF44" s="109"/>
      <c r="AG44" s="109"/>
      <c r="AH44" s="109"/>
      <c r="AI44" s="109"/>
      <c r="AJ44" s="109"/>
      <c r="AK44" s="109"/>
      <c r="AL44" s="109"/>
      <c r="AM44" s="109"/>
      <c r="AN44" s="109"/>
      <c r="AO44" s="109"/>
    </row>
    <row r="45" spans="1:41" ht="15" customHeight="1">
      <c r="A45" s="109"/>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c r="AH45" s="109"/>
      <c r="AI45" s="109"/>
      <c r="AJ45" s="109"/>
      <c r="AK45" s="109"/>
      <c r="AL45" s="109"/>
      <c r="AM45" s="109"/>
      <c r="AN45" s="109"/>
      <c r="AO45" s="109"/>
    </row>
    <row r="46" spans="1:41" ht="15" customHeight="1">
      <c r="A46" s="109"/>
      <c r="B46" s="109"/>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c r="AH46" s="109"/>
      <c r="AI46" s="109"/>
      <c r="AJ46" s="109"/>
      <c r="AK46" s="109"/>
      <c r="AL46" s="109"/>
      <c r="AM46" s="109"/>
      <c r="AN46" s="109"/>
      <c r="AO46" s="109"/>
    </row>
    <row r="47" spans="1:41" ht="15" customHeight="1">
      <c r="A47" s="109"/>
      <c r="B47" s="109"/>
      <c r="C47" s="109"/>
      <c r="D47" s="109"/>
      <c r="E47" s="109"/>
      <c r="F47" s="109"/>
      <c r="G47" s="109"/>
      <c r="H47" s="109"/>
      <c r="I47" s="109"/>
      <c r="J47" s="109"/>
      <c r="K47" s="109"/>
      <c r="L47" s="109"/>
      <c r="M47" s="109"/>
      <c r="N47" s="109"/>
      <c r="O47" s="109"/>
      <c r="P47" s="109"/>
      <c r="Q47" s="109"/>
      <c r="R47" s="109"/>
      <c r="S47" s="109"/>
      <c r="T47" s="109"/>
      <c r="U47" s="109"/>
      <c r="V47" s="109"/>
      <c r="W47" s="109"/>
      <c r="X47" s="109"/>
      <c r="Y47" s="109"/>
      <c r="Z47" s="109"/>
      <c r="AA47" s="109"/>
      <c r="AB47" s="109"/>
      <c r="AC47" s="109"/>
      <c r="AD47" s="109"/>
      <c r="AE47" s="109"/>
      <c r="AF47" s="109"/>
      <c r="AG47" s="109"/>
      <c r="AH47" s="109"/>
      <c r="AI47" s="109"/>
      <c r="AJ47" s="109"/>
      <c r="AK47" s="109"/>
      <c r="AL47" s="109"/>
      <c r="AM47" s="109"/>
      <c r="AN47" s="109"/>
      <c r="AO47" s="109"/>
    </row>
    <row r="48" spans="1:41" ht="15" customHeight="1">
      <c r="A48" s="109"/>
      <c r="B48" s="109"/>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c r="AH48" s="109"/>
      <c r="AI48" s="109"/>
      <c r="AJ48" s="109"/>
      <c r="AK48" s="109"/>
      <c r="AL48" s="109"/>
      <c r="AM48" s="109"/>
      <c r="AN48" s="109"/>
      <c r="AO48" s="109"/>
    </row>
    <row r="49" spans="1:41" ht="15" customHeight="1">
      <c r="A49" s="109"/>
      <c r="B49" s="109"/>
      <c r="C49" s="109"/>
      <c r="D49" s="109"/>
      <c r="E49" s="109"/>
      <c r="F49" s="109"/>
      <c r="G49" s="109"/>
      <c r="H49" s="109"/>
      <c r="I49" s="109"/>
      <c r="J49" s="109"/>
      <c r="K49" s="109"/>
      <c r="L49" s="109"/>
      <c r="M49" s="109"/>
      <c r="N49" s="109"/>
      <c r="O49" s="109"/>
      <c r="P49" s="109"/>
      <c r="Q49" s="109"/>
      <c r="R49" s="109"/>
      <c r="S49" s="109"/>
      <c r="T49" s="109"/>
      <c r="U49" s="109"/>
      <c r="V49" s="109"/>
      <c r="W49" s="109"/>
      <c r="X49" s="109"/>
      <c r="Y49" s="109"/>
      <c r="Z49" s="109"/>
      <c r="AA49" s="109"/>
      <c r="AB49" s="109"/>
      <c r="AC49" s="109"/>
      <c r="AD49" s="109"/>
      <c r="AE49" s="109"/>
      <c r="AF49" s="109"/>
      <c r="AG49" s="109"/>
      <c r="AH49" s="109"/>
      <c r="AI49" s="109"/>
      <c r="AJ49" s="109"/>
      <c r="AK49" s="109"/>
      <c r="AL49" s="109"/>
      <c r="AM49" s="109"/>
      <c r="AN49" s="109"/>
      <c r="AO49" s="109"/>
    </row>
    <row r="50" spans="1:41" ht="15" customHeight="1">
      <c r="A50" s="109"/>
      <c r="B50" s="109"/>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c r="AH50" s="109"/>
      <c r="AI50" s="109"/>
      <c r="AJ50" s="109"/>
      <c r="AK50" s="109"/>
      <c r="AL50" s="109"/>
      <c r="AM50" s="109"/>
      <c r="AN50" s="109"/>
      <c r="AO50" s="109"/>
    </row>
    <row r="51" spans="1:41" ht="15" customHeight="1">
      <c r="A51" s="109"/>
      <c r="B51" s="109"/>
      <c r="C51" s="109"/>
      <c r="D51" s="109"/>
      <c r="E51" s="109"/>
      <c r="F51" s="109"/>
      <c r="G51" s="109"/>
      <c r="H51" s="109"/>
      <c r="I51" s="109"/>
      <c r="J51" s="109"/>
      <c r="K51" s="109"/>
      <c r="L51" s="109"/>
      <c r="M51" s="109"/>
      <c r="N51" s="109"/>
      <c r="O51" s="109"/>
      <c r="P51" s="109"/>
      <c r="Q51" s="109"/>
      <c r="R51" s="109"/>
      <c r="S51" s="109"/>
      <c r="T51" s="109"/>
      <c r="U51" s="109"/>
      <c r="V51" s="109"/>
      <c r="W51" s="109"/>
      <c r="X51" s="109"/>
      <c r="Y51" s="109"/>
      <c r="Z51" s="109"/>
      <c r="AA51" s="109"/>
      <c r="AB51" s="109"/>
      <c r="AC51" s="109"/>
      <c r="AD51" s="109"/>
      <c r="AE51" s="109"/>
      <c r="AF51" s="109"/>
      <c r="AG51" s="109"/>
      <c r="AH51" s="109"/>
      <c r="AI51" s="109"/>
      <c r="AJ51" s="109"/>
      <c r="AK51" s="109"/>
      <c r="AL51" s="109"/>
      <c r="AM51" s="109"/>
      <c r="AN51" s="109"/>
      <c r="AO51" s="109"/>
    </row>
    <row r="52" spans="1:41" ht="15" customHeight="1">
      <c r="A52" s="109"/>
      <c r="B52" s="109"/>
      <c r="C52" s="109"/>
      <c r="D52" s="109"/>
      <c r="E52" s="109"/>
      <c r="F52" s="109"/>
      <c r="G52" s="109"/>
      <c r="H52" s="109"/>
      <c r="I52" s="109"/>
      <c r="J52" s="109"/>
      <c r="K52" s="109"/>
      <c r="L52" s="109"/>
      <c r="M52" s="109"/>
      <c r="N52" s="109"/>
      <c r="O52" s="109"/>
      <c r="P52" s="109"/>
      <c r="Q52" s="109"/>
      <c r="R52" s="109"/>
      <c r="S52" s="109"/>
      <c r="T52" s="109"/>
      <c r="U52" s="109"/>
      <c r="V52" s="109"/>
      <c r="W52" s="109"/>
      <c r="X52" s="109"/>
      <c r="Y52" s="109"/>
      <c r="Z52" s="109"/>
      <c r="AA52" s="109"/>
      <c r="AB52" s="109"/>
      <c r="AC52" s="109"/>
      <c r="AD52" s="109"/>
      <c r="AE52" s="109"/>
      <c r="AF52" s="109"/>
      <c r="AG52" s="109"/>
      <c r="AH52" s="109"/>
      <c r="AI52" s="109"/>
      <c r="AJ52" s="109"/>
      <c r="AK52" s="109"/>
      <c r="AL52" s="109"/>
      <c r="AM52" s="109"/>
      <c r="AN52" s="109"/>
      <c r="AO52" s="109"/>
    </row>
    <row r="53" spans="1:41" ht="15" customHeight="1">
      <c r="A53" s="10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c r="AH53" s="109"/>
      <c r="AI53" s="109"/>
      <c r="AJ53" s="109"/>
      <c r="AK53" s="109"/>
      <c r="AL53" s="109"/>
      <c r="AM53" s="109"/>
      <c r="AN53" s="109"/>
      <c r="AO53" s="109"/>
    </row>
    <row r="54" spans="1:41" ht="15" customHeight="1">
      <c r="A54" s="109"/>
      <c r="B54" s="109"/>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c r="AH54" s="109"/>
      <c r="AI54" s="109"/>
      <c r="AJ54" s="109"/>
      <c r="AK54" s="109"/>
      <c r="AL54" s="109"/>
      <c r="AM54" s="109"/>
      <c r="AN54" s="109"/>
      <c r="AO54" s="109"/>
    </row>
    <row r="55" spans="1:41" ht="15" customHeight="1">
      <c r="A55" s="109"/>
      <c r="B55" s="109"/>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c r="AH55" s="109"/>
      <c r="AI55" s="109"/>
      <c r="AJ55" s="109"/>
      <c r="AK55" s="109"/>
      <c r="AL55" s="109"/>
      <c r="AM55" s="109"/>
      <c r="AN55" s="109"/>
      <c r="AO55" s="109"/>
    </row>
    <row r="56" spans="1:41" ht="15" customHeight="1">
      <c r="A56" s="109"/>
      <c r="B56" s="109"/>
      <c r="C56" s="109"/>
      <c r="D56" s="109"/>
      <c r="E56" s="109"/>
      <c r="F56" s="109"/>
      <c r="G56" s="109"/>
      <c r="H56" s="109"/>
      <c r="I56" s="109"/>
      <c r="J56" s="109"/>
      <c r="K56" s="109"/>
      <c r="L56" s="109"/>
      <c r="M56" s="109"/>
      <c r="N56" s="109"/>
      <c r="O56" s="109"/>
      <c r="P56" s="109"/>
      <c r="Q56" s="109"/>
      <c r="R56" s="109"/>
      <c r="S56" s="109"/>
      <c r="T56" s="109"/>
      <c r="U56" s="109"/>
      <c r="V56" s="109"/>
      <c r="W56" s="109"/>
      <c r="X56" s="109"/>
      <c r="Y56" s="109"/>
      <c r="Z56" s="109"/>
      <c r="AA56" s="109"/>
      <c r="AB56" s="109"/>
      <c r="AC56" s="109"/>
      <c r="AD56" s="109"/>
      <c r="AE56" s="109"/>
      <c r="AF56" s="109"/>
      <c r="AG56" s="109"/>
      <c r="AH56" s="109"/>
      <c r="AI56" s="109"/>
      <c r="AJ56" s="109"/>
      <c r="AK56" s="109"/>
      <c r="AL56" s="109"/>
      <c r="AM56" s="109"/>
      <c r="AN56" s="109"/>
      <c r="AO56" s="109"/>
    </row>
    <row r="57" spans="1:41" ht="15" customHeight="1">
      <c r="A57" s="109"/>
      <c r="B57" s="109"/>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c r="AA57" s="109"/>
      <c r="AB57" s="109"/>
      <c r="AC57" s="109"/>
      <c r="AD57" s="109"/>
      <c r="AE57" s="109"/>
      <c r="AF57" s="109"/>
      <c r="AG57" s="109"/>
      <c r="AH57" s="109"/>
      <c r="AI57" s="109"/>
      <c r="AJ57" s="109"/>
      <c r="AK57" s="109"/>
      <c r="AL57" s="109"/>
      <c r="AM57" s="109"/>
      <c r="AN57" s="109"/>
      <c r="AO57" s="109"/>
    </row>
    <row r="58" spans="1:41" ht="15" customHeight="1">
      <c r="A58" s="109"/>
      <c r="B58" s="109"/>
      <c r="C58" s="109"/>
      <c r="D58" s="109"/>
      <c r="E58" s="109"/>
      <c r="F58" s="109"/>
      <c r="G58" s="109"/>
      <c r="H58" s="109"/>
      <c r="I58" s="109"/>
      <c r="J58" s="109"/>
      <c r="K58" s="109"/>
      <c r="L58" s="109"/>
      <c r="M58" s="109"/>
      <c r="N58" s="109"/>
      <c r="O58" s="109"/>
      <c r="P58" s="109"/>
      <c r="Q58" s="109"/>
      <c r="R58" s="109"/>
      <c r="S58" s="109"/>
      <c r="T58" s="109"/>
      <c r="U58" s="109"/>
      <c r="V58" s="109"/>
      <c r="W58" s="109"/>
      <c r="X58" s="109"/>
      <c r="Y58" s="109"/>
      <c r="Z58" s="109"/>
      <c r="AA58" s="109"/>
      <c r="AB58" s="109"/>
      <c r="AC58" s="109"/>
      <c r="AD58" s="109"/>
      <c r="AE58" s="109"/>
      <c r="AF58" s="109"/>
      <c r="AG58" s="109"/>
      <c r="AH58" s="109"/>
      <c r="AI58" s="109"/>
      <c r="AJ58" s="109"/>
      <c r="AK58" s="109"/>
      <c r="AL58" s="109"/>
      <c r="AM58" s="109"/>
      <c r="AN58" s="109"/>
      <c r="AO58" s="109"/>
    </row>
    <row r="59" spans="1:41" ht="15" customHeight="1">
      <c r="A59" s="109"/>
      <c r="B59" s="109"/>
      <c r="C59" s="109"/>
      <c r="D59" s="109"/>
      <c r="E59" s="109"/>
      <c r="F59" s="109"/>
      <c r="G59" s="109"/>
      <c r="H59" s="109"/>
      <c r="I59" s="109"/>
      <c r="J59" s="109"/>
      <c r="K59" s="109"/>
      <c r="L59" s="109"/>
      <c r="M59" s="109"/>
      <c r="N59" s="109"/>
      <c r="O59" s="109"/>
      <c r="P59" s="109"/>
      <c r="Q59" s="109"/>
      <c r="R59" s="109"/>
      <c r="S59" s="109"/>
      <c r="T59" s="109"/>
      <c r="U59" s="109"/>
      <c r="V59" s="109"/>
      <c r="W59" s="109"/>
      <c r="X59" s="109"/>
      <c r="Y59" s="109"/>
      <c r="Z59" s="109"/>
      <c r="AA59" s="109"/>
      <c r="AB59" s="109"/>
      <c r="AC59" s="109"/>
      <c r="AD59" s="109"/>
      <c r="AE59" s="109"/>
      <c r="AF59" s="109"/>
      <c r="AG59" s="109"/>
      <c r="AH59" s="109"/>
      <c r="AI59" s="109"/>
      <c r="AJ59" s="109"/>
      <c r="AK59" s="109"/>
      <c r="AL59" s="109"/>
      <c r="AM59" s="109"/>
      <c r="AN59" s="109"/>
      <c r="AO59" s="109"/>
    </row>
    <row r="60" spans="1:41" ht="15" customHeight="1">
      <c r="A60" s="109"/>
      <c r="B60" s="109"/>
      <c r="C60" s="109"/>
      <c r="D60" s="109"/>
      <c r="E60" s="109"/>
      <c r="F60" s="109"/>
      <c r="G60" s="109"/>
      <c r="H60" s="109"/>
      <c r="I60" s="109"/>
      <c r="J60" s="109"/>
      <c r="K60" s="109"/>
      <c r="L60" s="109"/>
      <c r="M60" s="109"/>
      <c r="N60" s="109"/>
      <c r="O60" s="109"/>
      <c r="P60" s="109"/>
      <c r="Q60" s="109"/>
      <c r="R60" s="109"/>
      <c r="S60" s="109"/>
      <c r="T60" s="109"/>
      <c r="U60" s="109"/>
      <c r="V60" s="109"/>
      <c r="W60" s="109"/>
      <c r="X60" s="109"/>
      <c r="Y60" s="109"/>
      <c r="Z60" s="109"/>
      <c r="AA60" s="109"/>
      <c r="AB60" s="109"/>
      <c r="AC60" s="109"/>
      <c r="AD60" s="109"/>
      <c r="AE60" s="109"/>
      <c r="AF60" s="109"/>
      <c r="AG60" s="109"/>
      <c r="AH60" s="109"/>
      <c r="AI60" s="109"/>
      <c r="AJ60" s="109"/>
      <c r="AK60" s="109"/>
      <c r="AL60" s="109"/>
      <c r="AM60" s="109"/>
      <c r="AN60" s="109"/>
      <c r="AO60" s="109"/>
    </row>
    <row r="61" spans="1:41" ht="15" customHeight="1">
      <c r="A61" s="109"/>
      <c r="B61" s="109"/>
      <c r="C61" s="109"/>
      <c r="D61" s="109"/>
      <c r="E61" s="109"/>
      <c r="F61" s="109"/>
      <c r="G61" s="109"/>
      <c r="H61" s="109"/>
      <c r="I61" s="109"/>
      <c r="J61" s="109"/>
      <c r="K61" s="109"/>
      <c r="L61" s="109"/>
      <c r="M61" s="109"/>
      <c r="N61" s="109"/>
      <c r="O61" s="109"/>
      <c r="P61" s="109"/>
      <c r="Q61" s="109"/>
      <c r="R61" s="109"/>
      <c r="S61" s="109"/>
      <c r="T61" s="109"/>
      <c r="U61" s="109"/>
      <c r="V61" s="109"/>
      <c r="W61" s="109"/>
      <c r="X61" s="109"/>
      <c r="Y61" s="109"/>
      <c r="Z61" s="109"/>
      <c r="AA61" s="109"/>
      <c r="AB61" s="109"/>
      <c r="AC61" s="109"/>
      <c r="AD61" s="109"/>
      <c r="AE61" s="109"/>
      <c r="AF61" s="109"/>
      <c r="AG61" s="109"/>
      <c r="AH61" s="109"/>
      <c r="AI61" s="109"/>
      <c r="AJ61" s="109"/>
      <c r="AK61" s="109"/>
      <c r="AL61" s="109"/>
      <c r="AM61" s="109"/>
      <c r="AN61" s="109"/>
      <c r="AO61" s="109"/>
    </row>
    <row r="62" spans="1:41" ht="15" customHeight="1">
      <c r="A62" s="109"/>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c r="AH62" s="109"/>
      <c r="AI62" s="109"/>
      <c r="AJ62" s="109"/>
      <c r="AK62" s="109"/>
      <c r="AL62" s="109"/>
      <c r="AM62" s="109"/>
      <c r="AN62" s="109"/>
      <c r="AO62" s="109"/>
    </row>
    <row r="63" spans="1:41" ht="15" customHeight="1">
      <c r="A63" s="109"/>
      <c r="B63" s="109"/>
      <c r="C63" s="109"/>
      <c r="D63" s="109"/>
      <c r="E63" s="109"/>
      <c r="F63" s="109"/>
      <c r="G63" s="109"/>
      <c r="H63" s="109"/>
      <c r="I63" s="109"/>
      <c r="J63" s="109"/>
      <c r="K63" s="109"/>
      <c r="L63" s="109"/>
      <c r="M63" s="109"/>
      <c r="N63" s="109"/>
      <c r="O63" s="109"/>
      <c r="P63" s="109"/>
      <c r="Q63" s="109"/>
      <c r="R63" s="109"/>
      <c r="S63" s="109"/>
      <c r="T63" s="109"/>
      <c r="U63" s="109"/>
      <c r="V63" s="109"/>
      <c r="W63" s="109"/>
      <c r="X63" s="109"/>
      <c r="Y63" s="109"/>
      <c r="Z63" s="109"/>
      <c r="AA63" s="109"/>
      <c r="AB63" s="109"/>
      <c r="AC63" s="109"/>
      <c r="AD63" s="109"/>
      <c r="AE63" s="109"/>
      <c r="AF63" s="109"/>
      <c r="AG63" s="109"/>
      <c r="AH63" s="109"/>
      <c r="AI63" s="109"/>
      <c r="AJ63" s="109"/>
      <c r="AK63" s="109"/>
      <c r="AL63" s="109"/>
      <c r="AM63" s="109"/>
      <c r="AN63" s="109"/>
      <c r="AO63" s="109"/>
    </row>
    <row r="64" spans="1:41" ht="15" customHeight="1">
      <c r="A64" s="109"/>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c r="AH64" s="109"/>
      <c r="AI64" s="109"/>
      <c r="AJ64" s="109"/>
      <c r="AK64" s="109"/>
      <c r="AL64" s="109"/>
      <c r="AM64" s="109"/>
      <c r="AN64" s="109"/>
      <c r="AO64" s="109"/>
    </row>
    <row r="65" spans="1:41" ht="15" customHeight="1">
      <c r="A65" s="109"/>
      <c r="B65" s="109"/>
      <c r="C65" s="109"/>
      <c r="D65" s="109"/>
      <c r="E65" s="109"/>
      <c r="F65" s="109"/>
      <c r="G65" s="109"/>
      <c r="H65" s="109"/>
      <c r="I65" s="109"/>
      <c r="J65" s="109"/>
      <c r="K65" s="109"/>
      <c r="L65" s="109"/>
      <c r="M65" s="109"/>
      <c r="N65" s="109"/>
      <c r="O65" s="109"/>
      <c r="P65" s="109"/>
      <c r="Q65" s="109"/>
      <c r="R65" s="109"/>
      <c r="S65" s="109"/>
      <c r="T65" s="109"/>
      <c r="U65" s="109"/>
      <c r="V65" s="109"/>
      <c r="W65" s="109"/>
      <c r="X65" s="109"/>
      <c r="Y65" s="109"/>
      <c r="Z65" s="109"/>
      <c r="AA65" s="109"/>
      <c r="AB65" s="109"/>
      <c r="AC65" s="109"/>
      <c r="AD65" s="109"/>
      <c r="AE65" s="109"/>
      <c r="AF65" s="109"/>
      <c r="AG65" s="109"/>
      <c r="AH65" s="109"/>
      <c r="AI65" s="109"/>
      <c r="AJ65" s="109"/>
      <c r="AK65" s="109"/>
      <c r="AL65" s="109"/>
      <c r="AM65" s="109"/>
      <c r="AN65" s="109"/>
      <c r="AO65" s="109"/>
    </row>
    <row r="66" spans="1:41" ht="15" customHeight="1">
      <c r="A66" s="109"/>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c r="AH66" s="109"/>
      <c r="AI66" s="109"/>
      <c r="AJ66" s="109"/>
      <c r="AK66" s="109"/>
      <c r="AL66" s="109"/>
      <c r="AM66" s="109"/>
      <c r="AN66" s="109"/>
      <c r="AO66" s="109"/>
    </row>
    <row r="67" spans="1:41" ht="15" customHeight="1">
      <c r="A67" s="109"/>
      <c r="B67" s="109"/>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c r="AH67" s="109"/>
      <c r="AI67" s="109"/>
      <c r="AJ67" s="109"/>
      <c r="AK67" s="109"/>
      <c r="AL67" s="109"/>
      <c r="AM67" s="109"/>
      <c r="AN67" s="109"/>
      <c r="AO67" s="109"/>
    </row>
    <row r="68" spans="1:41" ht="15" customHeight="1">
      <c r="A68" s="109"/>
      <c r="B68" s="109"/>
      <c r="C68" s="109"/>
      <c r="D68" s="109"/>
      <c r="E68" s="109"/>
      <c r="F68" s="109"/>
      <c r="G68" s="109"/>
      <c r="H68" s="109"/>
      <c r="I68" s="109"/>
      <c r="J68" s="109"/>
      <c r="K68" s="109"/>
      <c r="L68" s="109"/>
      <c r="M68" s="109"/>
      <c r="N68" s="109"/>
      <c r="O68" s="109"/>
      <c r="P68" s="109"/>
      <c r="Q68" s="109"/>
      <c r="R68" s="109"/>
      <c r="S68" s="109"/>
      <c r="T68" s="109"/>
      <c r="U68" s="109"/>
      <c r="V68" s="109"/>
      <c r="W68" s="109"/>
      <c r="X68" s="109"/>
      <c r="Y68" s="109"/>
      <c r="Z68" s="109"/>
      <c r="AA68" s="109"/>
      <c r="AB68" s="109"/>
      <c r="AC68" s="109"/>
      <c r="AD68" s="109"/>
      <c r="AE68" s="109"/>
      <c r="AF68" s="109"/>
      <c r="AG68" s="109"/>
      <c r="AH68" s="109"/>
      <c r="AI68" s="109"/>
      <c r="AJ68" s="109"/>
      <c r="AK68" s="109"/>
      <c r="AL68" s="109"/>
      <c r="AM68" s="109"/>
      <c r="AN68" s="109"/>
      <c r="AO68" s="109"/>
    </row>
    <row r="69" spans="1:41" ht="15" customHeight="1">
      <c r="A69" s="109"/>
      <c r="B69" s="109"/>
      <c r="C69" s="109"/>
      <c r="D69" s="109"/>
      <c r="E69" s="109"/>
      <c r="F69" s="109"/>
      <c r="G69" s="109"/>
      <c r="H69" s="109"/>
      <c r="I69" s="109"/>
      <c r="J69" s="109"/>
      <c r="K69" s="109"/>
      <c r="L69" s="109"/>
      <c r="M69" s="109"/>
      <c r="N69" s="109"/>
      <c r="O69" s="109"/>
      <c r="P69" s="109"/>
      <c r="Q69" s="109"/>
      <c r="R69" s="109"/>
      <c r="S69" s="109"/>
      <c r="T69" s="109"/>
      <c r="U69" s="109"/>
      <c r="V69" s="109"/>
      <c r="W69" s="109"/>
      <c r="X69" s="109"/>
      <c r="Y69" s="109"/>
      <c r="Z69" s="109"/>
      <c r="AA69" s="109"/>
      <c r="AB69" s="109"/>
      <c r="AC69" s="109"/>
      <c r="AD69" s="109"/>
      <c r="AE69" s="109"/>
      <c r="AF69" s="109"/>
      <c r="AG69" s="109"/>
      <c r="AH69" s="109"/>
      <c r="AI69" s="109"/>
      <c r="AJ69" s="109"/>
      <c r="AK69" s="109"/>
      <c r="AL69" s="109"/>
      <c r="AM69" s="109"/>
      <c r="AN69" s="109"/>
      <c r="AO69" s="109"/>
    </row>
    <row r="70" spans="1:41" ht="15" customHeight="1">
      <c r="A70" s="109"/>
      <c r="B70" s="109"/>
      <c r="C70" s="109"/>
      <c r="D70" s="109"/>
      <c r="E70" s="109"/>
      <c r="F70" s="109"/>
      <c r="G70" s="109"/>
      <c r="H70" s="109"/>
      <c r="I70" s="109"/>
      <c r="J70" s="109"/>
      <c r="K70" s="109"/>
      <c r="L70" s="109"/>
      <c r="M70" s="109"/>
      <c r="N70" s="109"/>
      <c r="O70" s="109"/>
      <c r="P70" s="109"/>
      <c r="Q70" s="109"/>
      <c r="R70" s="109"/>
      <c r="S70" s="109"/>
      <c r="T70" s="109"/>
      <c r="U70" s="109"/>
      <c r="V70" s="109"/>
      <c r="W70" s="109"/>
      <c r="X70" s="109"/>
      <c r="Y70" s="109"/>
      <c r="Z70" s="109"/>
      <c r="AA70" s="109"/>
      <c r="AB70" s="109"/>
      <c r="AC70" s="109"/>
      <c r="AD70" s="109"/>
      <c r="AE70" s="109"/>
      <c r="AF70" s="109"/>
      <c r="AG70" s="109"/>
      <c r="AH70" s="109"/>
      <c r="AI70" s="109"/>
      <c r="AJ70" s="109"/>
      <c r="AK70" s="109"/>
      <c r="AL70" s="109"/>
      <c r="AM70" s="109"/>
      <c r="AN70" s="109"/>
      <c r="AO70" s="109"/>
    </row>
    <row r="71" spans="1:41" ht="15" customHeight="1">
      <c r="A71" s="10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c r="AH71" s="109"/>
      <c r="AI71" s="109"/>
      <c r="AJ71" s="109"/>
      <c r="AK71" s="109"/>
      <c r="AL71" s="109"/>
      <c r="AM71" s="109"/>
      <c r="AN71" s="109"/>
      <c r="AO71" s="109"/>
    </row>
    <row r="72" spans="1:41" ht="15" customHeight="1">
      <c r="A72" s="109"/>
      <c r="B72" s="109"/>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c r="AH72" s="109"/>
      <c r="AI72" s="109"/>
      <c r="AJ72" s="109"/>
      <c r="AK72" s="109"/>
      <c r="AL72" s="109"/>
      <c r="AM72" s="109"/>
      <c r="AN72" s="109"/>
      <c r="AO72" s="109"/>
    </row>
    <row r="73" spans="1:41" ht="15" customHeight="1">
      <c r="A73" s="109"/>
      <c r="B73" s="109"/>
      <c r="C73" s="109"/>
      <c r="D73" s="109"/>
      <c r="E73" s="109"/>
      <c r="F73" s="109"/>
      <c r="G73" s="109"/>
      <c r="H73" s="109"/>
      <c r="I73" s="109"/>
      <c r="J73" s="109"/>
      <c r="K73" s="109"/>
      <c r="L73" s="109"/>
      <c r="M73" s="109"/>
      <c r="N73" s="109"/>
      <c r="O73" s="109"/>
      <c r="P73" s="109"/>
      <c r="Q73" s="109"/>
      <c r="R73" s="109"/>
      <c r="S73" s="109"/>
      <c r="T73" s="109"/>
      <c r="U73" s="109"/>
      <c r="V73" s="109"/>
      <c r="W73" s="109"/>
      <c r="X73" s="109"/>
      <c r="Y73" s="109"/>
      <c r="Z73" s="109"/>
      <c r="AA73" s="109"/>
      <c r="AB73" s="109"/>
      <c r="AC73" s="109"/>
      <c r="AD73" s="109"/>
      <c r="AE73" s="109"/>
      <c r="AF73" s="109"/>
      <c r="AG73" s="109"/>
      <c r="AH73" s="109"/>
      <c r="AI73" s="109"/>
      <c r="AJ73" s="109"/>
      <c r="AK73" s="109"/>
      <c r="AL73" s="109"/>
      <c r="AM73" s="109"/>
      <c r="AN73" s="109"/>
      <c r="AO73" s="109"/>
    </row>
    <row r="74" spans="1:41" ht="15" customHeight="1">
      <c r="A74" s="109"/>
      <c r="B74" s="109"/>
      <c r="C74" s="109"/>
      <c r="D74" s="109"/>
      <c r="E74" s="109"/>
      <c r="F74" s="109"/>
      <c r="G74" s="109"/>
      <c r="H74" s="109"/>
      <c r="I74" s="109"/>
      <c r="J74" s="109"/>
      <c r="K74" s="109"/>
      <c r="L74" s="109"/>
      <c r="M74" s="109"/>
      <c r="N74" s="109"/>
      <c r="O74" s="109"/>
      <c r="P74" s="109"/>
      <c r="Q74" s="109"/>
      <c r="R74" s="109"/>
      <c r="S74" s="109"/>
      <c r="T74" s="109"/>
      <c r="U74" s="109"/>
      <c r="V74" s="109"/>
      <c r="W74" s="109"/>
      <c r="X74" s="109"/>
      <c r="Y74" s="109"/>
      <c r="Z74" s="109"/>
      <c r="AA74" s="109"/>
      <c r="AB74" s="109"/>
      <c r="AC74" s="109"/>
      <c r="AD74" s="109"/>
      <c r="AE74" s="109"/>
      <c r="AF74" s="109"/>
      <c r="AG74" s="109"/>
      <c r="AH74" s="109"/>
      <c r="AI74" s="109"/>
      <c r="AJ74" s="109"/>
      <c r="AK74" s="109"/>
      <c r="AL74" s="109"/>
      <c r="AM74" s="109"/>
      <c r="AN74" s="109"/>
      <c r="AO74" s="109"/>
    </row>
    <row r="75" spans="1:41" ht="15" customHeight="1">
      <c r="A75" s="109"/>
      <c r="B75" s="109"/>
      <c r="C75" s="109"/>
      <c r="D75" s="109"/>
      <c r="E75" s="109"/>
      <c r="F75" s="109"/>
      <c r="G75" s="109"/>
      <c r="H75" s="109"/>
      <c r="I75" s="109"/>
      <c r="J75" s="109"/>
      <c r="K75" s="109"/>
      <c r="L75" s="109"/>
      <c r="M75" s="109"/>
      <c r="N75" s="109"/>
      <c r="O75" s="109"/>
      <c r="P75" s="109"/>
      <c r="Q75" s="109"/>
      <c r="R75" s="109"/>
      <c r="S75" s="109"/>
      <c r="T75" s="109"/>
      <c r="U75" s="109"/>
      <c r="V75" s="109"/>
      <c r="W75" s="109"/>
      <c r="X75" s="109"/>
      <c r="Y75" s="109"/>
      <c r="Z75" s="109"/>
      <c r="AA75" s="109"/>
      <c r="AB75" s="109"/>
      <c r="AC75" s="109"/>
      <c r="AD75" s="109"/>
      <c r="AE75" s="109"/>
      <c r="AF75" s="109"/>
      <c r="AG75" s="109"/>
      <c r="AH75" s="109"/>
      <c r="AI75" s="109"/>
      <c r="AJ75" s="109"/>
      <c r="AK75" s="109"/>
      <c r="AL75" s="109"/>
      <c r="AM75" s="109"/>
      <c r="AN75" s="109"/>
      <c r="AO75" s="109"/>
    </row>
    <row r="76" spans="1:41" ht="15" customHeight="1">
      <c r="A76" s="109"/>
      <c r="B76" s="109"/>
      <c r="C76" s="109"/>
      <c r="D76" s="109"/>
      <c r="E76" s="109"/>
      <c r="F76" s="109"/>
      <c r="G76" s="109"/>
      <c r="H76" s="109"/>
      <c r="I76" s="109"/>
      <c r="J76" s="109"/>
      <c r="K76" s="109"/>
      <c r="L76" s="109"/>
      <c r="M76" s="109"/>
      <c r="N76" s="109"/>
      <c r="O76" s="109"/>
      <c r="P76" s="109"/>
      <c r="Q76" s="109"/>
      <c r="R76" s="109"/>
      <c r="S76" s="109"/>
      <c r="T76" s="109"/>
      <c r="U76" s="109"/>
      <c r="V76" s="109"/>
      <c r="W76" s="109"/>
      <c r="X76" s="109"/>
      <c r="Y76" s="109"/>
      <c r="Z76" s="109"/>
      <c r="AA76" s="109"/>
      <c r="AB76" s="109"/>
      <c r="AC76" s="109"/>
      <c r="AD76" s="109"/>
      <c r="AE76" s="109"/>
      <c r="AF76" s="109"/>
      <c r="AG76" s="109"/>
      <c r="AH76" s="109"/>
      <c r="AI76" s="109"/>
      <c r="AJ76" s="109"/>
      <c r="AK76" s="109"/>
      <c r="AL76" s="109"/>
      <c r="AM76" s="109"/>
      <c r="AN76" s="109"/>
      <c r="AO76" s="109"/>
    </row>
    <row r="77" spans="1:41" ht="15" customHeight="1">
      <c r="A77" s="109"/>
      <c r="B77" s="109"/>
      <c r="C77" s="109"/>
      <c r="D77" s="109"/>
      <c r="E77" s="109"/>
      <c r="F77" s="109"/>
      <c r="G77" s="109"/>
      <c r="H77" s="109"/>
      <c r="I77" s="109"/>
      <c r="J77" s="109"/>
      <c r="K77" s="109"/>
      <c r="L77" s="109"/>
      <c r="M77" s="109"/>
      <c r="N77" s="109"/>
      <c r="O77" s="109"/>
      <c r="P77" s="109"/>
      <c r="Q77" s="109"/>
      <c r="R77" s="109"/>
      <c r="S77" s="109"/>
      <c r="T77" s="109"/>
      <c r="U77" s="109"/>
      <c r="V77" s="109"/>
      <c r="W77" s="109"/>
      <c r="X77" s="109"/>
      <c r="Y77" s="109"/>
      <c r="Z77" s="109"/>
      <c r="AA77" s="109"/>
      <c r="AB77" s="109"/>
      <c r="AC77" s="109"/>
      <c r="AD77" s="109"/>
      <c r="AE77" s="109"/>
      <c r="AF77" s="109"/>
      <c r="AG77" s="109"/>
      <c r="AH77" s="109"/>
      <c r="AI77" s="109"/>
      <c r="AJ77" s="109"/>
      <c r="AK77" s="109"/>
      <c r="AL77" s="109"/>
      <c r="AM77" s="109"/>
      <c r="AN77" s="109"/>
      <c r="AO77" s="109"/>
    </row>
    <row r="78" spans="1:41" ht="15" customHeight="1">
      <c r="A78" s="109"/>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c r="AH78" s="109"/>
      <c r="AI78" s="109"/>
      <c r="AJ78" s="109"/>
      <c r="AK78" s="109"/>
      <c r="AL78" s="109"/>
      <c r="AM78" s="109"/>
      <c r="AN78" s="109"/>
      <c r="AO78" s="109"/>
    </row>
    <row r="79" spans="1:41" ht="15" customHeight="1">
      <c r="A79" s="109"/>
      <c r="B79" s="109"/>
      <c r="C79" s="109"/>
      <c r="D79" s="109"/>
      <c r="E79" s="109"/>
      <c r="F79" s="109"/>
      <c r="G79" s="109"/>
      <c r="H79" s="109"/>
      <c r="I79" s="109"/>
      <c r="J79" s="109"/>
      <c r="K79" s="109"/>
      <c r="L79" s="109"/>
      <c r="M79" s="109"/>
      <c r="N79" s="109"/>
      <c r="O79" s="109"/>
      <c r="P79" s="109"/>
      <c r="Q79" s="109"/>
      <c r="R79" s="109"/>
      <c r="S79" s="109"/>
      <c r="T79" s="109"/>
      <c r="U79" s="109"/>
      <c r="V79" s="109"/>
      <c r="W79" s="109"/>
      <c r="X79" s="109"/>
      <c r="Y79" s="109"/>
      <c r="Z79" s="109"/>
      <c r="AA79" s="109"/>
      <c r="AB79" s="109"/>
      <c r="AC79" s="109"/>
      <c r="AD79" s="109"/>
      <c r="AE79" s="109"/>
      <c r="AF79" s="109"/>
      <c r="AG79" s="109"/>
      <c r="AH79" s="109"/>
      <c r="AI79" s="109"/>
      <c r="AJ79" s="109"/>
      <c r="AK79" s="109"/>
      <c r="AL79" s="109"/>
      <c r="AM79" s="109"/>
      <c r="AN79" s="109"/>
      <c r="AO79" s="109"/>
    </row>
    <row r="80" spans="1:41" ht="15" customHeight="1">
      <c r="A80" s="109"/>
      <c r="B80" s="109"/>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c r="AH80" s="109"/>
      <c r="AI80" s="109"/>
      <c r="AJ80" s="109"/>
      <c r="AK80" s="109"/>
      <c r="AL80" s="109"/>
      <c r="AM80" s="109"/>
      <c r="AN80" s="109"/>
      <c r="AO80" s="109"/>
    </row>
    <row r="81" spans="1:41" ht="15" customHeight="1">
      <c r="A81" s="109"/>
      <c r="B81" s="109"/>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c r="AH81" s="109"/>
      <c r="AI81" s="109"/>
      <c r="AJ81" s="109"/>
      <c r="AK81" s="109"/>
      <c r="AL81" s="109"/>
      <c r="AM81" s="109"/>
      <c r="AN81" s="109"/>
      <c r="AO81" s="109"/>
    </row>
    <row r="82" spans="1:41" ht="15" customHeight="1">
      <c r="A82" s="109"/>
      <c r="B82" s="109"/>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c r="AH82" s="109"/>
      <c r="AI82" s="109"/>
      <c r="AJ82" s="109"/>
      <c r="AK82" s="109"/>
      <c r="AL82" s="109"/>
      <c r="AM82" s="109"/>
      <c r="AN82" s="109"/>
      <c r="AO82" s="109"/>
    </row>
    <row r="83" spans="1:41" ht="15" customHeight="1">
      <c r="A83" s="109"/>
      <c r="B83" s="109"/>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c r="AH83" s="109"/>
      <c r="AI83" s="109"/>
      <c r="AJ83" s="109"/>
      <c r="AK83" s="109"/>
      <c r="AL83" s="109"/>
      <c r="AM83" s="109"/>
      <c r="AN83" s="109"/>
      <c r="AO83" s="109"/>
    </row>
    <row r="84" spans="1:41" ht="15" customHeight="1">
      <c r="A84" s="109"/>
      <c r="B84" s="109"/>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c r="AH84" s="109"/>
      <c r="AI84" s="109"/>
      <c r="AJ84" s="109"/>
      <c r="AK84" s="109"/>
      <c r="AL84" s="109"/>
      <c r="AM84" s="109"/>
      <c r="AN84" s="109"/>
      <c r="AO84" s="109"/>
    </row>
    <row r="85" spans="1:41" ht="15" customHeight="1">
      <c r="A85" s="109"/>
      <c r="B85" s="109"/>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c r="AH85" s="109"/>
      <c r="AI85" s="109"/>
      <c r="AJ85" s="109"/>
      <c r="AK85" s="109"/>
      <c r="AL85" s="109"/>
      <c r="AM85" s="109"/>
      <c r="AN85" s="109"/>
      <c r="AO85" s="109"/>
    </row>
    <row r="86" spans="1:41" ht="15" customHeight="1">
      <c r="A86" s="109"/>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c r="AH86" s="109"/>
      <c r="AI86" s="109"/>
      <c r="AJ86" s="109"/>
      <c r="AK86" s="109"/>
      <c r="AL86" s="109"/>
      <c r="AM86" s="109"/>
      <c r="AN86" s="109"/>
      <c r="AO86" s="109"/>
    </row>
    <row r="87" spans="1:41" ht="15" customHeight="1">
      <c r="A87" s="109"/>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c r="AH87" s="109"/>
      <c r="AI87" s="109"/>
      <c r="AJ87" s="109"/>
      <c r="AK87" s="109"/>
      <c r="AL87" s="109"/>
      <c r="AM87" s="109"/>
      <c r="AN87" s="109"/>
      <c r="AO87" s="109"/>
    </row>
    <row r="88" spans="1:41" ht="15" customHeight="1">
      <c r="A88" s="10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09"/>
      <c r="AI88" s="109"/>
      <c r="AJ88" s="109"/>
      <c r="AK88" s="109"/>
      <c r="AL88" s="109"/>
      <c r="AM88" s="109"/>
      <c r="AN88" s="109"/>
      <c r="AO88" s="109"/>
    </row>
    <row r="89" spans="1:41" ht="15" customHeight="1">
      <c r="A89" s="109"/>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c r="AH89" s="109"/>
      <c r="AI89" s="109"/>
      <c r="AJ89" s="109"/>
      <c r="AK89" s="109"/>
      <c r="AL89" s="109"/>
      <c r="AM89" s="109"/>
      <c r="AN89" s="109"/>
      <c r="AO89" s="109"/>
    </row>
    <row r="90" spans="1:41" ht="15" customHeight="1">
      <c r="A90" s="109"/>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09"/>
      <c r="AI90" s="109"/>
      <c r="AJ90" s="109"/>
      <c r="AK90" s="109"/>
      <c r="AL90" s="109"/>
      <c r="AM90" s="109"/>
      <c r="AN90" s="109"/>
      <c r="AO90" s="109"/>
    </row>
    <row r="91" spans="1:41" ht="15" customHeight="1">
      <c r="A91" s="109"/>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09"/>
      <c r="AI91" s="109"/>
      <c r="AJ91" s="109"/>
      <c r="AK91" s="109"/>
      <c r="AL91" s="109"/>
      <c r="AM91" s="109"/>
      <c r="AN91" s="109"/>
      <c r="AO91" s="109"/>
    </row>
    <row r="92" spans="1:41" ht="15" customHeight="1">
      <c r="A92" s="109"/>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09"/>
      <c r="AI92" s="109"/>
      <c r="AJ92" s="109"/>
      <c r="AK92" s="109"/>
      <c r="AL92" s="109"/>
      <c r="AM92" s="109"/>
      <c r="AN92" s="109"/>
      <c r="AO92" s="109"/>
    </row>
    <row r="93" spans="1:41" ht="15" customHeight="1">
      <c r="A93" s="109"/>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09"/>
      <c r="AI93" s="109"/>
      <c r="AJ93" s="109"/>
      <c r="AK93" s="109"/>
      <c r="AL93" s="109"/>
      <c r="AM93" s="109"/>
      <c r="AN93" s="109"/>
      <c r="AO93" s="109"/>
    </row>
    <row r="94" spans="1:41" ht="15" customHeight="1">
      <c r="A94" s="109"/>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09"/>
      <c r="AI94" s="109"/>
      <c r="AJ94" s="109"/>
      <c r="AK94" s="109"/>
      <c r="AL94" s="109"/>
      <c r="AM94" s="109"/>
      <c r="AN94" s="109"/>
      <c r="AO94" s="109"/>
    </row>
    <row r="95" spans="1:41" ht="15" customHeight="1">
      <c r="A95" s="109"/>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09"/>
      <c r="AI95" s="109"/>
      <c r="AJ95" s="109"/>
      <c r="AK95" s="109"/>
      <c r="AL95" s="109"/>
      <c r="AM95" s="109"/>
      <c r="AN95" s="109"/>
      <c r="AO95" s="109"/>
    </row>
    <row r="96" spans="1:41" ht="15" customHeight="1">
      <c r="A96" s="109"/>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row>
    <row r="97" spans="1:41" ht="15" customHeight="1">
      <c r="A97" s="109"/>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c r="AH97" s="109"/>
      <c r="AI97" s="109"/>
      <c r="AJ97" s="109"/>
      <c r="AK97" s="109"/>
      <c r="AL97" s="109"/>
      <c r="AM97" s="109"/>
      <c r="AN97" s="109"/>
      <c r="AO97" s="109"/>
    </row>
    <row r="98" spans="1:41" ht="15" customHeight="1">
      <c r="A98" s="109"/>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c r="AH98" s="109"/>
      <c r="AI98" s="109"/>
      <c r="AJ98" s="109"/>
      <c r="AK98" s="109"/>
      <c r="AL98" s="109"/>
      <c r="AM98" s="109"/>
      <c r="AN98" s="109"/>
      <c r="AO98" s="109"/>
    </row>
    <row r="99" spans="1:41" ht="15" customHeight="1">
      <c r="A99" s="109"/>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c r="AH99" s="109"/>
      <c r="AI99" s="109"/>
      <c r="AJ99" s="109"/>
      <c r="AK99" s="109"/>
      <c r="AL99" s="109"/>
      <c r="AM99" s="109"/>
      <c r="AN99" s="109"/>
      <c r="AO99" s="109"/>
    </row>
    <row r="100" spans="1:41" ht="15" customHeight="1">
      <c r="A100" s="109"/>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c r="AH100" s="109"/>
      <c r="AI100" s="109"/>
      <c r="AJ100" s="109"/>
      <c r="AK100" s="109"/>
      <c r="AL100" s="109"/>
      <c r="AM100" s="109"/>
      <c r="AN100" s="109"/>
      <c r="AO100" s="109"/>
    </row>
    <row r="101" spans="1:41" ht="15" customHeight="1">
      <c r="A101" s="109"/>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c r="AH101" s="109"/>
      <c r="AI101" s="109"/>
      <c r="AJ101" s="109"/>
      <c r="AK101" s="109"/>
      <c r="AL101" s="109"/>
      <c r="AM101" s="109"/>
      <c r="AN101" s="109"/>
      <c r="AO101" s="109"/>
    </row>
    <row r="102" spans="1:41" ht="15" customHeight="1">
      <c r="A102" s="109"/>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c r="AH102" s="109"/>
      <c r="AI102" s="109"/>
      <c r="AJ102" s="109"/>
      <c r="AK102" s="109"/>
      <c r="AL102" s="109"/>
      <c r="AM102" s="109"/>
      <c r="AN102" s="109"/>
      <c r="AO102" s="109"/>
    </row>
    <row r="103" spans="1:41" ht="15" customHeight="1">
      <c r="A103" s="109"/>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c r="AH103" s="109"/>
      <c r="AI103" s="109"/>
      <c r="AJ103" s="109"/>
      <c r="AK103" s="109"/>
      <c r="AL103" s="109"/>
      <c r="AM103" s="109"/>
      <c r="AN103" s="109"/>
      <c r="AO103" s="109"/>
    </row>
    <row r="104" spans="1:41" ht="15" customHeight="1">
      <c r="A104" s="109"/>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c r="AH104" s="109"/>
      <c r="AI104" s="109"/>
      <c r="AJ104" s="109"/>
      <c r="AK104" s="109"/>
      <c r="AL104" s="109"/>
      <c r="AM104" s="109"/>
      <c r="AN104" s="109"/>
      <c r="AO104" s="109"/>
    </row>
    <row r="105" spans="1:41" ht="15" customHeight="1">
      <c r="A105" s="109"/>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c r="AH105" s="109"/>
      <c r="AI105" s="109"/>
      <c r="AJ105" s="109"/>
      <c r="AK105" s="109"/>
      <c r="AL105" s="109"/>
      <c r="AM105" s="109"/>
      <c r="AN105" s="109"/>
      <c r="AO105" s="109"/>
    </row>
    <row r="106" spans="1:41" ht="15" customHeight="1">
      <c r="A106" s="109"/>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c r="AH106" s="109"/>
      <c r="AI106" s="109"/>
      <c r="AJ106" s="109"/>
      <c r="AK106" s="109"/>
      <c r="AL106" s="109"/>
      <c r="AM106" s="109"/>
      <c r="AN106" s="109"/>
      <c r="AO106" s="109"/>
    </row>
    <row r="107" spans="1:41" ht="15" customHeight="1">
      <c r="A107" s="109"/>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c r="AH107" s="109"/>
      <c r="AI107" s="109"/>
      <c r="AJ107" s="109"/>
      <c r="AK107" s="109"/>
      <c r="AL107" s="109"/>
      <c r="AM107" s="109"/>
      <c r="AN107" s="109"/>
      <c r="AO107" s="109"/>
    </row>
    <row r="108" spans="1:41" ht="15" customHeight="1">
      <c r="A108" s="109"/>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c r="AH108" s="109"/>
      <c r="AI108" s="109"/>
      <c r="AJ108" s="109"/>
      <c r="AK108" s="109"/>
      <c r="AL108" s="109"/>
      <c r="AM108" s="109"/>
      <c r="AN108" s="109"/>
      <c r="AO108" s="109"/>
    </row>
    <row r="109" spans="1:41" ht="15" customHeight="1">
      <c r="A109" s="109"/>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c r="AH109" s="109"/>
      <c r="AI109" s="109"/>
      <c r="AJ109" s="109"/>
      <c r="AK109" s="109"/>
      <c r="AL109" s="109"/>
      <c r="AM109" s="109"/>
      <c r="AN109" s="109"/>
      <c r="AO109" s="109"/>
    </row>
    <row r="110" spans="1:41" ht="15" customHeight="1">
      <c r="A110" s="109"/>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c r="AH110" s="109"/>
      <c r="AI110" s="109"/>
      <c r="AJ110" s="109"/>
      <c r="AK110" s="109"/>
      <c r="AL110" s="109"/>
      <c r="AM110" s="109"/>
      <c r="AN110" s="109"/>
      <c r="AO110" s="109"/>
    </row>
    <row r="111" spans="1:41" ht="15" customHeight="1">
      <c r="A111" s="109"/>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c r="AH111" s="109"/>
      <c r="AI111" s="109"/>
      <c r="AJ111" s="109"/>
      <c r="AK111" s="109"/>
      <c r="AL111" s="109"/>
      <c r="AM111" s="109"/>
      <c r="AN111" s="109"/>
      <c r="AO111" s="109"/>
    </row>
    <row r="112" spans="1:41" ht="15" customHeight="1">
      <c r="A112" s="109"/>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c r="AA112" s="109"/>
      <c r="AB112" s="109"/>
      <c r="AC112" s="109"/>
      <c r="AD112" s="109"/>
      <c r="AE112" s="109"/>
      <c r="AF112" s="109"/>
      <c r="AG112" s="109"/>
      <c r="AH112" s="109"/>
      <c r="AI112" s="109"/>
      <c r="AJ112" s="109"/>
      <c r="AK112" s="109"/>
      <c r="AL112" s="109"/>
      <c r="AM112" s="109"/>
      <c r="AN112" s="109"/>
      <c r="AO112" s="109"/>
    </row>
    <row r="113" spans="1:41" ht="15" customHeight="1">
      <c r="A113" s="109"/>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c r="AJ113" s="109"/>
      <c r="AK113" s="109"/>
      <c r="AL113" s="109"/>
      <c r="AM113" s="109"/>
      <c r="AN113" s="109"/>
      <c r="AO113" s="109"/>
    </row>
    <row r="114" spans="1:41" ht="15" customHeight="1">
      <c r="A114" s="109"/>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c r="AH114" s="109"/>
      <c r="AI114" s="109"/>
      <c r="AJ114" s="109"/>
      <c r="AK114" s="109"/>
      <c r="AL114" s="109"/>
      <c r="AM114" s="109"/>
      <c r="AN114" s="109"/>
      <c r="AO114" s="109"/>
    </row>
    <row r="115" spans="1:41" ht="15" customHeight="1">
      <c r="A115" s="109"/>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c r="AH115" s="109"/>
      <c r="AI115" s="109"/>
      <c r="AJ115" s="109"/>
      <c r="AK115" s="109"/>
      <c r="AL115" s="109"/>
      <c r="AM115" s="109"/>
      <c r="AN115" s="109"/>
      <c r="AO115" s="109"/>
    </row>
    <row r="116" spans="1:41" ht="15" customHeight="1">
      <c r="A116" s="109"/>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c r="AH116" s="109"/>
      <c r="AI116" s="109"/>
      <c r="AJ116" s="109"/>
      <c r="AK116" s="109"/>
      <c r="AL116" s="109"/>
      <c r="AM116" s="109"/>
      <c r="AN116" s="109"/>
      <c r="AO116" s="109"/>
    </row>
    <row r="117" spans="1:41" ht="15" customHeight="1">
      <c r="A117" s="109"/>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c r="AH117" s="109"/>
      <c r="AI117" s="109"/>
      <c r="AJ117" s="109"/>
      <c r="AK117" s="109"/>
      <c r="AL117" s="109"/>
      <c r="AM117" s="109"/>
      <c r="AN117" s="109"/>
      <c r="AO117" s="109"/>
    </row>
    <row r="118" spans="1:41" ht="15" customHeight="1">
      <c r="A118" s="109"/>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c r="AH118" s="109"/>
      <c r="AI118" s="109"/>
      <c r="AJ118" s="109"/>
      <c r="AK118" s="109"/>
      <c r="AL118" s="109"/>
      <c r="AM118" s="109"/>
      <c r="AN118" s="109"/>
      <c r="AO118" s="109"/>
    </row>
    <row r="119" spans="1:41" ht="15" customHeight="1">
      <c r="A119" s="109"/>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c r="AH119" s="109"/>
      <c r="AI119" s="109"/>
      <c r="AJ119" s="109"/>
      <c r="AK119" s="109"/>
      <c r="AL119" s="109"/>
      <c r="AM119" s="109"/>
      <c r="AN119" s="109"/>
      <c r="AO119" s="109"/>
    </row>
    <row r="120" spans="1:41" ht="15" customHeight="1">
      <c r="A120" s="109"/>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c r="AH120" s="109"/>
      <c r="AI120" s="109"/>
      <c r="AJ120" s="109"/>
      <c r="AK120" s="109"/>
      <c r="AL120" s="109"/>
      <c r="AM120" s="109"/>
      <c r="AN120" s="109"/>
      <c r="AO120" s="109"/>
    </row>
    <row r="121" spans="1:41" ht="15" customHeight="1">
      <c r="A121" s="109"/>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c r="AH121" s="109"/>
      <c r="AI121" s="109"/>
      <c r="AJ121" s="109"/>
      <c r="AK121" s="109"/>
      <c r="AL121" s="109"/>
      <c r="AM121" s="109"/>
      <c r="AN121" s="109"/>
      <c r="AO121" s="109"/>
    </row>
    <row r="122" spans="1:41" ht="15" customHeight="1">
      <c r="A122" s="109"/>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c r="AH122" s="109"/>
      <c r="AI122" s="109"/>
      <c r="AJ122" s="109"/>
      <c r="AK122" s="109"/>
      <c r="AL122" s="109"/>
      <c r="AM122" s="109"/>
      <c r="AN122" s="109"/>
      <c r="AO122" s="109"/>
    </row>
    <row r="123" spans="1:41" ht="15" customHeight="1">
      <c r="A123" s="109"/>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c r="AH123" s="109"/>
      <c r="AI123" s="109"/>
      <c r="AJ123" s="109"/>
      <c r="AK123" s="109"/>
      <c r="AL123" s="109"/>
      <c r="AM123" s="109"/>
      <c r="AN123" s="109"/>
      <c r="AO123" s="109"/>
    </row>
    <row r="124" spans="1:41" ht="15" customHeight="1">
      <c r="A124" s="109"/>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c r="AH124" s="109"/>
      <c r="AI124" s="109"/>
      <c r="AJ124" s="109"/>
      <c r="AK124" s="109"/>
      <c r="AL124" s="109"/>
      <c r="AM124" s="109"/>
      <c r="AN124" s="109"/>
      <c r="AO124" s="109"/>
    </row>
    <row r="125" spans="1:41" ht="15" customHeight="1">
      <c r="A125" s="109"/>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c r="AH125" s="109"/>
      <c r="AI125" s="109"/>
      <c r="AJ125" s="109"/>
      <c r="AK125" s="109"/>
      <c r="AL125" s="109"/>
      <c r="AM125" s="109"/>
      <c r="AN125" s="109"/>
      <c r="AO125" s="109"/>
    </row>
    <row r="126" spans="1:41" ht="15" customHeight="1">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c r="AH126" s="109"/>
      <c r="AI126" s="109"/>
      <c r="AJ126" s="109"/>
      <c r="AK126" s="109"/>
      <c r="AL126" s="109"/>
      <c r="AM126" s="109"/>
      <c r="AN126" s="109"/>
      <c r="AO126" s="109"/>
    </row>
    <row r="127" spans="1:41" ht="15" customHeight="1">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c r="AH127" s="109"/>
      <c r="AI127" s="109"/>
      <c r="AJ127" s="109"/>
      <c r="AK127" s="109"/>
      <c r="AL127" s="109"/>
      <c r="AM127" s="109"/>
      <c r="AN127" s="109"/>
      <c r="AO127" s="109"/>
    </row>
    <row r="128" spans="1:41" ht="15" customHeight="1">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c r="AH128" s="109"/>
      <c r="AI128" s="109"/>
      <c r="AJ128" s="109"/>
      <c r="AK128" s="109"/>
      <c r="AL128" s="109"/>
      <c r="AM128" s="109"/>
      <c r="AN128" s="109"/>
      <c r="AO128" s="109"/>
    </row>
    <row r="129" spans="5:41" ht="15" customHeight="1">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c r="AH129" s="109"/>
      <c r="AI129" s="109"/>
      <c r="AJ129" s="109"/>
      <c r="AK129" s="109"/>
      <c r="AL129" s="109"/>
      <c r="AM129" s="109"/>
      <c r="AN129" s="109"/>
      <c r="AO129" s="109"/>
    </row>
    <row r="130" spans="5:41" ht="15" customHeight="1">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c r="AH130" s="109"/>
      <c r="AI130" s="109"/>
      <c r="AJ130" s="109"/>
      <c r="AK130" s="109"/>
      <c r="AL130" s="109"/>
      <c r="AM130" s="109"/>
      <c r="AN130" s="109"/>
      <c r="AO130" s="109"/>
    </row>
    <row r="131" spans="5:41" ht="15" customHeight="1">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c r="AH131" s="109"/>
      <c r="AI131" s="109"/>
      <c r="AJ131" s="109"/>
      <c r="AK131" s="109"/>
      <c r="AL131" s="109"/>
      <c r="AM131" s="109"/>
      <c r="AN131" s="109"/>
      <c r="AO131" s="109"/>
    </row>
    <row r="132" spans="5:41" ht="15" customHeight="1">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c r="AH132" s="109"/>
      <c r="AI132" s="109"/>
      <c r="AJ132" s="109"/>
      <c r="AK132" s="109"/>
      <c r="AL132" s="109"/>
      <c r="AM132" s="109"/>
      <c r="AN132" s="109"/>
      <c r="AO132" s="109"/>
    </row>
    <row r="133" spans="5:41" ht="15" customHeight="1">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c r="AH133" s="109"/>
      <c r="AI133" s="109"/>
      <c r="AJ133" s="109"/>
      <c r="AK133" s="109"/>
      <c r="AL133" s="109"/>
      <c r="AM133" s="109"/>
      <c r="AN133" s="109"/>
      <c r="AO133" s="109"/>
    </row>
    <row r="134" spans="5:41" ht="15" customHeight="1">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c r="AH134" s="109"/>
      <c r="AI134" s="109"/>
      <c r="AJ134" s="109"/>
      <c r="AK134" s="109"/>
      <c r="AL134" s="109"/>
      <c r="AM134" s="109"/>
      <c r="AN134" s="109"/>
      <c r="AO134" s="109"/>
    </row>
    <row r="135" spans="5:41" ht="15" customHeight="1">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c r="AH135" s="109"/>
      <c r="AI135" s="109"/>
      <c r="AJ135" s="109"/>
      <c r="AK135" s="109"/>
      <c r="AL135" s="109"/>
      <c r="AM135" s="109"/>
      <c r="AN135" s="109"/>
      <c r="AO135" s="109"/>
    </row>
    <row r="136" spans="5:41" ht="15" customHeight="1">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c r="AH136" s="109"/>
      <c r="AI136" s="109"/>
      <c r="AJ136" s="109"/>
      <c r="AK136" s="109"/>
      <c r="AL136" s="109"/>
      <c r="AM136" s="109"/>
      <c r="AN136" s="109"/>
      <c r="AO136" s="109"/>
    </row>
    <row r="137" spans="5:41" ht="15" customHeight="1">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c r="AH137" s="109"/>
      <c r="AI137" s="109"/>
      <c r="AJ137" s="109"/>
      <c r="AK137" s="109"/>
      <c r="AL137" s="109"/>
      <c r="AM137" s="109"/>
      <c r="AN137" s="109"/>
      <c r="AO137" s="109"/>
    </row>
    <row r="138" spans="5:41" ht="15" customHeight="1">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c r="AH138" s="109"/>
      <c r="AI138" s="109"/>
      <c r="AJ138" s="109"/>
      <c r="AK138" s="109"/>
      <c r="AL138" s="109"/>
      <c r="AM138" s="109"/>
      <c r="AN138" s="109"/>
      <c r="AO138" s="109"/>
    </row>
    <row r="139" spans="5:41" ht="15" customHeight="1">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c r="AH139" s="109"/>
      <c r="AI139" s="109"/>
      <c r="AJ139" s="109"/>
      <c r="AK139" s="109"/>
      <c r="AL139" s="109"/>
      <c r="AM139" s="109"/>
      <c r="AN139" s="109"/>
      <c r="AO139" s="109"/>
    </row>
    <row r="140" spans="5:41" ht="15" customHeight="1">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c r="AH140" s="109"/>
      <c r="AI140" s="109"/>
      <c r="AJ140" s="109"/>
      <c r="AK140" s="109"/>
      <c r="AL140" s="109"/>
      <c r="AM140" s="109"/>
      <c r="AN140" s="109"/>
      <c r="AO140" s="109"/>
    </row>
    <row r="141" spans="5:41" ht="15" customHeight="1">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c r="AH141" s="109"/>
      <c r="AI141" s="109"/>
      <c r="AJ141" s="109"/>
      <c r="AK141" s="109"/>
      <c r="AL141" s="109"/>
      <c r="AM141" s="109"/>
      <c r="AN141" s="109"/>
      <c r="AO141" s="109"/>
    </row>
  </sheetData>
  <mergeCells count="3">
    <mergeCell ref="A2:G2"/>
    <mergeCell ref="A7:B7"/>
    <mergeCell ref="A13:F14"/>
  </mergeCells>
  <phoneticPr fontId="27" type="noConversion"/>
  <hyperlinks>
    <hyperlink ref="A3" r:id="rId1" tooltip="Sort By: Description" display="javascript:__doPostBack('_topDispSection$Toggle$ctl00$_gv$ctl01$ctl11','')" xr:uid="{2923D300-E744-440E-8093-392510BB276C}"/>
    <hyperlink ref="B3" r:id="rId2" tooltip="Sort By: Type" display="javascript:__doPostBack('_topDispSection$Toggle$ctl00$_gv$ctl01$ctl12','')" xr:uid="{C1A7E269-BA12-4980-87B2-72B3F7CCC097}"/>
    <hyperlink ref="C3" r:id="rId3" tooltip="Sort By: Principal Due (CAD)" display="javascript:__doPostBack('_topDispSection$Toggle$ctl00$_gv$ctl01$ctl13','')" xr:uid="{9B93A00D-5D27-47E1-8E68-BDFA619EC7A1}"/>
    <hyperlink ref="D3" r:id="rId4" tooltip="Sort By: Coupon/Base Rate" display="javascript:__doPostBack('_topDispSection$Toggle$ctl00$_gv$ctl01$ctl14','')" xr:uid="{7496D6EE-CFF3-4A42-81DD-D120E04352DB}"/>
    <hyperlink ref="E3" r:id="rId5" tooltip="Sort By: Floating Rate" display="javascript:__doPostBack('_topDispSection$Toggle$ctl00$_gv$ctl01$ctl15','')" xr:uid="{6E0166DC-1487-4066-8BAB-9EC7B426A144}"/>
    <hyperlink ref="F3" r:id="rId6" tooltip="Sort By: Maturity" display="javascript:__doPostBack('_topDispSection$Toggle$ctl00$_gv$ctl01$ctl16','')" xr:uid="{CBCEFB7B-1B68-4396-A469-9F71F27C690D}"/>
    <hyperlink ref="G3" r:id="rId7" tooltip="Sort By: Secured" display="javascript:__doPostBack('_topDispSection$Toggle$ctl00$_gv$ctl01$ctl18','')" xr:uid="{50F85863-AB2D-488B-AF64-800FE3437737}"/>
    <hyperlink ref="E20" r:id="rId8" tooltip="Repurchase of Common Stock_x000a_ FY: 2025_x000a_ Period End Date: Sep-27-2025_x000a_ Filing Date: Dec-13-2025_x000a_ Period Type: Annual_x000a_ Value: (801.3), Currency: CAD, Millions" display="javascript:void(0);" xr:uid="{707AA57D-C4DF-4794-A71B-A9A4D6C24D32}"/>
    <hyperlink ref="E19" r:id="rId9" tooltip="Repurchase of Common Stock_x000a_ FY: 2024_x000a_ Period End Date: Sep-28-2024_x000a_ Filing Date: Dec-13-2025_x000a_ Period Type: Annual_x000a_ Value: (485.7), Currency: CAD, Millions" display="javascript:void(0);" xr:uid="{3C8DCCB4-1A9F-4F24-9B10-0F22BFF705D6}"/>
    <hyperlink ref="E18" r:id="rId10" tooltip="Repurchase of Common Stock_x000a_ FY: 2023_x000a_ Period End Date: Sep-30-2023_x000a_ Filing Date: Dec-14-2024_x000a_ Period Type: Annual_x000a_ Value: (593.6), Currency: CAD, Millions" display="javascript:void(0);" xr:uid="{EE2C6C2D-66F6-4588-B0A8-2CFE0619F741}"/>
    <hyperlink ref="E17" r:id="rId11" tooltip="Repurchase of Common Stock_x000a_ FY: 2022_x000a_ Period End Date: Sep-24-2022_x000a_ Filing Date: Dec-20-2023_x000a_ Period Type: Annual_x000a_ Value: (470.0), Currency: CAD, Millions" display="javascript:void(0);" xr:uid="{B9077A13-1FD0-4D57-9E84-DA87F0916396}"/>
    <hyperlink ref="E16" r:id="rId12" tooltip="Repurchase of Common Stock_x000a_ FY: 2021_x000a_ Period End Date: Sep-25-2021_x000a_ Filing Date: Dec-20-2022_x000a_ Period Type: Annual_x000a_ Value: (456.3), Currency: CAD, Millions" display="javascript:void(0);" xr:uid="{F91E7E0C-E39C-4D0B-A93D-7C02D1B1F15C}"/>
    <hyperlink ref="F16" r:id="rId13" tooltip="Common Dividends Paid_x000a_ FY: 2021_x000a_ Period End Date: Sep-25-2021_x000a_ Filing Date: Dec-20-2022_x000a_ Period Type: Annual_x000a_ Value: (240.1), Currency: CAD, Millions" display="javascript:void(0);" xr:uid="{739B89F4-47D7-4D0F-9519-B44655ED676A}"/>
    <hyperlink ref="F17" r:id="rId14" tooltip="Common Dividends Paid_x000a_ FY: 2022_x000a_ Period End Date: Sep-24-2022_x000a_ Filing Date: Dec-20-2023_x000a_ Period Type: Annual_x000a_ Value: (257.9), Currency: CAD, Millions" display="javascript:void(0);" xr:uid="{4D207DBF-DF74-4CE3-ACD8-DFD66AFC183A}"/>
    <hyperlink ref="F18" r:id="rId15" tooltip="Common Dividends Paid_x000a_ FY: 2023_x000a_ Period End Date: Sep-30-2023_x000a_ Filing Date: Dec-14-2024_x000a_ Period Type: Annual_x000a_ Value: (275.0), Currency: CAD, Millions" display="javascript:void(0);" xr:uid="{92CA4C88-059A-4BEF-AA9C-658D258E9E68}"/>
    <hyperlink ref="F19" r:id="rId16" tooltip="Common Dividends Paid_x000a_ FY: 2024_x000a_ Period End Date: Sep-28-2024_x000a_ Filing Date: Dec-13-2025_x000a_ Period Type: Annual_x000a_ Value: (294.6), Currency: CAD, Millions" display="javascript:void(0);" xr:uid="{397FFCA7-790C-4D23-957B-422B175382D8}"/>
    <hyperlink ref="F20" r:id="rId17" tooltip="Common Dividends Paid_x000a_ FY: 2025_x000a_ Period End Date: Sep-27-2025_x000a_ Filing Date: Dec-13-2025_x000a_ Period Type: Annual_x000a_ Value: (316.8), Currency: CAD, Millions" display="javascript:void(0);" xr:uid="{C4DEAC09-17A5-4157-A49B-BBF24E9FC0A1}"/>
  </hyperlinks>
  <pageMargins left="0.7" right="0.7" top="0.75" bottom="0.75" header="0.3" footer="0.3"/>
  <drawing r:id="rId18"/>
  <tableParts count="2">
    <tablePart r:id="rId19"/>
    <tablePart r:id="rId2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32C6A-26B9-4872-8A16-8D983A6787A1}">
  <dimension ref="A1:L39"/>
  <sheetViews>
    <sheetView showGridLines="0" zoomScale="50" workbookViewId="0">
      <selection activeCell="D36" sqref="D36"/>
    </sheetView>
  </sheetViews>
  <sheetFormatPr defaultColWidth="8.86328125" defaultRowHeight="17.100000000000001" customHeight="1"/>
  <cols>
    <col min="1" max="1" width="35.46484375" customWidth="1"/>
    <col min="2" max="2" width="34.46484375" customWidth="1"/>
    <col min="3" max="3" width="3" customWidth="1"/>
    <col min="4" max="4" width="91.46484375" customWidth="1"/>
    <col min="5" max="5" width="66.46484375" customWidth="1"/>
  </cols>
  <sheetData>
    <row r="1" spans="1:12" ht="17.100000000000001" customHeight="1">
      <c r="A1" s="155" t="s">
        <v>0</v>
      </c>
      <c r="B1" s="155" t="s">
        <v>186</v>
      </c>
      <c r="C1" s="133"/>
      <c r="D1" s="133"/>
      <c r="E1" s="133"/>
      <c r="F1" s="133"/>
      <c r="G1" s="133"/>
      <c r="H1" s="133"/>
      <c r="I1" s="134"/>
      <c r="J1" s="134"/>
      <c r="K1" s="134"/>
      <c r="L1" s="134"/>
    </row>
    <row r="2" spans="1:12" ht="17.100000000000001" customHeight="1">
      <c r="A2" s="133"/>
      <c r="B2" s="133"/>
      <c r="C2" s="133"/>
      <c r="D2" s="133"/>
      <c r="E2" s="133"/>
      <c r="F2" s="133"/>
      <c r="G2" s="133"/>
      <c r="H2" s="133"/>
      <c r="I2" s="134"/>
      <c r="J2" s="134"/>
      <c r="K2" s="134"/>
      <c r="L2" s="134"/>
    </row>
    <row r="3" spans="1:12" ht="17.100000000000001" customHeight="1">
      <c r="A3" s="345" t="s">
        <v>187</v>
      </c>
      <c r="B3" s="346" t="s">
        <v>188</v>
      </c>
      <c r="C3" s="133"/>
      <c r="D3" s="133"/>
      <c r="E3" s="133"/>
      <c r="F3" s="133"/>
      <c r="G3" s="133"/>
      <c r="H3" s="133"/>
      <c r="I3" s="134"/>
      <c r="J3" s="134"/>
      <c r="K3" s="134"/>
      <c r="L3" s="134"/>
    </row>
    <row r="4" spans="1:12" ht="17.100000000000001" customHeight="1">
      <c r="A4" s="135" t="s">
        <v>189</v>
      </c>
      <c r="B4" s="136" t="s">
        <v>190</v>
      </c>
      <c r="C4" s="133"/>
      <c r="D4" s="152" t="s">
        <v>191</v>
      </c>
      <c r="E4" s="133"/>
      <c r="F4" s="133"/>
      <c r="G4" s="133"/>
      <c r="H4" s="133"/>
      <c r="I4" s="134"/>
      <c r="J4" s="134"/>
      <c r="K4" s="134"/>
      <c r="L4" s="134"/>
    </row>
    <row r="5" spans="1:12" ht="17.100000000000001" customHeight="1">
      <c r="A5" s="299" t="s">
        <v>192</v>
      </c>
      <c r="B5" s="347">
        <v>4867.2</v>
      </c>
      <c r="C5" s="133"/>
      <c r="D5" s="133" t="s">
        <v>193</v>
      </c>
      <c r="E5" s="133"/>
      <c r="F5" s="133"/>
      <c r="G5" s="133"/>
      <c r="H5" s="133"/>
      <c r="I5" s="134"/>
      <c r="J5" s="134"/>
      <c r="K5" s="134"/>
      <c r="L5" s="134"/>
    </row>
    <row r="6" spans="1:12" ht="17.100000000000001" customHeight="1">
      <c r="A6" s="133" t="s">
        <v>194</v>
      </c>
      <c r="B6" s="137">
        <v>7020.4</v>
      </c>
      <c r="C6" s="133"/>
      <c r="D6" s="133" t="s">
        <v>193</v>
      </c>
      <c r="E6" s="133"/>
      <c r="F6" s="133"/>
      <c r="G6" s="133"/>
      <c r="H6" s="133"/>
      <c r="I6" s="134"/>
      <c r="J6" s="134"/>
      <c r="K6" s="134"/>
      <c r="L6" s="134"/>
    </row>
    <row r="7" spans="1:12" ht="17.100000000000001" customHeight="1">
      <c r="A7" s="299" t="s">
        <v>195</v>
      </c>
      <c r="B7" s="347">
        <v>18.3</v>
      </c>
      <c r="C7" s="133"/>
      <c r="D7" s="133" t="s">
        <v>193</v>
      </c>
      <c r="E7" s="133"/>
      <c r="F7" s="133"/>
      <c r="G7" s="133"/>
      <c r="H7" s="133"/>
      <c r="I7" s="134"/>
      <c r="J7" s="134"/>
      <c r="K7" s="134"/>
      <c r="L7" s="134"/>
    </row>
    <row r="8" spans="1:12" ht="17.100000000000001" customHeight="1">
      <c r="A8" s="138" t="s">
        <v>196</v>
      </c>
      <c r="B8" s="139">
        <v>11905.9</v>
      </c>
      <c r="C8" s="133"/>
      <c r="D8" s="133" t="s">
        <v>193</v>
      </c>
      <c r="E8" s="133"/>
      <c r="F8" s="133"/>
      <c r="G8" s="133"/>
      <c r="H8" s="133"/>
      <c r="I8" s="134"/>
      <c r="J8" s="134"/>
      <c r="K8" s="134"/>
      <c r="L8" s="134"/>
    </row>
    <row r="9" spans="1:12" ht="17.100000000000001" customHeight="1">
      <c r="A9" s="133"/>
      <c r="B9" s="133"/>
      <c r="C9" s="133"/>
      <c r="D9" s="133"/>
      <c r="E9" s="133"/>
      <c r="F9" s="133"/>
      <c r="G9" s="133"/>
      <c r="H9" s="133"/>
      <c r="I9" s="134"/>
      <c r="J9" s="134"/>
      <c r="K9" s="134"/>
      <c r="L9" s="134"/>
    </row>
    <row r="10" spans="1:12" ht="17.100000000000001" customHeight="1">
      <c r="A10" s="379" t="s">
        <v>197</v>
      </c>
      <c r="B10" s="379"/>
      <c r="C10" s="133"/>
      <c r="D10" s="133"/>
      <c r="E10" s="133"/>
      <c r="F10" s="133"/>
      <c r="G10" s="133"/>
      <c r="H10" s="133"/>
      <c r="I10" s="134"/>
      <c r="J10" s="134"/>
      <c r="K10" s="134"/>
      <c r="L10" s="134"/>
    </row>
    <row r="11" spans="1:12" ht="17.100000000000001" customHeight="1">
      <c r="A11" s="135" t="s">
        <v>198</v>
      </c>
      <c r="B11" s="135" t="s">
        <v>199</v>
      </c>
      <c r="C11" s="133"/>
      <c r="D11" s="133"/>
      <c r="E11" s="133"/>
      <c r="F11" s="133"/>
      <c r="G11" s="133"/>
      <c r="H11" s="133"/>
      <c r="I11" s="134"/>
      <c r="J11" s="134"/>
      <c r="K11" s="134"/>
      <c r="L11" s="134"/>
    </row>
    <row r="12" spans="1:12" ht="17.100000000000001" customHeight="1">
      <c r="A12" s="299" t="s">
        <v>200</v>
      </c>
      <c r="B12" s="348">
        <f>B5/B8</f>
        <v>0.4088057181733426</v>
      </c>
      <c r="C12" s="133"/>
      <c r="D12" s="133"/>
      <c r="E12" s="133"/>
      <c r="F12" s="133"/>
      <c r="G12" s="133"/>
      <c r="H12" s="133"/>
      <c r="I12" s="134"/>
      <c r="J12" s="134"/>
      <c r="K12" s="134"/>
      <c r="L12" s="134"/>
    </row>
    <row r="13" spans="1:12" ht="17.100000000000001" customHeight="1">
      <c r="A13" s="133" t="s">
        <v>201</v>
      </c>
      <c r="B13" s="140">
        <f>B6/B8</f>
        <v>0.58965722876892968</v>
      </c>
      <c r="C13" s="133"/>
      <c r="D13" s="133"/>
      <c r="E13" s="133"/>
      <c r="F13" s="133"/>
      <c r="G13" s="133"/>
      <c r="H13" s="133"/>
      <c r="I13" s="134"/>
      <c r="J13" s="134"/>
      <c r="K13" s="134"/>
      <c r="L13" s="134"/>
    </row>
    <row r="14" spans="1:12" ht="17.100000000000001" customHeight="1">
      <c r="A14" s="349" t="s">
        <v>45</v>
      </c>
      <c r="B14" s="350">
        <f>B7/B8</f>
        <v>1.5370530577276814E-3</v>
      </c>
      <c r="C14" s="133"/>
      <c r="D14" s="133"/>
      <c r="E14" s="133"/>
      <c r="F14" s="133"/>
      <c r="G14" s="133"/>
      <c r="H14" s="133"/>
      <c r="I14" s="134"/>
      <c r="J14" s="134"/>
      <c r="K14" s="134"/>
      <c r="L14" s="134"/>
    </row>
    <row r="15" spans="1:12" ht="17.100000000000001" customHeight="1">
      <c r="A15" s="133"/>
      <c r="B15" s="133"/>
      <c r="C15" s="133"/>
      <c r="D15" s="133"/>
      <c r="E15" s="133"/>
      <c r="F15" s="133"/>
      <c r="G15" s="133"/>
      <c r="H15" s="133"/>
      <c r="I15" s="134"/>
      <c r="J15" s="134"/>
      <c r="K15" s="134"/>
      <c r="L15" s="134"/>
    </row>
    <row r="16" spans="1:12" ht="17.100000000000001" customHeight="1">
      <c r="A16" s="380" t="s">
        <v>202</v>
      </c>
      <c r="B16" s="380"/>
      <c r="C16" s="133"/>
      <c r="D16" s="133"/>
      <c r="E16" s="133"/>
      <c r="F16" s="133"/>
      <c r="G16" s="133"/>
      <c r="H16" s="133"/>
      <c r="I16" s="134"/>
      <c r="J16" s="134"/>
      <c r="K16" s="134"/>
      <c r="L16" s="134"/>
    </row>
    <row r="17" spans="1:12" ht="17.100000000000001" customHeight="1">
      <c r="A17" s="141" t="s">
        <v>203</v>
      </c>
      <c r="B17" s="142" t="s">
        <v>95</v>
      </c>
      <c r="C17" s="133"/>
      <c r="D17" s="152" t="s">
        <v>191</v>
      </c>
      <c r="E17" s="133"/>
      <c r="F17" s="133"/>
      <c r="G17" s="133"/>
      <c r="H17" s="133"/>
      <c r="I17" s="134"/>
      <c r="J17" s="134"/>
      <c r="K17" s="134"/>
      <c r="L17" s="134"/>
    </row>
    <row r="18" spans="1:12" ht="17.100000000000001" customHeight="1">
      <c r="A18" s="351" t="s">
        <v>35</v>
      </c>
      <c r="B18" s="299">
        <v>0.38</v>
      </c>
      <c r="C18" s="133"/>
      <c r="D18" s="133" t="s">
        <v>193</v>
      </c>
      <c r="E18" s="133"/>
      <c r="F18" s="133"/>
      <c r="G18" s="133"/>
      <c r="H18" s="133"/>
      <c r="I18" s="134"/>
      <c r="J18" s="134"/>
      <c r="K18" s="134"/>
      <c r="L18" s="134"/>
    </row>
    <row r="19" spans="1:12" ht="17.100000000000001" customHeight="1">
      <c r="A19" s="143" t="s">
        <v>36</v>
      </c>
      <c r="B19" s="144">
        <v>3.4799999999999998E-2</v>
      </c>
      <c r="C19" s="133"/>
      <c r="D19" s="133" t="s">
        <v>204</v>
      </c>
      <c r="E19" s="145" t="s">
        <v>205</v>
      </c>
      <c r="F19" s="133"/>
      <c r="G19" s="133"/>
      <c r="H19" s="133"/>
      <c r="I19" s="134"/>
      <c r="J19" s="134"/>
      <c r="K19" s="134"/>
      <c r="L19" s="134"/>
    </row>
    <row r="20" spans="1:12" ht="17.100000000000001" customHeight="1">
      <c r="A20" s="351" t="s">
        <v>206</v>
      </c>
      <c r="B20" s="300">
        <v>4.2299999999999997E-2</v>
      </c>
      <c r="C20" s="133"/>
      <c r="D20" s="133" t="s">
        <v>207</v>
      </c>
      <c r="E20" s="145" t="s">
        <v>208</v>
      </c>
      <c r="F20" s="133"/>
      <c r="G20" s="133"/>
      <c r="H20" s="133"/>
      <c r="I20" s="134"/>
      <c r="J20" s="134"/>
      <c r="K20" s="134"/>
      <c r="L20" s="134"/>
    </row>
    <row r="21" spans="1:12" ht="17.100000000000001" customHeight="1">
      <c r="A21" s="146" t="s">
        <v>38</v>
      </c>
      <c r="B21" s="151">
        <f>B19+B18*B20</f>
        <v>5.0873999999999996E-2</v>
      </c>
      <c r="C21" s="133"/>
      <c r="D21" s="133"/>
      <c r="E21" s="133"/>
      <c r="F21" s="133"/>
      <c r="G21" s="133"/>
      <c r="H21" s="133"/>
      <c r="I21" s="134"/>
      <c r="J21" s="134"/>
      <c r="K21" s="134"/>
      <c r="L21" s="134"/>
    </row>
    <row r="22" spans="1:12" ht="17.100000000000001" customHeight="1">
      <c r="A22" s="133"/>
      <c r="B22" s="133"/>
      <c r="C22" s="133"/>
      <c r="D22" s="133"/>
      <c r="E22" s="133"/>
      <c r="F22" s="133"/>
      <c r="G22" s="133"/>
      <c r="H22" s="133"/>
      <c r="I22" s="134"/>
      <c r="J22" s="134"/>
      <c r="K22" s="134"/>
      <c r="L22" s="134"/>
    </row>
    <row r="23" spans="1:12" ht="17.100000000000001" customHeight="1">
      <c r="A23" s="379" t="s">
        <v>209</v>
      </c>
      <c r="B23" s="379"/>
      <c r="C23" s="133"/>
      <c r="D23" s="133"/>
      <c r="E23" s="133"/>
      <c r="F23" s="133"/>
      <c r="G23" s="133"/>
      <c r="H23" s="133"/>
      <c r="I23" s="134"/>
      <c r="J23" s="134"/>
      <c r="K23" s="134"/>
      <c r="L23" s="134"/>
    </row>
    <row r="24" spans="1:12" ht="17.100000000000001" customHeight="1">
      <c r="A24" s="146" t="s">
        <v>203</v>
      </c>
      <c r="B24" s="146" t="s">
        <v>95</v>
      </c>
      <c r="C24" s="133"/>
      <c r="D24" s="152" t="s">
        <v>191</v>
      </c>
      <c r="E24" s="133"/>
      <c r="F24" s="133"/>
      <c r="G24" s="133"/>
      <c r="H24" s="133"/>
      <c r="I24" s="134"/>
      <c r="J24" s="134"/>
      <c r="K24" s="134"/>
      <c r="L24" s="134"/>
    </row>
    <row r="25" spans="1:12" ht="17.100000000000001" customHeight="1">
      <c r="A25" s="299" t="s">
        <v>210</v>
      </c>
      <c r="B25" s="352">
        <f>B5</f>
        <v>4867.2</v>
      </c>
      <c r="C25" s="133"/>
      <c r="D25" s="133" t="s">
        <v>193</v>
      </c>
      <c r="E25" s="133"/>
      <c r="F25" s="133"/>
      <c r="G25" s="133"/>
      <c r="H25" s="133"/>
      <c r="I25" s="134"/>
      <c r="J25" s="134"/>
      <c r="K25" s="134"/>
      <c r="L25" s="134"/>
    </row>
    <row r="26" spans="1:12" ht="17.100000000000001" customHeight="1">
      <c r="A26" s="133" t="s">
        <v>211</v>
      </c>
      <c r="B26" s="133">
        <v>172.2</v>
      </c>
      <c r="C26" s="133"/>
      <c r="D26" s="133" t="s">
        <v>193</v>
      </c>
      <c r="E26" s="133"/>
      <c r="F26" s="133"/>
      <c r="G26" s="133"/>
      <c r="H26" s="133"/>
      <c r="I26" s="134"/>
      <c r="J26" s="134"/>
      <c r="K26" s="134"/>
      <c r="L26" s="134"/>
    </row>
    <row r="27" spans="1:12" ht="17.100000000000001" customHeight="1">
      <c r="A27" s="351" t="s">
        <v>41</v>
      </c>
      <c r="B27" s="300">
        <v>0.26140000000000002</v>
      </c>
      <c r="C27" s="133"/>
      <c r="D27" s="133" t="s">
        <v>212</v>
      </c>
      <c r="E27" s="145" t="s">
        <v>208</v>
      </c>
      <c r="F27" s="133"/>
      <c r="G27" s="133"/>
      <c r="H27" s="133"/>
      <c r="I27" s="134"/>
      <c r="J27" s="134"/>
      <c r="K27" s="134"/>
      <c r="L27" s="134"/>
    </row>
    <row r="28" spans="1:12" ht="17.100000000000001" customHeight="1">
      <c r="A28" s="143" t="s">
        <v>213</v>
      </c>
      <c r="B28" s="251">
        <f>B26/B25</f>
        <v>3.5379684418145957E-2</v>
      </c>
      <c r="C28" s="133"/>
      <c r="D28" s="133"/>
      <c r="E28" s="133"/>
      <c r="F28" s="133"/>
      <c r="G28" s="133"/>
      <c r="H28" s="133"/>
      <c r="I28" s="134"/>
      <c r="J28" s="134"/>
      <c r="K28" s="134"/>
      <c r="L28" s="134"/>
    </row>
    <row r="29" spans="1:12" ht="17.100000000000001" customHeight="1">
      <c r="A29" s="353" t="s">
        <v>214</v>
      </c>
      <c r="B29" s="354">
        <f>B28*(1-B27)</f>
        <v>2.6131434911242601E-2</v>
      </c>
      <c r="C29" s="133"/>
      <c r="D29" s="133"/>
      <c r="E29" s="133"/>
      <c r="F29" s="133"/>
      <c r="G29" s="133"/>
      <c r="H29" s="133"/>
      <c r="I29" s="134"/>
      <c r="J29" s="134"/>
      <c r="K29" s="134"/>
      <c r="L29" s="134"/>
    </row>
    <row r="30" spans="1:12" ht="17.100000000000001" customHeight="1">
      <c r="A30" s="133"/>
      <c r="B30" s="133"/>
      <c r="C30" s="133"/>
      <c r="D30" s="133"/>
      <c r="E30" s="133"/>
      <c r="F30" s="133"/>
      <c r="G30" s="133"/>
      <c r="H30" s="133"/>
      <c r="I30" s="134"/>
      <c r="J30" s="134"/>
      <c r="K30" s="134"/>
      <c r="L30" s="134"/>
    </row>
    <row r="31" spans="1:12" ht="17.100000000000001" customHeight="1">
      <c r="A31" s="379" t="s">
        <v>46</v>
      </c>
      <c r="B31" s="379"/>
      <c r="C31" s="133"/>
      <c r="D31" s="133"/>
      <c r="E31" s="133"/>
      <c r="F31" s="133"/>
      <c r="G31" s="133"/>
      <c r="H31" s="133"/>
      <c r="I31" s="134"/>
      <c r="J31" s="134"/>
      <c r="K31" s="134"/>
      <c r="L31" s="134"/>
    </row>
    <row r="32" spans="1:12" ht="17.100000000000001" customHeight="1">
      <c r="A32" s="147" t="s">
        <v>198</v>
      </c>
      <c r="B32" s="135" t="s">
        <v>199</v>
      </c>
      <c r="C32" s="133"/>
      <c r="D32" s="152" t="s">
        <v>215</v>
      </c>
      <c r="E32" s="133"/>
      <c r="F32" s="133"/>
      <c r="G32" s="133"/>
      <c r="H32" s="133"/>
      <c r="I32" s="134"/>
      <c r="J32" s="134"/>
      <c r="K32" s="134"/>
      <c r="L32" s="134"/>
    </row>
    <row r="33" spans="1:12" ht="17.100000000000001" customHeight="1">
      <c r="A33" s="355" t="s">
        <v>216</v>
      </c>
      <c r="B33" s="254">
        <f>B21</f>
        <v>5.0873999999999996E-2</v>
      </c>
      <c r="C33" s="133"/>
      <c r="D33" s="133" t="s">
        <v>217</v>
      </c>
      <c r="E33" s="133"/>
      <c r="F33" s="133"/>
      <c r="G33" s="133"/>
      <c r="H33" s="133"/>
      <c r="I33" s="134"/>
      <c r="J33" s="134"/>
      <c r="K33" s="134"/>
      <c r="L33" s="134"/>
    </row>
    <row r="34" spans="1:12" ht="17.100000000000001" customHeight="1">
      <c r="A34" s="148" t="s">
        <v>214</v>
      </c>
      <c r="B34" s="251">
        <f>B29</f>
        <v>2.6131434911242601E-2</v>
      </c>
      <c r="C34" s="133"/>
      <c r="D34" s="133"/>
      <c r="E34" s="133"/>
      <c r="F34" s="133"/>
      <c r="G34" s="133"/>
      <c r="H34" s="133"/>
      <c r="I34" s="134"/>
      <c r="J34" s="134"/>
      <c r="K34" s="134"/>
      <c r="L34" s="134"/>
    </row>
    <row r="35" spans="1:12" ht="17.100000000000001" customHeight="1">
      <c r="A35" s="299" t="s">
        <v>218</v>
      </c>
      <c r="B35" s="356">
        <f>B13</f>
        <v>0.58965722876892968</v>
      </c>
      <c r="C35" s="133"/>
      <c r="D35" s="133"/>
      <c r="E35" s="133"/>
      <c r="F35" s="133"/>
      <c r="G35" s="133"/>
      <c r="H35" s="133"/>
      <c r="I35" s="134"/>
      <c r="J35" s="134"/>
      <c r="K35" s="134"/>
      <c r="L35" s="134"/>
    </row>
    <row r="36" spans="1:12" ht="17.100000000000001" customHeight="1">
      <c r="A36" s="133" t="s">
        <v>219</v>
      </c>
      <c r="B36" s="149">
        <f>B12</f>
        <v>0.4088057181733426</v>
      </c>
      <c r="C36" s="133"/>
      <c r="D36" s="133"/>
      <c r="E36" s="133"/>
      <c r="F36" s="133"/>
      <c r="G36" s="133"/>
      <c r="H36" s="133"/>
      <c r="I36" s="134"/>
      <c r="J36" s="134"/>
      <c r="K36" s="134"/>
      <c r="L36" s="134"/>
    </row>
    <row r="37" spans="1:12" ht="17.100000000000001" customHeight="1">
      <c r="A37" s="299" t="s">
        <v>220</v>
      </c>
      <c r="B37" s="356">
        <f>B14</f>
        <v>1.5370530577276814E-3</v>
      </c>
      <c r="C37" s="133"/>
      <c r="D37" s="133"/>
      <c r="E37" s="133"/>
      <c r="F37" s="133"/>
      <c r="G37" s="133"/>
      <c r="H37" s="133"/>
      <c r="I37" s="134"/>
      <c r="J37" s="134"/>
      <c r="K37" s="134"/>
      <c r="L37" s="134"/>
    </row>
    <row r="38" spans="1:12" ht="17.100000000000001" customHeight="1">
      <c r="A38" s="358" t="s">
        <v>221</v>
      </c>
      <c r="B38" s="359">
        <f>B33*B35+B34*B36+B37*B33</f>
        <v>4.0759097909439851E-2</v>
      </c>
      <c r="C38" s="133"/>
      <c r="D38" s="133"/>
      <c r="E38" s="133"/>
      <c r="F38" s="133"/>
      <c r="G38" s="133"/>
      <c r="H38" s="133"/>
      <c r="I38" s="134"/>
      <c r="J38" s="134"/>
      <c r="K38" s="134"/>
      <c r="L38" s="134"/>
    </row>
    <row r="39" spans="1:12" ht="17.100000000000001" customHeight="1">
      <c r="A39" s="133"/>
      <c r="B39" s="133"/>
      <c r="C39" s="133"/>
      <c r="D39" s="133"/>
      <c r="E39" s="133"/>
      <c r="F39" s="133"/>
      <c r="G39" s="133"/>
      <c r="H39" s="133"/>
      <c r="I39" s="134"/>
      <c r="J39" s="134"/>
      <c r="K39" s="134"/>
      <c r="L39" s="134"/>
    </row>
  </sheetData>
  <mergeCells count="4">
    <mergeCell ref="A10:B10"/>
    <mergeCell ref="A16:B16"/>
    <mergeCell ref="A23:B23"/>
    <mergeCell ref="A31:B31"/>
  </mergeCells>
  <phoneticPr fontId="27" type="noConversion"/>
  <hyperlinks>
    <hyperlink ref="E19" r:id="rId1" xr:uid="{49CB15EE-5EF8-407D-88F4-71EEC696F002}"/>
    <hyperlink ref="E20" r:id="rId2" xr:uid="{944E5595-70FF-4E61-9799-CE609BE77949}"/>
    <hyperlink ref="E27" r:id="rId3" xr:uid="{7D8CB9C1-1AE9-4147-A81C-3AE8E9D5D1DE}"/>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B3519-E8D7-43E7-A2E0-4082CA8998C9}">
  <dimension ref="A1:P45"/>
  <sheetViews>
    <sheetView showGridLines="0" zoomScale="55" workbookViewId="0">
      <selection activeCell="E47" sqref="E47"/>
    </sheetView>
  </sheetViews>
  <sheetFormatPr defaultColWidth="8.53125" defaultRowHeight="15"/>
  <cols>
    <col min="1" max="16384" width="8.53125" style="250"/>
  </cols>
  <sheetData>
    <row r="1" spans="1:12">
      <c r="A1" s="381" t="s">
        <v>222</v>
      </c>
      <c r="B1" s="382"/>
      <c r="C1" s="382"/>
      <c r="D1" s="382"/>
      <c r="E1" s="382"/>
      <c r="F1" s="133"/>
      <c r="G1" s="133"/>
      <c r="H1" s="133"/>
      <c r="I1" s="133"/>
      <c r="J1" s="133"/>
      <c r="K1" s="133"/>
      <c r="L1" s="133"/>
    </row>
    <row r="2" spans="1:12">
      <c r="A2" s="382"/>
      <c r="B2" s="382"/>
      <c r="C2" s="382"/>
      <c r="D2" s="382"/>
      <c r="E2" s="382"/>
      <c r="F2" s="133"/>
      <c r="G2" s="133"/>
      <c r="H2" s="133"/>
      <c r="I2" s="133"/>
      <c r="J2" s="133"/>
      <c r="K2" s="133"/>
      <c r="L2" s="133"/>
    </row>
    <row r="4" spans="1:12" ht="15.4" thickBot="1">
      <c r="A4" s="133"/>
      <c r="B4" s="360" t="s">
        <v>223</v>
      </c>
      <c r="C4" s="360"/>
      <c r="D4" s="133"/>
      <c r="E4" s="133"/>
      <c r="F4" s="133"/>
      <c r="G4" s="133"/>
      <c r="H4" s="133"/>
      <c r="I4" s="133"/>
      <c r="J4" s="133"/>
      <c r="K4" s="133"/>
      <c r="L4" s="133"/>
    </row>
    <row r="5" spans="1:12">
      <c r="A5" s="133"/>
      <c r="B5" s="279" t="s">
        <v>224</v>
      </c>
      <c r="C5" s="280"/>
      <c r="D5" s="280"/>
      <c r="E5" s="280"/>
      <c r="F5" s="280"/>
      <c r="G5" s="280"/>
      <c r="H5" s="280"/>
      <c r="I5" s="280"/>
      <c r="J5" s="280"/>
      <c r="K5" s="280"/>
      <c r="L5" s="281"/>
    </row>
    <row r="6" spans="1:12">
      <c r="A6" s="133"/>
      <c r="B6" s="282" t="s">
        <v>225</v>
      </c>
      <c r="C6" s="109"/>
      <c r="D6" s="109"/>
      <c r="E6" s="109"/>
      <c r="F6" s="109"/>
      <c r="G6" s="109"/>
      <c r="H6" s="109"/>
      <c r="I6" s="109"/>
      <c r="J6" s="109"/>
      <c r="K6" s="109"/>
      <c r="L6" s="283"/>
    </row>
    <row r="7" spans="1:12">
      <c r="A7" s="133"/>
      <c r="B7" s="282" t="s">
        <v>226</v>
      </c>
      <c r="C7" s="109"/>
      <c r="D7" s="109"/>
      <c r="E7" s="109"/>
      <c r="F7" s="109"/>
      <c r="G7" s="109"/>
      <c r="H7" s="109"/>
      <c r="I7" s="109"/>
      <c r="J7" s="109"/>
      <c r="K7" s="109"/>
      <c r="L7" s="283"/>
    </row>
    <row r="8" spans="1:12">
      <c r="A8" s="133"/>
      <c r="B8" s="282" t="s">
        <v>227</v>
      </c>
      <c r="C8" s="109"/>
      <c r="D8" s="109"/>
      <c r="E8" s="109"/>
      <c r="F8" s="109"/>
      <c r="G8" s="109"/>
      <c r="H8" s="109"/>
      <c r="I8" s="109"/>
      <c r="J8" s="109"/>
      <c r="K8" s="109"/>
      <c r="L8" s="283"/>
    </row>
    <row r="9" spans="1:12">
      <c r="A9" s="133"/>
      <c r="B9" s="282" t="s">
        <v>228</v>
      </c>
      <c r="C9" s="109"/>
      <c r="D9" s="109"/>
      <c r="E9" s="109"/>
      <c r="F9" s="109"/>
      <c r="G9" s="109"/>
      <c r="H9" s="109"/>
      <c r="I9" s="109"/>
      <c r="J9" s="109"/>
      <c r="K9" s="109"/>
      <c r="L9" s="283"/>
    </row>
    <row r="10" spans="1:12">
      <c r="A10" s="133"/>
      <c r="B10" s="282"/>
      <c r="C10" s="109"/>
      <c r="D10" s="109"/>
      <c r="E10" s="109"/>
      <c r="F10" s="109"/>
      <c r="G10" s="109"/>
      <c r="H10" s="109"/>
      <c r="I10" s="109"/>
      <c r="J10" s="109"/>
      <c r="K10" s="109"/>
      <c r="L10" s="283"/>
    </row>
    <row r="11" spans="1:12">
      <c r="A11" s="133"/>
      <c r="B11" s="282" t="s">
        <v>229</v>
      </c>
      <c r="C11" s="109"/>
      <c r="D11" s="109"/>
      <c r="E11" s="109"/>
      <c r="F11" s="109"/>
      <c r="G11" s="109"/>
      <c r="H11" s="109"/>
      <c r="I11" s="109"/>
      <c r="J11" s="109"/>
      <c r="K11" s="109"/>
      <c r="L11" s="283"/>
    </row>
    <row r="12" spans="1:12">
      <c r="A12" s="133"/>
      <c r="B12" s="284" t="s">
        <v>230</v>
      </c>
      <c r="C12" s="285"/>
      <c r="D12" s="285"/>
      <c r="E12" s="285"/>
      <c r="F12" s="109"/>
      <c r="G12" s="109"/>
      <c r="H12" s="109"/>
      <c r="I12" s="109"/>
      <c r="J12" s="109"/>
      <c r="K12" s="109"/>
      <c r="L12" s="283"/>
    </row>
    <row r="13" spans="1:12">
      <c r="A13" s="133"/>
      <c r="B13" s="284" t="s">
        <v>231</v>
      </c>
      <c r="C13" s="285"/>
      <c r="D13" s="285"/>
      <c r="E13" s="285"/>
      <c r="F13" s="109"/>
      <c r="G13" s="109"/>
      <c r="H13" s="109"/>
      <c r="I13" s="109"/>
      <c r="J13" s="109"/>
      <c r="K13" s="109"/>
      <c r="L13" s="283"/>
    </row>
    <row r="14" spans="1:12" ht="15.4" thickBot="1">
      <c r="A14" s="133"/>
      <c r="B14" s="286" t="s">
        <v>232</v>
      </c>
      <c r="C14" s="287"/>
      <c r="D14" s="287"/>
      <c r="E14" s="287"/>
      <c r="F14" s="288"/>
      <c r="G14" s="288"/>
      <c r="H14" s="288"/>
      <c r="I14" s="288"/>
      <c r="J14" s="288"/>
      <c r="K14" s="288"/>
      <c r="L14" s="289"/>
    </row>
    <row r="16" spans="1:12" ht="15.4" thickBot="1">
      <c r="A16" s="133"/>
      <c r="B16" s="361" t="s">
        <v>233</v>
      </c>
      <c r="C16" s="361"/>
      <c r="D16" s="133"/>
      <c r="E16" s="133"/>
      <c r="F16" s="133"/>
      <c r="G16" s="133"/>
      <c r="H16" s="133"/>
      <c r="I16" s="133"/>
      <c r="J16" s="133"/>
      <c r="K16" s="133"/>
      <c r="L16" s="133"/>
    </row>
    <row r="17" spans="2:12">
      <c r="B17" s="279" t="s">
        <v>234</v>
      </c>
      <c r="C17" s="280"/>
      <c r="D17" s="280"/>
      <c r="E17" s="280"/>
      <c r="F17" s="280"/>
      <c r="G17" s="280"/>
      <c r="H17" s="280"/>
      <c r="I17" s="290"/>
      <c r="J17" s="290"/>
      <c r="K17" s="290"/>
      <c r="L17" s="291"/>
    </row>
    <row r="18" spans="2:12">
      <c r="B18" s="282" t="s">
        <v>235</v>
      </c>
      <c r="C18" s="109"/>
      <c r="D18" s="109"/>
      <c r="E18" s="109"/>
      <c r="F18" s="109"/>
      <c r="G18" s="109"/>
      <c r="H18" s="109"/>
      <c r="I18" s="133"/>
      <c r="J18" s="133"/>
      <c r="K18" s="133"/>
      <c r="L18" s="292"/>
    </row>
    <row r="19" spans="2:12">
      <c r="B19" s="282"/>
      <c r="C19" s="109"/>
      <c r="D19" s="109"/>
      <c r="E19" s="109"/>
      <c r="F19" s="109"/>
      <c r="G19" s="109"/>
      <c r="H19" s="109"/>
      <c r="I19" s="133"/>
      <c r="J19" s="133"/>
      <c r="K19" s="133"/>
      <c r="L19" s="292"/>
    </row>
    <row r="20" spans="2:12">
      <c r="B20" s="282" t="s">
        <v>236</v>
      </c>
      <c r="C20" s="109"/>
      <c r="D20" s="109"/>
      <c r="E20" s="109"/>
      <c r="F20" s="109"/>
      <c r="G20" s="109"/>
      <c r="H20" s="109"/>
      <c r="I20" s="133"/>
      <c r="J20" s="133"/>
      <c r="K20" s="133"/>
      <c r="L20" s="292"/>
    </row>
    <row r="21" spans="2:12">
      <c r="B21" s="282" t="s">
        <v>237</v>
      </c>
      <c r="C21" s="109"/>
      <c r="D21" s="109"/>
      <c r="E21" s="109"/>
      <c r="F21" s="109"/>
      <c r="G21" s="109"/>
      <c r="H21" s="109"/>
      <c r="I21" s="133"/>
      <c r="J21" s="133"/>
      <c r="K21" s="133"/>
      <c r="L21" s="292"/>
    </row>
    <row r="22" spans="2:12">
      <c r="B22" s="282"/>
      <c r="C22" s="109"/>
      <c r="D22" s="109"/>
      <c r="E22" s="109"/>
      <c r="F22" s="109"/>
      <c r="G22" s="109"/>
      <c r="H22" s="109"/>
      <c r="I22" s="133"/>
      <c r="J22" s="133"/>
      <c r="K22" s="133"/>
      <c r="L22" s="292"/>
    </row>
    <row r="23" spans="2:12">
      <c r="B23" s="282" t="s">
        <v>238</v>
      </c>
      <c r="C23" s="109"/>
      <c r="D23" s="109"/>
      <c r="E23" s="109"/>
      <c r="F23" s="109"/>
      <c r="G23" s="109"/>
      <c r="H23" s="109"/>
      <c r="I23" s="133"/>
      <c r="J23" s="133"/>
      <c r="K23" s="133"/>
      <c r="L23" s="292"/>
    </row>
    <row r="24" spans="2:12" ht="15.4" thickBot="1">
      <c r="B24" s="286" t="s">
        <v>239</v>
      </c>
      <c r="C24" s="287"/>
      <c r="D24" s="287"/>
      <c r="E24" s="287"/>
      <c r="F24" s="288"/>
      <c r="G24" s="288"/>
      <c r="H24" s="288"/>
      <c r="I24" s="293"/>
      <c r="J24" s="293"/>
      <c r="K24" s="293"/>
      <c r="L24" s="294"/>
    </row>
    <row r="26" spans="2:12" ht="15.4" thickBot="1">
      <c r="B26" s="361" t="s">
        <v>240</v>
      </c>
      <c r="C26" s="361"/>
      <c r="D26" s="133"/>
      <c r="E26" s="133"/>
      <c r="F26" s="133"/>
      <c r="G26" s="133"/>
      <c r="H26" s="133"/>
      <c r="I26" s="133"/>
      <c r="J26" s="133"/>
      <c r="K26" s="133"/>
      <c r="L26" s="133"/>
    </row>
    <row r="27" spans="2:12">
      <c r="B27" s="279" t="s">
        <v>241</v>
      </c>
      <c r="C27" s="280"/>
      <c r="D27" s="280"/>
      <c r="E27" s="280"/>
      <c r="F27" s="280"/>
      <c r="G27" s="280"/>
      <c r="H27" s="290"/>
      <c r="I27" s="290"/>
      <c r="J27" s="290"/>
      <c r="K27" s="290"/>
      <c r="L27" s="291"/>
    </row>
    <row r="28" spans="2:12">
      <c r="B28" s="282" t="s">
        <v>242</v>
      </c>
      <c r="C28" s="109"/>
      <c r="D28" s="109"/>
      <c r="E28" s="109"/>
      <c r="F28" s="109"/>
      <c r="G28" s="109"/>
      <c r="H28" s="133"/>
      <c r="I28" s="133"/>
      <c r="J28" s="133"/>
      <c r="K28" s="133"/>
      <c r="L28" s="292"/>
    </row>
    <row r="29" spans="2:12">
      <c r="B29" s="282"/>
      <c r="C29" s="109"/>
      <c r="D29" s="109"/>
      <c r="E29" s="109"/>
      <c r="F29" s="109"/>
      <c r="G29" s="109"/>
      <c r="H29" s="133"/>
      <c r="I29" s="133"/>
      <c r="J29" s="133"/>
      <c r="K29" s="133"/>
      <c r="L29" s="292"/>
    </row>
    <row r="30" spans="2:12">
      <c r="B30" s="282" t="s">
        <v>243</v>
      </c>
      <c r="C30" s="109"/>
      <c r="D30" s="109"/>
      <c r="E30" s="109"/>
      <c r="F30" s="109"/>
      <c r="G30" s="109"/>
      <c r="H30" s="133"/>
      <c r="I30" s="133"/>
      <c r="J30" s="133"/>
      <c r="K30" s="133"/>
      <c r="L30" s="292"/>
    </row>
    <row r="31" spans="2:12">
      <c r="B31" s="282" t="s">
        <v>244</v>
      </c>
      <c r="C31" s="109"/>
      <c r="D31" s="109"/>
      <c r="E31" s="109"/>
      <c r="F31" s="109"/>
      <c r="G31" s="109"/>
      <c r="H31" s="133"/>
      <c r="I31" s="133"/>
      <c r="J31" s="133"/>
      <c r="K31" s="133"/>
      <c r="L31" s="292"/>
    </row>
    <row r="32" spans="2:12">
      <c r="B32" s="282"/>
      <c r="C32" s="109"/>
      <c r="D32" s="109"/>
      <c r="E32" s="109"/>
      <c r="F32" s="109"/>
      <c r="G32" s="109"/>
      <c r="H32" s="133"/>
      <c r="I32" s="133"/>
      <c r="J32" s="133"/>
      <c r="K32" s="133"/>
      <c r="L32" s="292"/>
    </row>
    <row r="33" spans="2:16">
      <c r="B33" s="282" t="s">
        <v>238</v>
      </c>
      <c r="C33" s="109"/>
      <c r="D33" s="109"/>
      <c r="E33" s="109"/>
      <c r="F33" s="109"/>
      <c r="G33" s="109"/>
      <c r="H33" s="133"/>
      <c r="I33" s="133"/>
      <c r="J33" s="133"/>
      <c r="K33" s="133"/>
      <c r="L33" s="292"/>
      <c r="M33" s="133"/>
      <c r="N33" s="133"/>
      <c r="O33" s="133"/>
      <c r="P33" s="133"/>
    </row>
    <row r="34" spans="2:16">
      <c r="B34" s="282" t="s">
        <v>245</v>
      </c>
      <c r="C34" s="109"/>
      <c r="D34" s="109"/>
      <c r="E34" s="109"/>
      <c r="F34" s="109"/>
      <c r="G34" s="109"/>
      <c r="H34" s="133"/>
      <c r="I34" s="133"/>
      <c r="J34" s="133"/>
      <c r="K34" s="133"/>
      <c r="L34" s="292"/>
      <c r="M34" s="133"/>
      <c r="N34" s="133"/>
      <c r="O34" s="133"/>
      <c r="P34" s="133"/>
    </row>
    <row r="35" spans="2:16">
      <c r="B35" s="282"/>
      <c r="C35" s="109"/>
      <c r="D35" s="109"/>
      <c r="E35" s="109"/>
      <c r="F35" s="109"/>
      <c r="G35" s="109"/>
      <c r="H35" s="133"/>
      <c r="I35" s="133"/>
      <c r="J35" s="133"/>
      <c r="K35" s="133"/>
      <c r="L35" s="292"/>
      <c r="M35" s="133"/>
      <c r="N35" s="133"/>
      <c r="O35" s="133"/>
      <c r="P35" s="133"/>
    </row>
    <row r="36" spans="2:16">
      <c r="B36" s="282" t="s">
        <v>246</v>
      </c>
      <c r="C36" s="109"/>
      <c r="D36" s="109"/>
      <c r="E36" s="109"/>
      <c r="F36" s="109"/>
      <c r="G36" s="109"/>
      <c r="H36" s="133"/>
      <c r="I36" s="133"/>
      <c r="J36" s="133"/>
      <c r="K36" s="133"/>
      <c r="L36" s="292"/>
      <c r="M36" s="133"/>
      <c r="N36" s="133"/>
      <c r="O36" s="133"/>
      <c r="P36" s="133"/>
    </row>
    <row r="37" spans="2:16" ht="15.4" thickBot="1">
      <c r="B37" s="286" t="s">
        <v>247</v>
      </c>
      <c r="C37" s="287"/>
      <c r="D37" s="287"/>
      <c r="E37" s="287"/>
      <c r="F37" s="287"/>
      <c r="G37" s="287"/>
      <c r="H37" s="293"/>
      <c r="I37" s="293"/>
      <c r="J37" s="293"/>
      <c r="K37" s="293"/>
      <c r="L37" s="294"/>
      <c r="M37" s="133"/>
      <c r="N37" s="133"/>
      <c r="O37" s="133"/>
      <c r="P37" s="133"/>
    </row>
    <row r="39" spans="2:16" ht="15.4" thickBot="1">
      <c r="B39" s="361" t="s">
        <v>248</v>
      </c>
      <c r="C39" s="361"/>
      <c r="D39" s="361"/>
      <c r="E39" s="133"/>
      <c r="F39" s="133"/>
      <c r="G39" s="133"/>
      <c r="H39" s="133"/>
      <c r="I39" s="133"/>
      <c r="J39" s="133"/>
      <c r="K39" s="133"/>
      <c r="L39" s="133"/>
      <c r="M39" s="133"/>
      <c r="N39" s="133"/>
      <c r="O39" s="133"/>
      <c r="P39" s="133"/>
    </row>
    <row r="40" spans="2:16">
      <c r="B40" s="279" t="s">
        <v>249</v>
      </c>
      <c r="C40" s="280"/>
      <c r="D40" s="280"/>
      <c r="E40" s="280"/>
      <c r="F40" s="280"/>
      <c r="G40" s="280"/>
      <c r="H40" s="280"/>
      <c r="I40" s="280"/>
      <c r="J40" s="280"/>
      <c r="K40" s="280"/>
      <c r="L40" s="280"/>
      <c r="M40" s="280"/>
      <c r="N40" s="280"/>
      <c r="O40" s="281"/>
      <c r="P40" s="109"/>
    </row>
    <row r="41" spans="2:16" ht="15.4" thickBot="1">
      <c r="B41" s="286" t="s">
        <v>250</v>
      </c>
      <c r="C41" s="287"/>
      <c r="D41" s="288"/>
      <c r="E41" s="288"/>
      <c r="F41" s="288"/>
      <c r="G41" s="288"/>
      <c r="H41" s="288"/>
      <c r="I41" s="288"/>
      <c r="J41" s="288"/>
      <c r="K41" s="288"/>
      <c r="L41" s="288"/>
      <c r="M41" s="288"/>
      <c r="N41" s="288"/>
      <c r="O41" s="289"/>
      <c r="P41" s="109"/>
    </row>
    <row r="43" spans="2:16">
      <c r="B43" s="361" t="s">
        <v>251</v>
      </c>
      <c r="C43" s="361"/>
      <c r="D43" s="133"/>
      <c r="E43" s="133"/>
      <c r="F43" s="133"/>
      <c r="G43" s="133"/>
      <c r="H43" s="133"/>
      <c r="I43" s="133"/>
      <c r="J43" s="133"/>
      <c r="K43" s="133"/>
      <c r="L43" s="133"/>
      <c r="M43" s="133"/>
      <c r="N43" s="133"/>
      <c r="O43" s="133"/>
      <c r="P43" s="133"/>
    </row>
    <row r="44" spans="2:16">
      <c r="B44" s="362" t="s">
        <v>252</v>
      </c>
      <c r="C44" s="362"/>
      <c r="D44" s="362"/>
      <c r="E44" s="362"/>
      <c r="F44" s="362"/>
      <c r="G44" s="362"/>
      <c r="H44" s="362"/>
      <c r="I44" s="362"/>
      <c r="J44" s="362"/>
      <c r="K44" s="362"/>
      <c r="L44" s="362"/>
      <c r="M44" s="362"/>
      <c r="N44" s="362"/>
      <c r="O44" s="133"/>
      <c r="P44" s="133"/>
    </row>
    <row r="45" spans="2:16">
      <c r="B45" s="252"/>
      <c r="C45" s="252"/>
      <c r="D45" s="252"/>
      <c r="E45" s="252"/>
      <c r="F45" s="252"/>
      <c r="G45" s="252"/>
      <c r="H45" s="252"/>
      <c r="I45" s="252"/>
      <c r="J45" s="252"/>
      <c r="K45" s="252"/>
      <c r="L45" s="252"/>
      <c r="M45" s="252"/>
      <c r="N45" s="133"/>
      <c r="O45" s="133"/>
      <c r="P45" s="133"/>
    </row>
  </sheetData>
  <mergeCells count="1">
    <mergeCell ref="A1:E2"/>
  </mergeCells>
  <phoneticPr fontId="2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9E871-D024-4E52-8D62-BAB2EB620870}">
  <dimension ref="B1:AD64"/>
  <sheetViews>
    <sheetView showGridLines="0" zoomScale="45" zoomScaleNormal="55" zoomScaleSheetLayoutView="40" workbookViewId="0">
      <selection activeCell="F6" sqref="F6:G6"/>
    </sheetView>
  </sheetViews>
  <sheetFormatPr defaultColWidth="9.46484375" defaultRowHeight="13.15"/>
  <cols>
    <col min="1" max="1" width="1.46484375" style="175" customWidth="1"/>
    <col min="2" max="2" width="9.46484375" style="175"/>
    <col min="3" max="3" width="4.46484375" style="175" customWidth="1"/>
    <col min="4" max="4" width="35.19921875" style="176" customWidth="1"/>
    <col min="5" max="5" width="9.86328125" style="176" bestFit="1" customWidth="1"/>
    <col min="6" max="6" width="12.86328125" style="176" bestFit="1" customWidth="1"/>
    <col min="7" max="7" width="22.33203125" style="176" bestFit="1" customWidth="1"/>
    <col min="8" max="8" width="13.53125" style="176" bestFit="1" customWidth="1"/>
    <col min="9" max="9" width="18.86328125" style="176" bestFit="1" customWidth="1"/>
    <col min="10" max="10" width="10.19921875" style="176" bestFit="1" customWidth="1"/>
    <col min="11" max="11" width="12.6640625" style="176" bestFit="1" customWidth="1"/>
    <col min="12" max="12" width="9.53125" style="176" bestFit="1" customWidth="1"/>
    <col min="13" max="13" width="2.46484375" style="176" customWidth="1"/>
    <col min="14" max="14" width="13.86328125" style="176" bestFit="1" customWidth="1"/>
    <col min="15" max="15" width="13" style="176" bestFit="1" customWidth="1"/>
    <col min="16" max="16" width="8.53125" style="176" bestFit="1" customWidth="1"/>
    <col min="17" max="17" width="9.46484375" style="175"/>
    <col min="18" max="18" width="34.46484375" style="175" customWidth="1"/>
    <col min="19" max="264" width="9.46484375" style="175"/>
    <col min="265" max="265" width="42.86328125" style="175" customWidth="1"/>
    <col min="266" max="266" width="19.46484375" style="175" customWidth="1"/>
    <col min="267" max="267" width="11.46484375" style="175" customWidth="1"/>
    <col min="268" max="268" width="12.46484375" style="175" bestFit="1" customWidth="1"/>
    <col min="269" max="270" width="11.46484375" style="175" customWidth="1"/>
    <col min="271" max="271" width="17.1328125" style="175" customWidth="1"/>
    <col min="272" max="272" width="15.46484375" style="175" customWidth="1"/>
    <col min="273" max="520" width="9.46484375" style="175"/>
    <col min="521" max="521" width="42.86328125" style="175" customWidth="1"/>
    <col min="522" max="522" width="19.46484375" style="175" customWidth="1"/>
    <col min="523" max="523" width="11.46484375" style="175" customWidth="1"/>
    <col min="524" max="524" width="12.46484375" style="175" bestFit="1" customWidth="1"/>
    <col min="525" max="526" width="11.46484375" style="175" customWidth="1"/>
    <col min="527" max="527" width="17.1328125" style="175" customWidth="1"/>
    <col min="528" max="528" width="15.46484375" style="175" customWidth="1"/>
    <col min="529" max="776" width="9.46484375" style="175"/>
    <col min="777" max="777" width="42.86328125" style="175" customWidth="1"/>
    <col min="778" max="778" width="19.46484375" style="175" customWidth="1"/>
    <col min="779" max="779" width="11.46484375" style="175" customWidth="1"/>
    <col min="780" max="780" width="12.46484375" style="175" bestFit="1" customWidth="1"/>
    <col min="781" max="782" width="11.46484375" style="175" customWidth="1"/>
    <col min="783" max="783" width="17.1328125" style="175" customWidth="1"/>
    <col min="784" max="784" width="15.46484375" style="175" customWidth="1"/>
    <col min="785" max="1032" width="9.46484375" style="175"/>
    <col min="1033" max="1033" width="42.86328125" style="175" customWidth="1"/>
    <col min="1034" max="1034" width="19.46484375" style="175" customWidth="1"/>
    <col min="1035" max="1035" width="11.46484375" style="175" customWidth="1"/>
    <col min="1036" max="1036" width="12.46484375" style="175" bestFit="1" customWidth="1"/>
    <col min="1037" max="1038" width="11.46484375" style="175" customWidth="1"/>
    <col min="1039" max="1039" width="17.1328125" style="175" customWidth="1"/>
    <col min="1040" max="1040" width="15.46484375" style="175" customWidth="1"/>
    <col min="1041" max="1288" width="9.46484375" style="175"/>
    <col min="1289" max="1289" width="42.86328125" style="175" customWidth="1"/>
    <col min="1290" max="1290" width="19.46484375" style="175" customWidth="1"/>
    <col min="1291" max="1291" width="11.46484375" style="175" customWidth="1"/>
    <col min="1292" max="1292" width="12.46484375" style="175" bestFit="1" customWidth="1"/>
    <col min="1293" max="1294" width="11.46484375" style="175" customWidth="1"/>
    <col min="1295" max="1295" width="17.1328125" style="175" customWidth="1"/>
    <col min="1296" max="1296" width="15.46484375" style="175" customWidth="1"/>
    <col min="1297" max="1544" width="9.46484375" style="175"/>
    <col min="1545" max="1545" width="42.86328125" style="175" customWidth="1"/>
    <col min="1546" max="1546" width="19.46484375" style="175" customWidth="1"/>
    <col min="1547" max="1547" width="11.46484375" style="175" customWidth="1"/>
    <col min="1548" max="1548" width="12.46484375" style="175" bestFit="1" customWidth="1"/>
    <col min="1549" max="1550" width="11.46484375" style="175" customWidth="1"/>
    <col min="1551" max="1551" width="17.1328125" style="175" customWidth="1"/>
    <col min="1552" max="1552" width="15.46484375" style="175" customWidth="1"/>
    <col min="1553" max="1800" width="9.46484375" style="175"/>
    <col min="1801" max="1801" width="42.86328125" style="175" customWidth="1"/>
    <col min="1802" max="1802" width="19.46484375" style="175" customWidth="1"/>
    <col min="1803" max="1803" width="11.46484375" style="175" customWidth="1"/>
    <col min="1804" max="1804" width="12.46484375" style="175" bestFit="1" customWidth="1"/>
    <col min="1805" max="1806" width="11.46484375" style="175" customWidth="1"/>
    <col min="1807" max="1807" width="17.1328125" style="175" customWidth="1"/>
    <col min="1808" max="1808" width="15.46484375" style="175" customWidth="1"/>
    <col min="1809" max="2056" width="9.46484375" style="175"/>
    <col min="2057" max="2057" width="42.86328125" style="175" customWidth="1"/>
    <col min="2058" max="2058" width="19.46484375" style="175" customWidth="1"/>
    <col min="2059" max="2059" width="11.46484375" style="175" customWidth="1"/>
    <col min="2060" max="2060" width="12.46484375" style="175" bestFit="1" customWidth="1"/>
    <col min="2061" max="2062" width="11.46484375" style="175" customWidth="1"/>
    <col min="2063" max="2063" width="17.1328125" style="175" customWidth="1"/>
    <col min="2064" max="2064" width="15.46484375" style="175" customWidth="1"/>
    <col min="2065" max="2312" width="9.46484375" style="175"/>
    <col min="2313" max="2313" width="42.86328125" style="175" customWidth="1"/>
    <col min="2314" max="2314" width="19.46484375" style="175" customWidth="1"/>
    <col min="2315" max="2315" width="11.46484375" style="175" customWidth="1"/>
    <col min="2316" max="2316" width="12.46484375" style="175" bestFit="1" customWidth="1"/>
    <col min="2317" max="2318" width="11.46484375" style="175" customWidth="1"/>
    <col min="2319" max="2319" width="17.1328125" style="175" customWidth="1"/>
    <col min="2320" max="2320" width="15.46484375" style="175" customWidth="1"/>
    <col min="2321" max="2568" width="9.46484375" style="175"/>
    <col min="2569" max="2569" width="42.86328125" style="175" customWidth="1"/>
    <col min="2570" max="2570" width="19.46484375" style="175" customWidth="1"/>
    <col min="2571" max="2571" width="11.46484375" style="175" customWidth="1"/>
    <col min="2572" max="2572" width="12.46484375" style="175" bestFit="1" customWidth="1"/>
    <col min="2573" max="2574" width="11.46484375" style="175" customWidth="1"/>
    <col min="2575" max="2575" width="17.1328125" style="175" customWidth="1"/>
    <col min="2576" max="2576" width="15.46484375" style="175" customWidth="1"/>
    <col min="2577" max="2824" width="9.46484375" style="175"/>
    <col min="2825" max="2825" width="42.86328125" style="175" customWidth="1"/>
    <col min="2826" max="2826" width="19.46484375" style="175" customWidth="1"/>
    <col min="2827" max="2827" width="11.46484375" style="175" customWidth="1"/>
    <col min="2828" max="2828" width="12.46484375" style="175" bestFit="1" customWidth="1"/>
    <col min="2829" max="2830" width="11.46484375" style="175" customWidth="1"/>
    <col min="2831" max="2831" width="17.1328125" style="175" customWidth="1"/>
    <col min="2832" max="2832" width="15.46484375" style="175" customWidth="1"/>
    <col min="2833" max="3080" width="9.46484375" style="175"/>
    <col min="3081" max="3081" width="42.86328125" style="175" customWidth="1"/>
    <col min="3082" max="3082" width="19.46484375" style="175" customWidth="1"/>
    <col min="3083" max="3083" width="11.46484375" style="175" customWidth="1"/>
    <col min="3084" max="3084" width="12.46484375" style="175" bestFit="1" customWidth="1"/>
    <col min="3085" max="3086" width="11.46484375" style="175" customWidth="1"/>
    <col min="3087" max="3087" width="17.1328125" style="175" customWidth="1"/>
    <col min="3088" max="3088" width="15.46484375" style="175" customWidth="1"/>
    <col min="3089" max="3336" width="9.46484375" style="175"/>
    <col min="3337" max="3337" width="42.86328125" style="175" customWidth="1"/>
    <col min="3338" max="3338" width="19.46484375" style="175" customWidth="1"/>
    <col min="3339" max="3339" width="11.46484375" style="175" customWidth="1"/>
    <col min="3340" max="3340" width="12.46484375" style="175" bestFit="1" customWidth="1"/>
    <col min="3341" max="3342" width="11.46484375" style="175" customWidth="1"/>
    <col min="3343" max="3343" width="17.1328125" style="175" customWidth="1"/>
    <col min="3344" max="3344" width="15.46484375" style="175" customWidth="1"/>
    <col min="3345" max="3592" width="9.46484375" style="175"/>
    <col min="3593" max="3593" width="42.86328125" style="175" customWidth="1"/>
    <col min="3594" max="3594" width="19.46484375" style="175" customWidth="1"/>
    <col min="3595" max="3595" width="11.46484375" style="175" customWidth="1"/>
    <col min="3596" max="3596" width="12.46484375" style="175" bestFit="1" customWidth="1"/>
    <col min="3597" max="3598" width="11.46484375" style="175" customWidth="1"/>
    <col min="3599" max="3599" width="17.1328125" style="175" customWidth="1"/>
    <col min="3600" max="3600" width="15.46484375" style="175" customWidth="1"/>
    <col min="3601" max="3848" width="9.46484375" style="175"/>
    <col min="3849" max="3849" width="42.86328125" style="175" customWidth="1"/>
    <col min="3850" max="3850" width="19.46484375" style="175" customWidth="1"/>
    <col min="3851" max="3851" width="11.46484375" style="175" customWidth="1"/>
    <col min="3852" max="3852" width="12.46484375" style="175" bestFit="1" customWidth="1"/>
    <col min="3853" max="3854" width="11.46484375" style="175" customWidth="1"/>
    <col min="3855" max="3855" width="17.1328125" style="175" customWidth="1"/>
    <col min="3856" max="3856" width="15.46484375" style="175" customWidth="1"/>
    <col min="3857" max="4104" width="9.46484375" style="175"/>
    <col min="4105" max="4105" width="42.86328125" style="175" customWidth="1"/>
    <col min="4106" max="4106" width="19.46484375" style="175" customWidth="1"/>
    <col min="4107" max="4107" width="11.46484375" style="175" customWidth="1"/>
    <col min="4108" max="4108" width="12.46484375" style="175" bestFit="1" customWidth="1"/>
    <col min="4109" max="4110" width="11.46484375" style="175" customWidth="1"/>
    <col min="4111" max="4111" width="17.1328125" style="175" customWidth="1"/>
    <col min="4112" max="4112" width="15.46484375" style="175" customWidth="1"/>
    <col min="4113" max="4360" width="9.46484375" style="175"/>
    <col min="4361" max="4361" width="42.86328125" style="175" customWidth="1"/>
    <col min="4362" max="4362" width="19.46484375" style="175" customWidth="1"/>
    <col min="4363" max="4363" width="11.46484375" style="175" customWidth="1"/>
    <col min="4364" max="4364" width="12.46484375" style="175" bestFit="1" customWidth="1"/>
    <col min="4365" max="4366" width="11.46484375" style="175" customWidth="1"/>
    <col min="4367" max="4367" width="17.1328125" style="175" customWidth="1"/>
    <col min="4368" max="4368" width="15.46484375" style="175" customWidth="1"/>
    <col min="4369" max="4616" width="9.46484375" style="175"/>
    <col min="4617" max="4617" width="42.86328125" style="175" customWidth="1"/>
    <col min="4618" max="4618" width="19.46484375" style="175" customWidth="1"/>
    <col min="4619" max="4619" width="11.46484375" style="175" customWidth="1"/>
    <col min="4620" max="4620" width="12.46484375" style="175" bestFit="1" customWidth="1"/>
    <col min="4621" max="4622" width="11.46484375" style="175" customWidth="1"/>
    <col min="4623" max="4623" width="17.1328125" style="175" customWidth="1"/>
    <col min="4624" max="4624" width="15.46484375" style="175" customWidth="1"/>
    <col min="4625" max="4872" width="9.46484375" style="175"/>
    <col min="4873" max="4873" width="42.86328125" style="175" customWidth="1"/>
    <col min="4874" max="4874" width="19.46484375" style="175" customWidth="1"/>
    <col min="4875" max="4875" width="11.46484375" style="175" customWidth="1"/>
    <col min="4876" max="4876" width="12.46484375" style="175" bestFit="1" customWidth="1"/>
    <col min="4877" max="4878" width="11.46484375" style="175" customWidth="1"/>
    <col min="4879" max="4879" width="17.1328125" style="175" customWidth="1"/>
    <col min="4880" max="4880" width="15.46484375" style="175" customWidth="1"/>
    <col min="4881" max="5128" width="9.46484375" style="175"/>
    <col min="5129" max="5129" width="42.86328125" style="175" customWidth="1"/>
    <col min="5130" max="5130" width="19.46484375" style="175" customWidth="1"/>
    <col min="5131" max="5131" width="11.46484375" style="175" customWidth="1"/>
    <col min="5132" max="5132" width="12.46484375" style="175" bestFit="1" customWidth="1"/>
    <col min="5133" max="5134" width="11.46484375" style="175" customWidth="1"/>
    <col min="5135" max="5135" width="17.1328125" style="175" customWidth="1"/>
    <col min="5136" max="5136" width="15.46484375" style="175" customWidth="1"/>
    <col min="5137" max="5384" width="9.46484375" style="175"/>
    <col min="5385" max="5385" width="42.86328125" style="175" customWidth="1"/>
    <col min="5386" max="5386" width="19.46484375" style="175" customWidth="1"/>
    <col min="5387" max="5387" width="11.46484375" style="175" customWidth="1"/>
    <col min="5388" max="5388" width="12.46484375" style="175" bestFit="1" customWidth="1"/>
    <col min="5389" max="5390" width="11.46484375" style="175" customWidth="1"/>
    <col min="5391" max="5391" width="17.1328125" style="175" customWidth="1"/>
    <col min="5392" max="5392" width="15.46484375" style="175" customWidth="1"/>
    <col min="5393" max="5640" width="9.46484375" style="175"/>
    <col min="5641" max="5641" width="42.86328125" style="175" customWidth="1"/>
    <col min="5642" max="5642" width="19.46484375" style="175" customWidth="1"/>
    <col min="5643" max="5643" width="11.46484375" style="175" customWidth="1"/>
    <col min="5644" max="5644" width="12.46484375" style="175" bestFit="1" customWidth="1"/>
    <col min="5645" max="5646" width="11.46484375" style="175" customWidth="1"/>
    <col min="5647" max="5647" width="17.1328125" style="175" customWidth="1"/>
    <col min="5648" max="5648" width="15.46484375" style="175" customWidth="1"/>
    <col min="5649" max="5896" width="9.46484375" style="175"/>
    <col min="5897" max="5897" width="42.86328125" style="175" customWidth="1"/>
    <col min="5898" max="5898" width="19.46484375" style="175" customWidth="1"/>
    <col min="5899" max="5899" width="11.46484375" style="175" customWidth="1"/>
    <col min="5900" max="5900" width="12.46484375" style="175" bestFit="1" customWidth="1"/>
    <col min="5901" max="5902" width="11.46484375" style="175" customWidth="1"/>
    <col min="5903" max="5903" width="17.1328125" style="175" customWidth="1"/>
    <col min="5904" max="5904" width="15.46484375" style="175" customWidth="1"/>
    <col min="5905" max="6152" width="9.46484375" style="175"/>
    <col min="6153" max="6153" width="42.86328125" style="175" customWidth="1"/>
    <col min="6154" max="6154" width="19.46484375" style="175" customWidth="1"/>
    <col min="6155" max="6155" width="11.46484375" style="175" customWidth="1"/>
    <col min="6156" max="6156" width="12.46484375" style="175" bestFit="1" customWidth="1"/>
    <col min="6157" max="6158" width="11.46484375" style="175" customWidth="1"/>
    <col min="6159" max="6159" width="17.1328125" style="175" customWidth="1"/>
    <col min="6160" max="6160" width="15.46484375" style="175" customWidth="1"/>
    <col min="6161" max="6408" width="9.46484375" style="175"/>
    <col min="6409" max="6409" width="42.86328125" style="175" customWidth="1"/>
    <col min="6410" max="6410" width="19.46484375" style="175" customWidth="1"/>
    <col min="6411" max="6411" width="11.46484375" style="175" customWidth="1"/>
    <col min="6412" max="6412" width="12.46484375" style="175" bestFit="1" customWidth="1"/>
    <col min="6413" max="6414" width="11.46484375" style="175" customWidth="1"/>
    <col min="6415" max="6415" width="17.1328125" style="175" customWidth="1"/>
    <col min="6416" max="6416" width="15.46484375" style="175" customWidth="1"/>
    <col min="6417" max="6664" width="9.46484375" style="175"/>
    <col min="6665" max="6665" width="42.86328125" style="175" customWidth="1"/>
    <col min="6666" max="6666" width="19.46484375" style="175" customWidth="1"/>
    <col min="6667" max="6667" width="11.46484375" style="175" customWidth="1"/>
    <col min="6668" max="6668" width="12.46484375" style="175" bestFit="1" customWidth="1"/>
    <col min="6669" max="6670" width="11.46484375" style="175" customWidth="1"/>
    <col min="6671" max="6671" width="17.1328125" style="175" customWidth="1"/>
    <col min="6672" max="6672" width="15.46484375" style="175" customWidth="1"/>
    <col min="6673" max="6920" width="9.46484375" style="175"/>
    <col min="6921" max="6921" width="42.86328125" style="175" customWidth="1"/>
    <col min="6922" max="6922" width="19.46484375" style="175" customWidth="1"/>
    <col min="6923" max="6923" width="11.46484375" style="175" customWidth="1"/>
    <col min="6924" max="6924" width="12.46484375" style="175" bestFit="1" customWidth="1"/>
    <col min="6925" max="6926" width="11.46484375" style="175" customWidth="1"/>
    <col min="6927" max="6927" width="17.1328125" style="175" customWidth="1"/>
    <col min="6928" max="6928" width="15.46484375" style="175" customWidth="1"/>
    <col min="6929" max="7176" width="9.46484375" style="175"/>
    <col min="7177" max="7177" width="42.86328125" style="175" customWidth="1"/>
    <col min="7178" max="7178" width="19.46484375" style="175" customWidth="1"/>
    <col min="7179" max="7179" width="11.46484375" style="175" customWidth="1"/>
    <col min="7180" max="7180" width="12.46484375" style="175" bestFit="1" customWidth="1"/>
    <col min="7181" max="7182" width="11.46484375" style="175" customWidth="1"/>
    <col min="7183" max="7183" width="17.1328125" style="175" customWidth="1"/>
    <col min="7184" max="7184" width="15.46484375" style="175" customWidth="1"/>
    <col min="7185" max="7432" width="9.46484375" style="175"/>
    <col min="7433" max="7433" width="42.86328125" style="175" customWidth="1"/>
    <col min="7434" max="7434" width="19.46484375" style="175" customWidth="1"/>
    <col min="7435" max="7435" width="11.46484375" style="175" customWidth="1"/>
    <col min="7436" max="7436" width="12.46484375" style="175" bestFit="1" customWidth="1"/>
    <col min="7437" max="7438" width="11.46484375" style="175" customWidth="1"/>
    <col min="7439" max="7439" width="17.1328125" style="175" customWidth="1"/>
    <col min="7440" max="7440" width="15.46484375" style="175" customWidth="1"/>
    <col min="7441" max="7688" width="9.46484375" style="175"/>
    <col min="7689" max="7689" width="42.86328125" style="175" customWidth="1"/>
    <col min="7690" max="7690" width="19.46484375" style="175" customWidth="1"/>
    <col min="7691" max="7691" width="11.46484375" style="175" customWidth="1"/>
    <col min="7692" max="7692" width="12.46484375" style="175" bestFit="1" customWidth="1"/>
    <col min="7693" max="7694" width="11.46484375" style="175" customWidth="1"/>
    <col min="7695" max="7695" width="17.1328125" style="175" customWidth="1"/>
    <col min="7696" max="7696" width="15.46484375" style="175" customWidth="1"/>
    <col min="7697" max="7944" width="9.46484375" style="175"/>
    <col min="7945" max="7945" width="42.86328125" style="175" customWidth="1"/>
    <col min="7946" max="7946" width="19.46484375" style="175" customWidth="1"/>
    <col min="7947" max="7947" width="11.46484375" style="175" customWidth="1"/>
    <col min="7948" max="7948" width="12.46484375" style="175" bestFit="1" customWidth="1"/>
    <col min="7949" max="7950" width="11.46484375" style="175" customWidth="1"/>
    <col min="7951" max="7951" width="17.1328125" style="175" customWidth="1"/>
    <col min="7952" max="7952" width="15.46484375" style="175" customWidth="1"/>
    <col min="7953" max="8200" width="9.46484375" style="175"/>
    <col min="8201" max="8201" width="42.86328125" style="175" customWidth="1"/>
    <col min="8202" max="8202" width="19.46484375" style="175" customWidth="1"/>
    <col min="8203" max="8203" width="11.46484375" style="175" customWidth="1"/>
    <col min="8204" max="8204" width="12.46484375" style="175" bestFit="1" customWidth="1"/>
    <col min="8205" max="8206" width="11.46484375" style="175" customWidth="1"/>
    <col min="8207" max="8207" width="17.1328125" style="175" customWidth="1"/>
    <col min="8208" max="8208" width="15.46484375" style="175" customWidth="1"/>
    <col min="8209" max="8456" width="9.46484375" style="175"/>
    <col min="8457" max="8457" width="42.86328125" style="175" customWidth="1"/>
    <col min="8458" max="8458" width="19.46484375" style="175" customWidth="1"/>
    <col min="8459" max="8459" width="11.46484375" style="175" customWidth="1"/>
    <col min="8460" max="8460" width="12.46484375" style="175" bestFit="1" customWidth="1"/>
    <col min="8461" max="8462" width="11.46484375" style="175" customWidth="1"/>
    <col min="8463" max="8463" width="17.1328125" style="175" customWidth="1"/>
    <col min="8464" max="8464" width="15.46484375" style="175" customWidth="1"/>
    <col min="8465" max="8712" width="9.46484375" style="175"/>
    <col min="8713" max="8713" width="42.86328125" style="175" customWidth="1"/>
    <col min="8714" max="8714" width="19.46484375" style="175" customWidth="1"/>
    <col min="8715" max="8715" width="11.46484375" style="175" customWidth="1"/>
    <col min="8716" max="8716" width="12.46484375" style="175" bestFit="1" customWidth="1"/>
    <col min="8717" max="8718" width="11.46484375" style="175" customWidth="1"/>
    <col min="8719" max="8719" width="17.1328125" style="175" customWidth="1"/>
    <col min="8720" max="8720" width="15.46484375" style="175" customWidth="1"/>
    <col min="8721" max="8968" width="9.46484375" style="175"/>
    <col min="8969" max="8969" width="42.86328125" style="175" customWidth="1"/>
    <col min="8970" max="8970" width="19.46484375" style="175" customWidth="1"/>
    <col min="8971" max="8971" width="11.46484375" style="175" customWidth="1"/>
    <col min="8972" max="8972" width="12.46484375" style="175" bestFit="1" customWidth="1"/>
    <col min="8973" max="8974" width="11.46484375" style="175" customWidth="1"/>
    <col min="8975" max="8975" width="17.1328125" style="175" customWidth="1"/>
    <col min="8976" max="8976" width="15.46484375" style="175" customWidth="1"/>
    <col min="8977" max="9224" width="9.46484375" style="175"/>
    <col min="9225" max="9225" width="42.86328125" style="175" customWidth="1"/>
    <col min="9226" max="9226" width="19.46484375" style="175" customWidth="1"/>
    <col min="9227" max="9227" width="11.46484375" style="175" customWidth="1"/>
    <col min="9228" max="9228" width="12.46484375" style="175" bestFit="1" customWidth="1"/>
    <col min="9229" max="9230" width="11.46484375" style="175" customWidth="1"/>
    <col min="9231" max="9231" width="17.1328125" style="175" customWidth="1"/>
    <col min="9232" max="9232" width="15.46484375" style="175" customWidth="1"/>
    <col min="9233" max="9480" width="9.46484375" style="175"/>
    <col min="9481" max="9481" width="42.86328125" style="175" customWidth="1"/>
    <col min="9482" max="9482" width="19.46484375" style="175" customWidth="1"/>
    <col min="9483" max="9483" width="11.46484375" style="175" customWidth="1"/>
    <col min="9484" max="9484" width="12.46484375" style="175" bestFit="1" customWidth="1"/>
    <col min="9485" max="9486" width="11.46484375" style="175" customWidth="1"/>
    <col min="9487" max="9487" width="17.1328125" style="175" customWidth="1"/>
    <col min="9488" max="9488" width="15.46484375" style="175" customWidth="1"/>
    <col min="9489" max="9736" width="9.46484375" style="175"/>
    <col min="9737" max="9737" width="42.86328125" style="175" customWidth="1"/>
    <col min="9738" max="9738" width="19.46484375" style="175" customWidth="1"/>
    <col min="9739" max="9739" width="11.46484375" style="175" customWidth="1"/>
    <col min="9740" max="9740" width="12.46484375" style="175" bestFit="1" customWidth="1"/>
    <col min="9741" max="9742" width="11.46484375" style="175" customWidth="1"/>
    <col min="9743" max="9743" width="17.1328125" style="175" customWidth="1"/>
    <col min="9744" max="9744" width="15.46484375" style="175" customWidth="1"/>
    <col min="9745" max="9992" width="9.46484375" style="175"/>
    <col min="9993" max="9993" width="42.86328125" style="175" customWidth="1"/>
    <col min="9994" max="9994" width="19.46484375" style="175" customWidth="1"/>
    <col min="9995" max="9995" width="11.46484375" style="175" customWidth="1"/>
    <col min="9996" max="9996" width="12.46484375" style="175" bestFit="1" customWidth="1"/>
    <col min="9997" max="9998" width="11.46484375" style="175" customWidth="1"/>
    <col min="9999" max="9999" width="17.1328125" style="175" customWidth="1"/>
    <col min="10000" max="10000" width="15.46484375" style="175" customWidth="1"/>
    <col min="10001" max="10248" width="9.46484375" style="175"/>
    <col min="10249" max="10249" width="42.86328125" style="175" customWidth="1"/>
    <col min="10250" max="10250" width="19.46484375" style="175" customWidth="1"/>
    <col min="10251" max="10251" width="11.46484375" style="175" customWidth="1"/>
    <col min="10252" max="10252" width="12.46484375" style="175" bestFit="1" customWidth="1"/>
    <col min="10253" max="10254" width="11.46484375" style="175" customWidth="1"/>
    <col min="10255" max="10255" width="17.1328125" style="175" customWidth="1"/>
    <col min="10256" max="10256" width="15.46484375" style="175" customWidth="1"/>
    <col min="10257" max="10504" width="9.46484375" style="175"/>
    <col min="10505" max="10505" width="42.86328125" style="175" customWidth="1"/>
    <col min="10506" max="10506" width="19.46484375" style="175" customWidth="1"/>
    <col min="10507" max="10507" width="11.46484375" style="175" customWidth="1"/>
    <col min="10508" max="10508" width="12.46484375" style="175" bestFit="1" customWidth="1"/>
    <col min="10509" max="10510" width="11.46484375" style="175" customWidth="1"/>
    <col min="10511" max="10511" width="17.1328125" style="175" customWidth="1"/>
    <col min="10512" max="10512" width="15.46484375" style="175" customWidth="1"/>
    <col min="10513" max="10760" width="9.46484375" style="175"/>
    <col min="10761" max="10761" width="42.86328125" style="175" customWidth="1"/>
    <col min="10762" max="10762" width="19.46484375" style="175" customWidth="1"/>
    <col min="10763" max="10763" width="11.46484375" style="175" customWidth="1"/>
    <col min="10764" max="10764" width="12.46484375" style="175" bestFit="1" customWidth="1"/>
    <col min="10765" max="10766" width="11.46484375" style="175" customWidth="1"/>
    <col min="10767" max="10767" width="17.1328125" style="175" customWidth="1"/>
    <col min="10768" max="10768" width="15.46484375" style="175" customWidth="1"/>
    <col min="10769" max="11016" width="9.46484375" style="175"/>
    <col min="11017" max="11017" width="42.86328125" style="175" customWidth="1"/>
    <col min="11018" max="11018" width="19.46484375" style="175" customWidth="1"/>
    <col min="11019" max="11019" width="11.46484375" style="175" customWidth="1"/>
    <col min="11020" max="11020" width="12.46484375" style="175" bestFit="1" customWidth="1"/>
    <col min="11021" max="11022" width="11.46484375" style="175" customWidth="1"/>
    <col min="11023" max="11023" width="17.1328125" style="175" customWidth="1"/>
    <col min="11024" max="11024" width="15.46484375" style="175" customWidth="1"/>
    <col min="11025" max="11272" width="9.46484375" style="175"/>
    <col min="11273" max="11273" width="42.86328125" style="175" customWidth="1"/>
    <col min="11274" max="11274" width="19.46484375" style="175" customWidth="1"/>
    <col min="11275" max="11275" width="11.46484375" style="175" customWidth="1"/>
    <col min="11276" max="11276" width="12.46484375" style="175" bestFit="1" customWidth="1"/>
    <col min="11277" max="11278" width="11.46484375" style="175" customWidth="1"/>
    <col min="11279" max="11279" width="17.1328125" style="175" customWidth="1"/>
    <col min="11280" max="11280" width="15.46484375" style="175" customWidth="1"/>
    <col min="11281" max="11528" width="9.46484375" style="175"/>
    <col min="11529" max="11529" width="42.86328125" style="175" customWidth="1"/>
    <col min="11530" max="11530" width="19.46484375" style="175" customWidth="1"/>
    <col min="11531" max="11531" width="11.46484375" style="175" customWidth="1"/>
    <col min="11532" max="11532" width="12.46484375" style="175" bestFit="1" customWidth="1"/>
    <col min="11533" max="11534" width="11.46484375" style="175" customWidth="1"/>
    <col min="11535" max="11535" width="17.1328125" style="175" customWidth="1"/>
    <col min="11536" max="11536" width="15.46484375" style="175" customWidth="1"/>
    <col min="11537" max="11784" width="9.46484375" style="175"/>
    <col min="11785" max="11785" width="42.86328125" style="175" customWidth="1"/>
    <col min="11786" max="11786" width="19.46484375" style="175" customWidth="1"/>
    <col min="11787" max="11787" width="11.46484375" style="175" customWidth="1"/>
    <col min="11788" max="11788" width="12.46484375" style="175" bestFit="1" customWidth="1"/>
    <col min="11789" max="11790" width="11.46484375" style="175" customWidth="1"/>
    <col min="11791" max="11791" width="17.1328125" style="175" customWidth="1"/>
    <col min="11792" max="11792" width="15.46484375" style="175" customWidth="1"/>
    <col min="11793" max="12040" width="9.46484375" style="175"/>
    <col min="12041" max="12041" width="42.86328125" style="175" customWidth="1"/>
    <col min="12042" max="12042" width="19.46484375" style="175" customWidth="1"/>
    <col min="12043" max="12043" width="11.46484375" style="175" customWidth="1"/>
    <col min="12044" max="12044" width="12.46484375" style="175" bestFit="1" customWidth="1"/>
    <col min="12045" max="12046" width="11.46484375" style="175" customWidth="1"/>
    <col min="12047" max="12047" width="17.1328125" style="175" customWidth="1"/>
    <col min="12048" max="12048" width="15.46484375" style="175" customWidth="1"/>
    <col min="12049" max="12296" width="9.46484375" style="175"/>
    <col min="12297" max="12297" width="42.86328125" style="175" customWidth="1"/>
    <col min="12298" max="12298" width="19.46484375" style="175" customWidth="1"/>
    <col min="12299" max="12299" width="11.46484375" style="175" customWidth="1"/>
    <col min="12300" max="12300" width="12.46484375" style="175" bestFit="1" customWidth="1"/>
    <col min="12301" max="12302" width="11.46484375" style="175" customWidth="1"/>
    <col min="12303" max="12303" width="17.1328125" style="175" customWidth="1"/>
    <col min="12304" max="12304" width="15.46484375" style="175" customWidth="1"/>
    <col min="12305" max="12552" width="9.46484375" style="175"/>
    <col min="12553" max="12553" width="42.86328125" style="175" customWidth="1"/>
    <col min="12554" max="12554" width="19.46484375" style="175" customWidth="1"/>
    <col min="12555" max="12555" width="11.46484375" style="175" customWidth="1"/>
    <col min="12556" max="12556" width="12.46484375" style="175" bestFit="1" customWidth="1"/>
    <col min="12557" max="12558" width="11.46484375" style="175" customWidth="1"/>
    <col min="12559" max="12559" width="17.1328125" style="175" customWidth="1"/>
    <col min="12560" max="12560" width="15.46484375" style="175" customWidth="1"/>
    <col min="12561" max="12808" width="9.46484375" style="175"/>
    <col min="12809" max="12809" width="42.86328125" style="175" customWidth="1"/>
    <col min="12810" max="12810" width="19.46484375" style="175" customWidth="1"/>
    <col min="12811" max="12811" width="11.46484375" style="175" customWidth="1"/>
    <col min="12812" max="12812" width="12.46484375" style="175" bestFit="1" customWidth="1"/>
    <col min="12813" max="12814" width="11.46484375" style="175" customWidth="1"/>
    <col min="12815" max="12815" width="17.1328125" style="175" customWidth="1"/>
    <col min="12816" max="12816" width="15.46484375" style="175" customWidth="1"/>
    <col min="12817" max="13064" width="9.46484375" style="175"/>
    <col min="13065" max="13065" width="42.86328125" style="175" customWidth="1"/>
    <col min="13066" max="13066" width="19.46484375" style="175" customWidth="1"/>
    <col min="13067" max="13067" width="11.46484375" style="175" customWidth="1"/>
    <col min="13068" max="13068" width="12.46484375" style="175" bestFit="1" customWidth="1"/>
    <col min="13069" max="13070" width="11.46484375" style="175" customWidth="1"/>
    <col min="13071" max="13071" width="17.1328125" style="175" customWidth="1"/>
    <col min="13072" max="13072" width="15.46484375" style="175" customWidth="1"/>
    <col min="13073" max="13320" width="9.46484375" style="175"/>
    <col min="13321" max="13321" width="42.86328125" style="175" customWidth="1"/>
    <col min="13322" max="13322" width="19.46484375" style="175" customWidth="1"/>
    <col min="13323" max="13323" width="11.46484375" style="175" customWidth="1"/>
    <col min="13324" max="13324" width="12.46484375" style="175" bestFit="1" customWidth="1"/>
    <col min="13325" max="13326" width="11.46484375" style="175" customWidth="1"/>
    <col min="13327" max="13327" width="17.1328125" style="175" customWidth="1"/>
    <col min="13328" max="13328" width="15.46484375" style="175" customWidth="1"/>
    <col min="13329" max="13576" width="9.46484375" style="175"/>
    <col min="13577" max="13577" width="42.86328125" style="175" customWidth="1"/>
    <col min="13578" max="13578" width="19.46484375" style="175" customWidth="1"/>
    <col min="13579" max="13579" width="11.46484375" style="175" customWidth="1"/>
    <col min="13580" max="13580" width="12.46484375" style="175" bestFit="1" customWidth="1"/>
    <col min="13581" max="13582" width="11.46484375" style="175" customWidth="1"/>
    <col min="13583" max="13583" width="17.1328125" style="175" customWidth="1"/>
    <col min="13584" max="13584" width="15.46484375" style="175" customWidth="1"/>
    <col min="13585" max="13832" width="9.46484375" style="175"/>
    <col min="13833" max="13833" width="42.86328125" style="175" customWidth="1"/>
    <col min="13834" max="13834" width="19.46484375" style="175" customWidth="1"/>
    <col min="13835" max="13835" width="11.46484375" style="175" customWidth="1"/>
    <col min="13836" max="13836" width="12.46484375" style="175" bestFit="1" customWidth="1"/>
    <col min="13837" max="13838" width="11.46484375" style="175" customWidth="1"/>
    <col min="13839" max="13839" width="17.1328125" style="175" customWidth="1"/>
    <col min="13840" max="13840" width="15.46484375" style="175" customWidth="1"/>
    <col min="13841" max="14088" width="9.46484375" style="175"/>
    <col min="14089" max="14089" width="42.86328125" style="175" customWidth="1"/>
    <col min="14090" max="14090" width="19.46484375" style="175" customWidth="1"/>
    <col min="14091" max="14091" width="11.46484375" style="175" customWidth="1"/>
    <col min="14092" max="14092" width="12.46484375" style="175" bestFit="1" customWidth="1"/>
    <col min="14093" max="14094" width="11.46484375" style="175" customWidth="1"/>
    <col min="14095" max="14095" width="17.1328125" style="175" customWidth="1"/>
    <col min="14096" max="14096" width="15.46484375" style="175" customWidth="1"/>
    <col min="14097" max="14344" width="9.46484375" style="175"/>
    <col min="14345" max="14345" width="42.86328125" style="175" customWidth="1"/>
    <col min="14346" max="14346" width="19.46484375" style="175" customWidth="1"/>
    <col min="14347" max="14347" width="11.46484375" style="175" customWidth="1"/>
    <col min="14348" max="14348" width="12.46484375" style="175" bestFit="1" customWidth="1"/>
    <col min="14349" max="14350" width="11.46484375" style="175" customWidth="1"/>
    <col min="14351" max="14351" width="17.1328125" style="175" customWidth="1"/>
    <col min="14352" max="14352" width="15.46484375" style="175" customWidth="1"/>
    <col min="14353" max="14600" width="9.46484375" style="175"/>
    <col min="14601" max="14601" width="42.86328125" style="175" customWidth="1"/>
    <col min="14602" max="14602" width="19.46484375" style="175" customWidth="1"/>
    <col min="14603" max="14603" width="11.46484375" style="175" customWidth="1"/>
    <col min="14604" max="14604" width="12.46484375" style="175" bestFit="1" customWidth="1"/>
    <col min="14605" max="14606" width="11.46484375" style="175" customWidth="1"/>
    <col min="14607" max="14607" width="17.1328125" style="175" customWidth="1"/>
    <col min="14608" max="14608" width="15.46484375" style="175" customWidth="1"/>
    <col min="14609" max="14856" width="9.46484375" style="175"/>
    <col min="14857" max="14857" width="42.86328125" style="175" customWidth="1"/>
    <col min="14858" max="14858" width="19.46484375" style="175" customWidth="1"/>
    <col min="14859" max="14859" width="11.46484375" style="175" customWidth="1"/>
    <col min="14860" max="14860" width="12.46484375" style="175" bestFit="1" customWidth="1"/>
    <col min="14861" max="14862" width="11.46484375" style="175" customWidth="1"/>
    <col min="14863" max="14863" width="17.1328125" style="175" customWidth="1"/>
    <col min="14864" max="14864" width="15.46484375" style="175" customWidth="1"/>
    <col min="14865" max="15112" width="9.46484375" style="175"/>
    <col min="15113" max="15113" width="42.86328125" style="175" customWidth="1"/>
    <col min="15114" max="15114" width="19.46484375" style="175" customWidth="1"/>
    <col min="15115" max="15115" width="11.46484375" style="175" customWidth="1"/>
    <col min="15116" max="15116" width="12.46484375" style="175" bestFit="1" customWidth="1"/>
    <col min="15117" max="15118" width="11.46484375" style="175" customWidth="1"/>
    <col min="15119" max="15119" width="17.1328125" style="175" customWidth="1"/>
    <col min="15120" max="15120" width="15.46484375" style="175" customWidth="1"/>
    <col min="15121" max="15368" width="9.46484375" style="175"/>
    <col min="15369" max="15369" width="42.86328125" style="175" customWidth="1"/>
    <col min="15370" max="15370" width="19.46484375" style="175" customWidth="1"/>
    <col min="15371" max="15371" width="11.46484375" style="175" customWidth="1"/>
    <col min="15372" max="15372" width="12.46484375" style="175" bestFit="1" customWidth="1"/>
    <col min="15373" max="15374" width="11.46484375" style="175" customWidth="1"/>
    <col min="15375" max="15375" width="17.1328125" style="175" customWidth="1"/>
    <col min="15376" max="15376" width="15.46484375" style="175" customWidth="1"/>
    <col min="15377" max="15624" width="9.46484375" style="175"/>
    <col min="15625" max="15625" width="42.86328125" style="175" customWidth="1"/>
    <col min="15626" max="15626" width="19.46484375" style="175" customWidth="1"/>
    <col min="15627" max="15627" width="11.46484375" style="175" customWidth="1"/>
    <col min="15628" max="15628" width="12.46484375" style="175" bestFit="1" customWidth="1"/>
    <col min="15629" max="15630" width="11.46484375" style="175" customWidth="1"/>
    <col min="15631" max="15631" width="17.1328125" style="175" customWidth="1"/>
    <col min="15632" max="15632" width="15.46484375" style="175" customWidth="1"/>
    <col min="15633" max="15880" width="9.46484375" style="175"/>
    <col min="15881" max="15881" width="42.86328125" style="175" customWidth="1"/>
    <col min="15882" max="15882" width="19.46484375" style="175" customWidth="1"/>
    <col min="15883" max="15883" width="11.46484375" style="175" customWidth="1"/>
    <col min="15884" max="15884" width="12.46484375" style="175" bestFit="1" customWidth="1"/>
    <col min="15885" max="15886" width="11.46484375" style="175" customWidth="1"/>
    <col min="15887" max="15887" width="17.1328125" style="175" customWidth="1"/>
    <col min="15888" max="15888" width="15.46484375" style="175" customWidth="1"/>
    <col min="15889" max="16136" width="9.46484375" style="175"/>
    <col min="16137" max="16137" width="42.86328125" style="175" customWidth="1"/>
    <col min="16138" max="16138" width="19.46484375" style="175" customWidth="1"/>
    <col min="16139" max="16139" width="11.46484375" style="175" customWidth="1"/>
    <col min="16140" max="16140" width="12.46484375" style="175" bestFit="1" customWidth="1"/>
    <col min="16141" max="16142" width="11.46484375" style="175" customWidth="1"/>
    <col min="16143" max="16143" width="17.1328125" style="175" customWidth="1"/>
    <col min="16144" max="16144" width="15.46484375" style="175" customWidth="1"/>
    <col min="16145" max="16384" width="9.46484375" style="175"/>
  </cols>
  <sheetData>
    <row r="1" spans="2:28" ht="6.95" customHeight="1"/>
    <row r="2" spans="2:28" ht="14.45" customHeight="1">
      <c r="B2" s="177" t="s">
        <v>155</v>
      </c>
      <c r="C2" s="178"/>
      <c r="D2" s="179"/>
      <c r="E2" s="179"/>
      <c r="F2" s="179"/>
      <c r="G2" s="179"/>
      <c r="H2" s="179"/>
      <c r="I2" s="179"/>
      <c r="J2" s="179"/>
      <c r="K2" s="179"/>
      <c r="L2" s="179"/>
      <c r="M2" s="179"/>
      <c r="N2" s="179"/>
      <c r="O2" s="179"/>
      <c r="P2" s="179"/>
      <c r="Q2" s="178"/>
      <c r="R2" s="178"/>
      <c r="S2" s="178"/>
      <c r="T2" s="178"/>
      <c r="U2" s="178"/>
      <c r="V2" s="178"/>
      <c r="W2" s="178"/>
    </row>
    <row r="3" spans="2:28" ht="14.45" customHeight="1">
      <c r="B3" s="177" t="s">
        <v>156</v>
      </c>
      <c r="C3" s="178"/>
      <c r="D3" s="179"/>
      <c r="E3" s="179"/>
      <c r="F3" s="179"/>
      <c r="G3" s="179"/>
      <c r="H3" s="179"/>
      <c r="I3" s="179"/>
      <c r="J3" s="179"/>
      <c r="K3" s="179"/>
      <c r="L3" s="179"/>
      <c r="M3" s="179"/>
      <c r="N3" s="179"/>
      <c r="O3" s="179"/>
      <c r="P3" s="179"/>
      <c r="Q3" s="178"/>
      <c r="R3" s="178"/>
      <c r="S3" s="178"/>
      <c r="T3" s="178"/>
      <c r="U3" s="178"/>
      <c r="V3" s="178"/>
      <c r="W3" s="178"/>
    </row>
    <row r="4" spans="2:28" ht="14.45" customHeight="1">
      <c r="B4" s="180" t="s">
        <v>157</v>
      </c>
      <c r="C4" s="178"/>
      <c r="D4" s="179"/>
      <c r="E4" s="179"/>
      <c r="F4" s="179"/>
      <c r="G4" s="179"/>
      <c r="H4" s="179"/>
      <c r="I4" s="179"/>
      <c r="J4" s="179"/>
      <c r="K4" s="179"/>
      <c r="L4" s="179"/>
      <c r="M4" s="179"/>
      <c r="N4" s="179"/>
      <c r="O4" s="179"/>
      <c r="P4" s="179"/>
      <c r="Q4" s="178"/>
      <c r="R4" s="178"/>
      <c r="S4" s="178"/>
      <c r="T4" s="178"/>
      <c r="U4" s="178"/>
      <c r="V4" s="178"/>
      <c r="W4" s="178"/>
    </row>
    <row r="5" spans="2:28" ht="14.45" customHeight="1">
      <c r="B5" s="181"/>
      <c r="C5" s="178"/>
      <c r="D5" s="179"/>
      <c r="E5" s="179"/>
      <c r="F5" s="179"/>
      <c r="G5" s="179"/>
      <c r="H5" s="179"/>
      <c r="I5" s="179"/>
      <c r="J5" s="179"/>
      <c r="K5" s="179"/>
      <c r="L5" s="179"/>
      <c r="M5" s="179"/>
      <c r="N5" s="179"/>
      <c r="O5" s="179"/>
      <c r="P5" s="179"/>
      <c r="Q5" s="178"/>
      <c r="T5" s="178"/>
      <c r="U5" s="178"/>
      <c r="V5" s="178"/>
      <c r="W5" s="178"/>
    </row>
    <row r="6" spans="2:28" ht="18.600000000000001" customHeight="1">
      <c r="B6" s="181"/>
      <c r="C6" s="178"/>
      <c r="D6" s="182" t="s">
        <v>158</v>
      </c>
      <c r="E6" s="183"/>
      <c r="F6" s="184"/>
      <c r="G6" s="184"/>
      <c r="H6" s="184"/>
      <c r="I6" s="185"/>
      <c r="J6" s="185"/>
      <c r="K6" s="185"/>
      <c r="L6" s="185"/>
      <c r="M6" s="186"/>
      <c r="N6" s="187" t="s">
        <v>159</v>
      </c>
      <c r="O6" s="187"/>
      <c r="P6" s="187"/>
      <c r="Q6" s="178"/>
      <c r="R6" s="188" t="s">
        <v>160</v>
      </c>
      <c r="S6" s="178"/>
      <c r="T6" s="178"/>
      <c r="U6" s="178"/>
      <c r="V6" s="178"/>
      <c r="W6" s="178"/>
    </row>
    <row r="7" spans="2:28" ht="26.45" customHeight="1">
      <c r="B7" s="178"/>
      <c r="C7" s="178"/>
      <c r="D7" s="189" t="s">
        <v>161</v>
      </c>
      <c r="E7" s="190" t="s">
        <v>162</v>
      </c>
      <c r="F7" s="190" t="s">
        <v>163</v>
      </c>
      <c r="G7" s="190" t="s">
        <v>164</v>
      </c>
      <c r="H7" s="190" t="s">
        <v>165</v>
      </c>
      <c r="I7" s="190" t="s">
        <v>166</v>
      </c>
      <c r="J7" s="190" t="s">
        <v>167</v>
      </c>
      <c r="K7" s="190" t="s">
        <v>168</v>
      </c>
      <c r="L7" s="190" t="s">
        <v>169</v>
      </c>
      <c r="M7" s="191"/>
      <c r="N7" s="192" t="s">
        <v>170</v>
      </c>
      <c r="O7" s="192" t="s">
        <v>171</v>
      </c>
      <c r="P7" s="192" t="s">
        <v>172</v>
      </c>
      <c r="Q7" s="178"/>
      <c r="R7" s="193" t="s">
        <v>173</v>
      </c>
      <c r="S7" s="194">
        <v>17.899999999999999</v>
      </c>
      <c r="T7" s="178"/>
      <c r="U7" s="178"/>
      <c r="V7" s="178"/>
      <c r="W7" s="178"/>
    </row>
    <row r="8" spans="2:28" ht="14.45" customHeight="1">
      <c r="B8" s="178"/>
      <c r="C8" s="178"/>
      <c r="D8" s="195" t="s">
        <v>174</v>
      </c>
      <c r="E8" s="196" t="s">
        <v>12</v>
      </c>
      <c r="F8" s="197">
        <v>75280.399999999994</v>
      </c>
      <c r="G8" s="197">
        <v>1169.3</v>
      </c>
      <c r="H8" s="197">
        <f>F8/G8</f>
        <v>64.380740614042594</v>
      </c>
      <c r="I8" s="197">
        <v>90708.4</v>
      </c>
      <c r="J8" s="197">
        <v>63903</v>
      </c>
      <c r="K8" s="197">
        <v>2667</v>
      </c>
      <c r="L8" s="197">
        <v>5635</v>
      </c>
      <c r="M8" s="197"/>
      <c r="N8" s="198">
        <f>I8/J8</f>
        <v>1.419470134422484</v>
      </c>
      <c r="O8" s="198">
        <f>I8/L8</f>
        <v>16.097320319432118</v>
      </c>
      <c r="P8" s="199">
        <f>F8/K8</f>
        <v>28.22662167229096</v>
      </c>
      <c r="Q8" s="178"/>
      <c r="R8" s="193" t="s">
        <v>175</v>
      </c>
      <c r="S8" s="193">
        <v>18.3</v>
      </c>
      <c r="T8" s="178"/>
      <c r="U8" s="178"/>
      <c r="V8" s="178"/>
      <c r="W8" s="178"/>
    </row>
    <row r="9" spans="2:28" ht="14.45" customHeight="1">
      <c r="B9" s="178"/>
      <c r="C9" s="178"/>
      <c r="D9" s="195" t="s">
        <v>176</v>
      </c>
      <c r="E9" s="200" t="s">
        <v>14</v>
      </c>
      <c r="F9" s="197">
        <v>11466.9</v>
      </c>
      <c r="G9" s="197">
        <v>226.7</v>
      </c>
      <c r="H9" s="197">
        <f t="shared" ref="H9" si="0">F9/G9</f>
        <v>50.581826202029113</v>
      </c>
      <c r="I9" s="197">
        <v>19189.900000000001</v>
      </c>
      <c r="J9" s="197">
        <v>31858</v>
      </c>
      <c r="K9" s="197">
        <v>159</v>
      </c>
      <c r="L9" s="197">
        <v>2373</v>
      </c>
      <c r="M9" s="197"/>
      <c r="N9" s="198">
        <f t="shared" ref="N9:N10" si="1">I9/J9</f>
        <v>0.60235733567706706</v>
      </c>
      <c r="O9" s="198">
        <f t="shared" ref="O9:O10" si="2">I9/L9</f>
        <v>8.0867678044669198</v>
      </c>
      <c r="P9" s="199">
        <f t="shared" ref="P9" si="3">F9/K9</f>
        <v>72.118867924528303</v>
      </c>
      <c r="Q9" s="201"/>
      <c r="R9" s="193" t="s">
        <v>177</v>
      </c>
      <c r="S9" s="193">
        <v>0</v>
      </c>
      <c r="T9" s="201"/>
      <c r="U9" s="201"/>
      <c r="V9" s="201"/>
      <c r="W9" s="178"/>
    </row>
    <row r="10" spans="2:28" ht="14.45" customHeight="1">
      <c r="B10" s="178"/>
      <c r="C10" s="178"/>
      <c r="D10" s="202" t="s">
        <v>155</v>
      </c>
      <c r="E10" s="203" t="s">
        <v>32</v>
      </c>
      <c r="F10" s="204">
        <v>20499.099999999999</v>
      </c>
      <c r="G10" s="204">
        <v>211.7</v>
      </c>
      <c r="H10" s="204">
        <f>F10/G10</f>
        <v>96.830892772791685</v>
      </c>
      <c r="I10" s="204">
        <v>25366.7</v>
      </c>
      <c r="J10" s="204">
        <v>22175.4</v>
      </c>
      <c r="K10" s="204">
        <v>983.7</v>
      </c>
      <c r="L10" s="204">
        <v>1865.6</v>
      </c>
      <c r="M10" s="205"/>
      <c r="N10" s="206">
        <f t="shared" si="1"/>
        <v>1.1439117219982502</v>
      </c>
      <c r="O10" s="206">
        <f t="shared" si="2"/>
        <v>13.597073327615782</v>
      </c>
      <c r="P10" s="206">
        <f>F10/K10</f>
        <v>20.838771983328247</v>
      </c>
      <c r="Q10" s="201"/>
      <c r="R10" s="193" t="s">
        <v>178</v>
      </c>
      <c r="S10" s="193">
        <v>4867.2</v>
      </c>
      <c r="T10" s="201"/>
      <c r="U10" s="201"/>
      <c r="V10" s="207"/>
      <c r="W10" s="179"/>
      <c r="X10" s="176"/>
      <c r="Y10" s="176"/>
      <c r="Z10" s="176"/>
      <c r="AA10" s="176"/>
      <c r="AB10" s="176"/>
    </row>
    <row r="11" spans="2:28" ht="5.0999999999999996" customHeight="1">
      <c r="B11" s="178"/>
      <c r="C11" s="178"/>
      <c r="D11" s="208"/>
      <c r="E11" s="209"/>
      <c r="F11" s="210"/>
      <c r="G11" s="210"/>
      <c r="H11" s="210"/>
      <c r="I11" s="211"/>
      <c r="J11" s="211"/>
      <c r="K11" s="211"/>
      <c r="L11" s="211"/>
      <c r="M11" s="212"/>
      <c r="N11" s="213"/>
      <c r="O11" s="213"/>
      <c r="P11" s="213"/>
      <c r="Q11" s="201"/>
      <c r="R11" s="201"/>
      <c r="S11" s="201"/>
      <c r="T11" s="201"/>
      <c r="U11" s="201"/>
      <c r="V11" s="207"/>
      <c r="W11" s="179"/>
      <c r="X11" s="176"/>
      <c r="Y11" s="176"/>
      <c r="Z11" s="176"/>
      <c r="AA11" s="176"/>
      <c r="AB11" s="176"/>
    </row>
    <row r="12" spans="2:28" ht="14.45" customHeight="1">
      <c r="B12" s="178"/>
      <c r="C12" s="178"/>
      <c r="D12" s="214" t="s">
        <v>179</v>
      </c>
      <c r="E12" s="215"/>
      <c r="F12" s="215"/>
      <c r="G12" s="215"/>
      <c r="H12" s="215"/>
      <c r="I12" s="215"/>
      <c r="J12" s="215"/>
      <c r="K12" s="215"/>
      <c r="L12" s="215"/>
      <c r="M12" s="215"/>
      <c r="N12" s="216">
        <f>MIN(N8:N10)</f>
        <v>0.60235733567706706</v>
      </c>
      <c r="O12" s="216">
        <f>MIN(O8:O10)</f>
        <v>8.0867678044669198</v>
      </c>
      <c r="P12" s="216">
        <f>MIN(P8:P10)</f>
        <v>20.838771983328247</v>
      </c>
      <c r="Q12" s="201"/>
      <c r="R12" s="201"/>
      <c r="S12" s="201"/>
      <c r="T12" s="201"/>
      <c r="U12" s="201"/>
      <c r="V12" s="207"/>
      <c r="W12" s="179"/>
      <c r="X12" s="176"/>
      <c r="Y12" s="176"/>
      <c r="Z12" s="176"/>
      <c r="AA12" s="176"/>
      <c r="AB12" s="176"/>
    </row>
    <row r="13" spans="2:28" ht="14.45" customHeight="1">
      <c r="B13" s="178"/>
      <c r="C13" s="178"/>
      <c r="D13" s="217" t="s">
        <v>180</v>
      </c>
      <c r="E13" s="195"/>
      <c r="F13" s="195"/>
      <c r="G13" s="195"/>
      <c r="H13" s="195"/>
      <c r="I13" s="195"/>
      <c r="J13" s="195"/>
      <c r="K13" s="195"/>
      <c r="L13" s="195"/>
      <c r="M13" s="195"/>
      <c r="N13" s="198">
        <f>_xlfn.PERCENTILE.INC(N8:N9,0.25)</f>
        <v>0.80663553536342136</v>
      </c>
      <c r="O13" s="198">
        <f>_xlfn.PERCENTILE.INC(O8:O9,0.25)</f>
        <v>10.089405933208219</v>
      </c>
      <c r="P13" s="198">
        <f>_xlfn.PERCENTILE.INC(P8:P9,0.25)</f>
        <v>39.199683235350292</v>
      </c>
      <c r="Q13" s="201"/>
      <c r="R13" s="201"/>
      <c r="S13" s="201"/>
      <c r="T13" s="201"/>
      <c r="U13" s="201"/>
      <c r="V13" s="207"/>
      <c r="W13" s="179"/>
      <c r="X13" s="176"/>
      <c r="Y13" s="176"/>
      <c r="Z13" s="176"/>
      <c r="AA13" s="176"/>
      <c r="AB13" s="176"/>
    </row>
    <row r="14" spans="2:28" ht="14.45" customHeight="1">
      <c r="B14" s="178"/>
      <c r="C14" s="178"/>
      <c r="D14" s="217" t="s">
        <v>181</v>
      </c>
      <c r="E14" s="195"/>
      <c r="F14" s="195"/>
      <c r="G14" s="195"/>
      <c r="H14" s="195"/>
      <c r="I14" s="195"/>
      <c r="J14" s="195"/>
      <c r="K14" s="195"/>
      <c r="L14" s="195"/>
      <c r="M14" s="195"/>
      <c r="N14" s="198">
        <f>MEDIAN(N8:N9)</f>
        <v>1.0109137350497757</v>
      </c>
      <c r="O14" s="198">
        <f>MEDIAN(O8:O9)</f>
        <v>12.092044061949519</v>
      </c>
      <c r="P14" s="198">
        <f>MEDIAN(P8:P9)</f>
        <v>50.172744798409632</v>
      </c>
      <c r="Q14" s="201"/>
      <c r="R14" s="201"/>
      <c r="S14" s="201"/>
      <c r="T14" s="201"/>
      <c r="U14" s="201"/>
      <c r="V14" s="207"/>
      <c r="W14" s="179"/>
      <c r="X14" s="176"/>
      <c r="Y14" s="176"/>
      <c r="Z14" s="176"/>
      <c r="AA14" s="176"/>
      <c r="AB14" s="176"/>
    </row>
    <row r="15" spans="2:28" ht="14.45" customHeight="1">
      <c r="B15" s="178"/>
      <c r="C15" s="178"/>
      <c r="D15" s="217" t="s">
        <v>182</v>
      </c>
      <c r="E15" s="195"/>
      <c r="F15" s="195"/>
      <c r="G15" s="195"/>
      <c r="H15" s="195"/>
      <c r="I15" s="195"/>
      <c r="J15" s="195"/>
      <c r="K15" s="195"/>
      <c r="L15" s="195"/>
      <c r="M15" s="195"/>
      <c r="N15" s="198">
        <f>_xlfn.PERCENTILE.INC(N8:N9,0.75)</f>
        <v>1.2151919347361297</v>
      </c>
      <c r="O15" s="198">
        <f>_xlfn.PERCENTILE.INC(O8:O9,0.75)</f>
        <v>14.094682190690818</v>
      </c>
      <c r="P15" s="198">
        <f>_xlfn.PERCENTILE.INC(P8:P9,0.75)</f>
        <v>61.145806361468971</v>
      </c>
      <c r="Q15" s="201"/>
      <c r="R15" s="201"/>
      <c r="S15" s="201"/>
      <c r="T15" s="201"/>
      <c r="U15" s="201"/>
      <c r="V15" s="207"/>
      <c r="W15" s="179"/>
      <c r="X15" s="176"/>
      <c r="Y15" s="176"/>
      <c r="Z15" s="176"/>
      <c r="AA15" s="176"/>
      <c r="AB15" s="176"/>
    </row>
    <row r="16" spans="2:28" ht="14.45" customHeight="1">
      <c r="B16" s="178"/>
      <c r="C16" s="178"/>
      <c r="D16" s="218" t="s">
        <v>183</v>
      </c>
      <c r="E16" s="219"/>
      <c r="F16" s="219"/>
      <c r="G16" s="219"/>
      <c r="H16" s="219"/>
      <c r="I16" s="219"/>
      <c r="J16" s="219"/>
      <c r="K16" s="219"/>
      <c r="L16" s="219"/>
      <c r="M16" s="219"/>
      <c r="N16" s="220">
        <f>MAX(N8:N9)</f>
        <v>1.419470134422484</v>
      </c>
      <c r="O16" s="220">
        <f>MAX(O8:O9)</f>
        <v>16.097320319432118</v>
      </c>
      <c r="P16" s="220">
        <f>MAX(P8:P9)</f>
        <v>72.118867924528303</v>
      </c>
      <c r="Q16" s="201"/>
      <c r="R16" s="201"/>
      <c r="S16" s="201"/>
      <c r="T16" s="201"/>
      <c r="U16" s="201"/>
      <c r="V16" s="207"/>
      <c r="W16" s="179"/>
      <c r="X16" s="176"/>
      <c r="Y16" s="176"/>
      <c r="Z16" s="176"/>
      <c r="AA16" s="176"/>
      <c r="AB16" s="176"/>
    </row>
    <row r="17" spans="2:28" ht="5.0999999999999996" customHeight="1">
      <c r="B17" s="178"/>
      <c r="C17" s="178"/>
      <c r="D17" s="208"/>
      <c r="E17" s="209"/>
      <c r="F17" s="208"/>
      <c r="G17" s="208"/>
      <c r="H17" s="208"/>
      <c r="I17" s="212"/>
      <c r="J17" s="212"/>
      <c r="K17" s="212"/>
      <c r="L17" s="212"/>
      <c r="M17" s="212"/>
      <c r="N17" s="221"/>
      <c r="O17" s="221"/>
      <c r="P17" s="221"/>
      <c r="Q17" s="201"/>
      <c r="R17" s="201"/>
      <c r="S17" s="201"/>
      <c r="T17" s="201"/>
      <c r="U17" s="201"/>
      <c r="V17" s="207"/>
      <c r="W17" s="179"/>
      <c r="X17" s="176"/>
      <c r="Y17" s="176"/>
      <c r="Z17" s="176"/>
      <c r="AA17" s="176"/>
      <c r="AB17" s="176"/>
    </row>
    <row r="18" spans="2:28" ht="5.0999999999999996" customHeight="1">
      <c r="B18" s="178"/>
      <c r="C18" s="178"/>
      <c r="D18" s="208"/>
      <c r="E18" s="209"/>
      <c r="F18" s="208"/>
      <c r="G18" s="208"/>
      <c r="H18" s="208"/>
      <c r="I18" s="212"/>
      <c r="J18" s="212"/>
      <c r="K18" s="212"/>
      <c r="L18" s="212"/>
      <c r="M18" s="212"/>
      <c r="N18" s="221"/>
      <c r="O18" s="221"/>
      <c r="P18" s="221"/>
      <c r="Q18" s="201"/>
      <c r="R18" s="201"/>
      <c r="S18" s="201"/>
      <c r="T18" s="201"/>
      <c r="U18" s="201"/>
      <c r="V18" s="207"/>
      <c r="W18" s="179"/>
      <c r="X18" s="176"/>
      <c r="Y18" s="176"/>
      <c r="Z18" s="176"/>
      <c r="AA18" s="176"/>
      <c r="AB18" s="176"/>
    </row>
    <row r="19" spans="2:28" ht="14.45" customHeight="1">
      <c r="B19" s="178"/>
      <c r="C19" s="178"/>
      <c r="D19" s="222" t="s">
        <v>184</v>
      </c>
      <c r="E19" s="190"/>
      <c r="F19" s="223"/>
      <c r="G19" s="223"/>
      <c r="H19" s="223"/>
      <c r="I19" s="186"/>
      <c r="J19" s="186"/>
      <c r="K19" s="186"/>
      <c r="L19" s="190"/>
      <c r="M19" s="190"/>
      <c r="N19" s="190"/>
      <c r="O19" s="223"/>
      <c r="P19" s="190"/>
      <c r="Q19" s="201"/>
      <c r="R19" s="201"/>
      <c r="S19" s="201"/>
      <c r="T19" s="201"/>
      <c r="U19" s="201"/>
      <c r="V19" s="207"/>
      <c r="W19" s="179"/>
      <c r="X19" s="176"/>
      <c r="Y19" s="176"/>
      <c r="Z19" s="176"/>
      <c r="AA19" s="176"/>
      <c r="AB19" s="176"/>
    </row>
    <row r="20" spans="2:28" ht="14.45" customHeight="1">
      <c r="B20" s="178"/>
      <c r="C20" s="178"/>
      <c r="D20" s="224" t="s">
        <v>179</v>
      </c>
      <c r="E20" s="195"/>
      <c r="F20" s="195"/>
      <c r="G20" s="195"/>
      <c r="H20" s="195"/>
      <c r="I20" s="195"/>
      <c r="J20" s="195"/>
      <c r="K20" s="195"/>
      <c r="L20" s="195"/>
      <c r="M20" s="195"/>
      <c r="N20" s="225">
        <f>N12*$J$10</f>
        <v>13357.514861573234</v>
      </c>
      <c r="O20" s="225">
        <f>O12*$L$10</f>
        <v>15086.674016013485</v>
      </c>
      <c r="P20" s="225">
        <f>P12*$K$10</f>
        <v>20499.099999999999</v>
      </c>
      <c r="Q20" s="201"/>
      <c r="R20" s="201"/>
      <c r="S20" s="201"/>
      <c r="T20" s="201"/>
      <c r="U20" s="201"/>
      <c r="V20" s="207"/>
      <c r="W20" s="179"/>
      <c r="X20" s="176"/>
      <c r="Y20" s="176"/>
      <c r="Z20" s="176"/>
      <c r="AA20" s="176"/>
      <c r="AB20" s="176"/>
    </row>
    <row r="21" spans="2:28" ht="14.45" customHeight="1">
      <c r="B21" s="178"/>
      <c r="C21" s="178"/>
      <c r="D21" s="217" t="s">
        <v>180</v>
      </c>
      <c r="E21" s="195"/>
      <c r="F21" s="195"/>
      <c r="G21" s="195"/>
      <c r="H21" s="195"/>
      <c r="I21" s="195"/>
      <c r="J21" s="195"/>
      <c r="K21" s="195"/>
      <c r="L21" s="195"/>
      <c r="M21" s="195"/>
      <c r="N21" s="225">
        <f>N13*$J$10</f>
        <v>17887.465650898015</v>
      </c>
      <c r="O21" s="225">
        <f t="shared" ref="O21:O23" si="4">O13*$L$10</f>
        <v>18822.795708993253</v>
      </c>
      <c r="P21" s="225">
        <f t="shared" ref="P21:P24" si="5">P13*$K$10</f>
        <v>38560.728398614083</v>
      </c>
      <c r="Q21" s="201"/>
      <c r="R21" s="201"/>
      <c r="S21" s="201"/>
      <c r="T21" s="201"/>
      <c r="U21" s="201"/>
      <c r="V21" s="207"/>
      <c r="W21" s="179"/>
      <c r="X21" s="176"/>
      <c r="Y21" s="176"/>
      <c r="Z21" s="176"/>
      <c r="AA21" s="176"/>
      <c r="AB21" s="176"/>
    </row>
    <row r="22" spans="2:28" ht="14.45" customHeight="1">
      <c r="B22" s="178"/>
      <c r="C22" s="178"/>
      <c r="D22" s="217" t="s">
        <v>181</v>
      </c>
      <c r="E22" s="195"/>
      <c r="F22" s="195"/>
      <c r="G22" s="195"/>
      <c r="H22" s="195"/>
      <c r="I22" s="195"/>
      <c r="J22" s="195"/>
      <c r="K22" s="195"/>
      <c r="M22" s="195"/>
      <c r="N22" s="226">
        <f>N14*$J$10</f>
        <v>22417.416440222798</v>
      </c>
      <c r="O22" s="226">
        <f>O14*$L$10</f>
        <v>22558.91740197302</v>
      </c>
      <c r="P22" s="226">
        <f t="shared" si="5"/>
        <v>49354.929058195557</v>
      </c>
      <c r="Q22" s="201"/>
      <c r="R22" s="201"/>
      <c r="S22" s="201"/>
      <c r="T22" s="201"/>
      <c r="U22" s="201"/>
      <c r="V22" s="207"/>
      <c r="W22" s="179"/>
      <c r="X22" s="176"/>
      <c r="Y22" s="176"/>
      <c r="Z22" s="176"/>
      <c r="AA22" s="176"/>
      <c r="AB22" s="176"/>
    </row>
    <row r="23" spans="2:28" ht="14.45" customHeight="1">
      <c r="B23" s="178"/>
      <c r="C23" s="178"/>
      <c r="D23" s="217" t="s">
        <v>182</v>
      </c>
      <c r="E23" s="195"/>
      <c r="F23" s="195"/>
      <c r="G23" s="195"/>
      <c r="H23" s="195"/>
      <c r="I23" s="195"/>
      <c r="J23" s="195"/>
      <c r="K23" s="195"/>
      <c r="L23" s="195"/>
      <c r="M23" s="195"/>
      <c r="N23" s="225">
        <f t="shared" ref="N23" si="6">N15*$J$10</f>
        <v>26947.367229547574</v>
      </c>
      <c r="O23" s="225">
        <f t="shared" si="4"/>
        <v>26295.03909495279</v>
      </c>
      <c r="P23" s="225">
        <f t="shared" si="5"/>
        <v>60149.129717777032</v>
      </c>
      <c r="Q23" s="201"/>
      <c r="R23" s="201"/>
      <c r="S23" s="201"/>
      <c r="T23" s="201"/>
      <c r="U23" s="201"/>
      <c r="V23" s="207"/>
      <c r="W23" s="179"/>
      <c r="X23" s="176"/>
      <c r="Y23" s="176"/>
      <c r="Z23" s="176"/>
      <c r="AA23" s="176"/>
      <c r="AB23" s="176"/>
    </row>
    <row r="24" spans="2:28" ht="14.45" customHeight="1">
      <c r="B24" s="178"/>
      <c r="C24" s="178"/>
      <c r="D24" s="227" t="s">
        <v>183</v>
      </c>
      <c r="E24" s="219"/>
      <c r="F24" s="219"/>
      <c r="G24" s="219"/>
      <c r="H24" s="219"/>
      <c r="I24" s="219"/>
      <c r="J24" s="219"/>
      <c r="K24" s="219"/>
      <c r="L24" s="219"/>
      <c r="M24" s="219"/>
      <c r="N24" s="225">
        <f>N16*$J$10</f>
        <v>31477.318018872356</v>
      </c>
      <c r="O24" s="225">
        <f>O16*$L$10</f>
        <v>30031.160787932557</v>
      </c>
      <c r="P24" s="225">
        <f t="shared" si="5"/>
        <v>70943.330377358492</v>
      </c>
      <c r="Q24" s="201"/>
      <c r="R24" s="201"/>
      <c r="S24" s="201"/>
      <c r="T24" s="201"/>
      <c r="U24" s="201"/>
      <c r="V24" s="207"/>
      <c r="W24" s="179"/>
      <c r="X24" s="176"/>
      <c r="Y24" s="176"/>
      <c r="Z24" s="176"/>
      <c r="AA24" s="176"/>
      <c r="AB24" s="176"/>
    </row>
    <row r="25" spans="2:28" ht="14.45" customHeight="1">
      <c r="B25" s="178"/>
      <c r="C25" s="178"/>
      <c r="D25" s="228"/>
      <c r="E25" s="195"/>
      <c r="F25" s="195"/>
      <c r="G25" s="195"/>
      <c r="H25" s="195"/>
      <c r="I25" s="195"/>
      <c r="J25" s="195"/>
      <c r="K25" s="195"/>
      <c r="L25" s="195"/>
      <c r="M25" s="195"/>
      <c r="N25" s="225"/>
      <c r="O25" s="225"/>
      <c r="P25" s="225"/>
      <c r="Q25" s="201"/>
      <c r="R25" s="201"/>
      <c r="S25" s="201"/>
      <c r="T25" s="201"/>
      <c r="U25" s="201"/>
      <c r="V25" s="207"/>
      <c r="W25" s="179"/>
      <c r="X25" s="176"/>
      <c r="Y25" s="176"/>
      <c r="Z25" s="176"/>
      <c r="AA25" s="176"/>
      <c r="AB25" s="176"/>
    </row>
    <row r="26" spans="2:28" ht="14.45" customHeight="1">
      <c r="B26" s="178"/>
      <c r="C26" s="178"/>
      <c r="D26" s="222" t="s">
        <v>185</v>
      </c>
      <c r="E26" s="190"/>
      <c r="F26" s="223"/>
      <c r="G26" s="223"/>
      <c r="H26" s="223"/>
      <c r="I26" s="186"/>
      <c r="J26" s="186"/>
      <c r="K26" s="186"/>
      <c r="L26" s="190"/>
      <c r="M26" s="190"/>
      <c r="N26" s="190"/>
      <c r="O26" s="223"/>
      <c r="P26" s="190"/>
      <c r="Q26" s="201"/>
      <c r="R26" s="201"/>
      <c r="S26" s="201"/>
      <c r="T26" s="201"/>
      <c r="U26" s="201"/>
      <c r="V26" s="207"/>
      <c r="W26" s="179"/>
      <c r="X26" s="176"/>
      <c r="Y26" s="176"/>
      <c r="Z26" s="176"/>
      <c r="AA26" s="176"/>
      <c r="AB26" s="176"/>
    </row>
    <row r="27" spans="2:28" ht="14.45" customHeight="1">
      <c r="B27" s="178"/>
      <c r="C27" s="178"/>
      <c r="D27" s="224" t="s">
        <v>179</v>
      </c>
      <c r="E27" s="195"/>
      <c r="F27" s="195"/>
      <c r="G27" s="195"/>
      <c r="H27" s="195"/>
      <c r="I27" s="195"/>
      <c r="J27" s="195"/>
      <c r="K27" s="195"/>
      <c r="L27" s="195"/>
      <c r="M27" s="195"/>
      <c r="N27" s="225">
        <f t="shared" ref="N27:O31" si="7">N20+$S$7-$S$8-$S$9-$S$10</f>
        <v>8489.9148615732338</v>
      </c>
      <c r="O27" s="225">
        <f t="shared" si="7"/>
        <v>10219.074016013485</v>
      </c>
      <c r="P27" s="225">
        <f>P20</f>
        <v>20499.099999999999</v>
      </c>
      <c r="Q27" s="201"/>
      <c r="R27" s="201"/>
      <c r="S27" s="201"/>
      <c r="T27" s="201"/>
      <c r="U27" s="201"/>
      <c r="V27" s="207"/>
      <c r="W27" s="179"/>
      <c r="X27" s="176"/>
      <c r="Y27" s="176"/>
      <c r="Z27" s="176"/>
      <c r="AA27" s="176"/>
      <c r="AB27" s="176"/>
    </row>
    <row r="28" spans="2:28" ht="14.45" customHeight="1">
      <c r="B28" s="178"/>
      <c r="C28" s="178"/>
      <c r="D28" s="217" t="s">
        <v>180</v>
      </c>
      <c r="E28" s="195"/>
      <c r="F28" s="195"/>
      <c r="G28" s="195"/>
      <c r="H28" s="195"/>
      <c r="I28" s="195"/>
      <c r="J28" s="195"/>
      <c r="K28" s="195"/>
      <c r="L28" s="195"/>
      <c r="M28" s="195"/>
      <c r="N28" s="225">
        <f t="shared" si="7"/>
        <v>13019.865650898017</v>
      </c>
      <c r="O28" s="225">
        <f t="shared" si="7"/>
        <v>13955.195708993255</v>
      </c>
      <c r="P28" s="225">
        <f t="shared" ref="P28:P31" si="8">P21</f>
        <v>38560.728398614083</v>
      </c>
      <c r="Q28" s="201"/>
      <c r="R28" s="201"/>
      <c r="S28" s="201"/>
      <c r="T28" s="201"/>
      <c r="U28" s="201"/>
      <c r="V28" s="207"/>
      <c r="W28" s="179"/>
      <c r="X28" s="176"/>
      <c r="Y28" s="176"/>
      <c r="Z28" s="176"/>
      <c r="AA28" s="176"/>
      <c r="AB28" s="176"/>
    </row>
    <row r="29" spans="2:28" ht="14.45" customHeight="1">
      <c r="B29" s="178"/>
      <c r="C29" s="178"/>
      <c r="D29" s="217" t="s">
        <v>181</v>
      </c>
      <c r="E29" s="195"/>
      <c r="F29" s="195"/>
      <c r="G29" s="195"/>
      <c r="H29" s="195"/>
      <c r="I29" s="195"/>
      <c r="J29" s="195"/>
      <c r="K29" s="195"/>
      <c r="L29" s="195"/>
      <c r="M29" s="195"/>
      <c r="N29" s="225">
        <f t="shared" si="7"/>
        <v>17549.816440222799</v>
      </c>
      <c r="O29" s="225">
        <f t="shared" si="7"/>
        <v>17691.317401973021</v>
      </c>
      <c r="P29" s="225">
        <f>P22</f>
        <v>49354.929058195557</v>
      </c>
      <c r="Q29" s="201"/>
      <c r="R29" s="201"/>
      <c r="S29" s="201"/>
      <c r="T29" s="201"/>
      <c r="U29" s="201"/>
      <c r="V29" s="207"/>
      <c r="W29" s="179"/>
      <c r="X29" s="176"/>
      <c r="Y29" s="176"/>
      <c r="Z29" s="176"/>
      <c r="AA29" s="176"/>
      <c r="AB29" s="176"/>
    </row>
    <row r="30" spans="2:28" ht="14.45" customHeight="1">
      <c r="B30" s="178"/>
      <c r="C30" s="178"/>
      <c r="D30" s="217" t="s">
        <v>182</v>
      </c>
      <c r="E30" s="195"/>
      <c r="F30" s="195"/>
      <c r="G30" s="195"/>
      <c r="H30" s="195"/>
      <c r="I30" s="195"/>
      <c r="J30" s="195"/>
      <c r="K30" s="195"/>
      <c r="L30" s="195"/>
      <c r="M30" s="195"/>
      <c r="N30" s="225">
        <f t="shared" si="7"/>
        <v>22079.767229547575</v>
      </c>
      <c r="O30" s="225">
        <f t="shared" si="7"/>
        <v>21427.439094952791</v>
      </c>
      <c r="P30" s="225">
        <f t="shared" si="8"/>
        <v>60149.129717777032</v>
      </c>
      <c r="Q30" s="201"/>
      <c r="R30" s="201"/>
      <c r="S30" s="201"/>
      <c r="T30" s="201"/>
      <c r="U30" s="201"/>
      <c r="V30" s="207"/>
      <c r="W30" s="179"/>
      <c r="X30" s="176"/>
      <c r="Y30" s="176"/>
      <c r="Z30" s="176"/>
      <c r="AA30" s="176"/>
      <c r="AB30" s="176"/>
    </row>
    <row r="31" spans="2:28" ht="14.45" customHeight="1">
      <c r="B31" s="178"/>
      <c r="C31" s="178"/>
      <c r="D31" s="227" t="s">
        <v>183</v>
      </c>
      <c r="E31" s="219"/>
      <c r="F31" s="219"/>
      <c r="G31" s="219"/>
      <c r="H31" s="219"/>
      <c r="I31" s="219"/>
      <c r="J31" s="219"/>
      <c r="K31" s="219"/>
      <c r="L31" s="219"/>
      <c r="M31" s="219"/>
      <c r="N31" s="225">
        <f t="shared" si="7"/>
        <v>26609.718018872358</v>
      </c>
      <c r="O31" s="225">
        <f t="shared" si="7"/>
        <v>25163.560787932558</v>
      </c>
      <c r="P31" s="225">
        <f t="shared" si="8"/>
        <v>70943.330377358492</v>
      </c>
      <c r="Q31" s="201"/>
      <c r="R31" s="201"/>
      <c r="S31" s="201"/>
      <c r="T31" s="201"/>
      <c r="U31" s="201"/>
      <c r="V31" s="207"/>
      <c r="W31" s="179"/>
      <c r="X31" s="176"/>
      <c r="Y31" s="176"/>
      <c r="Z31" s="176"/>
      <c r="AA31" s="176"/>
      <c r="AB31" s="176"/>
    </row>
    <row r="32" spans="2:28" ht="14.45" customHeight="1">
      <c r="B32" s="178"/>
      <c r="C32" s="178"/>
      <c r="D32" s="208"/>
      <c r="E32" s="209"/>
      <c r="F32" s="208"/>
      <c r="G32" s="208"/>
      <c r="H32" s="208"/>
      <c r="I32" s="212"/>
      <c r="J32" s="212"/>
      <c r="K32" s="212"/>
      <c r="L32" s="212"/>
      <c r="M32" s="212"/>
      <c r="N32" s="221"/>
      <c r="O32" s="225"/>
      <c r="P32" s="221"/>
      <c r="Q32" s="201"/>
      <c r="R32" s="201"/>
      <c r="S32" s="201"/>
      <c r="T32" s="201"/>
      <c r="U32" s="201"/>
      <c r="V32" s="207"/>
      <c r="W32" s="179"/>
      <c r="X32" s="176"/>
      <c r="Y32" s="176"/>
      <c r="Z32" s="176"/>
      <c r="AA32" s="176"/>
      <c r="AB32" s="176"/>
    </row>
    <row r="33" spans="2:30" ht="14.45" customHeight="1">
      <c r="B33" s="178"/>
      <c r="C33" s="178"/>
      <c r="D33" s="222" t="s">
        <v>165</v>
      </c>
      <c r="E33" s="190"/>
      <c r="F33" s="223"/>
      <c r="G33" s="223"/>
      <c r="H33" s="223"/>
      <c r="I33" s="186"/>
      <c r="J33" s="186"/>
      <c r="K33" s="186"/>
      <c r="L33" s="190"/>
      <c r="M33" s="190"/>
      <c r="N33" s="190"/>
      <c r="O33" s="223"/>
      <c r="P33" s="190"/>
      <c r="Q33" s="201"/>
      <c r="R33" s="201"/>
      <c r="S33" s="201"/>
      <c r="T33" s="201"/>
      <c r="U33" s="201"/>
      <c r="V33" s="207"/>
      <c r="W33" s="179"/>
      <c r="X33" s="176"/>
      <c r="Y33" s="176"/>
      <c r="Z33" s="176"/>
      <c r="AA33" s="176"/>
      <c r="AB33" s="176"/>
    </row>
    <row r="34" spans="2:30" ht="14.45" customHeight="1">
      <c r="B34" s="178"/>
      <c r="C34" s="178"/>
      <c r="D34" s="224" t="s">
        <v>179</v>
      </c>
      <c r="E34" s="195"/>
      <c r="F34" s="195"/>
      <c r="G34" s="195"/>
      <c r="H34" s="195"/>
      <c r="I34" s="195"/>
      <c r="J34" s="195"/>
      <c r="K34" s="195"/>
      <c r="L34" s="195"/>
      <c r="M34" s="195"/>
      <c r="N34" s="225">
        <f>MAX((N27/$G$10),0)</f>
        <v>40.103518476963792</v>
      </c>
      <c r="O34" s="225">
        <f t="shared" ref="O34:P35" si="9">MAX((O27/$G$10),0)</f>
        <v>48.27148803029516</v>
      </c>
      <c r="P34" s="225">
        <f t="shared" si="9"/>
        <v>96.830892772791685</v>
      </c>
      <c r="Q34" s="201"/>
      <c r="R34" s="229"/>
      <c r="S34" s="230"/>
      <c r="T34" s="230"/>
      <c r="U34" s="201"/>
      <c r="V34" s="201"/>
      <c r="W34" s="179"/>
      <c r="X34" s="176"/>
      <c r="Y34" s="176"/>
      <c r="Z34" s="176"/>
      <c r="AA34" s="176"/>
      <c r="AB34" s="176"/>
    </row>
    <row r="35" spans="2:30" ht="14.45" customHeight="1">
      <c r="B35" s="178"/>
      <c r="C35" s="178"/>
      <c r="D35" s="217" t="s">
        <v>180</v>
      </c>
      <c r="E35" s="195"/>
      <c r="F35" s="195"/>
      <c r="G35" s="195"/>
      <c r="H35" s="195"/>
      <c r="I35" s="195"/>
      <c r="J35" s="195"/>
      <c r="K35" s="195"/>
      <c r="L35" s="195"/>
      <c r="M35" s="195"/>
      <c r="N35" s="225">
        <f t="shared" ref="N35:P38" si="10">MAX((N28/$G$10),0)</f>
        <v>61.501491029277361</v>
      </c>
      <c r="O35" s="225">
        <f t="shared" si="9"/>
        <v>65.919677416123079</v>
      </c>
      <c r="P35" s="225">
        <f t="shared" si="9"/>
        <v>182.14798487772359</v>
      </c>
      <c r="Q35" s="201"/>
      <c r="R35" s="201"/>
      <c r="S35" s="201"/>
      <c r="T35" s="201"/>
      <c r="U35" s="201"/>
      <c r="V35" s="201"/>
      <c r="W35" s="179"/>
      <c r="X35" s="176"/>
      <c r="Y35" s="176"/>
      <c r="Z35" s="176"/>
      <c r="AA35" s="176"/>
      <c r="AB35" s="176"/>
    </row>
    <row r="36" spans="2:30" ht="14.45" customHeight="1">
      <c r="B36" s="178"/>
      <c r="C36" s="178"/>
      <c r="D36" s="217" t="s">
        <v>181</v>
      </c>
      <c r="E36" s="195"/>
      <c r="F36" s="195"/>
      <c r="G36" s="195"/>
      <c r="H36" s="195"/>
      <c r="I36" s="195"/>
      <c r="J36" s="195"/>
      <c r="K36" s="195"/>
      <c r="L36" s="231"/>
      <c r="M36" s="231"/>
      <c r="N36" s="226">
        <f t="shared" si="10"/>
        <v>82.899463581590936</v>
      </c>
      <c r="O36" s="226">
        <f t="shared" si="10"/>
        <v>83.567866801950984</v>
      </c>
      <c r="P36" s="226">
        <f t="shared" si="10"/>
        <v>233.13617882945471</v>
      </c>
      <c r="R36" s="232"/>
      <c r="S36" s="232"/>
      <c r="T36" s="232"/>
      <c r="U36" s="232"/>
      <c r="V36" s="232"/>
      <c r="W36" s="233"/>
      <c r="X36" s="234"/>
      <c r="Y36" s="234"/>
      <c r="Z36" s="235"/>
      <c r="AA36" s="236"/>
      <c r="AB36" s="236"/>
      <c r="AC36" s="235"/>
      <c r="AD36" s="235"/>
    </row>
    <row r="37" spans="2:30" ht="14.45" customHeight="1">
      <c r="B37" s="178"/>
      <c r="C37" s="178"/>
      <c r="D37" s="217" t="s">
        <v>182</v>
      </c>
      <c r="E37" s="195"/>
      <c r="F37" s="195"/>
      <c r="G37" s="195"/>
      <c r="H37" s="195"/>
      <c r="I37" s="195"/>
      <c r="J37" s="195"/>
      <c r="K37" s="195"/>
      <c r="L37" s="231"/>
      <c r="M37" s="231"/>
      <c r="N37" s="237">
        <f t="shared" si="10"/>
        <v>104.29743613390447</v>
      </c>
      <c r="O37" s="237">
        <f t="shared" si="10"/>
        <v>101.2160561877789</v>
      </c>
      <c r="P37" s="237">
        <f t="shared" si="10"/>
        <v>284.1243727811858</v>
      </c>
      <c r="Q37" s="201"/>
      <c r="R37" s="201"/>
      <c r="S37" s="201"/>
      <c r="T37" s="201"/>
      <c r="U37" s="201"/>
      <c r="V37" s="201"/>
      <c r="W37" s="179"/>
      <c r="X37" s="176"/>
      <c r="Y37" s="176"/>
      <c r="Z37" s="176"/>
      <c r="AA37" s="176"/>
      <c r="AB37" s="176"/>
    </row>
    <row r="38" spans="2:30" ht="14.45" customHeight="1">
      <c r="B38" s="178"/>
      <c r="C38" s="178"/>
      <c r="D38" s="227" t="s">
        <v>183</v>
      </c>
      <c r="E38" s="219"/>
      <c r="F38" s="219"/>
      <c r="G38" s="219"/>
      <c r="H38" s="219"/>
      <c r="I38" s="219"/>
      <c r="J38" s="219"/>
      <c r="K38" s="219"/>
      <c r="L38" s="238"/>
      <c r="M38" s="238"/>
      <c r="N38" s="237">
        <f t="shared" si="10"/>
        <v>125.69540868621804</v>
      </c>
      <c r="O38" s="237">
        <f t="shared" si="10"/>
        <v>118.86424557360679</v>
      </c>
      <c r="P38" s="237">
        <f t="shared" si="10"/>
        <v>335.11256673291683</v>
      </c>
      <c r="Q38" s="201"/>
      <c r="R38" s="201"/>
      <c r="S38" s="201"/>
      <c r="T38" s="201"/>
      <c r="U38" s="201"/>
      <c r="V38" s="195"/>
      <c r="W38" s="179"/>
      <c r="X38" s="176"/>
      <c r="Y38" s="176"/>
      <c r="Z38" s="176"/>
      <c r="AA38" s="176"/>
      <c r="AB38" s="176"/>
    </row>
    <row r="39" spans="2:30" ht="14.45" customHeight="1">
      <c r="B39" s="178"/>
      <c r="C39" s="178"/>
      <c r="D39" s="239"/>
      <c r="E39" s="209"/>
      <c r="F39" s="208"/>
      <c r="G39" s="208"/>
      <c r="H39" s="208"/>
      <c r="I39" s="212"/>
      <c r="J39" s="212"/>
      <c r="K39" s="212"/>
      <c r="L39" s="212"/>
      <c r="M39" s="212"/>
      <c r="N39" s="221"/>
      <c r="O39" s="221"/>
      <c r="P39" s="221"/>
      <c r="Q39" s="201"/>
      <c r="R39" s="201"/>
      <c r="S39" s="201"/>
      <c r="T39" s="201"/>
      <c r="U39" s="201"/>
      <c r="V39" s="207"/>
      <c r="W39" s="179"/>
      <c r="X39" s="176"/>
      <c r="Y39" s="176"/>
      <c r="Z39" s="176"/>
      <c r="AA39" s="176"/>
      <c r="AB39" s="176"/>
    </row>
    <row r="40" spans="2:30" ht="12.95" customHeight="1">
      <c r="B40" s="178"/>
      <c r="C40" s="178"/>
      <c r="D40" s="240"/>
      <c r="E40" s="179"/>
      <c r="F40" s="179"/>
      <c r="G40" s="179"/>
      <c r="H40" s="179"/>
      <c r="I40" s="241"/>
      <c r="J40" s="241"/>
      <c r="K40" s="241"/>
      <c r="L40" s="383"/>
      <c r="M40" s="383"/>
      <c r="N40" s="383"/>
      <c r="O40" s="383"/>
      <c r="P40" s="383"/>
      <c r="S40" s="242"/>
      <c r="T40" s="242"/>
      <c r="U40" s="242"/>
      <c r="V40" s="242"/>
      <c r="W40" s="178"/>
    </row>
    <row r="41" spans="2:30">
      <c r="B41" s="178"/>
      <c r="C41" s="178"/>
      <c r="D41" s="243"/>
      <c r="E41" s="179"/>
      <c r="F41" s="179"/>
      <c r="G41" s="179"/>
      <c r="H41" s="179"/>
      <c r="I41" s="244"/>
      <c r="J41" s="244"/>
      <c r="K41" s="244"/>
      <c r="L41" s="383"/>
      <c r="M41" s="383"/>
      <c r="N41" s="383"/>
      <c r="O41" s="383"/>
      <c r="P41" s="383"/>
      <c r="Q41" s="245"/>
      <c r="R41" s="245"/>
      <c r="S41" s="245"/>
      <c r="T41" s="245"/>
      <c r="U41" s="245"/>
      <c r="V41" s="245"/>
      <c r="W41" s="178"/>
    </row>
    <row r="42" spans="2:30">
      <c r="B42" s="178"/>
      <c r="C42" s="178"/>
      <c r="D42" s="246"/>
      <c r="E42" s="179"/>
      <c r="F42" s="179"/>
      <c r="G42" s="179"/>
      <c r="H42" s="179"/>
      <c r="I42" s="244"/>
      <c r="J42" s="244"/>
      <c r="K42" s="244"/>
      <c r="L42" s="383"/>
      <c r="M42" s="383"/>
      <c r="N42" s="383"/>
      <c r="O42" s="383"/>
      <c r="P42" s="383"/>
      <c r="Q42" s="245"/>
      <c r="R42" s="245"/>
      <c r="S42" s="245"/>
      <c r="T42" s="245"/>
      <c r="U42" s="245"/>
      <c r="V42" s="245"/>
      <c r="W42" s="178"/>
    </row>
    <row r="43" spans="2:30">
      <c r="B43" s="178"/>
      <c r="C43" s="178"/>
      <c r="D43" s="246"/>
      <c r="E43" s="179"/>
      <c r="H43" s="179"/>
      <c r="I43" s="244"/>
      <c r="J43" s="244"/>
      <c r="K43" s="244"/>
      <c r="L43" s="383"/>
      <c r="M43" s="383"/>
      <c r="N43" s="383"/>
      <c r="O43" s="383"/>
      <c r="P43" s="383"/>
      <c r="Q43" s="245"/>
      <c r="T43" s="245"/>
      <c r="U43" s="245"/>
      <c r="V43" s="245"/>
      <c r="W43" s="178"/>
    </row>
    <row r="44" spans="2:30">
      <c r="B44" s="178"/>
      <c r="C44" s="178"/>
      <c r="D44" s="246"/>
      <c r="E44" s="179"/>
      <c r="H44" s="179"/>
      <c r="I44" s="244"/>
      <c r="J44" s="244"/>
      <c r="K44" s="244"/>
      <c r="L44" s="383"/>
      <c r="M44" s="383"/>
      <c r="N44" s="383"/>
      <c r="O44" s="383"/>
      <c r="P44" s="383"/>
      <c r="Q44" s="245"/>
      <c r="T44" s="245"/>
      <c r="U44" s="245"/>
      <c r="V44" s="245"/>
      <c r="W44" s="178"/>
    </row>
    <row r="45" spans="2:30">
      <c r="B45" s="178"/>
      <c r="C45" s="178"/>
      <c r="D45" s="179"/>
      <c r="E45" s="179"/>
      <c r="H45" s="179"/>
      <c r="I45" s="244"/>
      <c r="J45" s="244"/>
      <c r="K45" s="244"/>
      <c r="L45" s="244"/>
      <c r="M45" s="244"/>
      <c r="N45" s="244"/>
      <c r="O45" s="244"/>
      <c r="P45" s="244"/>
      <c r="Q45" s="245"/>
      <c r="T45" s="245"/>
      <c r="U45" s="245"/>
      <c r="V45" s="245"/>
      <c r="W45" s="178"/>
    </row>
    <row r="46" spans="2:30">
      <c r="B46" s="178"/>
      <c r="C46" s="178"/>
      <c r="D46" s="247"/>
      <c r="E46" s="179"/>
      <c r="H46" s="179"/>
      <c r="J46" s="179"/>
      <c r="K46" s="179"/>
      <c r="L46" s="179"/>
      <c r="M46" s="179"/>
      <c r="N46" s="244"/>
      <c r="O46" s="244"/>
      <c r="P46" s="244"/>
      <c r="Q46" s="245"/>
      <c r="T46" s="245"/>
      <c r="U46" s="245"/>
      <c r="V46" s="245"/>
      <c r="W46" s="178"/>
    </row>
    <row r="47" spans="2:30">
      <c r="B47" s="178"/>
      <c r="C47" s="178"/>
      <c r="D47" s="179"/>
      <c r="E47" s="179"/>
      <c r="H47" s="179"/>
      <c r="I47" s="244"/>
      <c r="J47" s="244"/>
      <c r="K47" s="244"/>
      <c r="L47" s="244"/>
      <c r="M47" s="244"/>
      <c r="N47" s="244"/>
      <c r="O47" s="244"/>
      <c r="P47" s="244"/>
      <c r="Q47" s="245"/>
      <c r="R47" s="245"/>
      <c r="S47" s="245"/>
      <c r="T47" s="245"/>
      <c r="U47" s="245"/>
      <c r="V47" s="245"/>
      <c r="W47" s="178"/>
    </row>
    <row r="48" spans="2:30">
      <c r="B48" s="178"/>
      <c r="C48" s="178"/>
      <c r="D48" s="179"/>
      <c r="E48" s="179"/>
      <c r="F48" s="179"/>
      <c r="G48" s="179"/>
      <c r="H48" s="179"/>
      <c r="I48" s="244"/>
      <c r="J48" s="244"/>
      <c r="K48" s="244"/>
      <c r="L48" s="244"/>
      <c r="M48" s="244"/>
      <c r="N48" s="244"/>
      <c r="O48" s="244"/>
      <c r="P48" s="244"/>
      <c r="Q48" s="245"/>
      <c r="R48" s="245"/>
      <c r="S48" s="245"/>
      <c r="T48" s="245"/>
      <c r="U48" s="245"/>
      <c r="V48" s="245"/>
      <c r="W48" s="178"/>
    </row>
    <row r="49" spans="2:23" ht="14.45" customHeight="1">
      <c r="B49" s="178"/>
      <c r="C49" s="178"/>
      <c r="D49" s="179"/>
      <c r="E49" s="179"/>
      <c r="F49" s="179"/>
      <c r="G49" s="179"/>
      <c r="H49" s="179"/>
      <c r="I49" s="179"/>
      <c r="J49" s="195"/>
      <c r="K49" s="179"/>
      <c r="L49" s="179"/>
      <c r="M49" s="179"/>
      <c r="N49" s="179"/>
      <c r="O49" s="179"/>
      <c r="P49" s="248"/>
      <c r="Q49" s="245"/>
      <c r="R49" s="245"/>
      <c r="S49" s="245"/>
      <c r="T49" s="245"/>
      <c r="U49" s="245"/>
      <c r="V49" s="245"/>
      <c r="W49" s="178"/>
    </row>
    <row r="50" spans="2:23">
      <c r="B50" s="178"/>
      <c r="C50" s="178"/>
      <c r="D50" s="179"/>
      <c r="E50" s="179"/>
      <c r="F50" s="179"/>
      <c r="G50" s="179"/>
      <c r="H50" s="179"/>
      <c r="I50" s="179"/>
      <c r="J50" s="179"/>
      <c r="K50" s="179"/>
      <c r="L50" s="179"/>
      <c r="M50" s="179"/>
      <c r="N50" s="179"/>
      <c r="O50" s="179"/>
      <c r="P50" s="179"/>
      <c r="Q50" s="178"/>
      <c r="R50" s="178"/>
      <c r="S50" s="178"/>
      <c r="T50" s="178"/>
      <c r="U50" s="178"/>
      <c r="V50" s="178"/>
      <c r="W50" s="178"/>
    </row>
    <row r="51" spans="2:23">
      <c r="B51" s="178"/>
      <c r="C51" s="178"/>
      <c r="D51" s="179"/>
      <c r="E51" s="179"/>
      <c r="F51" s="179"/>
      <c r="G51" s="179"/>
      <c r="H51" s="179"/>
      <c r="I51" s="241"/>
      <c r="J51" s="241"/>
      <c r="K51" s="241"/>
      <c r="L51" s="241"/>
      <c r="M51" s="241"/>
      <c r="N51" s="241"/>
      <c r="O51" s="241"/>
      <c r="P51" s="241"/>
      <c r="Q51" s="242"/>
      <c r="R51" s="242"/>
      <c r="S51" s="242"/>
      <c r="T51" s="242"/>
      <c r="U51" s="242"/>
      <c r="V51" s="242"/>
      <c r="W51" s="178"/>
    </row>
    <row r="52" spans="2:23">
      <c r="B52" s="178"/>
      <c r="C52" s="178"/>
      <c r="D52" s="179"/>
      <c r="E52" s="179"/>
      <c r="F52" s="179"/>
      <c r="G52" s="179"/>
      <c r="H52" s="179"/>
      <c r="I52" s="179"/>
      <c r="J52" s="179"/>
      <c r="K52" s="179"/>
      <c r="L52" s="179"/>
      <c r="M52" s="179"/>
      <c r="N52" s="179"/>
      <c r="O52" s="179"/>
      <c r="P52" s="179"/>
      <c r="Q52" s="178"/>
      <c r="R52" s="178"/>
      <c r="S52" s="178"/>
      <c r="T52" s="178"/>
      <c r="U52" s="178"/>
      <c r="V52" s="178"/>
      <c r="W52" s="178"/>
    </row>
    <row r="54" spans="2:23">
      <c r="N54" s="175"/>
      <c r="O54" s="175"/>
    </row>
    <row r="56" spans="2:23" ht="12.95" customHeight="1">
      <c r="D56" s="384"/>
      <c r="E56" s="384"/>
      <c r="F56" s="384"/>
      <c r="G56" s="384"/>
      <c r="H56" s="384"/>
      <c r="I56" s="384"/>
      <c r="J56" s="384"/>
      <c r="K56" s="384"/>
      <c r="L56" s="384"/>
      <c r="M56" s="384"/>
      <c r="N56" s="384"/>
      <c r="O56" s="384"/>
      <c r="P56" s="384"/>
    </row>
    <row r="57" spans="2:23">
      <c r="D57" s="384"/>
      <c r="E57" s="384"/>
      <c r="F57" s="384"/>
      <c r="G57" s="384"/>
      <c r="H57" s="384"/>
      <c r="I57" s="384"/>
      <c r="J57" s="384"/>
      <c r="K57" s="384"/>
      <c r="L57" s="384"/>
      <c r="M57" s="384"/>
      <c r="N57" s="384"/>
      <c r="O57" s="384"/>
      <c r="P57" s="384"/>
    </row>
    <row r="58" spans="2:23">
      <c r="D58" s="384"/>
      <c r="E58" s="384"/>
      <c r="F58" s="384"/>
      <c r="G58" s="384"/>
      <c r="H58" s="384"/>
      <c r="I58" s="384"/>
      <c r="J58" s="384"/>
      <c r="K58" s="384"/>
      <c r="L58" s="384"/>
      <c r="M58" s="384"/>
      <c r="N58" s="384"/>
      <c r="O58" s="384"/>
      <c r="P58" s="384"/>
    </row>
    <row r="59" spans="2:23" ht="12.95" customHeight="1">
      <c r="D59" s="385"/>
      <c r="E59" s="384"/>
      <c r="F59" s="384"/>
      <c r="G59" s="384"/>
      <c r="H59" s="384"/>
      <c r="I59" s="384"/>
      <c r="J59" s="384"/>
      <c r="K59" s="384"/>
      <c r="L59" s="384"/>
      <c r="M59" s="384"/>
      <c r="N59" s="384"/>
      <c r="O59" s="384"/>
      <c r="P59" s="249"/>
    </row>
    <row r="60" spans="2:23">
      <c r="D60" s="384"/>
      <c r="E60" s="384"/>
      <c r="F60" s="384"/>
      <c r="G60" s="384"/>
      <c r="H60" s="384"/>
      <c r="I60" s="384"/>
      <c r="J60" s="384"/>
      <c r="K60" s="384"/>
      <c r="L60" s="384"/>
      <c r="M60" s="384"/>
      <c r="N60" s="384"/>
      <c r="O60" s="384"/>
      <c r="P60" s="249"/>
    </row>
    <row r="61" spans="2:23">
      <c r="D61" s="384"/>
      <c r="E61" s="384"/>
      <c r="F61" s="384"/>
      <c r="G61" s="384"/>
      <c r="H61" s="384"/>
      <c r="I61" s="384"/>
      <c r="J61" s="384"/>
      <c r="K61" s="384"/>
      <c r="L61" s="384"/>
      <c r="M61" s="384"/>
      <c r="N61" s="384"/>
      <c r="O61" s="384"/>
      <c r="P61" s="249"/>
    </row>
    <row r="62" spans="2:23">
      <c r="D62" s="384"/>
      <c r="E62" s="384"/>
      <c r="F62" s="384"/>
      <c r="G62" s="384"/>
      <c r="H62" s="384"/>
      <c r="I62" s="384"/>
      <c r="J62" s="384"/>
      <c r="K62" s="384"/>
      <c r="L62" s="384"/>
      <c r="M62" s="384"/>
      <c r="N62" s="384"/>
      <c r="O62" s="384"/>
      <c r="P62" s="249"/>
    </row>
    <row r="64" spans="2:23" ht="13.9">
      <c r="L64" s="195"/>
    </row>
  </sheetData>
  <mergeCells count="3">
    <mergeCell ref="L40:P44"/>
    <mergeCell ref="D56:P58"/>
    <mergeCell ref="D59:O62"/>
  </mergeCells>
  <phoneticPr fontId="27" type="noConversion"/>
  <pageMargins left="0.7" right="0.7" top="0.75" bottom="0.75" header="0.3" footer="0.3"/>
  <pageSetup scale="51" orientation="portrait" r:id="rId1"/>
  <colBreaks count="1" manualBreakCount="1">
    <brk id="17" max="1048575" man="1"/>
  </col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457C1-831C-467A-B601-7225853C6449}">
  <dimension ref="A1:X81"/>
  <sheetViews>
    <sheetView showGridLines="0" topLeftCell="A11" zoomScale="50" zoomScaleNormal="100" workbookViewId="0">
      <selection activeCell="C63" sqref="C63:G63"/>
    </sheetView>
  </sheetViews>
  <sheetFormatPr defaultColWidth="8.46484375" defaultRowHeight="13.9"/>
  <cols>
    <col min="1" max="1" width="42.1328125" style="73" bestFit="1" customWidth="1"/>
    <col min="2" max="2" width="11.796875" style="73" customWidth="1"/>
    <col min="3" max="3" width="12.46484375" style="73" customWidth="1"/>
    <col min="4" max="4" width="13.796875" style="73" customWidth="1"/>
    <col min="5" max="5" width="11" style="73" customWidth="1"/>
    <col min="6" max="6" width="12.1328125" style="73" customWidth="1"/>
    <col min="7" max="7" width="11.33203125" style="73" customWidth="1"/>
    <col min="8" max="8" width="11.796875" style="73" customWidth="1"/>
    <col min="9" max="9" width="10.19921875" style="73" customWidth="1"/>
    <col min="10" max="10" width="10.86328125" style="73" customWidth="1"/>
    <col min="11" max="11" width="10.796875" style="73" customWidth="1"/>
    <col min="12" max="12" width="10.53125" style="73" customWidth="1"/>
    <col min="13" max="17" width="10.46484375" style="73" customWidth="1"/>
    <col min="18" max="18" width="9.46484375" style="73" customWidth="1"/>
    <col min="19" max="20" width="12.46484375" style="73" customWidth="1"/>
    <col min="21" max="21" width="8.46484375" style="73"/>
    <col min="22" max="22" width="11.1328125" style="73" customWidth="1"/>
    <col min="23" max="24" width="17.46484375" style="73" customWidth="1"/>
    <col min="25" max="25" width="18" style="73" customWidth="1"/>
    <col min="26" max="26" width="17.46484375" style="73" customWidth="1"/>
    <col min="27" max="27" width="14.1328125" style="73" customWidth="1"/>
    <col min="28" max="16384" width="8.46484375" style="73"/>
  </cols>
  <sheetData>
    <row r="1" spans="1:14">
      <c r="A1" s="259" t="s">
        <v>90</v>
      </c>
      <c r="B1" s="258"/>
    </row>
    <row r="2" spans="1:14">
      <c r="A2" s="260" t="s">
        <v>91</v>
      </c>
      <c r="B2" s="261">
        <v>98.79</v>
      </c>
      <c r="G2" s="258"/>
      <c r="H2"/>
    </row>
    <row r="3" spans="1:14">
      <c r="A3" s="258" t="s">
        <v>92</v>
      </c>
      <c r="B3" s="73">
        <v>211.7</v>
      </c>
      <c r="G3" s="258"/>
      <c r="H3"/>
    </row>
    <row r="5" spans="1:14">
      <c r="A5" s="74" t="s">
        <v>93</v>
      </c>
    </row>
    <row r="6" spans="1:14">
      <c r="A6" s="336" t="s">
        <v>94</v>
      </c>
      <c r="B6" s="336" t="s">
        <v>95</v>
      </c>
    </row>
    <row r="7" spans="1:14">
      <c r="A7" s="327" t="s">
        <v>96</v>
      </c>
      <c r="B7" s="337" t="s">
        <v>97</v>
      </c>
      <c r="D7" s="3"/>
    </row>
    <row r="8" spans="1:14">
      <c r="A8" s="73" t="s">
        <v>46</v>
      </c>
      <c r="B8" s="165">
        <f>'Capital Structure (WACC)'!B38</f>
        <v>4.0759097909439851E-2</v>
      </c>
      <c r="C8" s="74"/>
    </row>
    <row r="9" spans="1:14">
      <c r="A9" s="327" t="s">
        <v>98</v>
      </c>
      <c r="B9" s="338">
        <v>1.4500000000000001E-2</v>
      </c>
    </row>
    <row r="10" spans="1:14">
      <c r="A10" s="73" t="s">
        <v>99</v>
      </c>
      <c r="B10" t="s">
        <v>100</v>
      </c>
      <c r="C10" s="3"/>
    </row>
    <row r="11" spans="1:14">
      <c r="D11" s="258"/>
    </row>
    <row r="12" spans="1:14">
      <c r="A12" s="74" t="s">
        <v>101</v>
      </c>
    </row>
    <row r="13" spans="1:14">
      <c r="A13" s="325" t="s">
        <v>102</v>
      </c>
      <c r="B13" s="325" t="s">
        <v>103</v>
      </c>
      <c r="C13" s="325" t="s">
        <v>104</v>
      </c>
      <c r="D13" s="326" t="s">
        <v>105</v>
      </c>
      <c r="E13" s="325" t="s">
        <v>106</v>
      </c>
      <c r="F13" s="325" t="s">
        <v>107</v>
      </c>
      <c r="G13" s="325" t="s">
        <v>108</v>
      </c>
      <c r="H13" s="325" t="s">
        <v>109</v>
      </c>
      <c r="I13" s="325" t="s">
        <v>110</v>
      </c>
      <c r="J13" s="325" t="s">
        <v>111</v>
      </c>
      <c r="K13" s="325" t="s">
        <v>112</v>
      </c>
      <c r="L13" s="325" t="s">
        <v>113</v>
      </c>
    </row>
    <row r="14" spans="1:14">
      <c r="A14" s="327" t="s">
        <v>114</v>
      </c>
      <c r="B14" s="327">
        <v>-4</v>
      </c>
      <c r="C14" s="327">
        <v>-3</v>
      </c>
      <c r="D14" s="327">
        <v>-2</v>
      </c>
      <c r="E14" s="327">
        <v>-1</v>
      </c>
      <c r="F14" s="327">
        <v>0</v>
      </c>
      <c r="G14" s="327">
        <v>1</v>
      </c>
      <c r="H14" s="327">
        <v>2</v>
      </c>
      <c r="I14" s="327">
        <v>3</v>
      </c>
      <c r="J14" s="327">
        <v>4</v>
      </c>
      <c r="K14" s="327">
        <v>5</v>
      </c>
      <c r="L14" s="327">
        <v>6</v>
      </c>
    </row>
    <row r="15" spans="1:14">
      <c r="A15" s="73" t="s">
        <v>115</v>
      </c>
      <c r="B15" s="80">
        <f>'Raw - Income Statement'!B20</f>
        <v>18283</v>
      </c>
      <c r="C15" s="80">
        <f>'Raw - Income Statement'!C20</f>
        <v>18888.900000000001</v>
      </c>
      <c r="D15" s="80">
        <f>'Raw - Income Statement'!D20</f>
        <v>20724.599999999999</v>
      </c>
      <c r="E15" s="80">
        <f>'Raw - Income Statement'!E20</f>
        <v>21219.9</v>
      </c>
      <c r="F15" s="80">
        <f>'Raw - Income Statement'!F20</f>
        <v>22006.7</v>
      </c>
      <c r="G15" s="268">
        <f>Table128[[#This Row],[F2025A]]*(1+G16)</f>
        <v>22677.657183752188</v>
      </c>
      <c r="H15" s="268">
        <f>Table128[[#This Row],[F2026E]]*(1+H16)</f>
        <v>23369.325727856631</v>
      </c>
      <c r="I15" s="268">
        <f>Table128[[#This Row],[F2027E]]*(1+I16)</f>
        <v>24082.090162556258</v>
      </c>
      <c r="J15" s="268">
        <f>Table128[[#This Row],[F2028E]]*(1+J16)</f>
        <v>24816.593912514225</v>
      </c>
      <c r="K15" s="268">
        <f>Table128[[#This Row],[F2029E]]*(1+K16)</f>
        <v>25573.500026845908</v>
      </c>
      <c r="L15" s="268">
        <f>Table128[[#This Row],[F2030E]]*(1+L16)</f>
        <v>26353.491777664709</v>
      </c>
    </row>
    <row r="16" spans="1:14">
      <c r="A16" s="327" t="s">
        <v>116</v>
      </c>
      <c r="B16" s="328" t="s">
        <v>117</v>
      </c>
      <c r="C16" s="329">
        <f>(C15-B15)/B15</f>
        <v>3.3140075479954137E-2</v>
      </c>
      <c r="D16" s="329">
        <f t="shared" ref="D16:F16" si="0">(D15-C15)/C15</f>
        <v>9.7184060479964265E-2</v>
      </c>
      <c r="E16" s="329">
        <f t="shared" si="0"/>
        <v>2.3899134362062618E-2</v>
      </c>
      <c r="F16" s="329">
        <f t="shared" si="0"/>
        <v>3.7078402819994402E-2</v>
      </c>
      <c r="G16" s="328">
        <f>(Table128[[#This Row],[F2025A]]+Table128[[#This Row],[F2024A]])/2</f>
        <v>3.048876859102851E-2</v>
      </c>
      <c r="H16" s="328">
        <v>3.0499999999999999E-2</v>
      </c>
      <c r="I16" s="328">
        <v>3.0499999999999999E-2</v>
      </c>
      <c r="J16" s="328">
        <v>3.0499999999999999E-2</v>
      </c>
      <c r="K16" s="328">
        <v>3.0499999999999999E-2</v>
      </c>
      <c r="L16" s="328">
        <v>3.0499999999999999E-2</v>
      </c>
      <c r="N16" s="258"/>
    </row>
    <row r="17" spans="1:15" s="97" customFormat="1">
      <c r="A17" s="258" t="s">
        <v>118</v>
      </c>
      <c r="B17" s="268">
        <f>'Raw - Income Statement'!B35</f>
        <v>16562.2</v>
      </c>
      <c r="C17" s="268">
        <f>'Raw - Income Statement'!C35</f>
        <v>17069.900000000001</v>
      </c>
      <c r="D17" s="268">
        <f>'Raw - Income Statement'!D35</f>
        <v>18756</v>
      </c>
      <c r="E17" s="132">
        <f>'Raw - Income Statement'!E35</f>
        <v>19233.5</v>
      </c>
      <c r="F17" s="132">
        <f>'Raw - Income Statement'!F35</f>
        <v>19941</v>
      </c>
      <c r="G17" s="106">
        <f>Table128[[#This Row],[F2025A]]*(1+G18)</f>
        <v>20587.498253426118</v>
      </c>
      <c r="H17" s="106">
        <f>Table128[[#This Row],[F2026E]]*(1+H18)</f>
        <v>21241.585735187778</v>
      </c>
      <c r="I17" s="106">
        <f>Table128[[#This Row],[F2027E]]*(1+I18)</f>
        <v>21946.527752635033</v>
      </c>
      <c r="J17" s="106">
        <f>Table128[[#This Row],[F2028E]]*(1+J18)</f>
        <v>22662.892154878064</v>
      </c>
      <c r="K17" s="106">
        <f>Table128[[#This Row],[F2029E]]*(1+K18)</f>
        <v>23400.799852776272</v>
      </c>
      <c r="L17" s="106">
        <f>Table128[[#This Row],[F2030E]]*(1+L18)</f>
        <v>24166.875257387255</v>
      </c>
      <c r="M17" s="258"/>
      <c r="N17" s="258"/>
      <c r="O17" s="258"/>
    </row>
    <row r="18" spans="1:15" s="97" customFormat="1">
      <c r="A18" s="330" t="s">
        <v>119</v>
      </c>
      <c r="B18" s="328" t="s">
        <v>117</v>
      </c>
      <c r="C18" s="328">
        <f>(C17-B17)/B17</f>
        <v>3.0654140150463145E-2</v>
      </c>
      <c r="D18" s="328">
        <f>(D17-C17)/C17</f>
        <v>9.8776208413640293E-2</v>
      </c>
      <c r="E18" s="328">
        <f t="shared" ref="E18:F18" si="1">(E17-D17)/D17</f>
        <v>2.5458519940285775E-2</v>
      </c>
      <c r="F18" s="328">
        <f t="shared" si="1"/>
        <v>3.6784776561728232E-2</v>
      </c>
      <c r="G18" s="328">
        <f>0.5*Table128[[#This Row],[F2025A]]+0.25*Table128[[#This Row],[F2024A]]+0.25*Table128[[#This Row],[F2022A]]</f>
        <v>3.2420553303551349E-2</v>
      </c>
      <c r="H18" s="328">
        <f>0.5*Table128[[#This Row],[F2026E]]+0.25*Table128[[#This Row],[F2025A]]+0.25*Table128[[#This Row],[F2024A]]</f>
        <v>3.1771100777279175E-2</v>
      </c>
      <c r="I18" s="328">
        <f>0.5*Table128[[#This Row],[F2027E]]+0.25*Table128[[#This Row],[F2026E]]+0.25*Table128[[#This Row],[F2025A]]</f>
        <v>3.3186882854959486E-2</v>
      </c>
      <c r="J18" s="328">
        <f>0.5*Table128[[#This Row],[F2028E]]+0.25*Table128[[#This Row],[F2027E]]+0.25*Table128[[#This Row],[F2026E]]</f>
        <v>3.264135494768737E-2</v>
      </c>
      <c r="K18" s="328">
        <f>0.5*Table128[[#This Row],[F2029E]]+0.25*Table128[[#This Row],[F2028E]]+0.25*Table128[[#This Row],[F2027E]]</f>
        <v>3.2560173381903354E-2</v>
      </c>
      <c r="L18" s="328">
        <f>0.5*Table128[[#This Row],[F2030E]]+0.25*Table128[[#This Row],[F2029E]]+0.25*Table128[[#This Row],[F2028E]]</f>
        <v>3.2737146141613389E-2</v>
      </c>
      <c r="M18" s="258"/>
      <c r="N18" s="258"/>
      <c r="O18" s="258"/>
    </row>
    <row r="19" spans="1:15">
      <c r="A19" s="73" t="s">
        <v>120</v>
      </c>
      <c r="B19" s="80">
        <f>B15-B17</f>
        <v>1720.7999999999993</v>
      </c>
      <c r="C19" s="80">
        <f t="shared" ref="C19:L19" si="2">C15-C17</f>
        <v>1819</v>
      </c>
      <c r="D19" s="80">
        <f t="shared" si="2"/>
        <v>1968.5999999999985</v>
      </c>
      <c r="E19" s="80">
        <f t="shared" si="2"/>
        <v>1986.4000000000015</v>
      </c>
      <c r="F19" s="80">
        <f t="shared" si="2"/>
        <v>2065.7000000000007</v>
      </c>
      <c r="G19" s="268">
        <f t="shared" si="2"/>
        <v>2090.1589303260698</v>
      </c>
      <c r="H19" s="268">
        <f t="shared" si="2"/>
        <v>2127.7399926688522</v>
      </c>
      <c r="I19" s="268">
        <f t="shared" si="2"/>
        <v>2135.5624099212255</v>
      </c>
      <c r="J19" s="268">
        <f t="shared" si="2"/>
        <v>2153.7017576361613</v>
      </c>
      <c r="K19" s="268">
        <f t="shared" si="2"/>
        <v>2172.700174069636</v>
      </c>
      <c r="L19" s="268">
        <f t="shared" si="2"/>
        <v>2186.6165202774537</v>
      </c>
    </row>
    <row r="20" spans="1:15">
      <c r="A20" s="327" t="s">
        <v>121</v>
      </c>
      <c r="B20" s="329">
        <f>B19/B15</f>
        <v>9.4120220970300233E-2</v>
      </c>
      <c r="C20" s="329">
        <f t="shared" ref="C20:F20" si="3">C19/C15</f>
        <v>9.6299943352974496E-2</v>
      </c>
      <c r="D20" s="329">
        <f t="shared" si="3"/>
        <v>9.4988564314872112E-2</v>
      </c>
      <c r="E20" s="329">
        <f t="shared" si="3"/>
        <v>9.3610243215095326E-2</v>
      </c>
      <c r="F20" s="329">
        <f t="shared" si="3"/>
        <v>9.3866867817528329E-2</v>
      </c>
      <c r="G20" s="328">
        <f>G19/G15</f>
        <v>9.2168203857654285E-2</v>
      </c>
      <c r="H20" s="328">
        <f t="shared" ref="H20:L20" si="4">H19/H15</f>
        <v>9.1048411813292082E-2</v>
      </c>
      <c r="I20" s="328">
        <f t="shared" si="4"/>
        <v>8.8678449233683149E-2</v>
      </c>
      <c r="J20" s="328">
        <f t="shared" si="4"/>
        <v>8.6784744321827242E-2</v>
      </c>
      <c r="K20" s="328">
        <f t="shared" si="4"/>
        <v>8.4959046348322798E-2</v>
      </c>
      <c r="L20" s="328">
        <f t="shared" si="4"/>
        <v>8.2972554025295034E-2</v>
      </c>
      <c r="M20" s="269"/>
    </row>
    <row r="21" spans="1:15">
      <c r="A21" s="258" t="s">
        <v>122</v>
      </c>
      <c r="B21" s="80">
        <f>'Raw - Income Statement'!B27</f>
        <v>478.3</v>
      </c>
      <c r="C21" s="80">
        <f>'Raw - Income Statement'!C27</f>
        <v>503.3</v>
      </c>
      <c r="D21" s="80">
        <f>'Raw - Income Statement'!D27</f>
        <v>525.20000000000005</v>
      </c>
      <c r="E21" s="80">
        <f>'Raw - Income Statement'!E27</f>
        <v>570.4</v>
      </c>
      <c r="F21" s="80">
        <f>'Raw - Income Statement'!F27</f>
        <v>594.4</v>
      </c>
      <c r="G21" s="268">
        <f t="shared" ref="G21:L21" si="5">0.026*G15</f>
        <v>589.61908677755684</v>
      </c>
      <c r="H21" s="268">
        <f t="shared" si="5"/>
        <v>607.60246892427233</v>
      </c>
      <c r="I21" s="268">
        <f t="shared" si="5"/>
        <v>626.13434422646264</v>
      </c>
      <c r="J21" s="268">
        <f t="shared" si="5"/>
        <v>645.23144172536979</v>
      </c>
      <c r="K21" s="268">
        <f t="shared" si="5"/>
        <v>664.91100069799359</v>
      </c>
      <c r="L21" s="268">
        <f t="shared" si="5"/>
        <v>685.19078621928236</v>
      </c>
    </row>
    <row r="22" spans="1:15">
      <c r="A22" s="327" t="s">
        <v>123</v>
      </c>
      <c r="B22" s="331">
        <f>B19-B21</f>
        <v>1242.4999999999993</v>
      </c>
      <c r="C22" s="331">
        <f t="shared" ref="C22:L22" si="6">C19-C21</f>
        <v>1315.7</v>
      </c>
      <c r="D22" s="331">
        <f t="shared" si="6"/>
        <v>1443.3999999999985</v>
      </c>
      <c r="E22" s="331">
        <f t="shared" si="6"/>
        <v>1416.0000000000014</v>
      </c>
      <c r="F22" s="331">
        <f t="shared" si="6"/>
        <v>1471.3000000000006</v>
      </c>
      <c r="G22" s="332">
        <f t="shared" si="6"/>
        <v>1500.5398435485131</v>
      </c>
      <c r="H22" s="332">
        <f t="shared" si="6"/>
        <v>1520.13752374458</v>
      </c>
      <c r="I22" s="332">
        <f t="shared" si="6"/>
        <v>1509.4280656947628</v>
      </c>
      <c r="J22" s="332">
        <f t="shared" si="6"/>
        <v>1508.4703159107917</v>
      </c>
      <c r="K22" s="332">
        <f t="shared" si="6"/>
        <v>1507.7891733716424</v>
      </c>
      <c r="L22" s="332">
        <f t="shared" si="6"/>
        <v>1501.4257340581712</v>
      </c>
      <c r="O22" s="167"/>
    </row>
    <row r="23" spans="1:15">
      <c r="A23" s="73" t="s">
        <v>121</v>
      </c>
      <c r="B23" s="76">
        <f>B22/B15</f>
        <v>6.7959306459552546E-2</v>
      </c>
      <c r="C23" s="76">
        <f t="shared" ref="C23:L23" si="7">C22/C15</f>
        <v>6.9654664909020642E-2</v>
      </c>
      <c r="D23" s="76">
        <f t="shared" si="7"/>
        <v>6.96467000569371E-2</v>
      </c>
      <c r="E23" s="76">
        <f t="shared" si="7"/>
        <v>6.6729814937864992E-2</v>
      </c>
      <c r="F23" s="76">
        <f t="shared" si="7"/>
        <v>6.6856911758691698E-2</v>
      </c>
      <c r="G23" s="269">
        <f t="shared" si="7"/>
        <v>6.616820385765429E-2</v>
      </c>
      <c r="H23" s="269">
        <f t="shared" si="7"/>
        <v>6.5048411813292087E-2</v>
      </c>
      <c r="I23" s="269">
        <f t="shared" si="7"/>
        <v>6.2678449233683153E-2</v>
      </c>
      <c r="J23" s="269">
        <f t="shared" si="7"/>
        <v>6.0784744321827247E-2</v>
      </c>
      <c r="K23" s="269">
        <f t="shared" si="7"/>
        <v>5.8959046348322802E-2</v>
      </c>
      <c r="L23" s="269">
        <f t="shared" si="7"/>
        <v>5.6972554025295039E-2</v>
      </c>
    </row>
    <row r="24" spans="1:15">
      <c r="A24" s="327" t="s">
        <v>124</v>
      </c>
      <c r="B24" s="329">
        <f>'Raw - Income Statement'!B89</f>
        <v>0.26322800000000002</v>
      </c>
      <c r="C24" s="329">
        <f>'Raw - Income Statement'!C89</f>
        <v>0.26360899999999998</v>
      </c>
      <c r="D24" s="329">
        <f>'Raw - Income Statement'!D89</f>
        <v>0.22923199999999999</v>
      </c>
      <c r="E24" s="333">
        <f>'Raw - Income Statement'!E89</f>
        <v>0.25469900000000001</v>
      </c>
      <c r="F24" s="333">
        <f>'Raw - Income Statement'!F89</f>
        <v>0.227768</v>
      </c>
      <c r="G24" s="333">
        <f>0.2*Table128[[#This Row],[F2025A]]+0.2*Table128[[#This Row],[F2024A]]+0.2*Table128[[#This Row],[F2023A]]+0.2*Table128[[#This Row],[F2022A]]+0.2*Table128[[#This Row],[F2021A]]</f>
        <v>0.24770720000000002</v>
      </c>
      <c r="H24" s="333">
        <f>0.2*Table128[[#This Row],[F2026E]]+0.2*Table128[[#This Row],[F2025A]]+0.2*Table128[[#This Row],[F2024A]]+0.2*Table128[[#This Row],[F2023A]]+0.2*Table128[[#This Row],[F2022A]]</f>
        <v>0.24460303999999999</v>
      </c>
      <c r="I24" s="333">
        <f>0.2*Table128[[#This Row],[F2027E]]+0.2*Table128[[#This Row],[F2026E]]+0.2*Table128[[#This Row],[F2025A]]+0.2*Table128[[#This Row],[F2024A]]+0.2*Table128[[#This Row],[F2023A]]</f>
        <v>0.24080184800000001</v>
      </c>
      <c r="J24" s="333">
        <f>0.2*Table128[[#This Row],[F2028E]]+0.2*Table128[[#This Row],[F2027E]]+0.2*Table128[[#This Row],[F2026E]]+0.2*Table128[[#This Row],[F2025A]]+0.2*Table128[[#This Row],[F2024A]]</f>
        <v>0.24311581760000001</v>
      </c>
      <c r="K24" s="333">
        <f>0.2*Table128[[#This Row],[F2029E]]+0.2*Table128[[#This Row],[F2028E]]+0.2*Table128[[#This Row],[F2027E]]+0.2*Table128[[#This Row],[F2026E]]+0.2*Table128[[#This Row],[F2025A]]</f>
        <v>0.24079918112000001</v>
      </c>
      <c r="L24" s="333">
        <f>0.2*Table128[[#This Row],[F2030E]]+0.2*Table128[[#This Row],[F2029E]]+0.2*Table128[[#This Row],[F2028E]]+0.2*Table128[[#This Row],[F2027E]]+0.2*Table128[[#This Row],[F2026E]]</f>
        <v>0.24340541734400001</v>
      </c>
    </row>
    <row r="25" spans="1:15">
      <c r="A25" s="258" t="s">
        <v>125</v>
      </c>
      <c r="B25" s="80">
        <f t="shared" ref="B25:L25" si="8">B24*B22</f>
        <v>327.06078999999983</v>
      </c>
      <c r="C25" s="80">
        <f t="shared" si="8"/>
        <v>346.83036129999999</v>
      </c>
      <c r="D25" s="80">
        <f t="shared" si="8"/>
        <v>330.87346879999967</v>
      </c>
      <c r="E25" s="80">
        <f t="shared" si="8"/>
        <v>360.65378400000037</v>
      </c>
      <c r="F25" s="80">
        <f t="shared" si="8"/>
        <v>335.11505840000012</v>
      </c>
      <c r="G25" s="268">
        <f t="shared" si="8"/>
        <v>371.69452313384028</v>
      </c>
      <c r="H25" s="268">
        <f t="shared" si="8"/>
        <v>371.83025952599644</v>
      </c>
      <c r="I25" s="268">
        <f t="shared" si="8"/>
        <v>363.4730676423643</v>
      </c>
      <c r="J25" s="268">
        <f t="shared" si="8"/>
        <v>366.73299417798239</v>
      </c>
      <c r="K25" s="268">
        <f t="shared" si="8"/>
        <v>363.07439824949319</v>
      </c>
      <c r="L25" s="268">
        <f t="shared" si="8"/>
        <v>365.45515740945075</v>
      </c>
    </row>
    <row r="26" spans="1:15">
      <c r="A26" s="327" t="s">
        <v>126</v>
      </c>
      <c r="B26" s="331">
        <f>B22-B25</f>
        <v>915.43920999999955</v>
      </c>
      <c r="C26" s="331">
        <f t="shared" ref="C26:L26" si="9">C22-C25</f>
        <v>968.8696387</v>
      </c>
      <c r="D26" s="331">
        <f t="shared" si="9"/>
        <v>1112.5265311999988</v>
      </c>
      <c r="E26" s="331">
        <f t="shared" si="9"/>
        <v>1055.346216000001</v>
      </c>
      <c r="F26" s="331">
        <f t="shared" si="9"/>
        <v>1136.1849416000005</v>
      </c>
      <c r="G26" s="332">
        <f t="shared" si="9"/>
        <v>1128.8453204146729</v>
      </c>
      <c r="H26" s="332">
        <f t="shared" si="9"/>
        <v>1148.3072642185834</v>
      </c>
      <c r="I26" s="332">
        <f t="shared" si="9"/>
        <v>1145.9549980523984</v>
      </c>
      <c r="J26" s="332">
        <f t="shared" si="9"/>
        <v>1141.7373217328093</v>
      </c>
      <c r="K26" s="332">
        <f t="shared" si="9"/>
        <v>1144.7147751221491</v>
      </c>
      <c r="L26" s="332">
        <f t="shared" si="9"/>
        <v>1135.9705766487205</v>
      </c>
    </row>
    <row r="27" spans="1:15">
      <c r="A27" s="258" t="s">
        <v>127</v>
      </c>
      <c r="B27" s="80">
        <f>B21</f>
        <v>478.3</v>
      </c>
      <c r="C27" s="80">
        <f t="shared" ref="C27:L27" si="10">C21</f>
        <v>503.3</v>
      </c>
      <c r="D27" s="80">
        <f t="shared" si="10"/>
        <v>525.20000000000005</v>
      </c>
      <c r="E27" s="80">
        <f t="shared" si="10"/>
        <v>570.4</v>
      </c>
      <c r="F27" s="80">
        <f t="shared" si="10"/>
        <v>594.4</v>
      </c>
      <c r="G27" s="268">
        <f t="shared" si="10"/>
        <v>589.61908677755684</v>
      </c>
      <c r="H27" s="268">
        <f t="shared" si="10"/>
        <v>607.60246892427233</v>
      </c>
      <c r="I27" s="268">
        <f t="shared" si="10"/>
        <v>626.13434422646264</v>
      </c>
      <c r="J27" s="268">
        <f t="shared" si="10"/>
        <v>645.23144172536979</v>
      </c>
      <c r="K27" s="268">
        <f t="shared" si="10"/>
        <v>664.91100069799359</v>
      </c>
      <c r="L27" s="268">
        <f t="shared" si="10"/>
        <v>685.19078621928236</v>
      </c>
    </row>
    <row r="28" spans="1:15">
      <c r="A28" s="327" t="s">
        <v>128</v>
      </c>
      <c r="B28" s="331">
        <f t="shared" ref="B28:L28" si="11">B26+B27</f>
        <v>1393.7392099999995</v>
      </c>
      <c r="C28" s="331">
        <f t="shared" si="11"/>
        <v>1472.1696387</v>
      </c>
      <c r="D28" s="331">
        <f t="shared" si="11"/>
        <v>1637.7265311999988</v>
      </c>
      <c r="E28" s="331">
        <f t="shared" si="11"/>
        <v>1625.7462160000009</v>
      </c>
      <c r="F28" s="332">
        <f t="shared" si="11"/>
        <v>1730.5849416000005</v>
      </c>
      <c r="G28" s="332">
        <f t="shared" si="11"/>
        <v>1718.4644071922298</v>
      </c>
      <c r="H28" s="332">
        <f t="shared" si="11"/>
        <v>1755.9097331428557</v>
      </c>
      <c r="I28" s="332">
        <f t="shared" si="11"/>
        <v>1772.0893422788611</v>
      </c>
      <c r="J28" s="332">
        <f t="shared" si="11"/>
        <v>1786.9687634581792</v>
      </c>
      <c r="K28" s="332">
        <f t="shared" si="11"/>
        <v>1809.6257758201427</v>
      </c>
      <c r="L28" s="332">
        <f t="shared" si="11"/>
        <v>1821.1613628680029</v>
      </c>
    </row>
    <row r="29" spans="1:15">
      <c r="A29" s="258" t="s">
        <v>129</v>
      </c>
      <c r="B29" s="73">
        <f>'Raw - Balance Sheet'!B72</f>
        <v>268.60000000000036</v>
      </c>
      <c r="C29" s="73">
        <f>'Raw - Balance Sheet'!C72</f>
        <v>230.80000000000018</v>
      </c>
      <c r="D29" s="73">
        <f>'Raw - Balance Sheet'!D72</f>
        <v>442.79999999999995</v>
      </c>
      <c r="E29" s="73">
        <f>'Raw - Balance Sheet'!E72</f>
        <v>188.40000000000009</v>
      </c>
      <c r="F29" s="73">
        <f>'Raw - Balance Sheet'!F72</f>
        <v>607.19999999999982</v>
      </c>
      <c r="G29" s="268">
        <f>G30*G15</f>
        <v>484.32426173764486</v>
      </c>
      <c r="H29" s="268">
        <f t="shared" ref="H29:L29" si="12">H30*H15</f>
        <v>462.61822762444467</v>
      </c>
      <c r="I29" s="268">
        <f t="shared" si="12"/>
        <v>533.0595201705089</v>
      </c>
      <c r="J29" s="268">
        <f t="shared" si="12"/>
        <v>529.97731558948567</v>
      </c>
      <c r="K29" s="268">
        <f t="shared" si="12"/>
        <v>541.15181247844839</v>
      </c>
      <c r="L29" s="268">
        <f t="shared" si="12"/>
        <v>565.36251379406212</v>
      </c>
    </row>
    <row r="30" spans="1:15">
      <c r="A30" s="330" t="s">
        <v>130</v>
      </c>
      <c r="B30" s="333">
        <f>B29/B15</f>
        <v>1.4691243231417184E-2</v>
      </c>
      <c r="C30" s="333">
        <f t="shared" ref="C30:F30" si="13">C29/C15</f>
        <v>1.2218816341872749E-2</v>
      </c>
      <c r="D30" s="333">
        <f t="shared" si="13"/>
        <v>2.1365912972988621E-2</v>
      </c>
      <c r="E30" s="333">
        <f t="shared" si="13"/>
        <v>8.8784584281735579E-3</v>
      </c>
      <c r="F30" s="333">
        <f t="shared" si="13"/>
        <v>2.759159710451816E-2</v>
      </c>
      <c r="G30" s="328">
        <f>0.5*Table128[[#This Row],[F2025A]]+0.25*Table128[[#This Row],[F2024A]]+0.25*Table128[[#This Row],[F2023A]]</f>
        <v>2.1356891402549625E-2</v>
      </c>
      <c r="H30" s="328">
        <f>0.5*Table128[[#This Row],[F2026E]]+0.25*Table128[[#This Row],[F2025A]]+0.25*Table128[[#This Row],[F2024A]]</f>
        <v>1.9795959584447742E-2</v>
      </c>
      <c r="I30" s="328">
        <f>0.5*Table128[[#This Row],[F2027E]]+0.25*Table128[[#This Row],[F2026E]]+0.25*Table128[[#This Row],[F2025A]]</f>
        <v>2.2135101918990818E-2</v>
      </c>
      <c r="J30" s="328">
        <f>0.5*Table128[[#This Row],[F2028E]]+0.25*Table128[[#This Row],[F2027E]]+0.25*Table128[[#This Row],[F2026E]]</f>
        <v>2.135576370624475E-2</v>
      </c>
      <c r="K30" s="328">
        <f>0.5*Table128[[#This Row],[F2029E]]+0.25*Table128[[#This Row],[F2028E]]+0.25*Table128[[#This Row],[F2027E]]</f>
        <v>2.1160647228982015E-2</v>
      </c>
      <c r="L30" s="328">
        <f>0.5*Table128[[#This Row],[F2030E]]+0.25*Table128[[#This Row],[F2029E]]+0.25*Table128[[#This Row],[F2028E]]</f>
        <v>2.14530400207999E-2</v>
      </c>
    </row>
    <row r="31" spans="1:15">
      <c r="A31" s="270" t="s">
        <v>131</v>
      </c>
      <c r="B31" s="271" t="s">
        <v>117</v>
      </c>
      <c r="C31" s="130">
        <f t="shared" ref="C31:L31" si="14">C29-B29</f>
        <v>-37.800000000000182</v>
      </c>
      <c r="D31" s="130">
        <f t="shared" si="14"/>
        <v>211.99999999999977</v>
      </c>
      <c r="E31" s="80">
        <f t="shared" si="14"/>
        <v>-254.39999999999986</v>
      </c>
      <c r="F31" s="80">
        <f t="shared" si="14"/>
        <v>418.79999999999973</v>
      </c>
      <c r="G31" s="80">
        <f t="shared" si="14"/>
        <v>-122.87573826235496</v>
      </c>
      <c r="H31" s="80">
        <f t="shared" si="14"/>
        <v>-21.706034113200189</v>
      </c>
      <c r="I31" s="80">
        <f t="shared" si="14"/>
        <v>70.441292546064233</v>
      </c>
      <c r="J31" s="80">
        <f t="shared" si="14"/>
        <v>-3.0822045810232339</v>
      </c>
      <c r="K31" s="80">
        <f t="shared" si="14"/>
        <v>11.174496888962722</v>
      </c>
      <c r="L31" s="80">
        <f t="shared" si="14"/>
        <v>24.210701315613733</v>
      </c>
    </row>
    <row r="32" spans="1:15">
      <c r="A32" s="334" t="s">
        <v>132</v>
      </c>
      <c r="B32" s="335">
        <f>B33/B15</f>
        <v>2.5663184378931246E-2</v>
      </c>
      <c r="C32" s="335">
        <f t="shared" ref="C32:F32" si="15">C33/C15</f>
        <v>2.6327631571981428E-2</v>
      </c>
      <c r="D32" s="335">
        <f t="shared" si="15"/>
        <v>2.8019841154955951E-2</v>
      </c>
      <c r="E32" s="335">
        <f t="shared" si="15"/>
        <v>2.273337763137432E-2</v>
      </c>
      <c r="F32" s="335">
        <f t="shared" si="15"/>
        <v>1.9912117673254053E-2</v>
      </c>
      <c r="G32" s="333">
        <f>AVERAGE(Table128[[#This Row],[F2021A]:[F2025A]])</f>
        <v>2.45312304820994E-2</v>
      </c>
      <c r="H32" s="333">
        <f>AVERAGE(Table128[[#This Row],[F2021A]:[F2025A]])</f>
        <v>2.45312304820994E-2</v>
      </c>
      <c r="I32" s="333">
        <f>AVERAGE(Table128[[#This Row],[F2021A]:[F2025A]])</f>
        <v>2.45312304820994E-2</v>
      </c>
      <c r="J32" s="333">
        <f>AVERAGE(Table128[[#This Row],[F2021A]:[F2025A]])</f>
        <v>2.45312304820994E-2</v>
      </c>
      <c r="K32" s="333">
        <f>AVERAGE(Table128[[#This Row],[F2021A]:[F2025A]])</f>
        <v>2.45312304820994E-2</v>
      </c>
      <c r="L32" s="333">
        <f>AVERAGE(Table128[[#This Row],[F2021A]:[F2025A]])</f>
        <v>2.45312304820994E-2</v>
      </c>
    </row>
    <row r="33" spans="1:21">
      <c r="A33" s="258" t="s">
        <v>133</v>
      </c>
      <c r="B33" s="80">
        <f>ABS('Raw - Cash Flow'!B31)</f>
        <v>469.2</v>
      </c>
      <c r="C33" s="80">
        <f>ABS('Raw - Cash Flow'!C31)</f>
        <v>497.3</v>
      </c>
      <c r="D33" s="80">
        <f>ABS('Raw - Cash Flow'!D31)</f>
        <v>580.70000000000005</v>
      </c>
      <c r="E33" s="80">
        <f>ABS('Raw - Cash Flow'!E31)</f>
        <v>482.4</v>
      </c>
      <c r="F33" s="80">
        <f>ABS('Raw - Cash Flow'!F31)</f>
        <v>438.2</v>
      </c>
      <c r="G33" s="268">
        <f>0.0245*G15</f>
        <v>555.60260100192863</v>
      </c>
      <c r="H33" s="268">
        <f>0.025*H15</f>
        <v>584.23314319641577</v>
      </c>
      <c r="I33" s="268">
        <f>0.025*I15</f>
        <v>602.0522540639065</v>
      </c>
      <c r="J33" s="268">
        <f>0.025*J15</f>
        <v>620.41484781285567</v>
      </c>
      <c r="K33" s="268">
        <f>0.025*K15</f>
        <v>639.33750067114772</v>
      </c>
      <c r="L33" s="268">
        <f>0.025*L15</f>
        <v>658.83729444161781</v>
      </c>
    </row>
    <row r="34" spans="1:21">
      <c r="A34" s="330" t="s">
        <v>134</v>
      </c>
      <c r="B34" s="332" t="s">
        <v>117</v>
      </c>
      <c r="C34" s="331">
        <f t="shared" ref="C34:K34" si="16">C28-C33-C31</f>
        <v>1012.6696387000002</v>
      </c>
      <c r="D34" s="331">
        <f t="shared" si="16"/>
        <v>845.026531199999</v>
      </c>
      <c r="E34" s="331">
        <f t="shared" si="16"/>
        <v>1397.7462160000007</v>
      </c>
      <c r="F34" s="331">
        <f t="shared" si="16"/>
        <v>873.58494160000077</v>
      </c>
      <c r="G34" s="332">
        <f t="shared" si="16"/>
        <v>1285.737544452656</v>
      </c>
      <c r="H34" s="332">
        <f t="shared" si="16"/>
        <v>1193.38262405964</v>
      </c>
      <c r="I34" s="332">
        <f t="shared" si="16"/>
        <v>1099.5957956688903</v>
      </c>
      <c r="J34" s="332">
        <f t="shared" si="16"/>
        <v>1169.6361202263467</v>
      </c>
      <c r="K34" s="332">
        <f t="shared" si="16"/>
        <v>1159.1137782600324</v>
      </c>
      <c r="L34" s="332">
        <f t="shared" ref="L34" si="17">L28-L31-L33</f>
        <v>1138.1133671107714</v>
      </c>
    </row>
    <row r="35" spans="1:21">
      <c r="A35" s="74" t="s">
        <v>135</v>
      </c>
      <c r="B35" s="166" t="s">
        <v>117</v>
      </c>
      <c r="C35" s="164">
        <f>C34*((1+$B$8)^3)</f>
        <v>1141.6117692723813</v>
      </c>
      <c r="D35" s="164">
        <f>D34*((1+$B$8)^2)</f>
        <v>915.31541545162031</v>
      </c>
      <c r="E35" s="164">
        <f>E34*((1+$B$8)^1)</f>
        <v>1454.7170908704938</v>
      </c>
      <c r="F35" s="164">
        <f t="shared" ref="F35:L35" si="18">F34/((1+$B$8)^F14)</f>
        <v>873.58494160000077</v>
      </c>
      <c r="G35" s="164">
        <f t="shared" si="18"/>
        <v>1235.3843911000167</v>
      </c>
      <c r="H35" s="164">
        <f t="shared" si="18"/>
        <v>1101.7404079291091</v>
      </c>
      <c r="I35" s="164">
        <f t="shared" si="18"/>
        <v>975.3992618924849</v>
      </c>
      <c r="J35" s="164">
        <f t="shared" si="18"/>
        <v>996.89612413462839</v>
      </c>
      <c r="K35" s="164">
        <f t="shared" si="18"/>
        <v>949.23772157127155</v>
      </c>
      <c r="L35" s="164">
        <f t="shared" si="18"/>
        <v>895.53843155293691</v>
      </c>
    </row>
    <row r="37" spans="1:21">
      <c r="A37" s="339" t="s">
        <v>136</v>
      </c>
      <c r="B37" s="340"/>
      <c r="C37" s="340"/>
      <c r="D37" s="336" t="s">
        <v>137</v>
      </c>
      <c r="E37" s="336" t="s">
        <v>138</v>
      </c>
      <c r="F37" s="98" t="s">
        <v>139</v>
      </c>
    </row>
    <row r="38" spans="1:21">
      <c r="A38" s="73" t="s">
        <v>140</v>
      </c>
      <c r="D38" s="75">
        <f>L19</f>
        <v>2186.6165202774537</v>
      </c>
      <c r="E38" s="75">
        <f>L34</f>
        <v>1138.1133671107714</v>
      </c>
    </row>
    <row r="39" spans="1:21">
      <c r="A39" s="327" t="s">
        <v>141</v>
      </c>
      <c r="B39" s="327"/>
      <c r="C39" s="327"/>
      <c r="D39" s="327">
        <v>12.37</v>
      </c>
      <c r="E39" s="329">
        <f>B9</f>
        <v>1.4500000000000001E-2</v>
      </c>
    </row>
    <row r="40" spans="1:21">
      <c r="A40" s="73" t="s">
        <v>136</v>
      </c>
      <c r="D40" s="75">
        <f>D38*D39</f>
        <v>27048.4463558321</v>
      </c>
      <c r="E40" s="75">
        <f>(E38*(1+E39))/(B8-B9)</f>
        <v>43970.132367677645</v>
      </c>
      <c r="G40" s="258"/>
    </row>
    <row r="41" spans="1:21">
      <c r="A41" s="327" t="s">
        <v>142</v>
      </c>
      <c r="B41" s="327"/>
      <c r="C41" s="327"/>
      <c r="D41" s="341">
        <f>D40/((1+B8)^L14)</f>
        <v>21283.401043727517</v>
      </c>
      <c r="E41" s="341">
        <f>E40/((1+B8)^L14)</f>
        <v>34598.436775844093</v>
      </c>
      <c r="G41" s="272"/>
    </row>
    <row r="42" spans="1:21">
      <c r="A42" s="73" t="s">
        <v>143</v>
      </c>
      <c r="D42" s="75">
        <f>SUM(G35:L35)</f>
        <v>6154.196338180448</v>
      </c>
      <c r="E42" s="75">
        <f>Table139[[#This Row],[Column4]]</f>
        <v>6154.196338180448</v>
      </c>
      <c r="G42" s="75"/>
    </row>
    <row r="43" spans="1:21">
      <c r="A43" s="327" t="s">
        <v>144</v>
      </c>
      <c r="B43" s="327"/>
      <c r="C43" s="327"/>
      <c r="D43" s="341">
        <f>D41+D42</f>
        <v>27437.597381907966</v>
      </c>
      <c r="E43" s="341">
        <f>E41+E42</f>
        <v>40752.633114024538</v>
      </c>
      <c r="G43" s="75"/>
    </row>
    <row r="44" spans="1:21">
      <c r="A44" s="73" t="s">
        <v>145</v>
      </c>
      <c r="D44" s="75">
        <f>'Capital Structure (WACC)'!B25</f>
        <v>4867.2</v>
      </c>
      <c r="E44" s="75">
        <f>Table139[[#This Row],[Column4]]</f>
        <v>4867.2</v>
      </c>
    </row>
    <row r="45" spans="1:21">
      <c r="A45" s="327" t="s">
        <v>146</v>
      </c>
      <c r="B45" s="327"/>
      <c r="C45" s="327"/>
      <c r="D45" s="341">
        <f>'Raw - Balance Sheet'!G18</f>
        <v>17.899999999999999</v>
      </c>
      <c r="E45" s="341">
        <f>Table139[[#This Row],[Column4]]</f>
        <v>17.899999999999999</v>
      </c>
      <c r="H45" s="76"/>
      <c r="I45" s="77"/>
      <c r="S45" s="76"/>
      <c r="T45" s="78"/>
      <c r="U45" s="78"/>
    </row>
    <row r="46" spans="1:21" ht="15">
      <c r="A46" s="73" t="s">
        <v>147</v>
      </c>
      <c r="D46" s="75">
        <f>D43+D44+D45</f>
        <v>32322.697381907969</v>
      </c>
      <c r="E46" s="75">
        <f>E43+E44+E45</f>
        <v>45637.733114024537</v>
      </c>
      <c r="H46" s="76"/>
      <c r="I46" s="79"/>
    </row>
    <row r="47" spans="1:21" ht="15">
      <c r="H47" s="76"/>
      <c r="I47" s="79"/>
    </row>
    <row r="48" spans="1:21" ht="15">
      <c r="A48" s="342" t="s">
        <v>148</v>
      </c>
      <c r="B48" s="327"/>
      <c r="C48" s="327"/>
      <c r="D48" s="342" t="s">
        <v>137</v>
      </c>
      <c r="E48" s="342" t="s">
        <v>138</v>
      </c>
      <c r="H48" s="76"/>
      <c r="I48" s="79"/>
    </row>
    <row r="49" spans="1:21" ht="15">
      <c r="A49" s="74" t="s">
        <v>149</v>
      </c>
      <c r="B49" s="80">
        <f>D46</f>
        <v>32322.697381907969</v>
      </c>
      <c r="D49" s="357">
        <f>D46/B3</f>
        <v>152.68161257396301</v>
      </c>
      <c r="E49" s="80">
        <f>E46/B3</f>
        <v>215.57738835155664</v>
      </c>
      <c r="G49" s="258"/>
      <c r="H49" s="76"/>
      <c r="I49" s="79"/>
      <c r="J49" s="77"/>
      <c r="S49" s="81"/>
      <c r="T49" s="81"/>
      <c r="U49" s="81"/>
    </row>
    <row r="50" spans="1:21" ht="15.4">
      <c r="A50" s="343" t="s">
        <v>150</v>
      </c>
      <c r="B50" s="331"/>
      <c r="C50" s="327"/>
      <c r="D50" s="344">
        <f>(D49-B2)/B2</f>
        <v>0.54551687998747844</v>
      </c>
      <c r="E50" s="344">
        <f>(E49-B2)/B2</f>
        <v>1.1821782402222556</v>
      </c>
      <c r="G50" s="258"/>
      <c r="H50" s="76"/>
      <c r="I50" s="79"/>
      <c r="J50" s="77"/>
      <c r="S50" s="81"/>
      <c r="T50" s="81"/>
      <c r="U50" s="81"/>
    </row>
    <row r="51" spans="1:21" ht="15">
      <c r="A51" s="74"/>
      <c r="B51" s="80"/>
      <c r="U51" s="79"/>
    </row>
    <row r="53" spans="1:21">
      <c r="A53" s="74" t="s">
        <v>151</v>
      </c>
    </row>
    <row r="54" spans="1:21" ht="15">
      <c r="A54" s="273"/>
      <c r="B54" s="386" t="s">
        <v>46</v>
      </c>
      <c r="C54" s="386"/>
      <c r="D54" s="386"/>
      <c r="E54" s="386"/>
      <c r="F54" s="386"/>
      <c r="G54" s="387"/>
      <c r="K54" s="79"/>
    </row>
    <row r="55" spans="1:21" ht="15">
      <c r="A55" s="274"/>
      <c r="B55" s="265">
        <f>D49</f>
        <v>152.68161257396301</v>
      </c>
      <c r="C55" s="365">
        <v>3.1E-2</v>
      </c>
      <c r="D55" s="365">
        <v>3.5999999999999997E-2</v>
      </c>
      <c r="E55" s="365">
        <v>4.0759097909439851E-2</v>
      </c>
      <c r="F55" s="365">
        <v>4.5999999999999999E-2</v>
      </c>
      <c r="G55" s="366">
        <v>5.0999999999999997E-2</v>
      </c>
      <c r="H55" s="76"/>
      <c r="I55" s="79"/>
      <c r="J55" s="82"/>
      <c r="R55" s="82"/>
    </row>
    <row r="56" spans="1:21">
      <c r="A56" s="275"/>
      <c r="B56" s="363">
        <v>6400</v>
      </c>
      <c r="C56" s="169">
        <f t="dataTable" ref="C56:G60" dt2D="1" dtr="1" r1="B8" r2="D42" ca="1"/>
        <v>159.68936257812732</v>
      </c>
      <c r="D56" s="169">
        <v>156.6457240526824</v>
      </c>
      <c r="E56" s="169">
        <v>153.84270686692264</v>
      </c>
      <c r="F56" s="169">
        <v>150.85795597204097</v>
      </c>
      <c r="G56" s="262">
        <v>148.10634696752285</v>
      </c>
      <c r="H56" s="76"/>
      <c r="J56" s="82"/>
      <c r="R56" s="82"/>
    </row>
    <row r="57" spans="1:21" ht="15">
      <c r="A57" s="171" t="s">
        <v>152</v>
      </c>
      <c r="B57" s="363">
        <v>6600</v>
      </c>
      <c r="C57" s="169">
        <v>160.63409569102294</v>
      </c>
      <c r="D57" s="169">
        <v>157.59045716557799</v>
      </c>
      <c r="E57" s="169">
        <v>154.78743997981823</v>
      </c>
      <c r="F57" s="169">
        <v>151.80268908493656</v>
      </c>
      <c r="G57" s="262">
        <v>149.05108008041844</v>
      </c>
      <c r="H57" s="76"/>
      <c r="J57" s="82"/>
      <c r="R57" s="82"/>
      <c r="S57" s="79"/>
      <c r="T57" s="79"/>
    </row>
    <row r="58" spans="1:21">
      <c r="A58" s="275"/>
      <c r="B58" s="363">
        <v>6154.2</v>
      </c>
      <c r="C58" s="169">
        <v>158.52828558237866</v>
      </c>
      <c r="D58" s="169">
        <v>155.48464705693368</v>
      </c>
      <c r="E58" s="169">
        <v>152.68162987117393</v>
      </c>
      <c r="F58" s="169">
        <v>149.69687897629228</v>
      </c>
      <c r="G58" s="262">
        <v>146.94526997177417</v>
      </c>
      <c r="H58" s="76"/>
      <c r="J58" s="82"/>
      <c r="R58" s="82"/>
      <c r="S58" s="82"/>
      <c r="T58" s="82"/>
    </row>
    <row r="59" spans="1:21">
      <c r="A59" s="275"/>
      <c r="B59" s="363">
        <v>7000</v>
      </c>
      <c r="C59" s="169">
        <v>162.52356191681415</v>
      </c>
      <c r="D59" s="169">
        <v>159.4799233913692</v>
      </c>
      <c r="E59" s="169">
        <v>156.67690620560944</v>
      </c>
      <c r="F59" s="169">
        <v>153.6921553107278</v>
      </c>
      <c r="G59" s="262">
        <v>150.94054630620968</v>
      </c>
      <c r="J59" s="82"/>
      <c r="R59" s="82"/>
      <c r="S59" s="82"/>
      <c r="T59" s="82"/>
    </row>
    <row r="60" spans="1:21">
      <c r="A60" s="276"/>
      <c r="B60" s="364">
        <v>7200</v>
      </c>
      <c r="C60" s="263">
        <v>163.46829502970976</v>
      </c>
      <c r="D60" s="263">
        <v>160.42465650426482</v>
      </c>
      <c r="E60" s="263">
        <v>157.62163931850506</v>
      </c>
      <c r="F60" s="263">
        <v>154.63688842362339</v>
      </c>
      <c r="G60" s="264">
        <v>151.88527941910527</v>
      </c>
      <c r="H60" s="83"/>
      <c r="S60" s="82"/>
      <c r="T60" s="82"/>
    </row>
    <row r="61" spans="1:21" ht="14.25">
      <c r="B61" s="75"/>
      <c r="H61" s="83"/>
      <c r="I61" s="84"/>
      <c r="J61" s="85"/>
      <c r="R61" s="86"/>
      <c r="S61" s="82"/>
      <c r="T61" s="82"/>
    </row>
    <row r="62" spans="1:21" ht="14.25">
      <c r="A62" s="277"/>
      <c r="B62" s="388" t="s">
        <v>153</v>
      </c>
      <c r="C62" s="388"/>
      <c r="D62" s="388"/>
      <c r="E62" s="388"/>
      <c r="F62" s="388"/>
      <c r="G62" s="389"/>
      <c r="H62" s="258"/>
      <c r="I62" s="84"/>
      <c r="K62" s="85"/>
      <c r="L62" s="82"/>
      <c r="M62" s="82"/>
      <c r="S62" s="82"/>
      <c r="T62" s="82"/>
    </row>
    <row r="63" spans="1:21" ht="14.25">
      <c r="A63" s="172"/>
      <c r="B63" s="265">
        <f>D49</f>
        <v>152.68161257396301</v>
      </c>
      <c r="C63" s="369">
        <f>D63*0.9</f>
        <v>1771.1460000000002</v>
      </c>
      <c r="D63" s="369">
        <f>E63*0.9</f>
        <v>1967.94</v>
      </c>
      <c r="E63" s="369">
        <v>2186.6</v>
      </c>
      <c r="F63" s="369">
        <f>E63*1.1</f>
        <v>2405.2600000000002</v>
      </c>
      <c r="G63" s="370">
        <f>F63*1.1</f>
        <v>2645.7860000000005</v>
      </c>
      <c r="I63" s="77"/>
      <c r="K63" s="85"/>
      <c r="L63" s="82"/>
      <c r="M63" s="87"/>
      <c r="N63" s="88"/>
      <c r="O63" s="88"/>
      <c r="P63" s="88"/>
      <c r="Q63" s="88"/>
      <c r="R63" s="88"/>
    </row>
    <row r="64" spans="1:21" ht="14.25">
      <c r="A64" s="172"/>
      <c r="B64" s="367">
        <f>B65*0.9</f>
        <v>10.0197</v>
      </c>
      <c r="C64" s="80">
        <f t="dataTable" ref="C64:G68" dt2D="1" dtr="1" r1="D38" r2="D39"/>
        <v>118.10689779009878</v>
      </c>
      <c r="D64" s="80">
        <v>125.43589265913957</v>
      </c>
      <c r="E64" s="80">
        <v>133.57922029140713</v>
      </c>
      <c r="F64" s="80">
        <v>141.72254792367471</v>
      </c>
      <c r="G64" s="170">
        <v>150.68020831916905</v>
      </c>
      <c r="I64" s="77"/>
      <c r="K64" s="85"/>
      <c r="L64" s="82"/>
      <c r="M64" s="89"/>
      <c r="N64" s="278"/>
      <c r="O64" s="278"/>
      <c r="P64" s="278"/>
      <c r="Q64" s="278"/>
      <c r="R64" s="278"/>
      <c r="S64" s="82"/>
      <c r="T64" s="82"/>
    </row>
    <row r="65" spans="1:24" ht="15">
      <c r="A65" s="172"/>
      <c r="B65" s="367">
        <f>B66*0.9</f>
        <v>11.132999999999999</v>
      </c>
      <c r="C65" s="80">
        <v>125.43589265913957</v>
      </c>
      <c r="D65" s="80">
        <v>133.57922029140713</v>
      </c>
      <c r="E65" s="80">
        <v>142.62736210503775</v>
      </c>
      <c r="F65" s="80">
        <v>151.67550391866843</v>
      </c>
      <c r="G65" s="170">
        <v>161.62845991366211</v>
      </c>
      <c r="I65" s="90"/>
      <c r="K65" s="90"/>
      <c r="L65" s="82"/>
      <c r="M65" s="89"/>
      <c r="N65" s="278"/>
      <c r="O65" s="278"/>
      <c r="P65" s="278"/>
      <c r="Q65" s="278"/>
      <c r="R65" s="278"/>
    </row>
    <row r="66" spans="1:24" ht="15">
      <c r="A66" s="173" t="s">
        <v>154</v>
      </c>
      <c r="B66" s="367">
        <v>12.37</v>
      </c>
      <c r="C66" s="80">
        <v>133.57922029140713</v>
      </c>
      <c r="D66" s="80">
        <v>142.62736210503778</v>
      </c>
      <c r="E66" s="80">
        <v>152.68085300907182</v>
      </c>
      <c r="F66" s="80">
        <v>162.73434391310582</v>
      </c>
      <c r="G66" s="170">
        <v>173.79318390754329</v>
      </c>
      <c r="H66" s="80"/>
      <c r="I66" s="168"/>
      <c r="K66" s="90"/>
      <c r="L66" s="82"/>
      <c r="M66" s="89"/>
      <c r="N66" s="278"/>
      <c r="O66" s="278"/>
      <c r="P66" s="91"/>
      <c r="Q66" s="278"/>
      <c r="R66" s="278"/>
      <c r="U66" s="81"/>
    </row>
    <row r="67" spans="1:24" ht="15">
      <c r="A67" s="172"/>
      <c r="B67" s="367">
        <f>B66*1.1</f>
        <v>13.607000000000001</v>
      </c>
      <c r="C67" s="80">
        <v>141.72254792367471</v>
      </c>
      <c r="D67" s="80">
        <v>151.67550391866843</v>
      </c>
      <c r="E67" s="80">
        <v>162.73434391310582</v>
      </c>
      <c r="F67" s="80">
        <v>173.79318390754329</v>
      </c>
      <c r="G67" s="170">
        <v>185.95790790142451</v>
      </c>
      <c r="I67" s="90"/>
      <c r="J67" s="84"/>
      <c r="K67" s="77"/>
      <c r="L67" s="77"/>
      <c r="M67" s="77"/>
      <c r="N67" s="89"/>
      <c r="O67" s="92"/>
      <c r="P67" s="92"/>
      <c r="Q67" s="92"/>
      <c r="R67" s="92"/>
      <c r="U67" s="79"/>
    </row>
    <row r="68" spans="1:24" ht="15">
      <c r="A68" s="174"/>
      <c r="B68" s="368">
        <f>B67*1.1</f>
        <v>14.967700000000002</v>
      </c>
      <c r="C68" s="266">
        <v>150.68020831916905</v>
      </c>
      <c r="D68" s="266">
        <v>161.62845991366211</v>
      </c>
      <c r="E68" s="266">
        <v>173.79318390754329</v>
      </c>
      <c r="F68" s="266">
        <v>185.95790790142451</v>
      </c>
      <c r="G68" s="267">
        <v>199.33910429469378</v>
      </c>
      <c r="I68" s="90"/>
      <c r="J68" s="84"/>
      <c r="K68" s="77"/>
      <c r="L68" s="77"/>
      <c r="M68" s="77"/>
      <c r="N68" s="89"/>
      <c r="O68" s="92"/>
      <c r="P68" s="92"/>
      <c r="Q68" s="92"/>
      <c r="R68" s="92"/>
    </row>
    <row r="69" spans="1:24" ht="15">
      <c r="I69" s="81"/>
      <c r="J69" s="77"/>
      <c r="K69" s="90"/>
      <c r="L69" s="93"/>
      <c r="M69" s="94"/>
      <c r="N69" s="94"/>
      <c r="O69" s="94"/>
      <c r="P69" s="94"/>
      <c r="Q69" s="94"/>
      <c r="R69" s="81"/>
    </row>
    <row r="70" spans="1:24" ht="15">
      <c r="I70" s="90"/>
      <c r="J70" s="77"/>
      <c r="K70" s="79"/>
      <c r="L70" s="79"/>
      <c r="M70" s="79"/>
      <c r="N70" s="79"/>
      <c r="O70" s="79"/>
      <c r="P70" s="95"/>
      <c r="Q70" s="79"/>
      <c r="R70" s="79"/>
      <c r="S70" s="92"/>
    </row>
    <row r="71" spans="1:24" ht="15.75">
      <c r="S71" s="92"/>
      <c r="U71" s="96"/>
    </row>
    <row r="72" spans="1:24" ht="15.75">
      <c r="S72" s="81"/>
      <c r="T72" s="81"/>
      <c r="U72" s="96"/>
      <c r="W72" s="96"/>
    </row>
    <row r="73" spans="1:24" ht="15.75">
      <c r="S73" s="79"/>
      <c r="T73" s="79"/>
      <c r="U73" s="96"/>
      <c r="W73" s="96"/>
    </row>
    <row r="74" spans="1:24" ht="15.75">
      <c r="J74" s="82"/>
      <c r="K74" s="82"/>
      <c r="L74" s="82"/>
      <c r="M74" s="82"/>
      <c r="N74" s="82"/>
      <c r="O74" s="82"/>
      <c r="P74" s="82"/>
      <c r="Q74" s="82"/>
      <c r="R74" s="82"/>
      <c r="S74" s="82"/>
      <c r="T74" s="82"/>
      <c r="U74" s="96"/>
      <c r="W74" s="96"/>
    </row>
    <row r="75" spans="1:24" ht="15.75">
      <c r="J75" s="82"/>
      <c r="K75" s="82"/>
      <c r="L75" s="82"/>
      <c r="M75" s="82"/>
      <c r="N75" s="82"/>
      <c r="O75" s="82"/>
      <c r="P75" s="82"/>
      <c r="Q75" s="82"/>
      <c r="R75" s="82"/>
      <c r="S75" s="82"/>
      <c r="T75" s="82"/>
      <c r="U75" s="96"/>
      <c r="V75" s="96"/>
      <c r="W75" s="96"/>
    </row>
    <row r="76" spans="1:24" ht="15.75">
      <c r="J76" s="82"/>
      <c r="K76" s="82"/>
      <c r="L76" s="82"/>
      <c r="M76" s="82"/>
      <c r="N76" s="82"/>
      <c r="O76" s="82"/>
      <c r="P76" s="82"/>
      <c r="Q76" s="82"/>
      <c r="R76" s="82"/>
      <c r="S76" s="82"/>
      <c r="T76" s="82"/>
      <c r="U76" s="96"/>
      <c r="V76" s="96"/>
      <c r="W76" s="96"/>
    </row>
    <row r="77" spans="1:24" ht="15.75">
      <c r="M77" s="96"/>
      <c r="N77" s="96"/>
      <c r="O77" s="96"/>
      <c r="P77" s="96"/>
      <c r="Q77" s="96"/>
      <c r="R77" s="96"/>
      <c r="S77" s="96"/>
      <c r="T77" s="96"/>
      <c r="U77" s="96"/>
      <c r="V77" s="96"/>
      <c r="W77" s="96"/>
    </row>
    <row r="78" spans="1:24" ht="15.75">
      <c r="M78" s="96"/>
      <c r="N78" s="96"/>
      <c r="O78" s="96"/>
      <c r="P78" s="96"/>
      <c r="Q78" s="96"/>
      <c r="R78" s="96"/>
      <c r="S78" s="96"/>
      <c r="T78" s="96"/>
      <c r="U78" s="96"/>
      <c r="V78" s="96"/>
      <c r="W78" s="96"/>
      <c r="X78" s="96"/>
    </row>
    <row r="79" spans="1:24" ht="15.75">
      <c r="M79" s="96"/>
      <c r="N79" s="96"/>
      <c r="O79" s="96"/>
      <c r="P79" s="96"/>
      <c r="Q79" s="96"/>
      <c r="R79" s="96"/>
      <c r="S79" s="96"/>
      <c r="T79" s="96"/>
      <c r="U79" s="96"/>
      <c r="V79" s="96"/>
      <c r="W79" s="96"/>
      <c r="X79" s="96"/>
    </row>
    <row r="80" spans="1:24" ht="15.75">
      <c r="V80" s="96"/>
      <c r="W80" s="96"/>
      <c r="X80" s="96"/>
    </row>
    <row r="81" spans="22:24" ht="15.75">
      <c r="V81" s="96"/>
      <c r="W81" s="96"/>
      <c r="X81" s="96"/>
    </row>
  </sheetData>
  <mergeCells count="2">
    <mergeCell ref="B54:G54"/>
    <mergeCell ref="B62:G62"/>
  </mergeCells>
  <phoneticPr fontId="27" type="noConversion"/>
  <conditionalFormatting sqref="C56:G60">
    <cfRule type="colorScale" priority="1">
      <colorScale>
        <cfvo type="min"/>
        <cfvo type="percentile" val="50"/>
        <cfvo type="max"/>
        <color rgb="FFF8696B"/>
        <color rgb="FFFFEB84"/>
        <color rgb="FF63BE7B"/>
      </colorScale>
    </cfRule>
  </conditionalFormatting>
  <conditionalFormatting sqref="C64:G68">
    <cfRule type="colorScale" priority="2">
      <colorScale>
        <cfvo type="min"/>
        <cfvo type="percentile" val="50"/>
        <cfvo type="max"/>
        <color rgb="FFF8696B"/>
        <color rgb="FFFFEB84"/>
        <color rgb="FF63BE7B"/>
      </colorScale>
    </cfRule>
  </conditionalFormatting>
  <pageMargins left="0.7" right="0.7" top="0.75" bottom="0.75" header="0.3" footer="0.3"/>
  <legacyDrawing r:id="rId1"/>
  <tableParts count="4">
    <tablePart r:id="rId2"/>
    <tablePart r:id="rId3"/>
    <tablePart r:id="rId4"/>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E10F6-98E6-4F36-9E28-8078719D99C9}">
  <sheetPr>
    <tabColor theme="2" tint="-0.499984740745262"/>
    <outlinePr summaryBelow="0" summaryRight="0"/>
    <pageSetUpPr autoPageBreaks="0"/>
  </sheetPr>
  <dimension ref="A5:IU72"/>
  <sheetViews>
    <sheetView zoomScale="73" workbookViewId="0">
      <selection activeCell="E31" sqref="E31"/>
    </sheetView>
  </sheetViews>
  <sheetFormatPr defaultColWidth="8.86328125" defaultRowHeight="10.15"/>
  <cols>
    <col min="1" max="1" width="45.86328125" customWidth="1"/>
    <col min="2" max="7" width="14.86328125" customWidth="1"/>
  </cols>
  <sheetData>
    <row r="5" spans="1:255" ht="16.149999999999999">
      <c r="A5" s="1" t="s">
        <v>253</v>
      </c>
    </row>
    <row r="7" spans="1:255">
      <c r="A7" s="2" t="s">
        <v>254</v>
      </c>
      <c r="B7" s="3" t="s">
        <v>255</v>
      </c>
      <c r="C7" t="s">
        <v>256</v>
      </c>
      <c r="D7" s="4" t="s">
        <v>257</v>
      </c>
      <c r="E7" s="3" t="s">
        <v>258</v>
      </c>
      <c r="F7" t="s">
        <v>259</v>
      </c>
    </row>
    <row r="8" spans="1:255">
      <c r="A8" s="4"/>
      <c r="B8" s="3" t="s">
        <v>260</v>
      </c>
      <c r="C8" t="s">
        <v>261</v>
      </c>
      <c r="D8" s="4" t="s">
        <v>257</v>
      </c>
      <c r="E8" s="3" t="s">
        <v>262</v>
      </c>
      <c r="F8" t="s">
        <v>263</v>
      </c>
    </row>
    <row r="9" spans="1:255">
      <c r="A9" s="4"/>
      <c r="B9" s="3" t="s">
        <v>264</v>
      </c>
      <c r="C9" t="s">
        <v>265</v>
      </c>
      <c r="D9" s="4" t="s">
        <v>257</v>
      </c>
      <c r="E9" s="3" t="s">
        <v>266</v>
      </c>
      <c r="F9" t="s">
        <v>267</v>
      </c>
    </row>
    <row r="10" spans="1:255">
      <c r="A10" s="4"/>
      <c r="B10" s="3" t="s">
        <v>268</v>
      </c>
      <c r="C10" t="s">
        <v>269</v>
      </c>
      <c r="D10" s="4" t="s">
        <v>257</v>
      </c>
      <c r="E10" s="3" t="s">
        <v>270</v>
      </c>
      <c r="F10" s="5" t="s">
        <v>271</v>
      </c>
    </row>
    <row r="11" spans="1:255">
      <c r="A11" s="4"/>
      <c r="B11" s="3" t="s">
        <v>272</v>
      </c>
      <c r="C11" t="s">
        <v>273</v>
      </c>
      <c r="D11" s="4" t="s">
        <v>257</v>
      </c>
      <c r="E11" s="26"/>
      <c r="F11" s="26"/>
    </row>
    <row r="14" spans="1:255">
      <c r="A14" s="6" t="s">
        <v>274</v>
      </c>
      <c r="B14" s="6"/>
      <c r="C14" s="6"/>
      <c r="D14" s="6"/>
      <c r="E14" s="6"/>
      <c r="F14" s="6"/>
      <c r="G14" s="6"/>
      <c r="H14" s="57"/>
      <c r="I14" s="57"/>
      <c r="J14" s="57"/>
      <c r="K14" s="57"/>
      <c r="L14" s="57"/>
      <c r="M14" s="57"/>
      <c r="N14" s="57"/>
      <c r="O14" s="57"/>
      <c r="P14" s="57"/>
      <c r="Q14" s="57"/>
      <c r="R14" s="57"/>
      <c r="S14" s="57"/>
      <c r="T14" s="57"/>
      <c r="U14" s="57"/>
      <c r="V14" s="57"/>
      <c r="W14" s="57"/>
      <c r="X14" s="57"/>
      <c r="Y14" s="57"/>
      <c r="Z14" s="57"/>
      <c r="AA14" s="57"/>
      <c r="AB14" s="57"/>
      <c r="AC14" s="57"/>
      <c r="AD14" s="57"/>
      <c r="AE14" s="57"/>
      <c r="AF14" s="57"/>
      <c r="AG14" s="57"/>
      <c r="AH14" s="57"/>
      <c r="AI14" s="57"/>
      <c r="AJ14" s="57"/>
      <c r="AK14" s="57"/>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c r="FR14" s="57"/>
      <c r="FS14" s="57"/>
      <c r="FT14" s="57"/>
      <c r="FU14" s="57"/>
      <c r="FV14" s="57"/>
      <c r="FW14" s="57"/>
      <c r="FX14" s="57"/>
      <c r="FY14" s="57"/>
      <c r="FZ14" s="57"/>
      <c r="GA14" s="57"/>
      <c r="GB14" s="57"/>
      <c r="GC14" s="57"/>
      <c r="GD14" s="57"/>
      <c r="GE14" s="57"/>
      <c r="GF14" s="57"/>
      <c r="GG14" s="57"/>
      <c r="GH14" s="57"/>
      <c r="GI14" s="57"/>
      <c r="GJ14" s="57"/>
      <c r="GK14" s="57"/>
      <c r="GL14" s="57"/>
      <c r="GM14" s="57"/>
      <c r="GN14" s="57"/>
      <c r="GO14" s="57"/>
      <c r="GP14" s="57"/>
      <c r="GQ14" s="57"/>
      <c r="GR14" s="57"/>
      <c r="GS14" s="57"/>
      <c r="GT14" s="57"/>
      <c r="GU14" s="57"/>
      <c r="GV14" s="57"/>
      <c r="GW14" s="57"/>
      <c r="GX14" s="57"/>
      <c r="GY14" s="57"/>
      <c r="GZ14" s="57"/>
      <c r="HA14" s="57"/>
      <c r="HB14" s="57"/>
      <c r="HC14" s="57"/>
      <c r="HD14" s="57"/>
      <c r="HE14" s="57"/>
      <c r="HF14" s="57"/>
      <c r="HG14" s="57"/>
      <c r="HH14" s="57"/>
      <c r="HI14" s="57"/>
      <c r="HJ14" s="57"/>
      <c r="HK14" s="57"/>
      <c r="HL14" s="57"/>
      <c r="HM14" s="57"/>
      <c r="HN14" s="57"/>
      <c r="HO14" s="57"/>
      <c r="HP14" s="57"/>
      <c r="HQ14" s="57"/>
      <c r="HR14" s="57"/>
      <c r="HS14" s="57"/>
      <c r="HT14" s="57"/>
      <c r="HU14" s="57"/>
      <c r="HV14" s="57"/>
      <c r="HW14" s="57"/>
      <c r="HX14" s="57"/>
      <c r="HY14" s="57"/>
      <c r="HZ14" s="57"/>
      <c r="IA14" s="57"/>
      <c r="IB14" s="57"/>
      <c r="IC14" s="57"/>
      <c r="ID14" s="57"/>
      <c r="IE14" s="57"/>
      <c r="IF14" s="57"/>
      <c r="IG14" s="57"/>
      <c r="IH14" s="57"/>
      <c r="II14" s="57"/>
      <c r="IJ14" s="57"/>
      <c r="IK14" s="57"/>
      <c r="IL14" s="57"/>
      <c r="IM14" s="57"/>
      <c r="IN14" s="57"/>
      <c r="IO14" s="57"/>
      <c r="IP14" s="57"/>
      <c r="IQ14" s="57"/>
      <c r="IR14" s="57"/>
      <c r="IS14" s="57"/>
      <c r="IT14" s="57"/>
      <c r="IU14" s="57"/>
    </row>
    <row r="15" spans="1:255" ht="30.4">
      <c r="A15" s="7" t="s">
        <v>275</v>
      </c>
      <c r="B15" s="12" t="s">
        <v>276</v>
      </c>
      <c r="C15" s="12" t="s">
        <v>277</v>
      </c>
      <c r="D15" s="12" t="s">
        <v>278</v>
      </c>
      <c r="E15" s="12" t="s">
        <v>279</v>
      </c>
      <c r="F15" s="12" t="s">
        <v>280</v>
      </c>
      <c r="G15" s="12" t="s">
        <v>281</v>
      </c>
    </row>
    <row r="16" spans="1:255">
      <c r="A16" s="8" t="s">
        <v>282</v>
      </c>
      <c r="B16" s="13" t="s">
        <v>283</v>
      </c>
      <c r="C16" s="13" t="s">
        <v>283</v>
      </c>
      <c r="D16" s="13" t="s">
        <v>283</v>
      </c>
      <c r="E16" s="13" t="s">
        <v>283</v>
      </c>
      <c r="F16" s="13" t="s">
        <v>283</v>
      </c>
      <c r="G16" s="13" t="s">
        <v>283</v>
      </c>
    </row>
    <row r="17" spans="1:7">
      <c r="A17" s="9" t="s">
        <v>284</v>
      </c>
      <c r="B17" s="4"/>
      <c r="C17" s="4"/>
      <c r="D17" s="4"/>
      <c r="E17" s="4"/>
      <c r="F17" s="4"/>
      <c r="G17" s="4"/>
    </row>
    <row r="18" spans="1:7">
      <c r="A18" s="9" t="s">
        <v>168</v>
      </c>
      <c r="B18" s="14">
        <v>823</v>
      </c>
      <c r="C18" s="14">
        <v>846.1</v>
      </c>
      <c r="D18" s="14">
        <v>1014.8</v>
      </c>
      <c r="E18" s="14">
        <v>928.8</v>
      </c>
      <c r="F18" s="14">
        <v>1017</v>
      </c>
      <c r="G18" s="14">
        <v>983.7</v>
      </c>
    </row>
    <row r="19" spans="1:7">
      <c r="A19" s="4" t="s">
        <v>285</v>
      </c>
      <c r="B19" s="18">
        <v>400.1</v>
      </c>
      <c r="C19" s="18">
        <v>421.4</v>
      </c>
      <c r="D19" s="18">
        <v>439</v>
      </c>
      <c r="E19" s="18">
        <v>477.7</v>
      </c>
      <c r="F19" s="18">
        <v>500.7</v>
      </c>
      <c r="G19" s="18">
        <v>510.7</v>
      </c>
    </row>
    <row r="20" spans="1:7">
      <c r="A20" s="4" t="s">
        <v>286</v>
      </c>
      <c r="B20" s="18">
        <v>58.8</v>
      </c>
      <c r="C20" s="18">
        <v>58.3</v>
      </c>
      <c r="D20" s="18">
        <v>59.3</v>
      </c>
      <c r="E20" s="18">
        <v>60.8</v>
      </c>
      <c r="F20" s="18">
        <v>59</v>
      </c>
      <c r="G20" s="18">
        <v>59</v>
      </c>
    </row>
    <row r="21" spans="1:7">
      <c r="A21" s="9" t="s">
        <v>287</v>
      </c>
      <c r="B21" s="27">
        <v>458.9</v>
      </c>
      <c r="C21" s="27">
        <v>479.7</v>
      </c>
      <c r="D21" s="27">
        <v>498.3</v>
      </c>
      <c r="E21" s="27">
        <v>538.5</v>
      </c>
      <c r="F21" s="27">
        <v>559.70000000000005</v>
      </c>
      <c r="G21" s="27">
        <v>569.70000000000005</v>
      </c>
    </row>
    <row r="22" spans="1:7">
      <c r="A22" s="4"/>
      <c r="B22" s="4"/>
      <c r="C22" s="4"/>
      <c r="D22" s="4"/>
      <c r="E22" s="4"/>
      <c r="F22" s="4"/>
      <c r="G22" s="4"/>
    </row>
    <row r="23" spans="1:7">
      <c r="A23" s="4" t="s">
        <v>288</v>
      </c>
      <c r="B23" s="18">
        <v>21.1</v>
      </c>
      <c r="C23" s="18">
        <v>25.3</v>
      </c>
      <c r="D23" s="18">
        <v>28.3</v>
      </c>
      <c r="E23" s="18">
        <v>33.299999999999997</v>
      </c>
      <c r="F23" s="18">
        <v>36.200000000000003</v>
      </c>
      <c r="G23" s="18">
        <v>36.200000000000003</v>
      </c>
    </row>
    <row r="24" spans="1:7">
      <c r="A24" s="4" t="s">
        <v>289</v>
      </c>
      <c r="B24" s="18">
        <v>-7.4</v>
      </c>
      <c r="C24" s="18">
        <v>-25.3</v>
      </c>
      <c r="D24" s="18">
        <v>-4.2</v>
      </c>
      <c r="E24" s="18">
        <v>-6.8</v>
      </c>
      <c r="F24" s="18">
        <v>-0.1</v>
      </c>
      <c r="G24" s="18">
        <v>2.8</v>
      </c>
    </row>
    <row r="25" spans="1:7">
      <c r="A25" s="4" t="s">
        <v>290</v>
      </c>
      <c r="B25" s="18" t="s">
        <v>291</v>
      </c>
      <c r="C25" s="18">
        <v>70.099999999999994</v>
      </c>
      <c r="D25" s="18" t="s">
        <v>291</v>
      </c>
      <c r="E25" s="18">
        <v>20.8</v>
      </c>
      <c r="F25" s="18" t="s">
        <v>291</v>
      </c>
      <c r="G25" s="18" t="s">
        <v>291</v>
      </c>
    </row>
    <row r="26" spans="1:7">
      <c r="A26" s="4" t="s">
        <v>292</v>
      </c>
      <c r="B26" s="18">
        <v>10.6</v>
      </c>
      <c r="C26" s="18">
        <v>8.6</v>
      </c>
      <c r="D26" s="18">
        <v>12</v>
      </c>
      <c r="E26" s="18">
        <v>13.1</v>
      </c>
      <c r="F26" s="18">
        <v>13.8</v>
      </c>
      <c r="G26" s="18">
        <v>14.3</v>
      </c>
    </row>
    <row r="27" spans="1:7">
      <c r="A27" s="4" t="s">
        <v>293</v>
      </c>
      <c r="B27" s="18">
        <v>114.9</v>
      </c>
      <c r="C27" s="18">
        <v>172.1</v>
      </c>
      <c r="D27" s="18">
        <v>139.80000000000001</v>
      </c>
      <c r="E27" s="18">
        <v>206.6</v>
      </c>
      <c r="F27" s="18">
        <v>225</v>
      </c>
      <c r="G27" s="18">
        <v>260.39999999999998</v>
      </c>
    </row>
    <row r="28" spans="1:7">
      <c r="A28" s="4" t="s">
        <v>294</v>
      </c>
      <c r="B28" s="18">
        <v>162.19999999999999</v>
      </c>
      <c r="C28" s="18">
        <v>-115.2</v>
      </c>
      <c r="D28" s="18">
        <v>-125.5</v>
      </c>
      <c r="E28" s="18">
        <v>-57.3</v>
      </c>
      <c r="F28" s="18">
        <v>-126.7</v>
      </c>
      <c r="G28" s="18">
        <v>-190.3</v>
      </c>
    </row>
    <row r="29" spans="1:7">
      <c r="A29" s="9" t="s">
        <v>295</v>
      </c>
      <c r="B29" s="27">
        <v>1583.3</v>
      </c>
      <c r="C29" s="27">
        <v>1461.4</v>
      </c>
      <c r="D29" s="27">
        <v>1563.5</v>
      </c>
      <c r="E29" s="27">
        <v>1677</v>
      </c>
      <c r="F29" s="27">
        <v>1724.9</v>
      </c>
      <c r="G29" s="27">
        <v>1676.8</v>
      </c>
    </row>
    <row r="30" spans="1:7">
      <c r="A30" s="4"/>
      <c r="B30" s="4"/>
      <c r="C30" s="4"/>
      <c r="D30" s="4"/>
      <c r="E30" s="4"/>
      <c r="F30" s="4"/>
      <c r="G30" s="4"/>
    </row>
    <row r="31" spans="1:7">
      <c r="A31" s="107" t="s">
        <v>296</v>
      </c>
      <c r="B31" s="108">
        <v>-469.2</v>
      </c>
      <c r="C31" s="108">
        <v>-497.3</v>
      </c>
      <c r="D31" s="108">
        <v>-580.70000000000005</v>
      </c>
      <c r="E31" s="108">
        <v>-482.4</v>
      </c>
      <c r="F31" s="108">
        <v>-438.2</v>
      </c>
      <c r="G31" s="108">
        <v>-412</v>
      </c>
    </row>
    <row r="32" spans="1:7">
      <c r="A32" s="4" t="s">
        <v>297</v>
      </c>
      <c r="B32" s="18">
        <v>22.4</v>
      </c>
      <c r="C32" s="18">
        <v>21.6</v>
      </c>
      <c r="D32" s="18">
        <v>1.2</v>
      </c>
      <c r="E32" s="18">
        <v>0.8</v>
      </c>
      <c r="F32" s="18">
        <v>5.6</v>
      </c>
      <c r="G32" s="18">
        <v>0.8</v>
      </c>
    </row>
    <row r="33" spans="1:7">
      <c r="A33" s="4" t="s">
        <v>298</v>
      </c>
      <c r="B33" s="18">
        <v>-1.1000000000000001</v>
      </c>
      <c r="C33" s="18">
        <v>-0.2</v>
      </c>
      <c r="D33" s="18">
        <v>-1.4</v>
      </c>
      <c r="E33" s="18" t="s">
        <v>291</v>
      </c>
      <c r="F33" s="18">
        <v>-1</v>
      </c>
      <c r="G33" s="18">
        <v>-0.7</v>
      </c>
    </row>
    <row r="34" spans="1:7">
      <c r="A34" s="4" t="s">
        <v>299</v>
      </c>
      <c r="B34" s="18" t="s">
        <v>291</v>
      </c>
      <c r="C34" s="18" t="s">
        <v>291</v>
      </c>
      <c r="D34" s="18" t="s">
        <v>291</v>
      </c>
      <c r="E34" s="18" t="s">
        <v>291</v>
      </c>
      <c r="F34" s="18" t="s">
        <v>291</v>
      </c>
      <c r="G34" s="18" t="s">
        <v>291</v>
      </c>
    </row>
    <row r="35" spans="1:7">
      <c r="A35" s="4" t="s">
        <v>300</v>
      </c>
      <c r="B35" s="18">
        <v>-50.8</v>
      </c>
      <c r="C35" s="18">
        <v>-25.5</v>
      </c>
      <c r="D35" s="18">
        <v>-16.5</v>
      </c>
      <c r="E35" s="18">
        <v>-16.600000000000001</v>
      </c>
      <c r="F35" s="18">
        <v>-14.3</v>
      </c>
      <c r="G35" s="18">
        <v>-14.3</v>
      </c>
    </row>
    <row r="36" spans="1:7">
      <c r="A36" s="4" t="s">
        <v>301</v>
      </c>
      <c r="B36" s="18">
        <v>-79.3</v>
      </c>
      <c r="C36" s="18">
        <v>-98.2</v>
      </c>
      <c r="D36" s="18">
        <v>-82.7</v>
      </c>
      <c r="E36" s="18">
        <v>-80.7</v>
      </c>
      <c r="F36" s="18">
        <v>-58.1</v>
      </c>
      <c r="G36" s="18">
        <v>-56.9</v>
      </c>
    </row>
    <row r="37" spans="1:7">
      <c r="A37" s="4" t="s">
        <v>302</v>
      </c>
      <c r="B37" s="18" t="s">
        <v>291</v>
      </c>
      <c r="C37" s="18" t="s">
        <v>291</v>
      </c>
      <c r="D37" s="18" t="s">
        <v>291</v>
      </c>
      <c r="E37" s="18">
        <v>13.3</v>
      </c>
      <c r="F37" s="18" t="s">
        <v>291</v>
      </c>
      <c r="G37" s="18" t="s">
        <v>291</v>
      </c>
    </row>
    <row r="38" spans="1:7">
      <c r="A38" s="4" t="s">
        <v>303</v>
      </c>
      <c r="B38" s="18" t="s">
        <v>291</v>
      </c>
      <c r="C38" s="18" t="s">
        <v>291</v>
      </c>
      <c r="D38" s="18" t="s">
        <v>291</v>
      </c>
      <c r="E38" s="18" t="s">
        <v>291</v>
      </c>
      <c r="F38" s="18" t="s">
        <v>291</v>
      </c>
      <c r="G38" s="18" t="s">
        <v>291</v>
      </c>
    </row>
    <row r="39" spans="1:7">
      <c r="A39" s="4" t="s">
        <v>304</v>
      </c>
      <c r="B39" s="18">
        <v>106.4</v>
      </c>
      <c r="C39" s="18">
        <v>121.8</v>
      </c>
      <c r="D39" s="18">
        <v>107.6</v>
      </c>
      <c r="E39" s="18">
        <v>109.2</v>
      </c>
      <c r="F39" s="18">
        <v>97.4</v>
      </c>
      <c r="G39" s="18">
        <v>93.2</v>
      </c>
    </row>
    <row r="40" spans="1:7">
      <c r="A40" s="9" t="s">
        <v>305</v>
      </c>
      <c r="B40" s="27">
        <v>-471.6</v>
      </c>
      <c r="C40" s="27">
        <v>-477.8</v>
      </c>
      <c r="D40" s="27">
        <v>-572.5</v>
      </c>
      <c r="E40" s="27">
        <v>-456.4</v>
      </c>
      <c r="F40" s="27">
        <v>-408.6</v>
      </c>
      <c r="G40" s="27">
        <v>-389.9</v>
      </c>
    </row>
    <row r="41" spans="1:7">
      <c r="A41" s="4"/>
      <c r="B41" s="4"/>
      <c r="C41" s="4"/>
      <c r="D41" s="4"/>
      <c r="E41" s="4"/>
      <c r="F41" s="4"/>
      <c r="G41" s="4"/>
    </row>
    <row r="42" spans="1:7">
      <c r="A42" s="4" t="s">
        <v>306</v>
      </c>
      <c r="B42" s="18" t="s">
        <v>291</v>
      </c>
      <c r="C42" s="18" t="s">
        <v>291</v>
      </c>
      <c r="D42" s="18" t="s">
        <v>291</v>
      </c>
      <c r="E42" s="18" t="s">
        <v>291</v>
      </c>
      <c r="F42" s="18" t="s">
        <v>291</v>
      </c>
      <c r="G42" s="18" t="s">
        <v>291</v>
      </c>
    </row>
    <row r="43" spans="1:7">
      <c r="A43" s="4" t="s">
        <v>307</v>
      </c>
      <c r="B43" s="18">
        <v>21.9</v>
      </c>
      <c r="C43" s="18">
        <v>330.5</v>
      </c>
      <c r="D43" s="18">
        <v>500.9</v>
      </c>
      <c r="E43" s="18">
        <v>327.5</v>
      </c>
      <c r="F43" s="18">
        <v>707.9</v>
      </c>
      <c r="G43" s="18" t="s">
        <v>291</v>
      </c>
    </row>
    <row r="44" spans="1:7">
      <c r="A44" s="9" t="s">
        <v>308</v>
      </c>
      <c r="B44" s="27">
        <v>21.9</v>
      </c>
      <c r="C44" s="27">
        <v>330.5</v>
      </c>
      <c r="D44" s="27">
        <v>500.9</v>
      </c>
      <c r="E44" s="27">
        <v>327.5</v>
      </c>
      <c r="F44" s="27">
        <v>707.9</v>
      </c>
      <c r="G44" s="27">
        <v>446.6</v>
      </c>
    </row>
    <row r="45" spans="1:7">
      <c r="A45" s="4" t="s">
        <v>309</v>
      </c>
      <c r="B45" s="18">
        <v>-0.3</v>
      </c>
      <c r="C45" s="18" t="s">
        <v>291</v>
      </c>
      <c r="D45" s="18" t="s">
        <v>291</v>
      </c>
      <c r="E45" s="18" t="s">
        <v>291</v>
      </c>
      <c r="F45" s="18" t="s">
        <v>291</v>
      </c>
      <c r="G45" s="18" t="s">
        <v>291</v>
      </c>
    </row>
    <row r="46" spans="1:7">
      <c r="A46" s="4" t="s">
        <v>310</v>
      </c>
      <c r="B46" s="18">
        <v>-284.89999999999998</v>
      </c>
      <c r="C46" s="18">
        <v>-884.8</v>
      </c>
      <c r="D46" s="18">
        <v>-457.3</v>
      </c>
      <c r="E46" s="18">
        <v>-604.20000000000005</v>
      </c>
      <c r="F46" s="18">
        <v>-713.1</v>
      </c>
      <c r="G46" s="18" t="s">
        <v>291</v>
      </c>
    </row>
    <row r="47" spans="1:7">
      <c r="A47" s="9" t="s">
        <v>311</v>
      </c>
      <c r="B47" s="27">
        <v>-285.2</v>
      </c>
      <c r="C47" s="27">
        <v>-884.8</v>
      </c>
      <c r="D47" s="27">
        <v>-457.3</v>
      </c>
      <c r="E47" s="27">
        <v>-604.20000000000005</v>
      </c>
      <c r="F47" s="27">
        <v>-713.1</v>
      </c>
      <c r="G47" s="27">
        <v>-379</v>
      </c>
    </row>
    <row r="48" spans="1:7">
      <c r="A48" s="4"/>
      <c r="B48" s="4"/>
      <c r="C48" s="4"/>
      <c r="D48" s="4"/>
      <c r="E48" s="4"/>
      <c r="F48" s="4"/>
      <c r="G48" s="4"/>
    </row>
    <row r="49" spans="1:7">
      <c r="A49" s="4" t="s">
        <v>312</v>
      </c>
      <c r="B49" s="18">
        <v>12.6</v>
      </c>
      <c r="C49" s="18">
        <v>21</v>
      </c>
      <c r="D49" s="18">
        <v>7.8</v>
      </c>
      <c r="E49" s="18">
        <v>18.899999999999999</v>
      </c>
      <c r="F49" s="18">
        <v>24.1</v>
      </c>
      <c r="G49" s="18">
        <v>18.8</v>
      </c>
    </row>
    <row r="50" spans="1:7">
      <c r="A50" s="4" t="s">
        <v>313</v>
      </c>
      <c r="B50" s="18">
        <v>-456.3</v>
      </c>
      <c r="C50" s="18">
        <v>-470</v>
      </c>
      <c r="D50" s="18">
        <v>-593.6</v>
      </c>
      <c r="E50" s="18">
        <v>-485.7</v>
      </c>
      <c r="F50" s="18">
        <v>-801.3</v>
      </c>
      <c r="G50" s="18">
        <v>-851.5</v>
      </c>
    </row>
    <row r="51" spans="1:7">
      <c r="A51" s="4"/>
      <c r="B51" s="4"/>
      <c r="C51" s="4"/>
      <c r="D51" s="4"/>
      <c r="E51" s="4"/>
      <c r="F51" s="4"/>
      <c r="G51" s="4"/>
    </row>
    <row r="52" spans="1:7">
      <c r="A52" s="4" t="s">
        <v>89</v>
      </c>
      <c r="B52" s="18">
        <v>-240.1</v>
      </c>
      <c r="C52" s="18">
        <v>-257.89999999999998</v>
      </c>
      <c r="D52" s="18">
        <v>-275</v>
      </c>
      <c r="E52" s="18">
        <v>-294.60000000000002</v>
      </c>
      <c r="F52" s="18">
        <v>-316.8</v>
      </c>
      <c r="G52" s="18">
        <v>-321.7</v>
      </c>
    </row>
    <row r="53" spans="1:7">
      <c r="A53" s="9" t="s">
        <v>314</v>
      </c>
      <c r="B53" s="27">
        <v>-240.1</v>
      </c>
      <c r="C53" s="27">
        <v>-257.89999999999998</v>
      </c>
      <c r="D53" s="27">
        <v>-275</v>
      </c>
      <c r="E53" s="27">
        <v>-294.60000000000002</v>
      </c>
      <c r="F53" s="27">
        <v>-316.8</v>
      </c>
      <c r="G53" s="27">
        <v>-321.7</v>
      </c>
    </row>
    <row r="54" spans="1:7">
      <c r="A54" s="4"/>
      <c r="B54" s="4"/>
      <c r="C54" s="4"/>
      <c r="D54" s="4"/>
      <c r="E54" s="4"/>
      <c r="F54" s="4"/>
      <c r="G54" s="4"/>
    </row>
    <row r="55" spans="1:7">
      <c r="A55" s="4" t="s">
        <v>315</v>
      </c>
      <c r="B55" s="18" t="s">
        <v>291</v>
      </c>
      <c r="C55" s="18" t="s">
        <v>291</v>
      </c>
      <c r="D55" s="18" t="s">
        <v>291</v>
      </c>
      <c r="E55" s="18" t="s">
        <v>291</v>
      </c>
      <c r="F55" s="18" t="s">
        <v>291</v>
      </c>
      <c r="G55" s="18" t="s">
        <v>291</v>
      </c>
    </row>
    <row r="56" spans="1:7">
      <c r="A56" s="4" t="s">
        <v>316</v>
      </c>
      <c r="B56" s="18">
        <v>-160.30000000000001</v>
      </c>
      <c r="C56" s="18">
        <v>-154.80000000000001</v>
      </c>
      <c r="D56" s="18">
        <v>-157.69999999999999</v>
      </c>
      <c r="E56" s="18">
        <v>-182.6</v>
      </c>
      <c r="F56" s="18">
        <v>-179.2</v>
      </c>
      <c r="G56" s="18">
        <v>-182.2</v>
      </c>
    </row>
    <row r="57" spans="1:7">
      <c r="A57" s="9" t="s">
        <v>317</v>
      </c>
      <c r="B57" s="27">
        <v>-1107.4000000000001</v>
      </c>
      <c r="C57" s="27">
        <v>-1416</v>
      </c>
      <c r="D57" s="27">
        <v>-974.9</v>
      </c>
      <c r="E57" s="27">
        <v>-1220.7</v>
      </c>
      <c r="F57" s="27">
        <v>-1278.4000000000001</v>
      </c>
      <c r="G57" s="27">
        <v>-1269</v>
      </c>
    </row>
    <row r="58" spans="1:7">
      <c r="A58" s="4"/>
      <c r="B58" s="4"/>
      <c r="C58" s="4"/>
      <c r="D58" s="4"/>
      <c r="E58" s="4"/>
      <c r="F58" s="4"/>
      <c r="G58" s="4"/>
    </row>
    <row r="59" spans="1:7">
      <c r="A59" s="9" t="s">
        <v>318</v>
      </c>
      <c r="B59" s="28">
        <v>4.3</v>
      </c>
      <c r="C59" s="28">
        <v>-432.4</v>
      </c>
      <c r="D59" s="28">
        <v>16.100000000000001</v>
      </c>
      <c r="E59" s="28">
        <v>-0.1</v>
      </c>
      <c r="F59" s="28">
        <v>37.9</v>
      </c>
      <c r="G59" s="28">
        <v>17.899999999999999</v>
      </c>
    </row>
    <row r="60" spans="1:7">
      <c r="A60" s="4"/>
      <c r="B60" s="4"/>
      <c r="C60" s="4"/>
      <c r="D60" s="4"/>
      <c r="E60" s="4"/>
      <c r="F60" s="4"/>
      <c r="G60" s="4"/>
    </row>
    <row r="61" spans="1:7">
      <c r="A61" s="9" t="s">
        <v>319</v>
      </c>
      <c r="B61" s="4"/>
      <c r="C61" s="4"/>
      <c r="D61" s="4"/>
      <c r="E61" s="4"/>
      <c r="F61" s="4"/>
      <c r="G61" s="4"/>
    </row>
    <row r="62" spans="1:7">
      <c r="A62" s="4" t="s">
        <v>320</v>
      </c>
      <c r="B62" s="18">
        <v>157.69999999999999</v>
      </c>
      <c r="C62" s="18">
        <v>151.19999999999999</v>
      </c>
      <c r="D62" s="18">
        <v>157.9</v>
      </c>
      <c r="E62" s="18">
        <v>182.6</v>
      </c>
      <c r="F62" s="18">
        <v>179.2</v>
      </c>
      <c r="G62" s="18">
        <v>182.2</v>
      </c>
    </row>
    <row r="63" spans="1:7">
      <c r="A63" s="4" t="s">
        <v>321</v>
      </c>
      <c r="B63" s="18">
        <v>328.1</v>
      </c>
      <c r="C63" s="18">
        <v>257.60000000000002</v>
      </c>
      <c r="D63" s="18">
        <v>309.39999999999998</v>
      </c>
      <c r="E63" s="18">
        <v>276.10000000000002</v>
      </c>
      <c r="F63" s="18">
        <v>288</v>
      </c>
      <c r="G63" s="18">
        <v>277.2</v>
      </c>
    </row>
    <row r="64" spans="1:7">
      <c r="A64" s="4" t="s">
        <v>322</v>
      </c>
      <c r="B64" s="18">
        <v>697.16250000000002</v>
      </c>
      <c r="C64" s="18">
        <v>559.63750000000005</v>
      </c>
      <c r="D64" s="18">
        <v>485.5</v>
      </c>
      <c r="E64" s="18">
        <v>777.96249999999998</v>
      </c>
      <c r="F64" s="18">
        <v>840.5625</v>
      </c>
      <c r="G64" s="18">
        <v>840.78750000000002</v>
      </c>
    </row>
    <row r="65" spans="1:7">
      <c r="A65" s="4" t="s">
        <v>323</v>
      </c>
      <c r="B65" s="18">
        <v>784.96249999999998</v>
      </c>
      <c r="C65" s="18">
        <v>641.8125</v>
      </c>
      <c r="D65" s="18">
        <v>578.72500000000002</v>
      </c>
      <c r="E65" s="18">
        <v>881.5</v>
      </c>
      <c r="F65" s="18">
        <v>942.5625</v>
      </c>
      <c r="G65" s="18">
        <v>946.91250000000002</v>
      </c>
    </row>
    <row r="66" spans="1:7">
      <c r="A66" s="4" t="s">
        <v>324</v>
      </c>
      <c r="B66" s="18">
        <v>-66.8</v>
      </c>
      <c r="C66" s="18">
        <v>100.9</v>
      </c>
      <c r="D66" s="18">
        <v>199</v>
      </c>
      <c r="E66" s="18">
        <v>28.8</v>
      </c>
      <c r="F66" s="18">
        <v>93.2</v>
      </c>
      <c r="G66" s="18">
        <v>123</v>
      </c>
    </row>
    <row r="67" spans="1:7">
      <c r="A67" s="4" t="s">
        <v>325</v>
      </c>
      <c r="B67" s="18">
        <v>-263.3</v>
      </c>
      <c r="C67" s="18">
        <v>-554.29999999999995</v>
      </c>
      <c r="D67" s="18">
        <v>43.6</v>
      </c>
      <c r="E67" s="18">
        <v>-276.7</v>
      </c>
      <c r="F67" s="18">
        <v>-5.2</v>
      </c>
      <c r="G67" s="18">
        <v>67.599999999999994</v>
      </c>
    </row>
    <row r="68" spans="1:7">
      <c r="A68" s="4" t="s">
        <v>326</v>
      </c>
      <c r="B68" s="31">
        <v>44915</v>
      </c>
      <c r="C68" s="31">
        <v>45280</v>
      </c>
      <c r="D68" s="31">
        <v>45640</v>
      </c>
      <c r="E68" s="31">
        <v>46004</v>
      </c>
      <c r="F68" s="31">
        <v>46004</v>
      </c>
      <c r="G68" s="31">
        <v>46049</v>
      </c>
    </row>
    <row r="69" spans="1:7">
      <c r="A69" s="4" t="s">
        <v>327</v>
      </c>
      <c r="B69" s="17" t="s">
        <v>328</v>
      </c>
      <c r="C69" s="17" t="s">
        <v>328</v>
      </c>
      <c r="D69" s="17" t="s">
        <v>328</v>
      </c>
      <c r="E69" s="17" t="s">
        <v>329</v>
      </c>
      <c r="F69" s="17" t="s">
        <v>330</v>
      </c>
      <c r="G69" s="17" t="s">
        <v>330</v>
      </c>
    </row>
    <row r="70" spans="1:7">
      <c r="A70" s="4" t="s">
        <v>331</v>
      </c>
      <c r="B70" s="17" t="s">
        <v>332</v>
      </c>
      <c r="C70" s="17" t="s">
        <v>332</v>
      </c>
      <c r="D70" s="17" t="s">
        <v>332</v>
      </c>
      <c r="E70" s="17" t="s">
        <v>332</v>
      </c>
      <c r="F70" s="17" t="s">
        <v>332</v>
      </c>
      <c r="G70" s="17" t="s">
        <v>333</v>
      </c>
    </row>
    <row r="71" spans="1:7">
      <c r="A71" s="4"/>
      <c r="B71" s="4"/>
      <c r="C71" s="4"/>
      <c r="D71" s="4"/>
      <c r="E71" s="4"/>
      <c r="F71" s="4"/>
      <c r="G71" s="4"/>
    </row>
    <row r="72" spans="1:7" ht="60.75">
      <c r="A72" s="36" t="s">
        <v>334</v>
      </c>
      <c r="B72" s="11"/>
      <c r="C72" s="11"/>
      <c r="D72" s="11"/>
      <c r="E72" s="11"/>
      <c r="F72" s="11"/>
      <c r="G72" s="11"/>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0ED22-CD15-4A92-A6EF-5633365C7CD8}">
  <sheetPr>
    <tabColor theme="2" tint="-0.499984740745262"/>
    <outlinePr summaryBelow="0" summaryRight="0"/>
    <pageSetUpPr autoPageBreaks="0"/>
  </sheetPr>
  <dimension ref="A5:IU110"/>
  <sheetViews>
    <sheetView topLeftCell="A12" zoomScaleNormal="100" workbookViewId="0">
      <selection activeCell="A89" sqref="A89:G89"/>
    </sheetView>
  </sheetViews>
  <sheetFormatPr defaultColWidth="8.86328125" defaultRowHeight="10.15"/>
  <cols>
    <col min="1" max="1" width="45.86328125" customWidth="1"/>
    <col min="2" max="7" width="14.86328125" customWidth="1"/>
  </cols>
  <sheetData>
    <row r="5" spans="1:255" ht="16.149999999999999">
      <c r="A5" s="1" t="s">
        <v>335</v>
      </c>
    </row>
    <row r="7" spans="1:255">
      <c r="A7" s="2" t="s">
        <v>254</v>
      </c>
      <c r="B7" s="3" t="s">
        <v>255</v>
      </c>
      <c r="C7" t="s">
        <v>256</v>
      </c>
      <c r="D7" s="4" t="s">
        <v>257</v>
      </c>
      <c r="E7" s="3" t="s">
        <v>258</v>
      </c>
      <c r="F7" t="s">
        <v>259</v>
      </c>
    </row>
    <row r="8" spans="1:255">
      <c r="A8" s="4"/>
      <c r="B8" s="3" t="s">
        <v>260</v>
      </c>
      <c r="C8" t="s">
        <v>261</v>
      </c>
      <c r="D8" s="4" t="s">
        <v>257</v>
      </c>
      <c r="E8" s="3" t="s">
        <v>262</v>
      </c>
      <c r="F8" t="s">
        <v>263</v>
      </c>
    </row>
    <row r="9" spans="1:255">
      <c r="A9" s="4"/>
      <c r="B9" s="3" t="s">
        <v>264</v>
      </c>
      <c r="C9" t="s">
        <v>265</v>
      </c>
      <c r="D9" s="4" t="s">
        <v>257</v>
      </c>
      <c r="E9" s="3" t="s">
        <v>266</v>
      </c>
      <c r="F9" t="s">
        <v>267</v>
      </c>
    </row>
    <row r="10" spans="1:255">
      <c r="A10" s="4"/>
      <c r="B10" s="3" t="s">
        <v>268</v>
      </c>
      <c r="C10" t="s">
        <v>269</v>
      </c>
      <c r="D10" s="4" t="s">
        <v>257</v>
      </c>
      <c r="E10" s="3" t="s">
        <v>270</v>
      </c>
      <c r="F10" s="5" t="s">
        <v>271</v>
      </c>
    </row>
    <row r="11" spans="1:255">
      <c r="A11" s="4"/>
      <c r="B11" s="3" t="s">
        <v>272</v>
      </c>
      <c r="C11" t="s">
        <v>273</v>
      </c>
      <c r="D11" s="4" t="s">
        <v>257</v>
      </c>
      <c r="E11" s="26"/>
      <c r="F11" s="26"/>
    </row>
    <row r="14" spans="1:255">
      <c r="A14" s="6" t="s">
        <v>336</v>
      </c>
      <c r="B14" s="6"/>
      <c r="C14" s="6"/>
      <c r="D14" s="6"/>
      <c r="E14" s="6"/>
      <c r="F14" s="6"/>
      <c r="G14" s="6"/>
      <c r="H14" s="57"/>
      <c r="I14" s="57"/>
      <c r="J14" s="57"/>
      <c r="K14" s="57"/>
      <c r="L14" s="57"/>
      <c r="M14" s="57"/>
      <c r="N14" s="57"/>
      <c r="O14" s="57"/>
      <c r="P14" s="57"/>
      <c r="Q14" s="57"/>
      <c r="R14" s="57"/>
      <c r="S14" s="57"/>
      <c r="T14" s="57"/>
      <c r="U14" s="57"/>
      <c r="V14" s="57"/>
      <c r="W14" s="57"/>
      <c r="X14" s="57"/>
      <c r="Y14" s="57"/>
      <c r="Z14" s="57"/>
      <c r="AA14" s="57"/>
      <c r="AB14" s="57"/>
      <c r="AC14" s="57"/>
      <c r="AD14" s="57"/>
      <c r="AE14" s="57"/>
      <c r="AF14" s="57"/>
      <c r="AG14" s="57"/>
      <c r="AH14" s="57"/>
      <c r="AI14" s="57"/>
      <c r="AJ14" s="57"/>
      <c r="AK14" s="57"/>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c r="FR14" s="57"/>
      <c r="FS14" s="57"/>
      <c r="FT14" s="57"/>
      <c r="FU14" s="57"/>
      <c r="FV14" s="57"/>
      <c r="FW14" s="57"/>
      <c r="FX14" s="57"/>
      <c r="FY14" s="57"/>
      <c r="FZ14" s="57"/>
      <c r="GA14" s="57"/>
      <c r="GB14" s="57"/>
      <c r="GC14" s="57"/>
      <c r="GD14" s="57"/>
      <c r="GE14" s="57"/>
      <c r="GF14" s="57"/>
      <c r="GG14" s="57"/>
      <c r="GH14" s="57"/>
      <c r="GI14" s="57"/>
      <c r="GJ14" s="57"/>
      <c r="GK14" s="57"/>
      <c r="GL14" s="57"/>
      <c r="GM14" s="57"/>
      <c r="GN14" s="57"/>
      <c r="GO14" s="57"/>
      <c r="GP14" s="57"/>
      <c r="GQ14" s="57"/>
      <c r="GR14" s="57"/>
      <c r="GS14" s="57"/>
      <c r="GT14" s="57"/>
      <c r="GU14" s="57"/>
      <c r="GV14" s="57"/>
      <c r="GW14" s="57"/>
      <c r="GX14" s="57"/>
      <c r="GY14" s="57"/>
      <c r="GZ14" s="57"/>
      <c r="HA14" s="57"/>
      <c r="HB14" s="57"/>
      <c r="HC14" s="57"/>
      <c r="HD14" s="57"/>
      <c r="HE14" s="57"/>
      <c r="HF14" s="57"/>
      <c r="HG14" s="57"/>
      <c r="HH14" s="57"/>
      <c r="HI14" s="57"/>
      <c r="HJ14" s="57"/>
      <c r="HK14" s="57"/>
      <c r="HL14" s="57"/>
      <c r="HM14" s="57"/>
      <c r="HN14" s="57"/>
      <c r="HO14" s="57"/>
      <c r="HP14" s="57"/>
      <c r="HQ14" s="57"/>
      <c r="HR14" s="57"/>
      <c r="HS14" s="57"/>
      <c r="HT14" s="57"/>
      <c r="HU14" s="57"/>
      <c r="HV14" s="57"/>
      <c r="HW14" s="57"/>
      <c r="HX14" s="57"/>
      <c r="HY14" s="57"/>
      <c r="HZ14" s="57"/>
      <c r="IA14" s="57"/>
      <c r="IB14" s="57"/>
      <c r="IC14" s="57"/>
      <c r="ID14" s="57"/>
      <c r="IE14" s="57"/>
      <c r="IF14" s="57"/>
      <c r="IG14" s="57"/>
      <c r="IH14" s="57"/>
      <c r="II14" s="57"/>
      <c r="IJ14" s="57"/>
      <c r="IK14" s="57"/>
      <c r="IL14" s="57"/>
      <c r="IM14" s="57"/>
      <c r="IN14" s="57"/>
      <c r="IO14" s="57"/>
      <c r="IP14" s="57"/>
      <c r="IQ14" s="57"/>
      <c r="IR14" s="57"/>
      <c r="IS14" s="57"/>
      <c r="IT14" s="57"/>
      <c r="IU14" s="57"/>
    </row>
    <row r="15" spans="1:255" ht="30.4">
      <c r="A15" s="7" t="s">
        <v>275</v>
      </c>
      <c r="B15" s="12" t="s">
        <v>337</v>
      </c>
      <c r="C15" s="12" t="s">
        <v>277</v>
      </c>
      <c r="D15" s="12" t="s">
        <v>278</v>
      </c>
      <c r="E15" s="12" t="s">
        <v>338</v>
      </c>
      <c r="F15" s="12" t="s">
        <v>280</v>
      </c>
      <c r="G15" s="12" t="s">
        <v>281</v>
      </c>
    </row>
    <row r="16" spans="1:255">
      <c r="A16" s="8" t="s">
        <v>282</v>
      </c>
      <c r="B16" s="13" t="s">
        <v>283</v>
      </c>
      <c r="C16" s="13" t="s">
        <v>283</v>
      </c>
      <c r="D16" s="13" t="s">
        <v>283</v>
      </c>
      <c r="E16" s="13" t="s">
        <v>283</v>
      </c>
      <c r="F16" s="13" t="s">
        <v>283</v>
      </c>
      <c r="G16" s="13" t="s">
        <v>283</v>
      </c>
    </row>
    <row r="17" spans="1:9">
      <c r="A17" s="9" t="s">
        <v>284</v>
      </c>
      <c r="B17" s="4"/>
      <c r="C17" s="4"/>
      <c r="D17" s="4"/>
      <c r="E17" s="4"/>
      <c r="F17" s="4"/>
      <c r="G17" s="4"/>
    </row>
    <row r="18" spans="1:9">
      <c r="A18" s="4" t="s">
        <v>167</v>
      </c>
      <c r="B18" s="18">
        <v>18283</v>
      </c>
      <c r="C18" s="18">
        <v>18888.900000000001</v>
      </c>
      <c r="D18" s="18">
        <v>20724.599999999999</v>
      </c>
      <c r="E18" s="18">
        <v>21219.9</v>
      </c>
      <c r="F18" s="18">
        <v>22006.7</v>
      </c>
      <c r="G18" s="18">
        <v>22175.4</v>
      </c>
    </row>
    <row r="19" spans="1:9">
      <c r="A19" s="4" t="s">
        <v>339</v>
      </c>
      <c r="B19" s="18" t="s">
        <v>291</v>
      </c>
      <c r="C19" s="18" t="s">
        <v>291</v>
      </c>
      <c r="D19" s="18" t="s">
        <v>291</v>
      </c>
      <c r="E19" s="18" t="s">
        <v>291</v>
      </c>
      <c r="F19" s="18" t="s">
        <v>291</v>
      </c>
      <c r="G19" s="18" t="s">
        <v>291</v>
      </c>
    </row>
    <row r="20" spans="1:9">
      <c r="A20" s="99" t="s">
        <v>340</v>
      </c>
      <c r="B20" s="102">
        <v>18283</v>
      </c>
      <c r="C20" s="102">
        <v>18888.900000000001</v>
      </c>
      <c r="D20" s="102">
        <v>20724.599999999999</v>
      </c>
      <c r="E20" s="102">
        <v>21219.9</v>
      </c>
      <c r="F20" s="102">
        <v>22006.7</v>
      </c>
      <c r="G20" s="102">
        <v>22175.4</v>
      </c>
      <c r="I20" s="104"/>
    </row>
    <row r="21" spans="1:9">
      <c r="A21" s="4"/>
      <c r="B21" s="4"/>
      <c r="C21" s="4"/>
      <c r="D21" s="4"/>
      <c r="E21" s="4"/>
      <c r="F21" s="4"/>
      <c r="G21" s="4"/>
    </row>
    <row r="22" spans="1:9">
      <c r="A22" s="4" t="s">
        <v>341</v>
      </c>
      <c r="B22" s="18">
        <v>14628.2</v>
      </c>
      <c r="C22" s="18">
        <v>15105.6</v>
      </c>
      <c r="D22" s="18">
        <v>16642.400000000001</v>
      </c>
      <c r="E22" s="18">
        <v>17040.599999999999</v>
      </c>
      <c r="F22" s="18">
        <v>17660.900000000001</v>
      </c>
      <c r="G22" s="18">
        <v>17796.5</v>
      </c>
    </row>
    <row r="23" spans="1:9">
      <c r="A23" s="9" t="s">
        <v>342</v>
      </c>
      <c r="B23" s="27">
        <v>3654.8</v>
      </c>
      <c r="C23" s="27">
        <v>3783.3</v>
      </c>
      <c r="D23" s="27">
        <v>4082.2</v>
      </c>
      <c r="E23" s="27">
        <v>4179.3</v>
      </c>
      <c r="F23" s="27">
        <v>4345.8</v>
      </c>
      <c r="G23" s="27">
        <v>4378.8999999999996</v>
      </c>
    </row>
    <row r="24" spans="1:9">
      <c r="A24" s="4"/>
      <c r="B24" s="4"/>
      <c r="C24" s="4"/>
      <c r="D24" s="4"/>
      <c r="E24" s="4"/>
      <c r="F24" s="4"/>
      <c r="G24" s="4"/>
    </row>
    <row r="25" spans="1:9">
      <c r="A25" s="4" t="s">
        <v>343</v>
      </c>
      <c r="B25" s="18">
        <v>1934</v>
      </c>
      <c r="C25" s="18">
        <v>1964.3</v>
      </c>
      <c r="D25" s="18">
        <v>2113.6</v>
      </c>
      <c r="E25" s="18">
        <v>2192.9</v>
      </c>
      <c r="F25" s="18">
        <v>2280.1</v>
      </c>
      <c r="G25" s="18">
        <v>2309.1999999999998</v>
      </c>
    </row>
    <row r="26" spans="1:9">
      <c r="A26" s="4" t="s">
        <v>344</v>
      </c>
      <c r="B26" s="18">
        <v>0</v>
      </c>
      <c r="C26" s="18">
        <v>0</v>
      </c>
      <c r="D26" s="18">
        <v>0</v>
      </c>
      <c r="E26" s="18" t="s">
        <v>291</v>
      </c>
      <c r="F26" s="18" t="s">
        <v>291</v>
      </c>
      <c r="G26" s="18" t="s">
        <v>291</v>
      </c>
    </row>
    <row r="27" spans="1:9">
      <c r="A27" s="107" t="s">
        <v>285</v>
      </c>
      <c r="B27" s="108">
        <v>478.3</v>
      </c>
      <c r="C27" s="108">
        <v>503.3</v>
      </c>
      <c r="D27" s="108">
        <v>525.20000000000005</v>
      </c>
      <c r="E27" s="108">
        <v>570.4</v>
      </c>
      <c r="F27" s="108">
        <v>594.4</v>
      </c>
      <c r="G27" s="108">
        <v>604.4</v>
      </c>
    </row>
    <row r="28" spans="1:9">
      <c r="A28" s="4" t="s">
        <v>345</v>
      </c>
      <c r="B28" s="18">
        <v>0</v>
      </c>
      <c r="C28" s="18">
        <v>0</v>
      </c>
      <c r="D28" s="18">
        <v>0</v>
      </c>
      <c r="E28" s="18" t="s">
        <v>291</v>
      </c>
      <c r="F28" s="18" t="s">
        <v>291</v>
      </c>
      <c r="G28" s="18" t="s">
        <v>291</v>
      </c>
    </row>
    <row r="29" spans="1:9">
      <c r="A29" s="4"/>
      <c r="B29" s="4"/>
      <c r="C29" s="4"/>
      <c r="D29" s="4"/>
      <c r="E29" s="4"/>
      <c r="F29" s="4"/>
      <c r="G29" s="4"/>
    </row>
    <row r="30" spans="1:9">
      <c r="A30" s="9" t="s">
        <v>346</v>
      </c>
      <c r="B30" s="27">
        <v>2412.3000000000002</v>
      </c>
      <c r="C30" s="27">
        <v>2467.6</v>
      </c>
      <c r="D30" s="27">
        <v>2638.8</v>
      </c>
      <c r="E30" s="27">
        <v>2763.3</v>
      </c>
      <c r="F30" s="27">
        <v>2874.5</v>
      </c>
      <c r="G30" s="27">
        <v>2913.6</v>
      </c>
    </row>
    <row r="31" spans="1:9">
      <c r="A31" s="4"/>
      <c r="B31" s="4"/>
      <c r="C31" s="4"/>
      <c r="D31" s="4"/>
      <c r="E31" s="4"/>
      <c r="F31" s="4"/>
      <c r="G31" s="4"/>
      <c r="I31" s="103"/>
    </row>
    <row r="32" spans="1:9">
      <c r="A32" s="4"/>
      <c r="B32" s="4"/>
      <c r="C32" s="4"/>
      <c r="D32" s="4"/>
      <c r="E32" s="4"/>
      <c r="F32" s="4"/>
      <c r="G32" s="4"/>
    </row>
    <row r="33" spans="1:9">
      <c r="A33" s="9" t="s">
        <v>347</v>
      </c>
      <c r="B33" s="14">
        <v>1242.5</v>
      </c>
      <c r="C33" s="14">
        <v>1315.7</v>
      </c>
      <c r="D33" s="14">
        <v>1443.4</v>
      </c>
      <c r="E33" s="14">
        <v>1416</v>
      </c>
      <c r="F33" s="14">
        <v>1471.3</v>
      </c>
      <c r="G33" s="14">
        <v>1465.3</v>
      </c>
    </row>
    <row r="34" spans="1:9">
      <c r="A34" s="9"/>
      <c r="B34" s="14"/>
      <c r="C34" s="14"/>
      <c r="D34" s="14"/>
      <c r="E34" s="14"/>
      <c r="F34" s="14"/>
      <c r="G34" s="14"/>
    </row>
    <row r="35" spans="1:9">
      <c r="A35" s="99" t="s">
        <v>348</v>
      </c>
      <c r="B35" s="105">
        <f t="shared" ref="B35:G35" si="0">B30-B27+B22</f>
        <v>16562.2</v>
      </c>
      <c r="C35" s="105">
        <f t="shared" si="0"/>
        <v>17069.900000000001</v>
      </c>
      <c r="D35" s="105">
        <f t="shared" si="0"/>
        <v>18756</v>
      </c>
      <c r="E35" s="105">
        <f t="shared" si="0"/>
        <v>19233.5</v>
      </c>
      <c r="F35" s="105">
        <f t="shared" si="0"/>
        <v>19941</v>
      </c>
      <c r="G35" s="105">
        <f t="shared" si="0"/>
        <v>20105.7</v>
      </c>
      <c r="I35" s="103"/>
    </row>
    <row r="36" spans="1:9">
      <c r="A36" s="9"/>
      <c r="B36" s="14"/>
      <c r="C36" s="14"/>
      <c r="D36" s="14"/>
      <c r="E36" s="14"/>
      <c r="F36" s="14"/>
      <c r="G36" s="14"/>
      <c r="I36" s="103"/>
    </row>
    <row r="37" spans="1:9">
      <c r="A37" s="99" t="s">
        <v>169</v>
      </c>
      <c r="B37" s="105">
        <f t="shared" ref="B37:G37" si="1">B20-B35</f>
        <v>1720.7999999999993</v>
      </c>
      <c r="C37" s="105">
        <f t="shared" si="1"/>
        <v>1819</v>
      </c>
      <c r="D37" s="105">
        <f t="shared" si="1"/>
        <v>1968.5999999999985</v>
      </c>
      <c r="E37" s="105">
        <f t="shared" si="1"/>
        <v>1986.4000000000015</v>
      </c>
      <c r="F37" s="105">
        <f t="shared" si="1"/>
        <v>2065.7000000000007</v>
      </c>
      <c r="G37" s="105">
        <f t="shared" si="1"/>
        <v>2069.7000000000007</v>
      </c>
    </row>
    <row r="38" spans="1:9">
      <c r="A38" s="4"/>
      <c r="B38" s="4"/>
      <c r="C38" s="4"/>
      <c r="D38" s="4"/>
      <c r="E38" s="4"/>
      <c r="F38" s="4"/>
      <c r="G38" s="4"/>
    </row>
    <row r="39" spans="1:9">
      <c r="A39" s="4" t="s">
        <v>349</v>
      </c>
      <c r="B39" s="18">
        <v>-143.19999999999999</v>
      </c>
      <c r="C39" s="18">
        <v>-134.19999999999999</v>
      </c>
      <c r="D39" s="18">
        <v>-151.4</v>
      </c>
      <c r="E39" s="18">
        <v>-167.9</v>
      </c>
      <c r="F39" s="18">
        <v>-165.6</v>
      </c>
      <c r="G39" s="18">
        <v>-172.2</v>
      </c>
    </row>
    <row r="40" spans="1:9">
      <c r="A40" s="4" t="s">
        <v>350</v>
      </c>
      <c r="B40" s="18">
        <v>14.3</v>
      </c>
      <c r="C40" s="18">
        <v>17.2</v>
      </c>
      <c r="D40" s="18">
        <v>25.9</v>
      </c>
      <c r="E40" s="18">
        <v>16.2</v>
      </c>
      <c r="F40" s="18">
        <v>14.7</v>
      </c>
      <c r="G40" s="18">
        <v>14.7</v>
      </c>
    </row>
    <row r="41" spans="1:9">
      <c r="A41" s="9" t="s">
        <v>351</v>
      </c>
      <c r="B41" s="27">
        <v>-128.9</v>
      </c>
      <c r="C41" s="27">
        <v>-117</v>
      </c>
      <c r="D41" s="27">
        <v>-125.5</v>
      </c>
      <c r="E41" s="27">
        <v>-151.69999999999999</v>
      </c>
      <c r="F41" s="27">
        <v>-150.9</v>
      </c>
      <c r="G41" s="27">
        <v>-157.5</v>
      </c>
    </row>
    <row r="42" spans="1:9">
      <c r="A42" s="4"/>
      <c r="B42" s="4"/>
      <c r="C42" s="4"/>
      <c r="D42" s="4"/>
      <c r="E42" s="4"/>
      <c r="F42" s="4"/>
      <c r="G42" s="4"/>
    </row>
    <row r="43" spans="1:9">
      <c r="A43" s="4" t="s">
        <v>352</v>
      </c>
      <c r="B43" s="18">
        <v>-0.3</v>
      </c>
      <c r="C43" s="18">
        <v>-0.3</v>
      </c>
      <c r="D43" s="18">
        <v>-0.3</v>
      </c>
      <c r="E43" s="18">
        <v>-0.2</v>
      </c>
      <c r="F43" s="18">
        <v>-0.3</v>
      </c>
      <c r="G43" s="18">
        <v>-0.3</v>
      </c>
    </row>
    <row r="44" spans="1:9">
      <c r="A44" s="9" t="s">
        <v>353</v>
      </c>
      <c r="B44" s="27">
        <v>1113.3</v>
      </c>
      <c r="C44" s="27">
        <v>1198.4000000000001</v>
      </c>
      <c r="D44" s="27">
        <v>1317.6</v>
      </c>
      <c r="E44" s="27">
        <v>1264.0999999999999</v>
      </c>
      <c r="F44" s="27">
        <v>1320.1</v>
      </c>
      <c r="G44" s="27">
        <v>1307.5</v>
      </c>
    </row>
    <row r="45" spans="1:9">
      <c r="A45" s="4"/>
      <c r="B45" s="4"/>
      <c r="C45" s="4"/>
      <c r="D45" s="4"/>
      <c r="E45" s="4"/>
      <c r="F45" s="4"/>
      <c r="G45" s="4"/>
    </row>
    <row r="46" spans="1:9">
      <c r="A46" s="4" t="s">
        <v>354</v>
      </c>
      <c r="B46" s="18" t="s">
        <v>291</v>
      </c>
      <c r="C46" s="18" t="s">
        <v>291</v>
      </c>
      <c r="D46" s="18" t="s">
        <v>291</v>
      </c>
      <c r="E46" s="18" t="s">
        <v>291</v>
      </c>
      <c r="F46" s="18" t="s">
        <v>291</v>
      </c>
      <c r="G46" s="18" t="s">
        <v>291</v>
      </c>
    </row>
    <row r="47" spans="1:9">
      <c r="A47" s="4" t="s">
        <v>355</v>
      </c>
      <c r="B47" s="18">
        <v>7.4</v>
      </c>
      <c r="C47" s="18">
        <v>25.3</v>
      </c>
      <c r="D47" s="18">
        <v>4.2</v>
      </c>
      <c r="E47" s="18">
        <v>6.8</v>
      </c>
      <c r="F47" s="18">
        <v>0.1</v>
      </c>
      <c r="G47" s="18">
        <v>-2.8</v>
      </c>
    </row>
    <row r="48" spans="1:9">
      <c r="A48" s="4" t="s">
        <v>356</v>
      </c>
      <c r="B48" s="18" t="s">
        <v>291</v>
      </c>
      <c r="C48" s="18">
        <v>-70.099999999999994</v>
      </c>
      <c r="D48" s="18" t="s">
        <v>291</v>
      </c>
      <c r="E48" s="18">
        <v>-20.8</v>
      </c>
      <c r="F48" s="18" t="s">
        <v>291</v>
      </c>
      <c r="G48" s="18" t="s">
        <v>291</v>
      </c>
    </row>
    <row r="49" spans="1:7">
      <c r="A49" s="4" t="s">
        <v>357</v>
      </c>
      <c r="B49" s="18" t="s">
        <v>291</v>
      </c>
      <c r="C49" s="18" t="s">
        <v>291</v>
      </c>
      <c r="D49" s="18" t="s">
        <v>291</v>
      </c>
      <c r="E49" s="18" t="s">
        <v>291</v>
      </c>
      <c r="F49" s="18" t="s">
        <v>291</v>
      </c>
      <c r="G49" s="18" t="s">
        <v>291</v>
      </c>
    </row>
    <row r="50" spans="1:7">
      <c r="A50" s="9" t="s">
        <v>358</v>
      </c>
      <c r="B50" s="27">
        <v>1120.7</v>
      </c>
      <c r="C50" s="27">
        <v>1153.5999999999999</v>
      </c>
      <c r="D50" s="27">
        <v>1321.8</v>
      </c>
      <c r="E50" s="27">
        <v>1250.0999999999999</v>
      </c>
      <c r="F50" s="27">
        <v>1320.2</v>
      </c>
      <c r="G50" s="27">
        <v>1304.7</v>
      </c>
    </row>
    <row r="51" spans="1:7">
      <c r="A51" s="4"/>
      <c r="B51" s="4"/>
      <c r="C51" s="4"/>
      <c r="D51" s="4"/>
      <c r="E51" s="4"/>
      <c r="F51" s="4"/>
      <c r="G51" s="4"/>
    </row>
    <row r="52" spans="1:7">
      <c r="A52" s="4" t="s">
        <v>359</v>
      </c>
      <c r="B52" s="18">
        <v>295</v>
      </c>
      <c r="C52" s="18">
        <v>304.10000000000002</v>
      </c>
      <c r="D52" s="18">
        <v>303</v>
      </c>
      <c r="E52" s="18">
        <v>318.39999999999998</v>
      </c>
      <c r="F52" s="18">
        <v>300.7</v>
      </c>
      <c r="G52" s="18">
        <v>318.39999999999998</v>
      </c>
    </row>
    <row r="53" spans="1:7">
      <c r="A53" s="9" t="s">
        <v>360</v>
      </c>
      <c r="B53" s="27">
        <v>825.7</v>
      </c>
      <c r="C53" s="27">
        <v>849.5</v>
      </c>
      <c r="D53" s="27">
        <v>1018.8</v>
      </c>
      <c r="E53" s="27">
        <v>931.7</v>
      </c>
      <c r="F53" s="27">
        <v>1019.5</v>
      </c>
      <c r="G53" s="27">
        <v>986.3</v>
      </c>
    </row>
    <row r="54" spans="1:7">
      <c r="A54" s="4"/>
      <c r="B54" s="4"/>
      <c r="C54" s="4"/>
      <c r="D54" s="4"/>
      <c r="E54" s="4"/>
      <c r="F54" s="4"/>
      <c r="G54" s="4"/>
    </row>
    <row r="55" spans="1:7">
      <c r="A55" s="4" t="s">
        <v>361</v>
      </c>
      <c r="B55" s="18" t="s">
        <v>291</v>
      </c>
      <c r="C55" s="18" t="s">
        <v>291</v>
      </c>
      <c r="D55" s="18" t="s">
        <v>291</v>
      </c>
      <c r="E55" s="18" t="s">
        <v>291</v>
      </c>
      <c r="F55" s="18" t="s">
        <v>291</v>
      </c>
      <c r="G55" s="18" t="s">
        <v>291</v>
      </c>
    </row>
    <row r="56" spans="1:7">
      <c r="A56" s="4" t="s">
        <v>362</v>
      </c>
      <c r="B56" s="18" t="s">
        <v>291</v>
      </c>
      <c r="C56" s="18" t="s">
        <v>291</v>
      </c>
      <c r="D56" s="18" t="s">
        <v>291</v>
      </c>
      <c r="E56" s="18" t="s">
        <v>291</v>
      </c>
      <c r="F56" s="18" t="s">
        <v>291</v>
      </c>
      <c r="G56" s="18" t="s">
        <v>291</v>
      </c>
    </row>
    <row r="57" spans="1:7">
      <c r="A57" s="9" t="s">
        <v>363</v>
      </c>
      <c r="B57" s="27">
        <v>825.7</v>
      </c>
      <c r="C57" s="27">
        <v>849.5</v>
      </c>
      <c r="D57" s="27">
        <v>1018.8</v>
      </c>
      <c r="E57" s="27">
        <v>931.7</v>
      </c>
      <c r="F57" s="27">
        <v>1019.5</v>
      </c>
      <c r="G57" s="27">
        <v>986.3</v>
      </c>
    </row>
    <row r="58" spans="1:7">
      <c r="A58" s="4"/>
      <c r="B58" s="4"/>
      <c r="C58" s="4"/>
      <c r="D58" s="4"/>
      <c r="E58" s="4"/>
      <c r="F58" s="4"/>
      <c r="G58" s="4"/>
    </row>
    <row r="59" spans="1:7">
      <c r="A59" s="4" t="s">
        <v>364</v>
      </c>
      <c r="B59" s="18">
        <v>-2.7</v>
      </c>
      <c r="C59" s="18">
        <v>-3.4</v>
      </c>
      <c r="D59" s="18">
        <v>-4</v>
      </c>
      <c r="E59" s="18">
        <v>-2.9</v>
      </c>
      <c r="F59" s="18">
        <v>-2.5</v>
      </c>
      <c r="G59" s="18">
        <v>-2.6</v>
      </c>
    </row>
    <row r="60" spans="1:7">
      <c r="A60" s="9" t="s">
        <v>365</v>
      </c>
      <c r="B60" s="28">
        <v>823</v>
      </c>
      <c r="C60" s="28">
        <v>846.1</v>
      </c>
      <c r="D60" s="28">
        <v>1014.8</v>
      </c>
      <c r="E60" s="28">
        <v>928.8</v>
      </c>
      <c r="F60" s="28">
        <v>1017</v>
      </c>
      <c r="G60" s="28">
        <v>983.7</v>
      </c>
    </row>
    <row r="61" spans="1:7">
      <c r="A61" s="4"/>
      <c r="B61" s="4"/>
      <c r="C61" s="4"/>
      <c r="D61" s="4"/>
      <c r="E61" s="4"/>
      <c r="F61" s="4"/>
      <c r="G61" s="4"/>
    </row>
    <row r="62" spans="1:7">
      <c r="A62" s="4" t="s">
        <v>366</v>
      </c>
      <c r="B62" s="18" t="s">
        <v>291</v>
      </c>
      <c r="C62" s="18" t="s">
        <v>291</v>
      </c>
      <c r="D62" s="18" t="s">
        <v>291</v>
      </c>
      <c r="E62" s="18" t="s">
        <v>291</v>
      </c>
      <c r="F62" s="18" t="s">
        <v>291</v>
      </c>
      <c r="G62" s="18" t="s">
        <v>291</v>
      </c>
    </row>
    <row r="63" spans="1:7">
      <c r="A63" s="4"/>
      <c r="B63" s="4"/>
      <c r="C63" s="4"/>
      <c r="D63" s="4"/>
      <c r="E63" s="4"/>
      <c r="F63" s="4"/>
      <c r="G63" s="4"/>
    </row>
    <row r="64" spans="1:7">
      <c r="A64" s="9" t="s">
        <v>367</v>
      </c>
      <c r="B64" s="14">
        <v>823</v>
      </c>
      <c r="C64" s="14">
        <v>846.1</v>
      </c>
      <c r="D64" s="14">
        <v>1014.8</v>
      </c>
      <c r="E64" s="14">
        <v>928.8</v>
      </c>
      <c r="F64" s="14">
        <v>1017</v>
      </c>
      <c r="G64" s="14">
        <v>983.7</v>
      </c>
    </row>
    <row r="65" spans="1:7">
      <c r="A65" s="9" t="s">
        <v>368</v>
      </c>
      <c r="B65" s="14">
        <v>823</v>
      </c>
      <c r="C65" s="14">
        <v>846.1</v>
      </c>
      <c r="D65" s="14">
        <v>1014.8</v>
      </c>
      <c r="E65" s="14">
        <v>928.8</v>
      </c>
      <c r="F65" s="14">
        <v>1017</v>
      </c>
      <c r="G65" s="14">
        <v>983.7</v>
      </c>
    </row>
    <row r="66" spans="1:7">
      <c r="A66" s="4"/>
      <c r="B66" s="4"/>
      <c r="C66" s="4"/>
      <c r="D66" s="4"/>
      <c r="E66" s="4"/>
      <c r="F66" s="4"/>
      <c r="G66" s="4"/>
    </row>
    <row r="67" spans="1:7">
      <c r="A67" s="9" t="s">
        <v>369</v>
      </c>
      <c r="B67" s="4"/>
      <c r="C67" s="4"/>
      <c r="D67" s="4"/>
      <c r="E67" s="4"/>
      <c r="F67" s="4"/>
      <c r="G67" s="4"/>
    </row>
    <row r="68" spans="1:7">
      <c r="A68" s="4" t="s">
        <v>370</v>
      </c>
      <c r="B68" s="21">
        <v>3.3428100000000001</v>
      </c>
      <c r="C68" s="21">
        <v>3.5268860000000002</v>
      </c>
      <c r="D68" s="21">
        <v>4.3647309999999999</v>
      </c>
      <c r="E68" s="21">
        <v>4.1261659999999996</v>
      </c>
      <c r="F68" s="21">
        <v>4.6459570000000001</v>
      </c>
      <c r="G68" s="21">
        <v>4.5357919999999998</v>
      </c>
    </row>
    <row r="69" spans="1:7">
      <c r="A69" s="4" t="s">
        <v>371</v>
      </c>
      <c r="B69" s="21">
        <v>3.3428100000000001</v>
      </c>
      <c r="C69" s="21">
        <v>3.5268860000000002</v>
      </c>
      <c r="D69" s="21">
        <v>4.3647309999999999</v>
      </c>
      <c r="E69" s="21">
        <v>4.1261659999999996</v>
      </c>
      <c r="F69" s="21">
        <v>4.6459570000000001</v>
      </c>
      <c r="G69" s="21">
        <v>4.5357919999999998</v>
      </c>
    </row>
    <row r="70" spans="1:7">
      <c r="A70" s="4" t="s">
        <v>372</v>
      </c>
      <c r="B70" s="18">
        <v>246.2</v>
      </c>
      <c r="C70" s="18">
        <v>239.9</v>
      </c>
      <c r="D70" s="18">
        <v>232.5</v>
      </c>
      <c r="E70" s="18">
        <v>225.1</v>
      </c>
      <c r="F70" s="18">
        <v>218.9</v>
      </c>
      <c r="G70" s="18">
        <v>216.875</v>
      </c>
    </row>
    <row r="71" spans="1:7">
      <c r="A71" s="4"/>
      <c r="B71" s="4"/>
      <c r="C71" s="4"/>
      <c r="D71" s="4"/>
      <c r="E71" s="4"/>
      <c r="F71" s="4"/>
      <c r="G71" s="4"/>
    </row>
    <row r="72" spans="1:7">
      <c r="A72" s="4" t="s">
        <v>373</v>
      </c>
      <c r="B72" s="21">
        <v>3.33</v>
      </c>
      <c r="C72" s="21">
        <v>3.51</v>
      </c>
      <c r="D72" s="21">
        <v>4.3499999999999996</v>
      </c>
      <c r="E72" s="21">
        <v>4.1100000000000003</v>
      </c>
      <c r="F72" s="21">
        <v>4.63</v>
      </c>
      <c r="G72" s="21">
        <v>4.5214600000000003</v>
      </c>
    </row>
    <row r="73" spans="1:7">
      <c r="A73" s="4" t="s">
        <v>374</v>
      </c>
      <c r="B73" s="21">
        <v>3.33</v>
      </c>
      <c r="C73" s="21">
        <v>3.51</v>
      </c>
      <c r="D73" s="21">
        <v>4.3499999999999996</v>
      </c>
      <c r="E73" s="21">
        <v>4.1100000000000003</v>
      </c>
      <c r="F73" s="21">
        <v>4.63</v>
      </c>
      <c r="G73" s="21">
        <v>4.5214600000000003</v>
      </c>
    </row>
    <row r="74" spans="1:7">
      <c r="A74" s="4" t="s">
        <v>375</v>
      </c>
      <c r="B74" s="18">
        <v>247.3</v>
      </c>
      <c r="C74" s="18">
        <v>240.8</v>
      </c>
      <c r="D74" s="18">
        <v>233.3</v>
      </c>
      <c r="E74" s="18">
        <v>225.8</v>
      </c>
      <c r="F74" s="18">
        <v>219.7</v>
      </c>
      <c r="G74" s="18">
        <v>217.67500000000001</v>
      </c>
    </row>
    <row r="75" spans="1:7">
      <c r="A75" s="4"/>
      <c r="B75" s="4"/>
      <c r="C75" s="4"/>
      <c r="D75" s="4"/>
      <c r="E75" s="4"/>
      <c r="F75" s="4"/>
      <c r="G75" s="4"/>
    </row>
    <row r="76" spans="1:7">
      <c r="A76" s="4" t="s">
        <v>376</v>
      </c>
      <c r="B76" s="21">
        <v>2.8152409999999999</v>
      </c>
      <c r="C76" s="21">
        <v>3.107961</v>
      </c>
      <c r="D76" s="21">
        <v>3.5247310000000001</v>
      </c>
      <c r="E76" s="21">
        <v>3.4969450000000002</v>
      </c>
      <c r="F76" s="21">
        <v>3.757708</v>
      </c>
      <c r="G76" s="21">
        <v>3.7560229999999999</v>
      </c>
    </row>
    <row r="77" spans="1:7">
      <c r="A77" s="4" t="s">
        <v>377</v>
      </c>
      <c r="B77" s="21">
        <v>2.8027190000000002</v>
      </c>
      <c r="C77" s="21">
        <v>3.0963449999999999</v>
      </c>
      <c r="D77" s="21">
        <v>3.5126439999999999</v>
      </c>
      <c r="E77" s="21">
        <v>3.4861040000000001</v>
      </c>
      <c r="F77" s="21">
        <v>3.7440250000000002</v>
      </c>
      <c r="G77" s="21">
        <v>3.7422179999999998</v>
      </c>
    </row>
    <row r="78" spans="1:7">
      <c r="A78" s="4"/>
      <c r="B78" s="4"/>
      <c r="C78" s="4"/>
      <c r="D78" s="4"/>
      <c r="E78" s="4"/>
      <c r="F78" s="4"/>
      <c r="G78" s="4"/>
    </row>
    <row r="79" spans="1:7">
      <c r="A79" s="4" t="s">
        <v>378</v>
      </c>
      <c r="B79" s="21">
        <v>1</v>
      </c>
      <c r="C79" s="21">
        <v>1.1000000000000001</v>
      </c>
      <c r="D79" s="21">
        <v>1.21</v>
      </c>
      <c r="E79" s="21">
        <v>1.34</v>
      </c>
      <c r="F79" s="21">
        <v>1.48</v>
      </c>
      <c r="G79" s="21">
        <v>1.48</v>
      </c>
    </row>
    <row r="80" spans="1:7">
      <c r="A80" s="4" t="s">
        <v>379</v>
      </c>
      <c r="B80" s="29">
        <v>0.29173700000000002</v>
      </c>
      <c r="C80" s="29">
        <v>0.30481000000000003</v>
      </c>
      <c r="D80" s="29">
        <v>0.27098899999999998</v>
      </c>
      <c r="E80" s="29">
        <v>0.31718299999999999</v>
      </c>
      <c r="F80" s="29">
        <v>0.311504</v>
      </c>
      <c r="G80" s="29">
        <v>0.32702999999999999</v>
      </c>
    </row>
    <row r="81" spans="1:7">
      <c r="A81" s="4"/>
      <c r="B81" s="4"/>
      <c r="C81" s="4"/>
      <c r="D81" s="4"/>
      <c r="E81" s="4"/>
      <c r="F81" s="4"/>
      <c r="G81" s="4"/>
    </row>
    <row r="82" spans="1:7">
      <c r="A82" s="4" t="s">
        <v>380</v>
      </c>
      <c r="B82" s="30">
        <v>0.2</v>
      </c>
      <c r="C82" s="30">
        <v>0.2</v>
      </c>
      <c r="D82" s="30">
        <v>0.2</v>
      </c>
      <c r="E82" s="30">
        <v>0.2</v>
      </c>
      <c r="F82" s="30">
        <v>0.2</v>
      </c>
      <c r="G82" s="30">
        <v>0.2</v>
      </c>
    </row>
    <row r="83" spans="1:7">
      <c r="A83" s="4"/>
      <c r="B83" s="4"/>
      <c r="C83" s="4"/>
      <c r="D83" s="4"/>
      <c r="E83" s="4"/>
      <c r="F83" s="4"/>
      <c r="G83" s="4"/>
    </row>
    <row r="84" spans="1:7">
      <c r="A84" s="9" t="s">
        <v>319</v>
      </c>
      <c r="B84" s="4"/>
      <c r="C84" s="4"/>
      <c r="D84" s="4"/>
      <c r="E84" s="4"/>
      <c r="F84" s="4"/>
      <c r="G84" s="4"/>
    </row>
    <row r="85" spans="1:7">
      <c r="A85" s="4" t="s">
        <v>169</v>
      </c>
      <c r="B85" s="18">
        <v>1542.8</v>
      </c>
      <c r="C85" s="18">
        <v>1634.9</v>
      </c>
      <c r="D85" s="18">
        <v>1780.7</v>
      </c>
      <c r="E85" s="18">
        <v>1790.2</v>
      </c>
      <c r="F85" s="18">
        <v>1861.6</v>
      </c>
      <c r="G85" s="18">
        <v>1865.6</v>
      </c>
    </row>
    <row r="86" spans="1:7">
      <c r="A86" s="4" t="s">
        <v>381</v>
      </c>
      <c r="B86" s="18">
        <v>1301.3</v>
      </c>
      <c r="C86" s="18">
        <v>1374</v>
      </c>
      <c r="D86" s="18">
        <v>1502.7</v>
      </c>
      <c r="E86" s="18">
        <v>1476.8</v>
      </c>
      <c r="F86" s="18">
        <v>1530.3</v>
      </c>
      <c r="G86" s="18">
        <v>1524.3</v>
      </c>
    </row>
    <row r="87" spans="1:7">
      <c r="A87" s="4" t="s">
        <v>123</v>
      </c>
      <c r="B87" s="18">
        <v>1242.5</v>
      </c>
      <c r="C87" s="18">
        <v>1315.7</v>
      </c>
      <c r="D87" s="18">
        <v>1443.4</v>
      </c>
      <c r="E87" s="18">
        <v>1416</v>
      </c>
      <c r="F87" s="18">
        <v>1471.3</v>
      </c>
      <c r="G87" s="18">
        <v>1465.3</v>
      </c>
    </row>
    <row r="88" spans="1:7">
      <c r="A88" s="4" t="s">
        <v>382</v>
      </c>
      <c r="B88" s="18">
        <v>1670.6</v>
      </c>
      <c r="C88" s="18">
        <v>1763.2</v>
      </c>
      <c r="D88" s="18">
        <v>1913.5</v>
      </c>
      <c r="E88" s="18">
        <v>1925.3</v>
      </c>
      <c r="F88" s="18">
        <v>2015.1</v>
      </c>
      <c r="G88" s="18" t="s">
        <v>74</v>
      </c>
    </row>
    <row r="89" spans="1:7">
      <c r="A89" s="107" t="s">
        <v>383</v>
      </c>
      <c r="B89" s="131">
        <v>0.26322800000000002</v>
      </c>
      <c r="C89" s="131">
        <v>0.26360899999999998</v>
      </c>
      <c r="D89" s="131">
        <v>0.22923199999999999</v>
      </c>
      <c r="E89" s="131">
        <v>0.25469900000000001</v>
      </c>
      <c r="F89" s="131">
        <v>0.227768</v>
      </c>
      <c r="G89" s="131">
        <v>0.24404000000000001</v>
      </c>
    </row>
    <row r="90" spans="1:7">
      <c r="A90" s="4" t="s">
        <v>384</v>
      </c>
      <c r="B90" s="18">
        <v>254.9</v>
      </c>
      <c r="C90" s="18">
        <v>299.10000000000002</v>
      </c>
      <c r="D90" s="18">
        <v>249.5</v>
      </c>
      <c r="E90" s="18">
        <v>293.8</v>
      </c>
      <c r="F90" s="18">
        <v>283.8</v>
      </c>
      <c r="G90" s="18">
        <v>283.8</v>
      </c>
    </row>
    <row r="91" spans="1:7">
      <c r="A91" s="4" t="s">
        <v>385</v>
      </c>
      <c r="B91" s="18">
        <v>40.1</v>
      </c>
      <c r="C91" s="18">
        <v>5</v>
      </c>
      <c r="D91" s="18">
        <v>53.5</v>
      </c>
      <c r="E91" s="18">
        <v>24.6</v>
      </c>
      <c r="F91" s="18">
        <v>16.899999999999999</v>
      </c>
      <c r="G91" s="18">
        <v>16.899999999999999</v>
      </c>
    </row>
    <row r="92" spans="1:7">
      <c r="A92" s="4"/>
      <c r="B92" s="4"/>
      <c r="C92" s="4"/>
      <c r="D92" s="4"/>
      <c r="E92" s="4"/>
      <c r="F92" s="4"/>
      <c r="G92" s="4"/>
    </row>
    <row r="93" spans="1:7">
      <c r="A93" s="4" t="s">
        <v>386</v>
      </c>
      <c r="B93" s="18">
        <v>693.11249999999995</v>
      </c>
      <c r="C93" s="18">
        <v>745.6</v>
      </c>
      <c r="D93" s="18">
        <v>819.5</v>
      </c>
      <c r="E93" s="18">
        <v>787.16250000000002</v>
      </c>
      <c r="F93" s="18">
        <v>822.5625</v>
      </c>
      <c r="G93" s="18">
        <v>814.58749999999998</v>
      </c>
    </row>
    <row r="94" spans="1:7">
      <c r="A94" s="4" t="s">
        <v>387</v>
      </c>
      <c r="B94" s="18">
        <v>155.4</v>
      </c>
      <c r="C94" s="18">
        <v>145.80000000000001</v>
      </c>
      <c r="D94" s="18">
        <v>160.19999999999999</v>
      </c>
      <c r="E94" s="18">
        <v>170.6</v>
      </c>
      <c r="F94" s="18">
        <v>175.7</v>
      </c>
      <c r="G94" s="18" t="s">
        <v>74</v>
      </c>
    </row>
    <row r="95" spans="1:7">
      <c r="A95" s="4" t="s">
        <v>388</v>
      </c>
      <c r="B95" s="18">
        <v>7.9</v>
      </c>
      <c r="C95" s="18">
        <v>3.4</v>
      </c>
      <c r="D95" s="18">
        <v>-0.8</v>
      </c>
      <c r="E95" s="18">
        <v>-4.8</v>
      </c>
      <c r="F95" s="18">
        <v>-6.3</v>
      </c>
      <c r="G95" s="18" t="s">
        <v>291</v>
      </c>
    </row>
    <row r="96" spans="1:7">
      <c r="A96" s="4" t="s">
        <v>326</v>
      </c>
      <c r="B96" s="31">
        <v>44915</v>
      </c>
      <c r="C96" s="31">
        <v>45280</v>
      </c>
      <c r="D96" s="31">
        <v>45640</v>
      </c>
      <c r="E96" s="31">
        <v>46004</v>
      </c>
      <c r="F96" s="31">
        <v>46004</v>
      </c>
      <c r="G96" s="31">
        <v>46049</v>
      </c>
    </row>
    <row r="97" spans="1:7">
      <c r="A97" s="4" t="s">
        <v>327</v>
      </c>
      <c r="B97" s="17" t="s">
        <v>389</v>
      </c>
      <c r="C97" s="17" t="s">
        <v>328</v>
      </c>
      <c r="D97" s="17" t="s">
        <v>328</v>
      </c>
      <c r="E97" s="17" t="s">
        <v>328</v>
      </c>
      <c r="F97" s="17" t="s">
        <v>330</v>
      </c>
      <c r="G97" s="17" t="s">
        <v>330</v>
      </c>
    </row>
    <row r="98" spans="1:7">
      <c r="A98" s="4" t="s">
        <v>331</v>
      </c>
      <c r="B98" s="17" t="s">
        <v>332</v>
      </c>
      <c r="C98" s="17" t="s">
        <v>332</v>
      </c>
      <c r="D98" s="17" t="s">
        <v>332</v>
      </c>
      <c r="E98" s="17" t="s">
        <v>332</v>
      </c>
      <c r="F98" s="17" t="s">
        <v>332</v>
      </c>
      <c r="G98" s="17" t="s">
        <v>333</v>
      </c>
    </row>
    <row r="99" spans="1:7">
      <c r="A99" s="4"/>
      <c r="B99" s="4"/>
      <c r="C99" s="4"/>
      <c r="D99" s="4"/>
      <c r="E99" s="4"/>
      <c r="F99" s="4"/>
      <c r="G99" s="4"/>
    </row>
    <row r="100" spans="1:7">
      <c r="A100" s="9" t="s">
        <v>390</v>
      </c>
      <c r="B100" s="4"/>
      <c r="C100" s="4"/>
      <c r="D100" s="4"/>
      <c r="E100" s="4"/>
      <c r="F100" s="4"/>
      <c r="G100" s="4"/>
    </row>
    <row r="101" spans="1:7">
      <c r="A101" s="4" t="s">
        <v>391</v>
      </c>
      <c r="B101" s="18">
        <v>127.8</v>
      </c>
      <c r="C101" s="18">
        <v>128.30000000000001</v>
      </c>
      <c r="D101" s="18">
        <v>132.80000000000001</v>
      </c>
      <c r="E101" s="18">
        <v>135.1</v>
      </c>
      <c r="F101" s="18">
        <v>153.5</v>
      </c>
      <c r="G101" s="18" t="s">
        <v>74</v>
      </c>
    </row>
    <row r="102" spans="1:7">
      <c r="A102" s="4" t="s">
        <v>392</v>
      </c>
      <c r="B102" s="18">
        <v>31.599316999999999</v>
      </c>
      <c r="C102" s="18">
        <v>31.660333999999999</v>
      </c>
      <c r="D102" s="18">
        <v>37.960614</v>
      </c>
      <c r="E102" s="18">
        <v>41.962060000000001</v>
      </c>
      <c r="F102" s="18">
        <v>45.626339999999999</v>
      </c>
      <c r="G102" s="18" t="s">
        <v>291</v>
      </c>
    </row>
    <row r="103" spans="1:7">
      <c r="A103" s="4" t="s">
        <v>393</v>
      </c>
      <c r="B103" s="18">
        <v>96.200682999999998</v>
      </c>
      <c r="C103" s="18">
        <v>96.639666000000005</v>
      </c>
      <c r="D103" s="18">
        <v>94.839386000000005</v>
      </c>
      <c r="E103" s="18">
        <v>93.13794</v>
      </c>
      <c r="F103" s="18">
        <v>107.87366</v>
      </c>
      <c r="G103" s="18" t="s">
        <v>291</v>
      </c>
    </row>
    <row r="104" spans="1:7">
      <c r="A104" s="4"/>
      <c r="B104" s="4"/>
      <c r="C104" s="4"/>
      <c r="D104" s="4"/>
      <c r="E104" s="4"/>
      <c r="F104" s="4"/>
      <c r="G104" s="4"/>
    </row>
    <row r="105" spans="1:7">
      <c r="A105" s="4" t="s">
        <v>394</v>
      </c>
      <c r="B105" s="18">
        <v>11.8</v>
      </c>
      <c r="C105" s="18">
        <v>12.6</v>
      </c>
      <c r="D105" s="18">
        <v>13.8</v>
      </c>
      <c r="E105" s="18">
        <v>18</v>
      </c>
      <c r="F105" s="18">
        <v>18.100000000000001</v>
      </c>
      <c r="G105" s="18">
        <v>18.600000000000001</v>
      </c>
    </row>
    <row r="106" spans="1:7">
      <c r="A106" s="9" t="s">
        <v>395</v>
      </c>
      <c r="B106" s="14">
        <v>11.8</v>
      </c>
      <c r="C106" s="14">
        <v>12.6</v>
      </c>
      <c r="D106" s="14">
        <v>13.8</v>
      </c>
      <c r="E106" s="14">
        <v>18</v>
      </c>
      <c r="F106" s="14">
        <v>18.100000000000001</v>
      </c>
      <c r="G106" s="14">
        <v>18.600000000000001</v>
      </c>
    </row>
    <row r="107" spans="1:7">
      <c r="A107" s="4"/>
      <c r="B107" s="4"/>
      <c r="C107" s="4"/>
      <c r="D107" s="4"/>
      <c r="E107" s="4"/>
      <c r="F107" s="4"/>
      <c r="G107" s="4"/>
    </row>
    <row r="108" spans="1:7">
      <c r="A108" s="11"/>
      <c r="B108" s="11"/>
      <c r="C108" s="11"/>
      <c r="D108" s="11"/>
      <c r="E108" s="11"/>
      <c r="F108" s="11"/>
      <c r="G108" s="11"/>
    </row>
    <row r="109" spans="1:7">
      <c r="A109" t="s">
        <v>396</v>
      </c>
    </row>
    <row r="110" spans="1:7">
      <c r="A110" s="25" t="s">
        <v>334</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D2F3F-F97B-4689-8DAD-6D167553D51B}">
  <sheetPr>
    <tabColor theme="2" tint="-0.499984740745262"/>
    <outlinePr summaryBelow="0" summaryRight="0"/>
    <pageSetUpPr autoPageBreaks="0"/>
  </sheetPr>
  <dimension ref="A5:IU99"/>
  <sheetViews>
    <sheetView zoomScaleNormal="100" workbookViewId="0">
      <selection activeCell="C72" sqref="C72"/>
    </sheetView>
  </sheetViews>
  <sheetFormatPr defaultColWidth="8.86328125" defaultRowHeight="10.15"/>
  <cols>
    <col min="1" max="1" width="45.86328125" customWidth="1"/>
    <col min="2" max="7" width="14.86328125" customWidth="1"/>
  </cols>
  <sheetData>
    <row r="5" spans="1:255" ht="16.149999999999999">
      <c r="A5" s="1" t="s">
        <v>397</v>
      </c>
    </row>
    <row r="7" spans="1:255">
      <c r="A7" s="2" t="s">
        <v>254</v>
      </c>
      <c r="B7" s="3" t="s">
        <v>255</v>
      </c>
      <c r="C7" t="s">
        <v>256</v>
      </c>
      <c r="D7" s="4" t="s">
        <v>257</v>
      </c>
      <c r="E7" s="3" t="s">
        <v>258</v>
      </c>
      <c r="F7" t="s">
        <v>259</v>
      </c>
    </row>
    <row r="8" spans="1:255">
      <c r="A8" s="4"/>
      <c r="B8" s="3" t="s">
        <v>260</v>
      </c>
      <c r="C8" t="s">
        <v>261</v>
      </c>
      <c r="D8" s="4" t="s">
        <v>257</v>
      </c>
      <c r="E8" s="3" t="s">
        <v>262</v>
      </c>
      <c r="F8" t="s">
        <v>263</v>
      </c>
    </row>
    <row r="9" spans="1:255">
      <c r="A9" s="4"/>
      <c r="B9" s="3" t="s">
        <v>264</v>
      </c>
      <c r="C9" t="s">
        <v>265</v>
      </c>
      <c r="D9" s="4" t="s">
        <v>257</v>
      </c>
      <c r="E9" s="3" t="s">
        <v>266</v>
      </c>
      <c r="F9" t="s">
        <v>267</v>
      </c>
    </row>
    <row r="10" spans="1:255">
      <c r="A10" s="4"/>
      <c r="B10" s="3" t="s">
        <v>268</v>
      </c>
      <c r="C10" t="s">
        <v>269</v>
      </c>
      <c r="D10" s="4" t="s">
        <v>257</v>
      </c>
      <c r="E10" s="3" t="s">
        <v>270</v>
      </c>
      <c r="F10" s="5" t="s">
        <v>271</v>
      </c>
    </row>
    <row r="11" spans="1:255">
      <c r="A11" s="4"/>
      <c r="B11" s="3" t="s">
        <v>272</v>
      </c>
      <c r="C11" t="s">
        <v>273</v>
      </c>
      <c r="D11" s="4" t="s">
        <v>257</v>
      </c>
      <c r="E11" s="26"/>
      <c r="F11" s="26"/>
    </row>
    <row r="14" spans="1:255">
      <c r="A14" s="6" t="s">
        <v>398</v>
      </c>
      <c r="B14" s="6"/>
      <c r="C14" s="6"/>
      <c r="D14" s="6"/>
      <c r="E14" s="6"/>
      <c r="F14" s="6"/>
      <c r="G14" s="6"/>
      <c r="H14" s="57"/>
      <c r="I14" s="57"/>
      <c r="J14" s="57"/>
      <c r="K14" s="57"/>
      <c r="L14" s="57"/>
      <c r="M14" s="57"/>
      <c r="N14" s="57"/>
      <c r="O14" s="57"/>
      <c r="P14" s="57"/>
      <c r="Q14" s="57"/>
      <c r="R14" s="57"/>
      <c r="S14" s="57"/>
      <c r="T14" s="57"/>
      <c r="U14" s="57"/>
      <c r="V14" s="57"/>
      <c r="W14" s="57"/>
      <c r="X14" s="57"/>
      <c r="Y14" s="57"/>
      <c r="Z14" s="57"/>
      <c r="AA14" s="57"/>
      <c r="AB14" s="57"/>
      <c r="AC14" s="57"/>
      <c r="AD14" s="57"/>
      <c r="AE14" s="57"/>
      <c r="AF14" s="57"/>
      <c r="AG14" s="57"/>
      <c r="AH14" s="57"/>
      <c r="AI14" s="57"/>
      <c r="AJ14" s="57"/>
      <c r="AK14" s="57"/>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c r="FR14" s="57"/>
      <c r="FS14" s="57"/>
      <c r="FT14" s="57"/>
      <c r="FU14" s="57"/>
      <c r="FV14" s="57"/>
      <c r="FW14" s="57"/>
      <c r="FX14" s="57"/>
      <c r="FY14" s="57"/>
      <c r="FZ14" s="57"/>
      <c r="GA14" s="57"/>
      <c r="GB14" s="57"/>
      <c r="GC14" s="57"/>
      <c r="GD14" s="57"/>
      <c r="GE14" s="57"/>
      <c r="GF14" s="57"/>
      <c r="GG14" s="57"/>
      <c r="GH14" s="57"/>
      <c r="GI14" s="57"/>
      <c r="GJ14" s="57"/>
      <c r="GK14" s="57"/>
      <c r="GL14" s="57"/>
      <c r="GM14" s="57"/>
      <c r="GN14" s="57"/>
      <c r="GO14" s="57"/>
      <c r="GP14" s="57"/>
      <c r="GQ14" s="57"/>
      <c r="GR14" s="57"/>
      <c r="GS14" s="57"/>
      <c r="GT14" s="57"/>
      <c r="GU14" s="57"/>
      <c r="GV14" s="57"/>
      <c r="GW14" s="57"/>
      <c r="GX14" s="57"/>
      <c r="GY14" s="57"/>
      <c r="GZ14" s="57"/>
      <c r="HA14" s="57"/>
      <c r="HB14" s="57"/>
      <c r="HC14" s="57"/>
      <c r="HD14" s="57"/>
      <c r="HE14" s="57"/>
      <c r="HF14" s="57"/>
      <c r="HG14" s="57"/>
      <c r="HH14" s="57"/>
      <c r="HI14" s="57"/>
      <c r="HJ14" s="57"/>
      <c r="HK14" s="57"/>
      <c r="HL14" s="57"/>
      <c r="HM14" s="57"/>
      <c r="HN14" s="57"/>
      <c r="HO14" s="57"/>
      <c r="HP14" s="57"/>
      <c r="HQ14" s="57"/>
      <c r="HR14" s="57"/>
      <c r="HS14" s="57"/>
      <c r="HT14" s="57"/>
      <c r="HU14" s="57"/>
      <c r="HV14" s="57"/>
      <c r="HW14" s="57"/>
      <c r="HX14" s="57"/>
      <c r="HY14" s="57"/>
      <c r="HZ14" s="57"/>
      <c r="IA14" s="57"/>
      <c r="IB14" s="57"/>
      <c r="IC14" s="57"/>
      <c r="ID14" s="57"/>
      <c r="IE14" s="57"/>
      <c r="IF14" s="57"/>
      <c r="IG14" s="57"/>
      <c r="IH14" s="57"/>
      <c r="II14" s="57"/>
      <c r="IJ14" s="57"/>
      <c r="IK14" s="57"/>
      <c r="IL14" s="57"/>
      <c r="IM14" s="57"/>
      <c r="IN14" s="57"/>
      <c r="IO14" s="57"/>
      <c r="IP14" s="57"/>
      <c r="IQ14" s="57"/>
      <c r="IR14" s="57"/>
      <c r="IS14" s="57"/>
      <c r="IT14" s="57"/>
      <c r="IU14" s="57"/>
    </row>
    <row r="15" spans="1:255" ht="20.25">
      <c r="A15" s="7" t="s">
        <v>399</v>
      </c>
      <c r="B15" s="32">
        <v>44464</v>
      </c>
      <c r="C15" s="32">
        <v>44828</v>
      </c>
      <c r="D15" s="32">
        <v>45199</v>
      </c>
      <c r="E15" s="32">
        <v>45563</v>
      </c>
      <c r="F15" s="32">
        <v>45927</v>
      </c>
      <c r="G15" s="32">
        <v>46011</v>
      </c>
    </row>
    <row r="16" spans="1:255">
      <c r="A16" s="8" t="s">
        <v>282</v>
      </c>
      <c r="B16" s="13" t="s">
        <v>283</v>
      </c>
      <c r="C16" s="13" t="s">
        <v>283</v>
      </c>
      <c r="D16" s="13" t="s">
        <v>283</v>
      </c>
      <c r="E16" s="13" t="s">
        <v>283</v>
      </c>
      <c r="F16" s="13" t="s">
        <v>283</v>
      </c>
      <c r="G16" s="13" t="s">
        <v>283</v>
      </c>
    </row>
    <row r="17" spans="1:7">
      <c r="A17" s="9" t="s">
        <v>400</v>
      </c>
      <c r="B17" s="4"/>
      <c r="C17" s="4"/>
      <c r="D17" s="4"/>
      <c r="E17" s="4"/>
      <c r="F17" s="4"/>
      <c r="G17" s="4"/>
    </row>
    <row r="18" spans="1:7">
      <c r="A18" s="4" t="s">
        <v>401</v>
      </c>
      <c r="B18" s="18">
        <v>445.8</v>
      </c>
      <c r="C18" s="18">
        <v>13.4</v>
      </c>
      <c r="D18" s="18">
        <v>29.5</v>
      </c>
      <c r="E18" s="18">
        <v>29.4</v>
      </c>
      <c r="F18" s="18">
        <v>67.3</v>
      </c>
      <c r="G18" s="18">
        <v>17.899999999999999</v>
      </c>
    </row>
    <row r="19" spans="1:7">
      <c r="A19" s="9" t="s">
        <v>402</v>
      </c>
      <c r="B19" s="27">
        <v>445.8</v>
      </c>
      <c r="C19" s="27">
        <v>13.4</v>
      </c>
      <c r="D19" s="27">
        <v>29.5</v>
      </c>
      <c r="E19" s="27">
        <v>29.4</v>
      </c>
      <c r="F19" s="27">
        <v>67.3</v>
      </c>
      <c r="G19" s="27">
        <v>17.899999999999999</v>
      </c>
    </row>
    <row r="20" spans="1:7">
      <c r="A20" s="4"/>
      <c r="B20" s="4"/>
      <c r="C20" s="4"/>
      <c r="D20" s="4"/>
      <c r="E20" s="4"/>
      <c r="F20" s="4"/>
      <c r="G20" s="4"/>
    </row>
    <row r="21" spans="1:7">
      <c r="A21" s="4" t="s">
        <v>403</v>
      </c>
      <c r="B21" s="18">
        <v>772</v>
      </c>
      <c r="C21" s="18">
        <v>775.1</v>
      </c>
      <c r="D21" s="18">
        <v>824.4</v>
      </c>
      <c r="E21" s="18">
        <v>836.3</v>
      </c>
      <c r="F21" s="18">
        <v>856</v>
      </c>
      <c r="G21" s="18">
        <v>959.1</v>
      </c>
    </row>
    <row r="22" spans="1:7">
      <c r="A22" s="4" t="s">
        <v>404</v>
      </c>
      <c r="B22" s="18">
        <v>33.4</v>
      </c>
      <c r="C22" s="18">
        <v>9.6</v>
      </c>
      <c r="D22" s="18">
        <v>32.799999999999997</v>
      </c>
      <c r="E22" s="18">
        <v>17.3</v>
      </c>
      <c r="F22" s="18">
        <v>43.9</v>
      </c>
      <c r="G22" s="18">
        <v>50.8</v>
      </c>
    </row>
    <row r="23" spans="1:7">
      <c r="A23" s="9" t="s">
        <v>405</v>
      </c>
      <c r="B23" s="27">
        <v>805.4</v>
      </c>
      <c r="C23" s="27">
        <v>784.7</v>
      </c>
      <c r="D23" s="27">
        <v>857.2</v>
      </c>
      <c r="E23" s="27">
        <v>853.6</v>
      </c>
      <c r="F23" s="27">
        <v>899.9</v>
      </c>
      <c r="G23" s="27">
        <v>1009.9</v>
      </c>
    </row>
    <row r="24" spans="1:7">
      <c r="A24" s="4"/>
      <c r="B24" s="4"/>
      <c r="C24" s="4"/>
      <c r="D24" s="4"/>
      <c r="E24" s="4"/>
      <c r="F24" s="4"/>
      <c r="G24" s="4"/>
    </row>
    <row r="25" spans="1:7">
      <c r="A25" s="4" t="s">
        <v>406</v>
      </c>
      <c r="B25" s="18">
        <v>1169</v>
      </c>
      <c r="C25" s="18">
        <v>1331.1</v>
      </c>
      <c r="D25" s="18">
        <v>1451</v>
      </c>
      <c r="E25" s="18">
        <v>1508.3</v>
      </c>
      <c r="F25" s="18">
        <v>1604.3</v>
      </c>
      <c r="G25" s="18">
        <v>1859.2</v>
      </c>
    </row>
    <row r="26" spans="1:7">
      <c r="A26" s="4" t="s">
        <v>407</v>
      </c>
      <c r="B26" s="18">
        <v>46.6</v>
      </c>
      <c r="C26" s="18">
        <v>54.1</v>
      </c>
      <c r="D26" s="18">
        <v>65.900000000000006</v>
      </c>
      <c r="E26" s="18">
        <v>73.2</v>
      </c>
      <c r="F26" s="18">
        <v>79.400000000000006</v>
      </c>
      <c r="G26" s="18">
        <v>97.5</v>
      </c>
    </row>
    <row r="27" spans="1:7">
      <c r="A27" s="4" t="s">
        <v>408</v>
      </c>
      <c r="B27" s="18" t="s">
        <v>291</v>
      </c>
      <c r="C27" s="18" t="s">
        <v>291</v>
      </c>
      <c r="D27" s="18" t="s">
        <v>291</v>
      </c>
      <c r="E27" s="18">
        <v>9.5</v>
      </c>
      <c r="F27" s="18">
        <v>10.1</v>
      </c>
      <c r="G27" s="18" t="s">
        <v>291</v>
      </c>
    </row>
    <row r="28" spans="1:7">
      <c r="A28" s="9" t="s">
        <v>409</v>
      </c>
      <c r="B28" s="27">
        <v>2466.8000000000002</v>
      </c>
      <c r="C28" s="27">
        <v>2183.3000000000002</v>
      </c>
      <c r="D28" s="27">
        <v>2403.6</v>
      </c>
      <c r="E28" s="27">
        <v>2474</v>
      </c>
      <c r="F28" s="27">
        <v>2661</v>
      </c>
      <c r="G28" s="27">
        <v>2984.5</v>
      </c>
    </row>
    <row r="29" spans="1:7">
      <c r="A29" s="4"/>
      <c r="B29" s="4"/>
      <c r="C29" s="4"/>
      <c r="D29" s="4"/>
      <c r="E29" s="4"/>
      <c r="F29" s="4"/>
      <c r="G29" s="4"/>
    </row>
    <row r="30" spans="1:7">
      <c r="A30" s="4" t="s">
        <v>410</v>
      </c>
      <c r="B30" s="18">
        <v>5979.9</v>
      </c>
      <c r="C30" s="18">
        <v>6470</v>
      </c>
      <c r="D30" s="18">
        <v>6911.3</v>
      </c>
      <c r="E30" s="18">
        <v>7336.1</v>
      </c>
      <c r="F30" s="18">
        <v>7819.1</v>
      </c>
      <c r="G30" s="18" t="s">
        <v>291</v>
      </c>
    </row>
    <row r="31" spans="1:7">
      <c r="A31" s="4" t="s">
        <v>411</v>
      </c>
      <c r="B31" s="18">
        <v>-1785.4</v>
      </c>
      <c r="C31" s="18">
        <v>-2017.2</v>
      </c>
      <c r="D31" s="18">
        <v>-2200.1999999999998</v>
      </c>
      <c r="E31" s="18">
        <v>-2430.9</v>
      </c>
      <c r="F31" s="18">
        <v>-2733.5</v>
      </c>
      <c r="G31" s="18" t="s">
        <v>291</v>
      </c>
    </row>
    <row r="32" spans="1:7">
      <c r="A32" s="9" t="s">
        <v>412</v>
      </c>
      <c r="B32" s="27">
        <v>4194.5</v>
      </c>
      <c r="C32" s="27">
        <v>4452.8</v>
      </c>
      <c r="D32" s="27">
        <v>4711.1000000000004</v>
      </c>
      <c r="E32" s="27">
        <v>4905.2</v>
      </c>
      <c r="F32" s="27">
        <v>5085.6000000000004</v>
      </c>
      <c r="G32" s="27">
        <v>5106</v>
      </c>
    </row>
    <row r="33" spans="1:7">
      <c r="A33" s="4"/>
      <c r="B33" s="4"/>
      <c r="C33" s="4"/>
      <c r="D33" s="4"/>
      <c r="E33" s="4"/>
      <c r="F33" s="4"/>
      <c r="G33" s="4"/>
    </row>
    <row r="34" spans="1:7">
      <c r="A34" s="4" t="s">
        <v>413</v>
      </c>
      <c r="B34" s="18">
        <v>3301.2</v>
      </c>
      <c r="C34" s="18">
        <v>3301.2</v>
      </c>
      <c r="D34" s="18">
        <v>3307.4</v>
      </c>
      <c r="E34" s="18">
        <v>3314.2</v>
      </c>
      <c r="F34" s="18">
        <v>3317.1</v>
      </c>
      <c r="G34" s="18">
        <v>3317.1</v>
      </c>
    </row>
    <row r="35" spans="1:7">
      <c r="A35" s="4" t="s">
        <v>414</v>
      </c>
      <c r="B35" s="18">
        <v>2854.7</v>
      </c>
      <c r="C35" s="18">
        <v>2739</v>
      </c>
      <c r="D35" s="18">
        <v>2733</v>
      </c>
      <c r="E35" s="18">
        <v>2698.9</v>
      </c>
      <c r="F35" s="18">
        <v>2661.2</v>
      </c>
      <c r="G35" s="18">
        <v>2650.6</v>
      </c>
    </row>
    <row r="36" spans="1:7">
      <c r="A36" s="4" t="s">
        <v>415</v>
      </c>
      <c r="B36" s="18">
        <v>549.6</v>
      </c>
      <c r="C36" s="18">
        <v>478.3</v>
      </c>
      <c r="D36" s="18">
        <v>426.5</v>
      </c>
      <c r="E36" s="18">
        <v>404.7</v>
      </c>
      <c r="F36" s="18">
        <v>376.2</v>
      </c>
      <c r="G36" s="18">
        <v>357</v>
      </c>
    </row>
    <row r="37" spans="1:7">
      <c r="A37" s="4" t="s">
        <v>416</v>
      </c>
      <c r="B37" s="18">
        <v>57.1</v>
      </c>
      <c r="C37" s="18">
        <v>44.8</v>
      </c>
      <c r="D37" s="18">
        <v>37.9</v>
      </c>
      <c r="E37" s="18">
        <v>35.9</v>
      </c>
      <c r="F37" s="18">
        <v>34.200000000000003</v>
      </c>
      <c r="G37" s="18">
        <v>34.200000000000003</v>
      </c>
    </row>
    <row r="38" spans="1:7">
      <c r="A38" s="4" t="s">
        <v>417</v>
      </c>
      <c r="B38" s="18">
        <v>168.2</v>
      </c>
      <c r="C38" s="18">
        <v>201.9</v>
      </c>
      <c r="D38" s="18">
        <v>245.8</v>
      </c>
      <c r="E38" s="18">
        <v>307.7</v>
      </c>
      <c r="F38" s="18">
        <v>404.1</v>
      </c>
      <c r="G38" s="18">
        <v>402.1</v>
      </c>
    </row>
    <row r="39" spans="1:7">
      <c r="A39" s="9" t="s">
        <v>418</v>
      </c>
      <c r="B39" s="28">
        <v>13592.1</v>
      </c>
      <c r="C39" s="28">
        <v>13401.3</v>
      </c>
      <c r="D39" s="28">
        <v>13865.3</v>
      </c>
      <c r="E39" s="28">
        <v>14140.6</v>
      </c>
      <c r="F39" s="28">
        <v>14539.4</v>
      </c>
      <c r="G39" s="28">
        <v>14851.5</v>
      </c>
    </row>
    <row r="40" spans="1:7">
      <c r="A40" s="4"/>
      <c r="B40" s="4"/>
      <c r="C40" s="4"/>
      <c r="D40" s="4"/>
      <c r="E40" s="4"/>
      <c r="F40" s="4"/>
      <c r="G40" s="4"/>
    </row>
    <row r="41" spans="1:7">
      <c r="A41" s="9" t="s">
        <v>419</v>
      </c>
      <c r="B41" s="4"/>
      <c r="C41" s="4"/>
      <c r="D41" s="4"/>
      <c r="E41" s="4"/>
      <c r="F41" s="4"/>
      <c r="G41" s="4"/>
    </row>
    <row r="42" spans="1:7">
      <c r="A42" s="4" t="s">
        <v>420</v>
      </c>
      <c r="B42" s="18">
        <v>1546.5</v>
      </c>
      <c r="C42" s="18">
        <v>1575.8</v>
      </c>
      <c r="D42" s="18">
        <v>1619.4</v>
      </c>
      <c r="E42" s="18">
        <v>1645.9</v>
      </c>
      <c r="F42" s="18">
        <v>1661.8</v>
      </c>
      <c r="G42" s="18">
        <v>1717.4</v>
      </c>
    </row>
    <row r="43" spans="1:7">
      <c r="A43" s="4" t="s">
        <v>421</v>
      </c>
      <c r="B43" s="18">
        <v>0.1</v>
      </c>
      <c r="C43" s="18" t="s">
        <v>291</v>
      </c>
      <c r="D43" s="18" t="s">
        <v>291</v>
      </c>
      <c r="E43" s="18" t="s">
        <v>291</v>
      </c>
      <c r="F43" s="18" t="s">
        <v>291</v>
      </c>
      <c r="G43" s="18" t="s">
        <v>291</v>
      </c>
    </row>
    <row r="44" spans="1:7">
      <c r="A44" s="4" t="s">
        <v>422</v>
      </c>
      <c r="B44" s="18">
        <v>318.5</v>
      </c>
      <c r="C44" s="18">
        <v>18.3</v>
      </c>
      <c r="D44" s="18">
        <v>19.3</v>
      </c>
      <c r="E44" s="18">
        <v>317.2</v>
      </c>
      <c r="F44" s="18">
        <v>17.2</v>
      </c>
      <c r="G44" s="18">
        <v>16.3</v>
      </c>
    </row>
    <row r="45" spans="1:7">
      <c r="A45" s="4" t="s">
        <v>423</v>
      </c>
      <c r="B45" s="18">
        <v>269.7</v>
      </c>
      <c r="C45" s="18">
        <v>276.3</v>
      </c>
      <c r="D45" s="18">
        <v>278.39999999999998</v>
      </c>
      <c r="E45" s="18">
        <v>263.60000000000002</v>
      </c>
      <c r="F45" s="18">
        <v>275.89999999999998</v>
      </c>
      <c r="G45" s="18">
        <v>278.5</v>
      </c>
    </row>
    <row r="46" spans="1:7">
      <c r="A46" s="4" t="s">
        <v>424</v>
      </c>
      <c r="B46" s="18">
        <v>25.9</v>
      </c>
      <c r="C46" s="18">
        <v>43.6</v>
      </c>
      <c r="D46" s="18">
        <v>6.9</v>
      </c>
      <c r="E46" s="18">
        <v>16.2</v>
      </c>
      <c r="F46" s="18">
        <v>54.3</v>
      </c>
      <c r="G46" s="18">
        <v>33.1</v>
      </c>
    </row>
    <row r="47" spans="1:7">
      <c r="A47" s="4" t="s">
        <v>425</v>
      </c>
      <c r="B47" s="18">
        <v>35.9</v>
      </c>
      <c r="C47" s="18">
        <v>38.5</v>
      </c>
      <c r="D47" s="18">
        <v>36.799999999999997</v>
      </c>
      <c r="E47" s="18">
        <v>42.7</v>
      </c>
      <c r="F47" s="18">
        <v>44.6</v>
      </c>
      <c r="G47" s="18">
        <v>58.8</v>
      </c>
    </row>
    <row r="48" spans="1:7">
      <c r="A48" s="4" t="s">
        <v>426</v>
      </c>
      <c r="B48" s="18">
        <v>1.6</v>
      </c>
      <c r="C48" s="18" t="s">
        <v>291</v>
      </c>
      <c r="D48" s="18" t="s">
        <v>291</v>
      </c>
      <c r="E48" s="18" t="s">
        <v>291</v>
      </c>
      <c r="F48" s="18" t="s">
        <v>291</v>
      </c>
      <c r="G48" s="18" t="s">
        <v>291</v>
      </c>
    </row>
    <row r="49" spans="1:7">
      <c r="A49" s="9" t="s">
        <v>427</v>
      </c>
      <c r="B49" s="27">
        <v>2198.1999999999998</v>
      </c>
      <c r="C49" s="27">
        <v>1952.5</v>
      </c>
      <c r="D49" s="27">
        <v>1960.8</v>
      </c>
      <c r="E49" s="27">
        <v>2285.6</v>
      </c>
      <c r="F49" s="27">
        <v>2053.8000000000002</v>
      </c>
      <c r="G49" s="27">
        <v>2104.1</v>
      </c>
    </row>
    <row r="50" spans="1:7">
      <c r="A50" s="4"/>
      <c r="B50" s="4"/>
      <c r="C50" s="4"/>
      <c r="D50" s="4"/>
      <c r="E50" s="4"/>
      <c r="F50" s="4"/>
      <c r="G50" s="4"/>
    </row>
    <row r="51" spans="1:7">
      <c r="A51" s="4" t="s">
        <v>428</v>
      </c>
      <c r="B51" s="18">
        <v>2318.1999999999998</v>
      </c>
      <c r="C51" s="18">
        <v>2339.9</v>
      </c>
      <c r="D51" s="18">
        <v>2659.1</v>
      </c>
      <c r="E51" s="18">
        <v>2358.4</v>
      </c>
      <c r="F51" s="18">
        <v>2938.1</v>
      </c>
      <c r="G51" s="18">
        <v>3175.3</v>
      </c>
    </row>
    <row r="52" spans="1:7">
      <c r="A52" s="4" t="s">
        <v>429</v>
      </c>
      <c r="B52" s="18">
        <v>1657.5</v>
      </c>
      <c r="C52" s="18">
        <v>1502.7</v>
      </c>
      <c r="D52" s="18">
        <v>1380.3</v>
      </c>
      <c r="E52" s="18">
        <v>1372.6</v>
      </c>
      <c r="F52" s="18">
        <v>1370.8</v>
      </c>
      <c r="G52" s="18">
        <v>1397.1</v>
      </c>
    </row>
    <row r="53" spans="1:7">
      <c r="A53" s="4" t="s">
        <v>430</v>
      </c>
      <c r="B53" s="18" t="s">
        <v>291</v>
      </c>
      <c r="C53" s="18">
        <v>2.8</v>
      </c>
      <c r="D53" s="18">
        <v>3</v>
      </c>
      <c r="E53" s="18" t="s">
        <v>291</v>
      </c>
      <c r="F53" s="18" t="s">
        <v>291</v>
      </c>
      <c r="G53" s="18" t="s">
        <v>291</v>
      </c>
    </row>
    <row r="54" spans="1:7">
      <c r="A54" s="4" t="s">
        <v>431</v>
      </c>
      <c r="B54" s="18">
        <v>61.5</v>
      </c>
      <c r="C54" s="18">
        <v>30</v>
      </c>
      <c r="D54" s="18">
        <v>29.4</v>
      </c>
      <c r="E54" s="18">
        <v>37.5</v>
      </c>
      <c r="F54" s="18">
        <v>38.299999999999997</v>
      </c>
      <c r="G54" s="18">
        <v>39.200000000000003</v>
      </c>
    </row>
    <row r="55" spans="1:7">
      <c r="A55" s="4" t="s">
        <v>432</v>
      </c>
      <c r="B55" s="18">
        <v>927.7</v>
      </c>
      <c r="C55" s="18">
        <v>942.2</v>
      </c>
      <c r="D55" s="18">
        <v>1001.6</v>
      </c>
      <c r="E55" s="18">
        <v>1042.2</v>
      </c>
      <c r="F55" s="18">
        <v>1088.9000000000001</v>
      </c>
      <c r="G55" s="18">
        <v>1091.9000000000001</v>
      </c>
    </row>
    <row r="56" spans="1:7">
      <c r="A56" s="4" t="s">
        <v>433</v>
      </c>
      <c r="B56" s="18">
        <v>16.2</v>
      </c>
      <c r="C56" s="18">
        <v>12.8</v>
      </c>
      <c r="D56" s="18">
        <v>14.8</v>
      </c>
      <c r="E56" s="18">
        <v>5.4</v>
      </c>
      <c r="F56" s="18">
        <v>4.4000000000000004</v>
      </c>
      <c r="G56" s="18">
        <v>5.2</v>
      </c>
    </row>
    <row r="57" spans="1:7">
      <c r="A57" s="9" t="s">
        <v>434</v>
      </c>
      <c r="B57" s="27">
        <v>7179.3</v>
      </c>
      <c r="C57" s="27">
        <v>6782.9</v>
      </c>
      <c r="D57" s="27">
        <v>7049</v>
      </c>
      <c r="E57" s="27">
        <v>7101.7</v>
      </c>
      <c r="F57" s="27">
        <v>7494.3</v>
      </c>
      <c r="G57" s="27">
        <v>7812.8</v>
      </c>
    </row>
    <row r="58" spans="1:7">
      <c r="A58" s="4"/>
      <c r="B58" s="4"/>
      <c r="C58" s="4"/>
      <c r="D58" s="4"/>
      <c r="E58" s="4"/>
      <c r="F58" s="4"/>
      <c r="G58" s="4"/>
    </row>
    <row r="59" spans="1:7">
      <c r="A59" s="4" t="s">
        <v>435</v>
      </c>
      <c r="B59" s="18">
        <v>1674.3</v>
      </c>
      <c r="C59" s="18">
        <v>1649.3</v>
      </c>
      <c r="D59" s="18">
        <v>1601.1</v>
      </c>
      <c r="E59" s="18">
        <v>1575.5</v>
      </c>
      <c r="F59" s="18">
        <v>1544.7</v>
      </c>
      <c r="G59" s="18">
        <v>1535.3</v>
      </c>
    </row>
    <row r="60" spans="1:7">
      <c r="A60" s="4" t="s">
        <v>436</v>
      </c>
      <c r="B60" s="18">
        <v>24.2</v>
      </c>
      <c r="C60" s="18">
        <v>23.3</v>
      </c>
      <c r="D60" s="18">
        <v>23.6</v>
      </c>
      <c r="E60" s="18">
        <v>25.5</v>
      </c>
      <c r="F60" s="18">
        <v>26.9</v>
      </c>
      <c r="G60" s="18">
        <v>29.1</v>
      </c>
    </row>
    <row r="61" spans="1:7">
      <c r="A61" s="4" t="s">
        <v>437</v>
      </c>
      <c r="B61" s="18">
        <v>4721.8999999999996</v>
      </c>
      <c r="C61" s="18">
        <v>4947.2</v>
      </c>
      <c r="D61" s="18">
        <v>5195.6000000000004</v>
      </c>
      <c r="E61" s="18">
        <v>5441.4</v>
      </c>
      <c r="F61" s="18">
        <v>5481.6</v>
      </c>
      <c r="G61" s="18">
        <v>5482.4</v>
      </c>
    </row>
    <row r="62" spans="1:7">
      <c r="A62" s="4" t="s">
        <v>438</v>
      </c>
      <c r="B62" s="18">
        <v>-20.5</v>
      </c>
      <c r="C62" s="18">
        <v>-16.2</v>
      </c>
      <c r="D62" s="18">
        <v>-17.899999999999999</v>
      </c>
      <c r="E62" s="18">
        <v>-19.600000000000001</v>
      </c>
      <c r="F62" s="18">
        <v>-25.1</v>
      </c>
      <c r="G62" s="18">
        <v>-25.1</v>
      </c>
    </row>
    <row r="63" spans="1:7">
      <c r="A63" s="4" t="s">
        <v>439</v>
      </c>
      <c r="B63" s="18" t="s">
        <v>291</v>
      </c>
      <c r="C63" s="18">
        <v>0.9</v>
      </c>
      <c r="D63" s="18">
        <v>-1.2</v>
      </c>
      <c r="E63" s="18">
        <v>-1.1000000000000001</v>
      </c>
      <c r="F63" s="18">
        <v>-1.4</v>
      </c>
      <c r="G63" s="18">
        <v>-1.3</v>
      </c>
    </row>
    <row r="64" spans="1:7">
      <c r="A64" s="9" t="s">
        <v>440</v>
      </c>
      <c r="B64" s="27">
        <v>6399.9</v>
      </c>
      <c r="C64" s="27">
        <v>6604.5</v>
      </c>
      <c r="D64" s="27">
        <v>6801.2</v>
      </c>
      <c r="E64" s="27">
        <v>7021.7</v>
      </c>
      <c r="F64" s="27">
        <v>7026.7</v>
      </c>
      <c r="G64" s="27">
        <v>7020.4</v>
      </c>
    </row>
    <row r="65" spans="1:7">
      <c r="A65" s="4"/>
      <c r="B65" s="4"/>
      <c r="C65" s="4"/>
      <c r="D65" s="4"/>
      <c r="E65" s="4"/>
      <c r="F65" s="4"/>
      <c r="G65" s="4"/>
    </row>
    <row r="66" spans="1:7">
      <c r="A66" s="4" t="s">
        <v>441</v>
      </c>
      <c r="B66" s="18">
        <v>12.9</v>
      </c>
      <c r="C66" s="18">
        <v>13.9</v>
      </c>
      <c r="D66" s="18">
        <v>15.1</v>
      </c>
      <c r="E66" s="18">
        <v>17.2</v>
      </c>
      <c r="F66" s="18">
        <v>18.399999999999999</v>
      </c>
      <c r="G66" s="18">
        <v>18.3</v>
      </c>
    </row>
    <row r="67" spans="1:7">
      <c r="A67" s="4"/>
      <c r="B67" s="4"/>
      <c r="C67" s="4"/>
      <c r="D67" s="4"/>
      <c r="E67" s="4"/>
      <c r="F67" s="4"/>
      <c r="G67" s="4"/>
    </row>
    <row r="68" spans="1:7">
      <c r="A68" s="9" t="s">
        <v>442</v>
      </c>
      <c r="B68" s="33">
        <v>6412.8</v>
      </c>
      <c r="C68" s="33">
        <v>6618.4</v>
      </c>
      <c r="D68" s="33">
        <v>6816.3</v>
      </c>
      <c r="E68" s="33">
        <v>7038.9</v>
      </c>
      <c r="F68" s="33">
        <v>7045.1</v>
      </c>
      <c r="G68" s="33">
        <v>7038.7</v>
      </c>
    </row>
    <row r="69" spans="1:7">
      <c r="A69" s="4"/>
      <c r="B69" s="4"/>
      <c r="C69" s="4"/>
      <c r="D69" s="4"/>
      <c r="E69" s="4"/>
      <c r="F69" s="4"/>
      <c r="G69" s="4"/>
    </row>
    <row r="70" spans="1:7">
      <c r="A70" s="9" t="s">
        <v>443</v>
      </c>
      <c r="B70" s="34">
        <v>13592.1</v>
      </c>
      <c r="C70" s="34">
        <v>13401.3</v>
      </c>
      <c r="D70" s="34">
        <v>13865.3</v>
      </c>
      <c r="E70" s="34">
        <v>14140.6</v>
      </c>
      <c r="F70" s="34">
        <v>14539.4</v>
      </c>
      <c r="G70" s="34">
        <v>14851.5</v>
      </c>
    </row>
    <row r="71" spans="1:7">
      <c r="A71" s="4"/>
      <c r="B71" s="4"/>
      <c r="C71" s="4"/>
      <c r="D71" s="4"/>
      <c r="E71" s="4"/>
      <c r="F71" s="4"/>
      <c r="G71" s="4"/>
    </row>
    <row r="72" spans="1:7">
      <c r="A72" s="99" t="s">
        <v>129</v>
      </c>
      <c r="B72" s="101">
        <f t="shared" ref="B72:G72" si="0">B28-B49</f>
        <v>268.60000000000036</v>
      </c>
      <c r="C72" s="100">
        <f t="shared" si="0"/>
        <v>230.80000000000018</v>
      </c>
      <c r="D72" s="100">
        <f t="shared" si="0"/>
        <v>442.79999999999995</v>
      </c>
      <c r="E72" s="100">
        <f t="shared" si="0"/>
        <v>188.40000000000009</v>
      </c>
      <c r="F72" s="100">
        <f t="shared" si="0"/>
        <v>607.19999999999982</v>
      </c>
      <c r="G72" s="100">
        <f t="shared" si="0"/>
        <v>880.40000000000009</v>
      </c>
    </row>
    <row r="73" spans="1:7">
      <c r="A73" s="99" t="s">
        <v>444</v>
      </c>
      <c r="B73" s="107" t="s">
        <v>445</v>
      </c>
      <c r="C73" s="100">
        <f>C72-B72</f>
        <v>-37.800000000000182</v>
      </c>
      <c r="D73" s="100">
        <f>D72-C72</f>
        <v>211.99999999999977</v>
      </c>
      <c r="E73" s="100">
        <f>E72-D72</f>
        <v>-254.39999999999986</v>
      </c>
      <c r="F73" s="100">
        <f>F72-E72</f>
        <v>418.79999999999973</v>
      </c>
      <c r="G73" s="100">
        <f>G72-F72</f>
        <v>273.20000000000027</v>
      </c>
    </row>
    <row r="74" spans="1:7">
      <c r="A74" s="4"/>
      <c r="B74" s="4"/>
      <c r="C74" s="4"/>
      <c r="D74" s="4"/>
      <c r="E74" s="4"/>
      <c r="F74" s="4"/>
      <c r="G74" s="4"/>
    </row>
    <row r="75" spans="1:7">
      <c r="A75" s="9" t="s">
        <v>319</v>
      </c>
      <c r="B75" s="4"/>
      <c r="C75" s="4"/>
      <c r="D75" s="4"/>
      <c r="E75" s="4"/>
      <c r="F75" s="4"/>
      <c r="G75" s="4"/>
    </row>
    <row r="76" spans="1:7">
      <c r="A76" s="4" t="s">
        <v>446</v>
      </c>
      <c r="B76" s="18">
        <v>240.62564900000001</v>
      </c>
      <c r="C76" s="18">
        <v>235.14099999999999</v>
      </c>
      <c r="D76" s="18">
        <v>227.93988999999999</v>
      </c>
      <c r="E76" s="18">
        <v>222.11501999999999</v>
      </c>
      <c r="F76" s="18">
        <v>214.74799999999999</v>
      </c>
      <c r="G76" s="18">
        <v>213.15199999999999</v>
      </c>
    </row>
    <row r="77" spans="1:7">
      <c r="A77" s="4" t="s">
        <v>447</v>
      </c>
      <c r="B77" s="18">
        <v>242.94900000000001</v>
      </c>
      <c r="C77" s="18">
        <v>236.59399999999999</v>
      </c>
      <c r="D77" s="18">
        <v>228.65299999999999</v>
      </c>
      <c r="E77" s="18">
        <v>222.41399999999999</v>
      </c>
      <c r="F77" s="18">
        <v>214.74799999999999</v>
      </c>
      <c r="G77" s="18">
        <v>213.15199999999999</v>
      </c>
    </row>
    <row r="78" spans="1:7">
      <c r="A78" s="4" t="s">
        <v>448</v>
      </c>
      <c r="B78" s="21">
        <v>26.342565</v>
      </c>
      <c r="C78" s="21">
        <v>27.914909000000002</v>
      </c>
      <c r="D78" s="21">
        <v>29.744634000000001</v>
      </c>
      <c r="E78" s="21">
        <v>31.570404</v>
      </c>
      <c r="F78" s="21">
        <v>32.720677000000002</v>
      </c>
      <c r="G78" s="21">
        <v>32.936120000000003</v>
      </c>
    </row>
    <row r="79" spans="1:7">
      <c r="A79" s="4" t="s">
        <v>449</v>
      </c>
      <c r="B79" s="18">
        <v>244</v>
      </c>
      <c r="C79" s="18">
        <v>564.29999999999995</v>
      </c>
      <c r="D79" s="18">
        <v>760.8</v>
      </c>
      <c r="E79" s="18">
        <v>1008.6</v>
      </c>
      <c r="F79" s="18">
        <v>1048.4000000000001</v>
      </c>
      <c r="G79" s="18">
        <v>1052.7</v>
      </c>
    </row>
    <row r="80" spans="1:7">
      <c r="A80" s="4" t="s">
        <v>450</v>
      </c>
      <c r="B80" s="21">
        <v>1.0043260000000001</v>
      </c>
      <c r="C80" s="21">
        <v>2.3850980000000002</v>
      </c>
      <c r="D80" s="21">
        <v>3.327312</v>
      </c>
      <c r="E80" s="21">
        <v>4.5347860000000004</v>
      </c>
      <c r="F80" s="21">
        <v>4.8820009999999998</v>
      </c>
      <c r="G80" s="21">
        <v>4.9387290000000004</v>
      </c>
    </row>
    <row r="81" spans="1:7">
      <c r="A81" s="4" t="s">
        <v>451</v>
      </c>
      <c r="B81" s="18">
        <v>4564</v>
      </c>
      <c r="C81" s="18">
        <v>4137.2</v>
      </c>
      <c r="D81" s="18">
        <v>4337.1000000000004</v>
      </c>
      <c r="E81" s="18">
        <v>4311.8</v>
      </c>
      <c r="F81" s="18">
        <v>4602</v>
      </c>
      <c r="G81" s="18">
        <v>4867.2</v>
      </c>
    </row>
    <row r="82" spans="1:7">
      <c r="A82" s="4" t="s">
        <v>452</v>
      </c>
      <c r="B82" s="18">
        <v>4118.2</v>
      </c>
      <c r="C82" s="18">
        <v>4123.8</v>
      </c>
      <c r="D82" s="18">
        <v>4307.6000000000004</v>
      </c>
      <c r="E82" s="18">
        <v>4282.3999999999996</v>
      </c>
      <c r="F82" s="18">
        <v>4534.7</v>
      </c>
      <c r="G82" s="18">
        <v>4849.3</v>
      </c>
    </row>
    <row r="83" spans="1:7">
      <c r="A83" s="4" t="s">
        <v>453</v>
      </c>
      <c r="B83" s="18">
        <v>-133.6</v>
      </c>
      <c r="C83" s="18">
        <v>-160.4</v>
      </c>
      <c r="D83" s="18">
        <v>-215.3</v>
      </c>
      <c r="E83" s="18">
        <v>-255.3</v>
      </c>
      <c r="F83" s="18">
        <v>-349.7</v>
      </c>
      <c r="G83" s="18" t="s">
        <v>74</v>
      </c>
    </row>
    <row r="84" spans="1:7">
      <c r="A84" s="4" t="s">
        <v>454</v>
      </c>
      <c r="B84" s="18">
        <v>1022.4</v>
      </c>
      <c r="C84" s="18">
        <v>1026.4000000000001</v>
      </c>
      <c r="D84" s="18">
        <v>1062.4000000000001</v>
      </c>
      <c r="E84" s="18">
        <v>1080.8</v>
      </c>
      <c r="F84" s="18">
        <v>1228</v>
      </c>
      <c r="G84" s="18" t="s">
        <v>74</v>
      </c>
    </row>
    <row r="85" spans="1:7">
      <c r="A85" s="4" t="s">
        <v>455</v>
      </c>
      <c r="B85" s="18">
        <v>12.9</v>
      </c>
      <c r="C85" s="18">
        <v>13.9</v>
      </c>
      <c r="D85" s="18">
        <v>15.1</v>
      </c>
      <c r="E85" s="18">
        <v>17.2</v>
      </c>
      <c r="F85" s="18">
        <v>18.399999999999999</v>
      </c>
      <c r="G85" s="18">
        <v>18.3</v>
      </c>
    </row>
    <row r="86" spans="1:7">
      <c r="A86" s="4" t="s">
        <v>456</v>
      </c>
      <c r="B86" s="17" t="s">
        <v>457</v>
      </c>
      <c r="C86" s="17" t="s">
        <v>457</v>
      </c>
      <c r="D86" s="17" t="s">
        <v>457</v>
      </c>
      <c r="E86" s="17" t="s">
        <v>457</v>
      </c>
      <c r="F86" s="17" t="s">
        <v>457</v>
      </c>
      <c r="G86" s="17" t="s">
        <v>74</v>
      </c>
    </row>
    <row r="87" spans="1:7">
      <c r="A87" s="4" t="s">
        <v>458</v>
      </c>
      <c r="B87" s="18">
        <v>1169</v>
      </c>
      <c r="C87" s="18">
        <v>1331.1</v>
      </c>
      <c r="D87" s="18">
        <v>1451</v>
      </c>
      <c r="E87" s="18">
        <v>1508.3</v>
      </c>
      <c r="F87" s="18">
        <v>1604.3</v>
      </c>
      <c r="G87" s="18" t="s">
        <v>74</v>
      </c>
    </row>
    <row r="88" spans="1:7">
      <c r="A88" s="4" t="s">
        <v>459</v>
      </c>
      <c r="B88" s="18">
        <v>534.70000000000005</v>
      </c>
      <c r="C88" s="18">
        <v>557.9</v>
      </c>
      <c r="D88" s="18">
        <v>566</v>
      </c>
      <c r="E88" s="18">
        <v>582.6</v>
      </c>
      <c r="F88" s="18">
        <v>595.29999999999995</v>
      </c>
      <c r="G88" s="18" t="s">
        <v>74</v>
      </c>
    </row>
    <row r="89" spans="1:7">
      <c r="A89" s="4" t="s">
        <v>460</v>
      </c>
      <c r="B89" s="18">
        <v>1568.7</v>
      </c>
      <c r="C89" s="18">
        <v>1759.3</v>
      </c>
      <c r="D89" s="18">
        <v>1925.1</v>
      </c>
      <c r="E89" s="18">
        <v>2044.1</v>
      </c>
      <c r="F89" s="18">
        <v>2077.3000000000002</v>
      </c>
      <c r="G89" s="18" t="s">
        <v>74</v>
      </c>
    </row>
    <row r="90" spans="1:7">
      <c r="A90" s="4" t="s">
        <v>461</v>
      </c>
      <c r="B90" s="18">
        <v>1852.5</v>
      </c>
      <c r="C90" s="18">
        <v>2143.6999999999998</v>
      </c>
      <c r="D90" s="18">
        <v>2421.6</v>
      </c>
      <c r="E90" s="18">
        <v>2647.3</v>
      </c>
      <c r="F90" s="18">
        <v>2920.6</v>
      </c>
      <c r="G90" s="18" t="s">
        <v>74</v>
      </c>
    </row>
    <row r="91" spans="1:7">
      <c r="A91" s="4" t="s">
        <v>462</v>
      </c>
      <c r="B91" s="18">
        <v>959.3</v>
      </c>
      <c r="C91" s="18">
        <v>1014</v>
      </c>
      <c r="D91" s="18">
        <v>1055.8</v>
      </c>
      <c r="E91" s="18">
        <v>1108.2</v>
      </c>
      <c r="F91" s="18">
        <v>1203.3</v>
      </c>
      <c r="G91" s="18" t="s">
        <v>291</v>
      </c>
    </row>
    <row r="92" spans="1:7">
      <c r="A92" s="4" t="s">
        <v>463</v>
      </c>
      <c r="B92" s="35">
        <v>44097</v>
      </c>
      <c r="C92" s="35">
        <v>95000</v>
      </c>
      <c r="D92" s="35">
        <v>97000</v>
      </c>
      <c r="E92" s="35">
        <v>97870</v>
      </c>
      <c r="F92" s="35">
        <v>99000</v>
      </c>
      <c r="G92" s="35" t="s">
        <v>74</v>
      </c>
    </row>
    <row r="93" spans="1:7">
      <c r="A93" s="4" t="s">
        <v>326</v>
      </c>
      <c r="B93" s="31">
        <v>44915</v>
      </c>
      <c r="C93" s="31">
        <v>45280</v>
      </c>
      <c r="D93" s="31">
        <v>45640</v>
      </c>
      <c r="E93" s="31">
        <v>46004</v>
      </c>
      <c r="F93" s="31">
        <v>46004</v>
      </c>
      <c r="G93" s="31">
        <v>46049</v>
      </c>
    </row>
    <row r="94" spans="1:7">
      <c r="A94" s="4" t="s">
        <v>327</v>
      </c>
      <c r="B94" s="17" t="s">
        <v>328</v>
      </c>
      <c r="C94" s="17" t="s">
        <v>328</v>
      </c>
      <c r="D94" s="17" t="s">
        <v>328</v>
      </c>
      <c r="E94" s="17" t="s">
        <v>328</v>
      </c>
      <c r="F94" s="17" t="s">
        <v>330</v>
      </c>
      <c r="G94" s="17" t="s">
        <v>330</v>
      </c>
    </row>
    <row r="95" spans="1:7">
      <c r="A95" s="4" t="s">
        <v>331</v>
      </c>
      <c r="B95" s="17" t="s">
        <v>332</v>
      </c>
      <c r="C95" s="17" t="s">
        <v>332</v>
      </c>
      <c r="D95" s="17" t="s">
        <v>332</v>
      </c>
      <c r="E95" s="17" t="s">
        <v>332</v>
      </c>
      <c r="F95" s="17" t="s">
        <v>332</v>
      </c>
      <c r="G95" s="17" t="s">
        <v>332</v>
      </c>
    </row>
    <row r="96" spans="1:7">
      <c r="A96" s="4"/>
      <c r="B96" s="4"/>
      <c r="C96" s="4"/>
      <c r="D96" s="4"/>
      <c r="E96" s="4"/>
      <c r="F96" s="4"/>
      <c r="G96" s="4"/>
    </row>
    <row r="97" spans="1:7">
      <c r="A97" s="11"/>
      <c r="B97" s="11"/>
      <c r="C97" s="11"/>
      <c r="D97" s="11"/>
      <c r="E97" s="11"/>
      <c r="F97" s="11"/>
      <c r="G97" s="11"/>
    </row>
    <row r="98" spans="1:7">
      <c r="A98" t="s">
        <v>464</v>
      </c>
    </row>
    <row r="99" spans="1:7">
      <c r="A99" s="25" t="s">
        <v>334</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2C6D4-CB80-4581-8070-60EE1384A330}">
  <sheetPr>
    <tabColor theme="2" tint="-0.499984740745262"/>
    <outlinePr summaryBelow="0" summaryRight="0"/>
    <pageSetUpPr autoPageBreaks="0"/>
  </sheetPr>
  <dimension ref="A5:IU91"/>
  <sheetViews>
    <sheetView zoomScaleNormal="100" workbookViewId="0">
      <selection activeCell="D19" sqref="D19"/>
    </sheetView>
  </sheetViews>
  <sheetFormatPr defaultColWidth="8.86328125" defaultRowHeight="10.15"/>
  <cols>
    <col min="1" max="1" width="45.86328125" customWidth="1"/>
    <col min="2" max="9" width="14.86328125" customWidth="1"/>
  </cols>
  <sheetData>
    <row r="5" spans="1:255" ht="16.149999999999999">
      <c r="A5" s="1" t="s">
        <v>465</v>
      </c>
    </row>
    <row r="7" spans="1:255">
      <c r="A7" s="2" t="s">
        <v>466</v>
      </c>
      <c r="B7" s="3" t="s">
        <v>264</v>
      </c>
      <c r="C7" t="s">
        <v>467</v>
      </c>
      <c r="D7" s="4" t="s">
        <v>257</v>
      </c>
      <c r="E7" s="3" t="s">
        <v>266</v>
      </c>
      <c r="F7" t="s">
        <v>267</v>
      </c>
    </row>
    <row r="8" spans="1:255">
      <c r="A8" s="4"/>
      <c r="B8" s="3" t="s">
        <v>262</v>
      </c>
      <c r="C8" t="s">
        <v>263</v>
      </c>
      <c r="D8" s="4" t="s">
        <v>257</v>
      </c>
      <c r="E8" s="3" t="s">
        <v>268</v>
      </c>
      <c r="F8" t="s">
        <v>269</v>
      </c>
    </row>
    <row r="9" spans="1:255">
      <c r="A9" s="4"/>
      <c r="B9" s="3" t="s">
        <v>270</v>
      </c>
      <c r="C9" s="5" t="s">
        <v>271</v>
      </c>
      <c r="D9" s="4" t="s">
        <v>257</v>
      </c>
      <c r="E9" s="3" t="s">
        <v>468</v>
      </c>
      <c r="F9" t="s">
        <v>469</v>
      </c>
    </row>
    <row r="12" spans="1:255">
      <c r="A12" s="6" t="s">
        <v>470</v>
      </c>
      <c r="B12" s="6"/>
      <c r="C12" s="6"/>
      <c r="D12" s="6"/>
      <c r="E12" s="6"/>
      <c r="F12" s="6"/>
      <c r="G12" s="6"/>
      <c r="H12" s="6"/>
      <c r="I12" s="6"/>
      <c r="J12" s="57"/>
      <c r="K12" s="57"/>
      <c r="L12" s="57"/>
      <c r="M12" s="57"/>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c r="ED12" s="57"/>
      <c r="EE12" s="57"/>
      <c r="EF12" s="57"/>
      <c r="EG12" s="57"/>
      <c r="EH12" s="57"/>
      <c r="EI12" s="57"/>
      <c r="EJ12" s="57"/>
      <c r="EK12" s="57"/>
      <c r="EL12" s="57"/>
      <c r="EM12" s="57"/>
      <c r="EN12" s="57"/>
      <c r="EO12" s="57"/>
      <c r="EP12" s="57"/>
      <c r="EQ12" s="57"/>
      <c r="ER12" s="57"/>
      <c r="ES12" s="57"/>
      <c r="ET12" s="57"/>
      <c r="EU12" s="57"/>
      <c r="EV12" s="57"/>
      <c r="EW12" s="57"/>
      <c r="EX12" s="57"/>
      <c r="EY12" s="57"/>
      <c r="EZ12" s="57"/>
      <c r="FA12" s="57"/>
      <c r="FB12" s="57"/>
      <c r="FC12" s="57"/>
      <c r="FD12" s="57"/>
      <c r="FE12" s="57"/>
      <c r="FF12" s="57"/>
      <c r="FG12" s="57"/>
      <c r="FH12" s="57"/>
      <c r="FI12" s="57"/>
      <c r="FJ12" s="57"/>
      <c r="FK12" s="57"/>
      <c r="FL12" s="57"/>
      <c r="FM12" s="57"/>
      <c r="FN12" s="57"/>
      <c r="FO12" s="57"/>
      <c r="FP12" s="57"/>
      <c r="FQ12" s="57"/>
      <c r="FR12" s="57"/>
      <c r="FS12" s="57"/>
      <c r="FT12" s="57"/>
      <c r="FU12" s="57"/>
      <c r="FV12" s="57"/>
      <c r="FW12" s="57"/>
      <c r="FX12" s="57"/>
      <c r="FY12" s="57"/>
      <c r="FZ12" s="57"/>
      <c r="GA12" s="57"/>
      <c r="GB12" s="57"/>
      <c r="GC12" s="57"/>
      <c r="GD12" s="57"/>
      <c r="GE12" s="57"/>
      <c r="GF12" s="57"/>
      <c r="GG12" s="57"/>
      <c r="GH12" s="57"/>
      <c r="GI12" s="57"/>
      <c r="GJ12" s="57"/>
      <c r="GK12" s="57"/>
      <c r="GL12" s="57"/>
      <c r="GM12" s="57"/>
      <c r="GN12" s="57"/>
      <c r="GO12" s="57"/>
      <c r="GP12" s="57"/>
      <c r="GQ12" s="57"/>
      <c r="GR12" s="57"/>
      <c r="GS12" s="57"/>
      <c r="GT12" s="57"/>
      <c r="GU12" s="57"/>
      <c r="GV12" s="57"/>
      <c r="GW12" s="57"/>
      <c r="GX12" s="57"/>
      <c r="GY12" s="57"/>
      <c r="GZ12" s="57"/>
      <c r="HA12" s="57"/>
      <c r="HB12" s="57"/>
      <c r="HC12" s="57"/>
      <c r="HD12" s="57"/>
      <c r="HE12" s="57"/>
      <c r="HF12" s="57"/>
      <c r="HG12" s="57"/>
      <c r="HH12" s="57"/>
      <c r="HI12" s="57"/>
      <c r="HJ12" s="57"/>
      <c r="HK12" s="57"/>
      <c r="HL12" s="57"/>
      <c r="HM12" s="57"/>
      <c r="HN12" s="57"/>
      <c r="HO12" s="57"/>
      <c r="HP12" s="57"/>
      <c r="HQ12" s="57"/>
      <c r="HR12" s="57"/>
      <c r="HS12" s="57"/>
      <c r="HT12" s="57"/>
      <c r="HU12" s="57"/>
      <c r="HV12" s="57"/>
      <c r="HW12" s="57"/>
      <c r="HX12" s="57"/>
      <c r="HY12" s="57"/>
      <c r="HZ12" s="57"/>
      <c r="IA12" s="57"/>
      <c r="IB12" s="57"/>
      <c r="IC12" s="57"/>
      <c r="ID12" s="57"/>
      <c r="IE12" s="57"/>
      <c r="IF12" s="57"/>
      <c r="IG12" s="57"/>
      <c r="IH12" s="57"/>
      <c r="II12" s="57"/>
      <c r="IJ12" s="57"/>
      <c r="IK12" s="57"/>
      <c r="IL12" s="57"/>
      <c r="IM12" s="57"/>
      <c r="IN12" s="57"/>
      <c r="IO12" s="57"/>
      <c r="IP12" s="57"/>
      <c r="IQ12" s="57"/>
      <c r="IR12" s="57"/>
      <c r="IS12" s="57"/>
      <c r="IT12" s="57"/>
      <c r="IU12" s="57"/>
    </row>
    <row r="13" spans="1:255" ht="30.4">
      <c r="A13" s="7" t="s">
        <v>275</v>
      </c>
      <c r="B13" s="12" t="s">
        <v>471</v>
      </c>
      <c r="C13" s="12" t="s">
        <v>472</v>
      </c>
      <c r="D13" s="12" t="s">
        <v>473</v>
      </c>
      <c r="E13" s="12" t="s">
        <v>474</v>
      </c>
      <c r="F13" s="12" t="s">
        <v>475</v>
      </c>
      <c r="G13" s="12" t="s">
        <v>476</v>
      </c>
      <c r="H13" s="12" t="s">
        <v>477</v>
      </c>
      <c r="I13" s="12" t="s">
        <v>478</v>
      </c>
    </row>
    <row r="14" spans="1:255">
      <c r="A14" s="8" t="s">
        <v>282</v>
      </c>
      <c r="B14" s="13" t="s">
        <v>283</v>
      </c>
      <c r="C14" s="13" t="s">
        <v>283</v>
      </c>
      <c r="D14" s="13" t="s">
        <v>283</v>
      </c>
      <c r="E14" s="13" t="s">
        <v>283</v>
      </c>
      <c r="F14" s="13" t="s">
        <v>283</v>
      </c>
      <c r="G14" s="13" t="s">
        <v>283</v>
      </c>
      <c r="H14" s="13" t="s">
        <v>283</v>
      </c>
      <c r="I14" s="13" t="s">
        <v>283</v>
      </c>
    </row>
    <row r="15" spans="1:255">
      <c r="A15" s="9"/>
      <c r="B15" s="4"/>
      <c r="C15" s="4"/>
      <c r="D15" s="4"/>
      <c r="E15" s="4"/>
      <c r="F15" s="4"/>
      <c r="G15" s="4"/>
      <c r="H15" s="4"/>
      <c r="I15" s="4"/>
    </row>
    <row r="16" spans="1:255">
      <c r="A16" s="9" t="s">
        <v>479</v>
      </c>
      <c r="B16" s="14">
        <v>18888.900000000001</v>
      </c>
      <c r="C16" s="14">
        <v>20724.599999999999</v>
      </c>
      <c r="D16" s="14">
        <v>21219.9</v>
      </c>
      <c r="E16" s="14">
        <v>22006.7</v>
      </c>
      <c r="F16" s="14">
        <v>22175.4</v>
      </c>
      <c r="G16" s="16">
        <v>22731.708289999999</v>
      </c>
      <c r="H16" s="16">
        <v>23447.9823</v>
      </c>
      <c r="I16" s="16">
        <v>24260.121019999999</v>
      </c>
    </row>
    <row r="17" spans="1:9">
      <c r="A17" s="10" t="s">
        <v>480</v>
      </c>
      <c r="B17" s="15">
        <v>3.3140000000000003E-2</v>
      </c>
      <c r="C17" s="15">
        <v>9.7184000000000006E-2</v>
      </c>
      <c r="D17" s="15">
        <v>2.3899E-2</v>
      </c>
      <c r="E17" s="15">
        <v>3.7078E-2</v>
      </c>
      <c r="F17" s="15">
        <v>3.8038000000000002E-2</v>
      </c>
      <c r="G17" s="19">
        <v>3.2944889057E-2</v>
      </c>
      <c r="H17" s="19">
        <v>3.1509906817E-2</v>
      </c>
      <c r="I17" s="19">
        <v>3.4635761389E-2</v>
      </c>
    </row>
    <row r="18" spans="1:9">
      <c r="A18" s="4"/>
      <c r="B18" s="4"/>
      <c r="C18" s="4"/>
      <c r="D18" s="4"/>
      <c r="E18" s="4"/>
      <c r="F18" s="4"/>
      <c r="G18" s="4"/>
      <c r="H18" s="4"/>
      <c r="I18" s="4"/>
    </row>
    <row r="19" spans="1:9">
      <c r="A19" s="9" t="s">
        <v>481</v>
      </c>
      <c r="B19" s="14">
        <v>3783.3</v>
      </c>
      <c r="C19" s="14">
        <v>4082.2</v>
      </c>
      <c r="D19" s="14">
        <v>4179.3</v>
      </c>
      <c r="E19" s="14">
        <v>4345.8</v>
      </c>
      <c r="F19" s="14">
        <v>4378.8999999999996</v>
      </c>
      <c r="G19" s="14" t="s">
        <v>291</v>
      </c>
      <c r="H19" s="14" t="s">
        <v>291</v>
      </c>
      <c r="I19" s="14" t="s">
        <v>291</v>
      </c>
    </row>
    <row r="20" spans="1:9">
      <c r="A20" s="10" t="s">
        <v>482</v>
      </c>
      <c r="B20" s="15">
        <v>0.200292</v>
      </c>
      <c r="C20" s="15">
        <v>0.19697300000000001</v>
      </c>
      <c r="D20" s="15">
        <v>0.19695099999999999</v>
      </c>
      <c r="E20" s="15">
        <v>0.19747600000000001</v>
      </c>
      <c r="F20" s="15">
        <v>0.197466</v>
      </c>
      <c r="G20" s="19">
        <v>0.19906470000000001</v>
      </c>
      <c r="H20" s="19">
        <v>0.19975039999999999</v>
      </c>
      <c r="I20" s="19">
        <v>0.1997842</v>
      </c>
    </row>
    <row r="21" spans="1:9">
      <c r="A21" s="4"/>
      <c r="B21" s="4"/>
      <c r="C21" s="4"/>
      <c r="D21" s="4"/>
      <c r="E21" s="4"/>
      <c r="F21" s="4"/>
      <c r="G21" s="4"/>
      <c r="H21" s="4"/>
      <c r="I21" s="4"/>
    </row>
    <row r="22" spans="1:9">
      <c r="A22" s="9" t="s">
        <v>169</v>
      </c>
      <c r="B22" s="14">
        <v>1634.9</v>
      </c>
      <c r="C22" s="14">
        <v>1780.7</v>
      </c>
      <c r="D22" s="14">
        <v>1790.2</v>
      </c>
      <c r="E22" s="14">
        <v>1861.6</v>
      </c>
      <c r="F22" s="14">
        <v>1865.6</v>
      </c>
      <c r="G22" s="16">
        <v>2185.9141100000002</v>
      </c>
      <c r="H22" s="16">
        <v>2291.7266399999999</v>
      </c>
      <c r="I22" s="16">
        <v>2368.3732399999999</v>
      </c>
    </row>
    <row r="23" spans="1:9">
      <c r="A23" s="10" t="s">
        <v>482</v>
      </c>
      <c r="B23" s="15">
        <v>8.6553000000000005E-2</v>
      </c>
      <c r="C23" s="15">
        <v>8.5921999999999998E-2</v>
      </c>
      <c r="D23" s="15">
        <v>8.4363999999999995E-2</v>
      </c>
      <c r="E23" s="15">
        <v>8.4592000000000001E-2</v>
      </c>
      <c r="F23" s="15">
        <v>8.4128999999999995E-2</v>
      </c>
      <c r="G23" s="19">
        <v>9.6161453512999998E-2</v>
      </c>
      <c r="H23" s="19">
        <v>9.7736624443000006E-2</v>
      </c>
      <c r="I23" s="19">
        <v>9.7624131308000003E-2</v>
      </c>
    </row>
    <row r="24" spans="1:9">
      <c r="A24" s="4"/>
      <c r="B24" s="4"/>
      <c r="C24" s="4"/>
      <c r="D24" s="4"/>
      <c r="E24" s="4"/>
      <c r="F24" s="4"/>
      <c r="G24" s="4"/>
      <c r="H24" s="4"/>
      <c r="I24" s="4"/>
    </row>
    <row r="25" spans="1:9">
      <c r="A25" s="9" t="s">
        <v>123</v>
      </c>
      <c r="B25" s="14">
        <v>1315.7</v>
      </c>
      <c r="C25" s="14">
        <v>1443.4</v>
      </c>
      <c r="D25" s="14">
        <v>1416</v>
      </c>
      <c r="E25" s="14">
        <v>1471.3</v>
      </c>
      <c r="F25" s="14">
        <v>1465.3</v>
      </c>
      <c r="G25" s="16">
        <v>1588.25503</v>
      </c>
      <c r="H25" s="16">
        <v>1669.7335800000001</v>
      </c>
      <c r="I25" s="16">
        <v>1742.63303</v>
      </c>
    </row>
    <row r="26" spans="1:9">
      <c r="A26" s="10" t="s">
        <v>482</v>
      </c>
      <c r="B26" s="15">
        <v>6.9653999999999994E-2</v>
      </c>
      <c r="C26" s="15">
        <v>6.9646E-2</v>
      </c>
      <c r="D26" s="15">
        <v>6.6728999999999997E-2</v>
      </c>
      <c r="E26" s="15">
        <v>6.6855999999999999E-2</v>
      </c>
      <c r="F26" s="15">
        <v>6.6076999999999997E-2</v>
      </c>
      <c r="G26" s="19">
        <v>6.9869585238999998E-2</v>
      </c>
      <c r="H26" s="19">
        <v>7.1210117724999994E-2</v>
      </c>
      <c r="I26" s="19">
        <v>7.1831176297999996E-2</v>
      </c>
    </row>
    <row r="27" spans="1:9">
      <c r="A27" s="4"/>
      <c r="B27" s="4"/>
      <c r="C27" s="4"/>
      <c r="D27" s="4"/>
      <c r="E27" s="4"/>
      <c r="F27" s="4"/>
      <c r="G27" s="4"/>
      <c r="H27" s="4"/>
      <c r="I27" s="4"/>
    </row>
    <row r="28" spans="1:9">
      <c r="A28" s="9" t="s">
        <v>483</v>
      </c>
      <c r="B28" s="14">
        <v>849.5</v>
      </c>
      <c r="C28" s="14">
        <v>1018.8</v>
      </c>
      <c r="D28" s="14">
        <v>931.7</v>
      </c>
      <c r="E28" s="14">
        <v>1019.5</v>
      </c>
      <c r="F28" s="14">
        <v>986.3</v>
      </c>
      <c r="G28" s="14" t="s">
        <v>291</v>
      </c>
      <c r="H28" s="14" t="s">
        <v>291</v>
      </c>
      <c r="I28" s="14" t="s">
        <v>291</v>
      </c>
    </row>
    <row r="29" spans="1:9">
      <c r="A29" s="10" t="s">
        <v>482</v>
      </c>
      <c r="B29" s="15">
        <v>4.4972999999999999E-2</v>
      </c>
      <c r="C29" s="15">
        <v>4.9158E-2</v>
      </c>
      <c r="D29" s="15">
        <v>4.3906000000000001E-2</v>
      </c>
      <c r="E29" s="15">
        <v>4.6325999999999999E-2</v>
      </c>
      <c r="F29" s="15">
        <v>4.4477000000000003E-2</v>
      </c>
      <c r="G29" s="20" t="s">
        <v>291</v>
      </c>
      <c r="H29" s="20" t="s">
        <v>291</v>
      </c>
      <c r="I29" s="20" t="s">
        <v>291</v>
      </c>
    </row>
    <row r="30" spans="1:9">
      <c r="A30" s="4"/>
      <c r="B30" s="4"/>
      <c r="C30" s="4"/>
      <c r="D30" s="4"/>
      <c r="E30" s="4"/>
      <c r="F30" s="4"/>
      <c r="G30" s="4"/>
      <c r="H30" s="4"/>
      <c r="I30" s="4"/>
    </row>
    <row r="31" spans="1:9">
      <c r="A31" s="9" t="s">
        <v>168</v>
      </c>
      <c r="B31" s="14">
        <v>846.1</v>
      </c>
      <c r="C31" s="14">
        <v>1014.8</v>
      </c>
      <c r="D31" s="14">
        <v>928.8</v>
      </c>
      <c r="E31" s="14">
        <v>1017</v>
      </c>
      <c r="F31" s="14">
        <v>983.7</v>
      </c>
      <c r="G31" s="16">
        <v>1087.42066</v>
      </c>
      <c r="H31" s="16">
        <v>1147.4595200000001</v>
      </c>
      <c r="I31" s="16">
        <v>1198.9331</v>
      </c>
    </row>
    <row r="32" spans="1:9">
      <c r="A32" s="10" t="s">
        <v>482</v>
      </c>
      <c r="B32" s="15">
        <v>4.4792999999999999E-2</v>
      </c>
      <c r="C32" s="15">
        <v>4.8965000000000002E-2</v>
      </c>
      <c r="D32" s="15">
        <v>4.3770000000000003E-2</v>
      </c>
      <c r="E32" s="15">
        <v>4.6212999999999997E-2</v>
      </c>
      <c r="F32" s="15">
        <v>4.4359000000000003E-2</v>
      </c>
      <c r="G32" s="19">
        <v>4.7837172910000003E-2</v>
      </c>
      <c r="H32" s="19">
        <v>4.8936386308999998E-2</v>
      </c>
      <c r="I32" s="19">
        <v>4.9419914229000002E-2</v>
      </c>
    </row>
    <row r="33" spans="1:255">
      <c r="A33" s="4"/>
      <c r="B33" s="4"/>
      <c r="C33" s="4"/>
      <c r="D33" s="4"/>
      <c r="E33" s="4"/>
      <c r="F33" s="4"/>
      <c r="G33" s="4"/>
      <c r="H33" s="4"/>
      <c r="I33" s="4"/>
    </row>
    <row r="34" spans="1:255">
      <c r="A34" s="9" t="s">
        <v>484</v>
      </c>
      <c r="B34" s="16">
        <v>3.51</v>
      </c>
      <c r="C34" s="16">
        <v>4.3499999999999996</v>
      </c>
      <c r="D34" s="16">
        <v>4.1100000000000003</v>
      </c>
      <c r="E34" s="16">
        <v>4.63</v>
      </c>
      <c r="F34" s="16">
        <v>4.5214600000000003</v>
      </c>
      <c r="G34" s="16">
        <v>5.1547799999999997</v>
      </c>
      <c r="H34" s="16">
        <v>5.6081799999999999</v>
      </c>
      <c r="I34" s="16">
        <v>5.9961799999999998</v>
      </c>
    </row>
    <row r="35" spans="1:255">
      <c r="A35" s="10" t="s">
        <v>480</v>
      </c>
      <c r="B35" s="15">
        <v>5.4053999999999998E-2</v>
      </c>
      <c r="C35" s="15">
        <v>0.239316</v>
      </c>
      <c r="D35" s="15">
        <v>-5.5173E-2</v>
      </c>
      <c r="E35" s="15">
        <v>0.12651999999999999</v>
      </c>
      <c r="F35" s="15">
        <v>5.6440999999999998E-2</v>
      </c>
      <c r="G35" s="19">
        <v>8.0666666666999995E-2</v>
      </c>
      <c r="H35" s="19">
        <v>8.7957197008999996E-2</v>
      </c>
      <c r="I35" s="19">
        <v>6.9184655270999998E-2</v>
      </c>
    </row>
    <row r="36" spans="1:255">
      <c r="A36" s="4"/>
      <c r="B36" s="4"/>
      <c r="C36" s="4"/>
      <c r="D36" s="4"/>
      <c r="E36" s="4"/>
      <c r="F36" s="4"/>
      <c r="G36" s="4"/>
      <c r="H36" s="4"/>
      <c r="I36" s="4"/>
    </row>
    <row r="37" spans="1:255">
      <c r="A37" s="4"/>
      <c r="B37" s="4" t="s">
        <v>284</v>
      </c>
      <c r="C37" s="4" t="s">
        <v>284</v>
      </c>
      <c r="D37" s="4" t="s">
        <v>284</v>
      </c>
      <c r="E37" s="4" t="s">
        <v>284</v>
      </c>
      <c r="F37" s="4" t="s">
        <v>284</v>
      </c>
      <c r="G37" s="4" t="s">
        <v>284</v>
      </c>
      <c r="H37" s="4" t="s">
        <v>284</v>
      </c>
      <c r="I37" s="4" t="s">
        <v>284</v>
      </c>
    </row>
    <row r="38" spans="1:255">
      <c r="A38" s="4" t="s">
        <v>282</v>
      </c>
      <c r="B38" s="17" t="s">
        <v>283</v>
      </c>
      <c r="C38" s="17" t="s">
        <v>283</v>
      </c>
      <c r="D38" s="17" t="s">
        <v>283</v>
      </c>
      <c r="E38" s="17" t="s">
        <v>283</v>
      </c>
      <c r="F38" s="17" t="s">
        <v>283</v>
      </c>
      <c r="G38" s="17" t="s">
        <v>283</v>
      </c>
      <c r="H38" s="17" t="s">
        <v>283</v>
      </c>
      <c r="I38" s="17" t="s">
        <v>283</v>
      </c>
    </row>
    <row r="39" spans="1:255">
      <c r="A39" s="4" t="s">
        <v>485</v>
      </c>
      <c r="B39" s="18">
        <v>1</v>
      </c>
      <c r="C39" s="18">
        <v>1</v>
      </c>
      <c r="D39" s="18">
        <v>1</v>
      </c>
      <c r="E39" s="18">
        <v>1</v>
      </c>
      <c r="F39" s="18">
        <v>1</v>
      </c>
      <c r="G39" s="18">
        <v>1</v>
      </c>
      <c r="H39" s="18">
        <v>1</v>
      </c>
      <c r="I39" s="18">
        <v>1</v>
      </c>
    </row>
    <row r="40" spans="1:255">
      <c r="A40" s="4" t="s">
        <v>486</v>
      </c>
      <c r="B40" s="17" t="s">
        <v>487</v>
      </c>
      <c r="C40" s="17" t="s">
        <v>487</v>
      </c>
      <c r="D40" s="17" t="s">
        <v>487</v>
      </c>
      <c r="E40" s="17" t="s">
        <v>487</v>
      </c>
      <c r="F40" s="17" t="s">
        <v>487</v>
      </c>
      <c r="G40" s="17" t="s">
        <v>488</v>
      </c>
      <c r="H40" s="17" t="s">
        <v>488</v>
      </c>
      <c r="I40" s="17" t="s">
        <v>488</v>
      </c>
    </row>
    <row r="41" spans="1:255">
      <c r="A41" s="11"/>
      <c r="B41" s="11"/>
      <c r="C41" s="11"/>
      <c r="D41" s="11"/>
      <c r="E41" s="11"/>
      <c r="F41" s="11"/>
      <c r="G41" s="11"/>
      <c r="H41" s="11"/>
      <c r="I41" s="11"/>
    </row>
    <row r="42" spans="1:255">
      <c r="A42" t="s">
        <v>489</v>
      </c>
    </row>
    <row r="43" spans="1:255">
      <c r="A43" t="s">
        <v>490</v>
      </c>
    </row>
    <row r="44" spans="1:255">
      <c r="A44" t="s">
        <v>491</v>
      </c>
    </row>
    <row r="45" spans="1:255">
      <c r="A45" t="s">
        <v>492</v>
      </c>
    </row>
    <row r="46" spans="1:255">
      <c r="A46" t="s">
        <v>493</v>
      </c>
    </row>
    <row r="48" spans="1:255">
      <c r="A48" s="6" t="s">
        <v>494</v>
      </c>
      <c r="B48" s="6"/>
      <c r="J48" s="57"/>
      <c r="K48" s="57"/>
      <c r="L48" s="57"/>
      <c r="M48" s="57"/>
      <c r="N48" s="57"/>
      <c r="O48" s="57"/>
      <c r="P48" s="57"/>
      <c r="Q48" s="57"/>
      <c r="R48" s="57"/>
      <c r="S48" s="57"/>
      <c r="T48" s="57"/>
      <c r="U48" s="57"/>
      <c r="V48" s="57"/>
      <c r="W48" s="57"/>
      <c r="X48" s="57"/>
      <c r="Y48" s="57"/>
      <c r="Z48" s="57"/>
      <c r="AA48" s="57"/>
      <c r="AB48" s="57"/>
      <c r="AC48" s="57"/>
      <c r="AD48" s="57"/>
      <c r="AE48" s="57"/>
      <c r="AF48" s="57"/>
      <c r="AG48" s="57"/>
      <c r="AH48" s="57"/>
      <c r="AI48" s="57"/>
      <c r="AJ48" s="57"/>
      <c r="AK48" s="57"/>
      <c r="AL48" s="57"/>
      <c r="AM48" s="57"/>
      <c r="AN48" s="57"/>
      <c r="AO48" s="57"/>
      <c r="AP48" s="57"/>
      <c r="AQ48" s="57"/>
      <c r="AR48" s="57"/>
      <c r="AS48" s="57"/>
      <c r="AT48" s="57"/>
      <c r="AU48" s="57"/>
      <c r="AV48" s="57"/>
      <c r="AW48" s="57"/>
      <c r="AX48" s="57"/>
      <c r="AY48" s="57"/>
      <c r="AZ48" s="57"/>
      <c r="BA48" s="57"/>
      <c r="BB48" s="57"/>
      <c r="BC48" s="57"/>
      <c r="BD48" s="57"/>
      <c r="BE48" s="57"/>
      <c r="BF48" s="57"/>
      <c r="BG48" s="57"/>
      <c r="BH48" s="57"/>
      <c r="BI48" s="57"/>
      <c r="BJ48" s="57"/>
      <c r="BK48" s="57"/>
      <c r="BL48" s="57"/>
      <c r="BM48" s="57"/>
      <c r="BN48" s="57"/>
      <c r="BO48" s="57"/>
      <c r="BP48" s="57"/>
      <c r="BQ48" s="57"/>
      <c r="BR48" s="57"/>
      <c r="BS48" s="57"/>
      <c r="BT48" s="57"/>
      <c r="BU48" s="57"/>
      <c r="BV48" s="57"/>
      <c r="BW48" s="57"/>
      <c r="BX48" s="57"/>
      <c r="BY48" s="57"/>
      <c r="BZ48" s="57"/>
      <c r="CA48" s="57"/>
      <c r="CB48" s="57"/>
      <c r="CC48" s="57"/>
      <c r="CD48" s="57"/>
      <c r="CE48" s="57"/>
      <c r="CF48" s="57"/>
      <c r="CG48" s="57"/>
      <c r="CH48" s="57"/>
      <c r="CI48" s="57"/>
      <c r="CJ48" s="57"/>
      <c r="CK48" s="57"/>
      <c r="CL48" s="57"/>
      <c r="CM48" s="57"/>
      <c r="CN48" s="57"/>
      <c r="CO48" s="57"/>
      <c r="CP48" s="57"/>
      <c r="CQ48" s="57"/>
      <c r="CR48" s="57"/>
      <c r="CS48" s="57"/>
      <c r="CT48" s="57"/>
      <c r="CU48" s="57"/>
      <c r="CV48" s="57"/>
      <c r="CW48" s="57"/>
      <c r="CX48" s="57"/>
      <c r="CY48" s="57"/>
      <c r="CZ48" s="57"/>
      <c r="DA48" s="57"/>
      <c r="DB48" s="57"/>
      <c r="DC48" s="57"/>
      <c r="DD48" s="57"/>
      <c r="DE48" s="57"/>
      <c r="DF48" s="57"/>
      <c r="DG48" s="57"/>
      <c r="DH48" s="57"/>
      <c r="DI48" s="57"/>
      <c r="DJ48" s="57"/>
      <c r="DK48" s="57"/>
      <c r="DL48" s="57"/>
      <c r="DM48" s="57"/>
      <c r="DN48" s="57"/>
      <c r="DO48" s="57"/>
      <c r="DP48" s="57"/>
      <c r="DQ48" s="57"/>
      <c r="DR48" s="57"/>
      <c r="DS48" s="57"/>
      <c r="DT48" s="57"/>
      <c r="DU48" s="57"/>
      <c r="DV48" s="57"/>
      <c r="DW48" s="57"/>
      <c r="DX48" s="57"/>
      <c r="DY48" s="57"/>
      <c r="DZ48" s="57"/>
      <c r="EA48" s="57"/>
      <c r="EB48" s="57"/>
      <c r="EC48" s="57"/>
      <c r="ED48" s="57"/>
      <c r="EE48" s="57"/>
      <c r="EF48" s="57"/>
      <c r="EG48" s="57"/>
      <c r="EH48" s="57"/>
      <c r="EI48" s="57"/>
      <c r="EJ48" s="57"/>
      <c r="EK48" s="57"/>
      <c r="EL48" s="57"/>
      <c r="EM48" s="57"/>
      <c r="EN48" s="57"/>
      <c r="EO48" s="57"/>
      <c r="EP48" s="57"/>
      <c r="EQ48" s="57"/>
      <c r="ER48" s="57"/>
      <c r="ES48" s="57"/>
      <c r="ET48" s="57"/>
      <c r="EU48" s="57"/>
      <c r="EV48" s="57"/>
      <c r="EW48" s="57"/>
      <c r="EX48" s="57"/>
      <c r="EY48" s="57"/>
      <c r="EZ48" s="57"/>
      <c r="FA48" s="57"/>
      <c r="FB48" s="57"/>
      <c r="FC48" s="57"/>
      <c r="FD48" s="57"/>
      <c r="FE48" s="57"/>
      <c r="FF48" s="57"/>
      <c r="FG48" s="57"/>
      <c r="FH48" s="57"/>
      <c r="FI48" s="57"/>
      <c r="FJ48" s="57"/>
      <c r="FK48" s="57"/>
      <c r="FL48" s="57"/>
      <c r="FM48" s="57"/>
      <c r="FN48" s="57"/>
      <c r="FO48" s="57"/>
      <c r="FP48" s="57"/>
      <c r="FQ48" s="57"/>
      <c r="FR48" s="57"/>
      <c r="FS48" s="57"/>
      <c r="FT48" s="57"/>
      <c r="FU48" s="57"/>
      <c r="FV48" s="57"/>
      <c r="FW48" s="57"/>
      <c r="FX48" s="57"/>
      <c r="FY48" s="57"/>
      <c r="FZ48" s="57"/>
      <c r="GA48" s="57"/>
      <c r="GB48" s="57"/>
      <c r="GC48" s="57"/>
      <c r="GD48" s="57"/>
      <c r="GE48" s="57"/>
      <c r="GF48" s="57"/>
      <c r="GG48" s="57"/>
      <c r="GH48" s="57"/>
      <c r="GI48" s="57"/>
      <c r="GJ48" s="57"/>
      <c r="GK48" s="57"/>
      <c r="GL48" s="57"/>
      <c r="GM48" s="57"/>
      <c r="GN48" s="57"/>
      <c r="GO48" s="57"/>
      <c r="GP48" s="57"/>
      <c r="GQ48" s="57"/>
      <c r="GR48" s="57"/>
      <c r="GS48" s="57"/>
      <c r="GT48" s="57"/>
      <c r="GU48" s="57"/>
      <c r="GV48" s="57"/>
      <c r="GW48" s="57"/>
      <c r="GX48" s="57"/>
      <c r="GY48" s="57"/>
      <c r="GZ48" s="57"/>
      <c r="HA48" s="57"/>
      <c r="HB48" s="57"/>
      <c r="HC48" s="57"/>
      <c r="HD48" s="57"/>
      <c r="HE48" s="57"/>
      <c r="HF48" s="57"/>
      <c r="HG48" s="57"/>
      <c r="HH48" s="57"/>
      <c r="HI48" s="57"/>
      <c r="HJ48" s="57"/>
      <c r="HK48" s="57"/>
      <c r="HL48" s="57"/>
      <c r="HM48" s="57"/>
      <c r="HN48" s="57"/>
      <c r="HO48" s="57"/>
      <c r="HP48" s="57"/>
      <c r="HQ48" s="57"/>
      <c r="HR48" s="57"/>
      <c r="HS48" s="57"/>
      <c r="HT48" s="57"/>
      <c r="HU48" s="57"/>
      <c r="HV48" s="57"/>
      <c r="HW48" s="57"/>
      <c r="HX48" s="57"/>
      <c r="HY48" s="57"/>
      <c r="HZ48" s="57"/>
      <c r="IA48" s="57"/>
      <c r="IB48" s="57"/>
      <c r="IC48" s="57"/>
      <c r="ID48" s="57"/>
      <c r="IE48" s="57"/>
      <c r="IF48" s="57"/>
      <c r="IG48" s="57"/>
      <c r="IH48" s="57"/>
      <c r="II48" s="57"/>
      <c r="IJ48" s="57"/>
      <c r="IK48" s="57"/>
      <c r="IL48" s="57"/>
      <c r="IM48" s="57"/>
      <c r="IN48" s="57"/>
      <c r="IO48" s="57"/>
      <c r="IP48" s="57"/>
      <c r="IQ48" s="57"/>
      <c r="IR48" s="57"/>
      <c r="IS48" s="57"/>
      <c r="IT48" s="57"/>
      <c r="IU48" s="57"/>
    </row>
    <row r="49" spans="1:2">
      <c r="A49" s="8" t="s">
        <v>282</v>
      </c>
      <c r="B49" s="13" t="s">
        <v>283</v>
      </c>
    </row>
    <row r="50" spans="1:2">
      <c r="A50" s="4" t="s">
        <v>165</v>
      </c>
      <c r="B50" s="21">
        <v>95.12</v>
      </c>
    </row>
    <row r="51" spans="1:2">
      <c r="A51" s="4" t="s">
        <v>495</v>
      </c>
      <c r="B51" s="18">
        <v>212.67531199999999</v>
      </c>
    </row>
    <row r="52" spans="1:2">
      <c r="A52" s="4"/>
      <c r="B52" s="4"/>
    </row>
    <row r="53" spans="1:2">
      <c r="A53" s="9" t="s">
        <v>496</v>
      </c>
      <c r="B53" s="14">
        <v>20229.675676999999</v>
      </c>
    </row>
    <row r="54" spans="1:2">
      <c r="A54" s="4" t="s">
        <v>497</v>
      </c>
      <c r="B54" s="18">
        <v>17.899999999999999</v>
      </c>
    </row>
    <row r="55" spans="1:2">
      <c r="A55" s="4" t="s">
        <v>498</v>
      </c>
      <c r="B55" s="18">
        <v>4867.2</v>
      </c>
    </row>
    <row r="56" spans="1:2">
      <c r="A56" s="4" t="s">
        <v>499</v>
      </c>
      <c r="B56" s="18" t="s">
        <v>291</v>
      </c>
    </row>
    <row r="57" spans="1:2">
      <c r="A57" s="4" t="s">
        <v>500</v>
      </c>
      <c r="B57" s="18">
        <v>18.3</v>
      </c>
    </row>
    <row r="58" spans="1:2">
      <c r="A58" s="4" t="s">
        <v>501</v>
      </c>
      <c r="B58" s="18" t="s">
        <v>291</v>
      </c>
    </row>
    <row r="59" spans="1:2">
      <c r="A59" s="9" t="s">
        <v>502</v>
      </c>
      <c r="B59" s="14">
        <v>25097.275677000001</v>
      </c>
    </row>
    <row r="60" spans="1:2">
      <c r="A60" s="4"/>
      <c r="B60" s="4"/>
    </row>
    <row r="61" spans="1:2">
      <c r="A61" s="4" t="s">
        <v>503</v>
      </c>
      <c r="B61" s="18">
        <v>7020.4</v>
      </c>
    </row>
    <row r="62" spans="1:2">
      <c r="A62" s="4" t="s">
        <v>499</v>
      </c>
      <c r="B62" s="18" t="s">
        <v>291</v>
      </c>
    </row>
    <row r="63" spans="1:2">
      <c r="A63" s="4" t="s">
        <v>500</v>
      </c>
      <c r="B63" s="18">
        <v>18.3</v>
      </c>
    </row>
    <row r="64" spans="1:2">
      <c r="A64" s="4" t="s">
        <v>498</v>
      </c>
      <c r="B64" s="18">
        <v>4867.2</v>
      </c>
    </row>
    <row r="65" spans="1:255">
      <c r="A65" s="9" t="s">
        <v>504</v>
      </c>
      <c r="B65" s="14">
        <v>11905.9</v>
      </c>
    </row>
    <row r="66" spans="1:255">
      <c r="A66" s="4"/>
      <c r="B66" s="4"/>
    </row>
    <row r="67" spans="1:255" ht="60.75">
      <c r="A67" s="11" t="s">
        <v>505</v>
      </c>
      <c r="B67" s="11"/>
    </row>
    <row r="69" spans="1:255" ht="200.25" customHeight="1">
      <c r="A69" s="22"/>
    </row>
    <row r="71" spans="1:255">
      <c r="A71" t="s">
        <v>506</v>
      </c>
    </row>
    <row r="72" spans="1:255">
      <c r="A72" t="s">
        <v>507</v>
      </c>
    </row>
    <row r="73" spans="1:255">
      <c r="A73" t="s">
        <v>508</v>
      </c>
    </row>
    <row r="74" spans="1:255">
      <c r="A74" t="s">
        <v>509</v>
      </c>
    </row>
    <row r="76" spans="1:255">
      <c r="A76" s="6" t="s">
        <v>510</v>
      </c>
      <c r="B76" s="6"/>
      <c r="C76" s="6"/>
      <c r="D76" s="6"/>
      <c r="E76" s="6"/>
      <c r="F76" s="6"/>
      <c r="J76" s="57"/>
      <c r="K76" s="57"/>
      <c r="L76" s="57"/>
      <c r="M76" s="57"/>
      <c r="N76" s="57"/>
      <c r="O76" s="57"/>
      <c r="P76" s="57"/>
      <c r="Q76" s="57"/>
      <c r="R76" s="57"/>
      <c r="S76" s="57"/>
      <c r="T76" s="57"/>
      <c r="U76" s="57"/>
      <c r="V76" s="57"/>
      <c r="W76" s="57"/>
      <c r="X76" s="57"/>
      <c r="Y76" s="57"/>
      <c r="Z76" s="57"/>
      <c r="AA76" s="57"/>
      <c r="AB76" s="57"/>
      <c r="AC76" s="57"/>
      <c r="AD76" s="57"/>
      <c r="AE76" s="57"/>
      <c r="AF76" s="57"/>
      <c r="AG76" s="57"/>
      <c r="AH76" s="57"/>
      <c r="AI76" s="57"/>
      <c r="AJ76" s="57"/>
      <c r="AK76" s="57"/>
      <c r="AL76" s="57"/>
      <c r="AM76" s="57"/>
      <c r="AN76" s="57"/>
      <c r="AO76" s="57"/>
      <c r="AP76" s="57"/>
      <c r="AQ76" s="57"/>
      <c r="AR76" s="57"/>
      <c r="AS76" s="57"/>
      <c r="AT76" s="57"/>
      <c r="AU76" s="57"/>
      <c r="AV76" s="57"/>
      <c r="AW76" s="57"/>
      <c r="AX76" s="57"/>
      <c r="AY76" s="57"/>
      <c r="AZ76" s="57"/>
      <c r="BA76" s="57"/>
      <c r="BB76" s="57"/>
      <c r="BC76" s="57"/>
      <c r="BD76" s="57"/>
      <c r="BE76" s="57"/>
      <c r="BF76" s="57"/>
      <c r="BG76" s="57"/>
      <c r="BH76" s="57"/>
      <c r="BI76" s="57"/>
      <c r="BJ76" s="57"/>
      <c r="BK76" s="57"/>
      <c r="BL76" s="57"/>
      <c r="BM76" s="57"/>
      <c r="BN76" s="57"/>
      <c r="BO76" s="57"/>
      <c r="BP76" s="57"/>
      <c r="BQ76" s="57"/>
      <c r="BR76" s="57"/>
      <c r="BS76" s="57"/>
      <c r="BT76" s="57"/>
      <c r="BU76" s="57"/>
      <c r="BV76" s="57"/>
      <c r="BW76" s="57"/>
      <c r="BX76" s="57"/>
      <c r="BY76" s="57"/>
      <c r="BZ76" s="57"/>
      <c r="CA76" s="57"/>
      <c r="CB76" s="57"/>
      <c r="CC76" s="57"/>
      <c r="CD76" s="57"/>
      <c r="CE76" s="57"/>
      <c r="CF76" s="57"/>
      <c r="CG76" s="57"/>
      <c r="CH76" s="57"/>
      <c r="CI76" s="57"/>
      <c r="CJ76" s="57"/>
      <c r="CK76" s="57"/>
      <c r="CL76" s="57"/>
      <c r="CM76" s="57"/>
      <c r="CN76" s="57"/>
      <c r="CO76" s="57"/>
      <c r="CP76" s="57"/>
      <c r="CQ76" s="57"/>
      <c r="CR76" s="57"/>
      <c r="CS76" s="57"/>
      <c r="CT76" s="57"/>
      <c r="CU76" s="57"/>
      <c r="CV76" s="57"/>
      <c r="CW76" s="57"/>
      <c r="CX76" s="57"/>
      <c r="CY76" s="57"/>
      <c r="CZ76" s="57"/>
      <c r="DA76" s="57"/>
      <c r="DB76" s="57"/>
      <c r="DC76" s="57"/>
      <c r="DD76" s="57"/>
      <c r="DE76" s="57"/>
      <c r="DF76" s="57"/>
      <c r="DG76" s="57"/>
      <c r="DH76" s="57"/>
      <c r="DI76" s="57"/>
      <c r="DJ76" s="57"/>
      <c r="DK76" s="57"/>
      <c r="DL76" s="57"/>
      <c r="DM76" s="57"/>
      <c r="DN76" s="57"/>
      <c r="DO76" s="57"/>
      <c r="DP76" s="57"/>
      <c r="DQ76" s="57"/>
      <c r="DR76" s="57"/>
      <c r="DS76" s="57"/>
      <c r="DT76" s="57"/>
      <c r="DU76" s="57"/>
      <c r="DV76" s="57"/>
      <c r="DW76" s="57"/>
      <c r="DX76" s="57"/>
      <c r="DY76" s="57"/>
      <c r="DZ76" s="57"/>
      <c r="EA76" s="57"/>
      <c r="EB76" s="57"/>
      <c r="EC76" s="57"/>
      <c r="ED76" s="57"/>
      <c r="EE76" s="57"/>
      <c r="EF76" s="57"/>
      <c r="EG76" s="57"/>
      <c r="EH76" s="57"/>
      <c r="EI76" s="57"/>
      <c r="EJ76" s="57"/>
      <c r="EK76" s="57"/>
      <c r="EL76" s="57"/>
      <c r="EM76" s="57"/>
      <c r="EN76" s="57"/>
      <c r="EO76" s="57"/>
      <c r="EP76" s="57"/>
      <c r="EQ76" s="57"/>
      <c r="ER76" s="57"/>
      <c r="ES76" s="57"/>
      <c r="ET76" s="57"/>
      <c r="EU76" s="57"/>
      <c r="EV76" s="57"/>
      <c r="EW76" s="57"/>
      <c r="EX76" s="57"/>
      <c r="EY76" s="57"/>
      <c r="EZ76" s="57"/>
      <c r="FA76" s="57"/>
      <c r="FB76" s="57"/>
      <c r="FC76" s="57"/>
      <c r="FD76" s="57"/>
      <c r="FE76" s="57"/>
      <c r="FF76" s="57"/>
      <c r="FG76" s="57"/>
      <c r="FH76" s="57"/>
      <c r="FI76" s="57"/>
      <c r="FJ76" s="57"/>
      <c r="FK76" s="57"/>
      <c r="FL76" s="57"/>
      <c r="FM76" s="57"/>
      <c r="FN76" s="57"/>
      <c r="FO76" s="57"/>
      <c r="FP76" s="57"/>
      <c r="FQ76" s="57"/>
      <c r="FR76" s="57"/>
      <c r="FS76" s="57"/>
      <c r="FT76" s="57"/>
      <c r="FU76" s="57"/>
      <c r="FV76" s="57"/>
      <c r="FW76" s="57"/>
      <c r="FX76" s="57"/>
      <c r="FY76" s="57"/>
      <c r="FZ76" s="57"/>
      <c r="GA76" s="57"/>
      <c r="GB76" s="57"/>
      <c r="GC76" s="57"/>
      <c r="GD76" s="57"/>
      <c r="GE76" s="57"/>
      <c r="GF76" s="57"/>
      <c r="GG76" s="57"/>
      <c r="GH76" s="57"/>
      <c r="GI76" s="57"/>
      <c r="GJ76" s="57"/>
      <c r="GK76" s="57"/>
      <c r="GL76" s="57"/>
      <c r="GM76" s="57"/>
      <c r="GN76" s="57"/>
      <c r="GO76" s="57"/>
      <c r="GP76" s="57"/>
      <c r="GQ76" s="57"/>
      <c r="GR76" s="57"/>
      <c r="GS76" s="57"/>
      <c r="GT76" s="57"/>
      <c r="GU76" s="57"/>
      <c r="GV76" s="57"/>
      <c r="GW76" s="57"/>
      <c r="GX76" s="57"/>
      <c r="GY76" s="57"/>
      <c r="GZ76" s="57"/>
      <c r="HA76" s="57"/>
      <c r="HB76" s="57"/>
      <c r="HC76" s="57"/>
      <c r="HD76" s="57"/>
      <c r="HE76" s="57"/>
      <c r="HF76" s="57"/>
      <c r="HG76" s="57"/>
      <c r="HH76" s="57"/>
      <c r="HI76" s="57"/>
      <c r="HJ76" s="57"/>
      <c r="HK76" s="57"/>
      <c r="HL76" s="57"/>
      <c r="HM76" s="57"/>
      <c r="HN76" s="57"/>
      <c r="HO76" s="57"/>
      <c r="HP76" s="57"/>
      <c r="HQ76" s="57"/>
      <c r="HR76" s="57"/>
      <c r="HS76" s="57"/>
      <c r="HT76" s="57"/>
      <c r="HU76" s="57"/>
      <c r="HV76" s="57"/>
      <c r="HW76" s="57"/>
      <c r="HX76" s="57"/>
      <c r="HY76" s="57"/>
      <c r="HZ76" s="57"/>
      <c r="IA76" s="57"/>
      <c r="IB76" s="57"/>
      <c r="IC76" s="57"/>
      <c r="ID76" s="57"/>
      <c r="IE76" s="57"/>
      <c r="IF76" s="57"/>
      <c r="IG76" s="57"/>
      <c r="IH76" s="57"/>
      <c r="II76" s="57"/>
      <c r="IJ76" s="57"/>
      <c r="IK76" s="57"/>
      <c r="IL76" s="57"/>
      <c r="IM76" s="57"/>
      <c r="IN76" s="57"/>
      <c r="IO76" s="57"/>
      <c r="IP76" s="57"/>
      <c r="IQ76" s="57"/>
      <c r="IR76" s="57"/>
      <c r="IS76" s="57"/>
      <c r="IT76" s="57"/>
      <c r="IU76" s="57"/>
    </row>
    <row r="77" spans="1:255" ht="30.4">
      <c r="A77" s="7" t="s">
        <v>275</v>
      </c>
      <c r="B77" s="12" t="s">
        <v>474</v>
      </c>
      <c r="C77" s="12" t="s">
        <v>511</v>
      </c>
      <c r="D77" s="12" t="s">
        <v>512</v>
      </c>
      <c r="E77" s="12" t="s">
        <v>477</v>
      </c>
      <c r="F77" s="12" t="s">
        <v>478</v>
      </c>
    </row>
    <row r="78" spans="1:255">
      <c r="A78" s="9" t="s">
        <v>513</v>
      </c>
      <c r="B78" s="23">
        <v>1.1261460000000001</v>
      </c>
      <c r="C78" s="23">
        <v>1.1317619999999999</v>
      </c>
      <c r="D78" s="24">
        <v>1.1040646552940001</v>
      </c>
      <c r="E78" s="24">
        <v>1.0703383922909999</v>
      </c>
      <c r="F78" s="24">
        <v>1.034507439462</v>
      </c>
    </row>
    <row r="79" spans="1:255">
      <c r="A79" s="4"/>
      <c r="B79" s="4"/>
      <c r="C79" s="4"/>
      <c r="D79" s="4"/>
      <c r="E79" s="4"/>
      <c r="F79" s="4"/>
    </row>
    <row r="80" spans="1:255">
      <c r="A80" s="9" t="s">
        <v>514</v>
      </c>
      <c r="B80" s="23">
        <v>12.202252</v>
      </c>
      <c r="C80" s="23">
        <v>12.332813</v>
      </c>
      <c r="D80" s="24">
        <v>11.481364049312999</v>
      </c>
      <c r="E80" s="24">
        <v>10.951251881176001</v>
      </c>
      <c r="F80" s="24">
        <v>10.596841432578</v>
      </c>
    </row>
    <row r="81" spans="1:6">
      <c r="A81" s="4"/>
      <c r="B81" s="4"/>
      <c r="C81" s="4"/>
      <c r="D81" s="4"/>
      <c r="E81" s="4"/>
      <c r="F81" s="4"/>
    </row>
    <row r="82" spans="1:6">
      <c r="A82" s="9" t="s">
        <v>515</v>
      </c>
      <c r="B82" s="23">
        <v>16.844134</v>
      </c>
      <c r="C82" s="23">
        <v>17.127738000000001</v>
      </c>
      <c r="D82" s="24">
        <v>15.801792031750001</v>
      </c>
      <c r="E82" s="24">
        <v>15.030706681625</v>
      </c>
      <c r="F82" s="24">
        <v>14.401928142862999</v>
      </c>
    </row>
    <row r="83" spans="1:6">
      <c r="A83" s="4"/>
      <c r="B83" s="4"/>
      <c r="C83" s="4"/>
      <c r="D83" s="4"/>
      <c r="E83" s="4"/>
      <c r="F83" s="4"/>
    </row>
    <row r="84" spans="1:6">
      <c r="A84" s="9" t="s">
        <v>516</v>
      </c>
      <c r="B84" s="23">
        <v>20.544276</v>
      </c>
      <c r="C84" s="23">
        <v>21.037451999999998</v>
      </c>
      <c r="D84" s="24">
        <v>18.452775870162998</v>
      </c>
      <c r="E84" s="24">
        <v>16.960939199525999</v>
      </c>
      <c r="F84" s="24">
        <v>15.863433052376999</v>
      </c>
    </row>
    <row r="85" spans="1:6">
      <c r="A85" s="4"/>
      <c r="B85" s="4"/>
      <c r="C85" s="4"/>
      <c r="D85" s="4"/>
      <c r="E85" s="4"/>
      <c r="F85" s="4"/>
    </row>
    <row r="86" spans="1:6">
      <c r="A86" s="9" t="s">
        <v>517</v>
      </c>
      <c r="B86" s="23">
        <v>2.9070299999999998</v>
      </c>
      <c r="C86" s="23">
        <v>2.8880140000000001</v>
      </c>
      <c r="D86" s="24">
        <v>2.8407894599299999</v>
      </c>
      <c r="E86" s="24">
        <v>2.6582782226870001</v>
      </c>
      <c r="F86" s="24">
        <v>2.511370074882</v>
      </c>
    </row>
    <row r="87" spans="1:6">
      <c r="A87" s="4"/>
      <c r="B87" s="4"/>
      <c r="C87" s="4"/>
      <c r="D87" s="4"/>
      <c r="E87" s="4"/>
      <c r="F87" s="4"/>
    </row>
    <row r="88" spans="1:6">
      <c r="A88" s="9" t="s">
        <v>518</v>
      </c>
      <c r="B88" s="23">
        <v>19.483813999999999</v>
      </c>
      <c r="C88" s="23">
        <v>19.260016</v>
      </c>
      <c r="D88" s="17" t="s">
        <v>291</v>
      </c>
      <c r="E88" s="17" t="s">
        <v>291</v>
      </c>
      <c r="F88" s="17" t="s">
        <v>291</v>
      </c>
    </row>
    <row r="89" spans="1:6">
      <c r="A89" s="4"/>
      <c r="B89" s="4"/>
      <c r="C89" s="4"/>
      <c r="D89" s="4"/>
      <c r="E89" s="4"/>
      <c r="F89" s="4"/>
    </row>
    <row r="90" spans="1:6">
      <c r="A90" s="11"/>
      <c r="B90" s="11"/>
      <c r="C90" s="11"/>
      <c r="D90" s="11"/>
      <c r="E90" s="11"/>
      <c r="F90" s="11"/>
    </row>
    <row r="91" spans="1:6">
      <c r="A91" s="25" t="s">
        <v>334</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926E5-A93B-4193-9EC1-D238B4920389}">
  <sheetPr>
    <tabColor theme="2" tint="-0.499984740745262"/>
    <outlinePr summaryBelow="0" summaryRight="0"/>
    <pageSetUpPr autoPageBreaks="0"/>
  </sheetPr>
  <dimension ref="A5:IU96"/>
  <sheetViews>
    <sheetView topLeftCell="A3" workbookViewId="0">
      <selection activeCell="F18" sqref="F18"/>
    </sheetView>
  </sheetViews>
  <sheetFormatPr defaultColWidth="8.86328125" defaultRowHeight="10.15"/>
  <cols>
    <col min="1" max="1" width="45.86328125" customWidth="1"/>
    <col min="2" max="7" width="14.86328125" customWidth="1"/>
  </cols>
  <sheetData>
    <row r="5" spans="1:255" ht="16.149999999999999">
      <c r="A5" s="1" t="s">
        <v>519</v>
      </c>
    </row>
    <row r="7" spans="1:255" ht="20.25">
      <c r="A7" s="2" t="s">
        <v>520</v>
      </c>
      <c r="B7" s="3" t="s">
        <v>258</v>
      </c>
      <c r="C7" t="s">
        <v>259</v>
      </c>
      <c r="D7" s="4" t="s">
        <v>257</v>
      </c>
      <c r="E7" s="3" t="s">
        <v>260</v>
      </c>
      <c r="F7" t="s">
        <v>261</v>
      </c>
    </row>
    <row r="8" spans="1:255">
      <c r="A8" s="4"/>
      <c r="B8" s="3" t="s">
        <v>264</v>
      </c>
      <c r="C8" t="s">
        <v>265</v>
      </c>
      <c r="D8" s="4" t="s">
        <v>257</v>
      </c>
      <c r="E8" s="3" t="s">
        <v>266</v>
      </c>
      <c r="F8" t="s">
        <v>267</v>
      </c>
    </row>
    <row r="9" spans="1:255">
      <c r="A9" s="4"/>
      <c r="B9" s="3" t="s">
        <v>268</v>
      </c>
      <c r="C9" t="s">
        <v>269</v>
      </c>
      <c r="D9" s="4" t="s">
        <v>257</v>
      </c>
      <c r="E9" s="3" t="s">
        <v>270</v>
      </c>
      <c r="F9" s="5" t="s">
        <v>271</v>
      </c>
    </row>
    <row r="10" spans="1:255">
      <c r="A10" s="4"/>
      <c r="B10" s="3" t="s">
        <v>262</v>
      </c>
      <c r="C10" t="s">
        <v>263</v>
      </c>
      <c r="D10" s="4" t="s">
        <v>257</v>
      </c>
      <c r="E10" s="26"/>
      <c r="F10" s="26"/>
    </row>
    <row r="13" spans="1:255">
      <c r="A13" s="6" t="s">
        <v>521</v>
      </c>
      <c r="B13" s="6"/>
      <c r="C13" s="6"/>
      <c r="D13" s="6"/>
      <c r="E13" s="6"/>
      <c r="F13" s="6"/>
      <c r="G13" s="57"/>
      <c r="H13" s="57"/>
      <c r="I13" s="57"/>
      <c r="J13" s="57"/>
      <c r="K13" s="57"/>
      <c r="L13" s="57"/>
      <c r="M13" s="57"/>
      <c r="N13" s="57"/>
      <c r="O13" s="57"/>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c r="ED13" s="57"/>
      <c r="EE13" s="57"/>
      <c r="EF13" s="57"/>
      <c r="EG13" s="57"/>
      <c r="EH13" s="57"/>
      <c r="EI13" s="57"/>
      <c r="EJ13" s="57"/>
      <c r="EK13" s="57"/>
      <c r="EL13" s="57"/>
      <c r="EM13" s="57"/>
      <c r="EN13" s="57"/>
      <c r="EO13" s="57"/>
      <c r="EP13" s="57"/>
      <c r="EQ13" s="57"/>
      <c r="ER13" s="57"/>
      <c r="ES13" s="57"/>
      <c r="ET13" s="57"/>
      <c r="EU13" s="57"/>
      <c r="EV13" s="57"/>
      <c r="EW13" s="57"/>
      <c r="EX13" s="57"/>
      <c r="EY13" s="57"/>
      <c r="EZ13" s="57"/>
      <c r="FA13" s="57"/>
      <c r="FB13" s="57"/>
      <c r="FC13" s="57"/>
      <c r="FD13" s="57"/>
      <c r="FE13" s="57"/>
      <c r="FF13" s="57"/>
      <c r="FG13" s="57"/>
      <c r="FH13" s="57"/>
      <c r="FI13" s="57"/>
      <c r="FJ13" s="57"/>
      <c r="FK13" s="57"/>
      <c r="FL13" s="57"/>
      <c r="FM13" s="57"/>
      <c r="FN13" s="57"/>
      <c r="FO13" s="57"/>
      <c r="FP13" s="57"/>
      <c r="FQ13" s="57"/>
      <c r="FR13" s="57"/>
      <c r="FS13" s="57"/>
      <c r="FT13" s="57"/>
      <c r="FU13" s="57"/>
      <c r="FV13" s="57"/>
      <c r="FW13" s="57"/>
      <c r="FX13" s="57"/>
      <c r="FY13" s="57"/>
      <c r="FZ13" s="57"/>
      <c r="GA13" s="57"/>
      <c r="GB13" s="57"/>
      <c r="GC13" s="57"/>
      <c r="GD13" s="57"/>
      <c r="GE13" s="57"/>
      <c r="GF13" s="57"/>
      <c r="GG13" s="57"/>
      <c r="GH13" s="57"/>
      <c r="GI13" s="57"/>
      <c r="GJ13" s="57"/>
      <c r="GK13" s="57"/>
      <c r="GL13" s="57"/>
      <c r="GM13" s="57"/>
      <c r="GN13" s="57"/>
      <c r="GO13" s="57"/>
      <c r="GP13" s="57"/>
      <c r="GQ13" s="57"/>
      <c r="GR13" s="57"/>
      <c r="GS13" s="57"/>
      <c r="GT13" s="57"/>
      <c r="GU13" s="57"/>
      <c r="GV13" s="57"/>
      <c r="GW13" s="57"/>
      <c r="GX13" s="57"/>
      <c r="GY13" s="57"/>
      <c r="GZ13" s="57"/>
      <c r="HA13" s="57"/>
      <c r="HB13" s="57"/>
      <c r="HC13" s="57"/>
      <c r="HD13" s="57"/>
      <c r="HE13" s="57"/>
      <c r="HF13" s="57"/>
      <c r="HG13" s="57"/>
      <c r="HH13" s="57"/>
      <c r="HI13" s="57"/>
      <c r="HJ13" s="57"/>
      <c r="HK13" s="57"/>
      <c r="HL13" s="57"/>
      <c r="HM13" s="57"/>
      <c r="HN13" s="57"/>
      <c r="HO13" s="57"/>
      <c r="HP13" s="57"/>
      <c r="HQ13" s="57"/>
      <c r="HR13" s="57"/>
      <c r="HS13" s="57"/>
      <c r="HT13" s="57"/>
      <c r="HU13" s="57"/>
      <c r="HV13" s="57"/>
      <c r="HW13" s="57"/>
      <c r="HX13" s="57"/>
      <c r="HY13" s="57"/>
      <c r="HZ13" s="57"/>
      <c r="IA13" s="57"/>
      <c r="IB13" s="57"/>
      <c r="IC13" s="57"/>
      <c r="ID13" s="57"/>
      <c r="IE13" s="57"/>
      <c r="IF13" s="57"/>
      <c r="IG13" s="57"/>
      <c r="IH13" s="57"/>
      <c r="II13" s="57"/>
      <c r="IJ13" s="57"/>
      <c r="IK13" s="57"/>
      <c r="IL13" s="57"/>
      <c r="IM13" s="57"/>
      <c r="IN13" s="57"/>
      <c r="IO13" s="57"/>
      <c r="IP13" s="57"/>
      <c r="IQ13" s="57"/>
      <c r="IR13" s="57"/>
      <c r="IS13" s="57"/>
      <c r="IT13" s="57"/>
      <c r="IU13" s="57"/>
    </row>
    <row r="14" spans="1:255" ht="20.25">
      <c r="A14" s="7" t="s">
        <v>522</v>
      </c>
      <c r="B14" s="390" t="s">
        <v>523</v>
      </c>
      <c r="C14" s="391"/>
      <c r="D14" s="390" t="s">
        <v>524</v>
      </c>
      <c r="E14" s="392"/>
      <c r="F14" s="393" t="s">
        <v>525</v>
      </c>
      <c r="G14" s="392"/>
    </row>
    <row r="15" spans="1:255">
      <c r="A15" s="8" t="s">
        <v>526</v>
      </c>
      <c r="B15" s="13" t="s">
        <v>527</v>
      </c>
      <c r="C15" s="13"/>
      <c r="D15" s="13" t="s">
        <v>527</v>
      </c>
      <c r="E15" s="49"/>
      <c r="F15" s="49" t="s">
        <v>527</v>
      </c>
      <c r="G15" s="49"/>
    </row>
    <row r="16" spans="1:255">
      <c r="A16" s="7" t="s">
        <v>528</v>
      </c>
      <c r="B16" s="12" t="s">
        <v>529</v>
      </c>
      <c r="C16" s="12" t="s">
        <v>530</v>
      </c>
      <c r="D16" s="12" t="s">
        <v>529</v>
      </c>
      <c r="E16" s="50" t="s">
        <v>530</v>
      </c>
      <c r="F16" s="50" t="s">
        <v>529</v>
      </c>
      <c r="G16" s="50" t="s">
        <v>530</v>
      </c>
    </row>
    <row r="17" spans="1:255">
      <c r="A17" s="9" t="s">
        <v>284</v>
      </c>
      <c r="B17" s="4"/>
      <c r="C17" s="47"/>
      <c r="D17" s="4"/>
      <c r="F17" s="45"/>
    </row>
    <row r="18" spans="1:255">
      <c r="A18" s="4" t="s">
        <v>451</v>
      </c>
      <c r="B18" s="18">
        <v>4311.8</v>
      </c>
      <c r="C18" s="15">
        <v>0.37987084497000001</v>
      </c>
      <c r="D18" s="18">
        <v>4602</v>
      </c>
      <c r="E18" s="51">
        <v>0.39511981523299999</v>
      </c>
      <c r="F18" s="53">
        <v>4867.2</v>
      </c>
      <c r="G18" s="51">
        <v>0.40880571817299999</v>
      </c>
    </row>
    <row r="19" spans="1:255">
      <c r="A19" s="4" t="s">
        <v>531</v>
      </c>
      <c r="B19" s="18">
        <v>7021.7</v>
      </c>
      <c r="C19" s="15">
        <v>0.61861382998400005</v>
      </c>
      <c r="D19" s="18">
        <v>7026.7</v>
      </c>
      <c r="E19" s="51">
        <v>0.60330039237199995</v>
      </c>
      <c r="F19" s="53">
        <v>7020.4</v>
      </c>
      <c r="G19" s="51">
        <v>0.58965722876899995</v>
      </c>
    </row>
    <row r="20" spans="1:255">
      <c r="A20" s="4" t="s">
        <v>455</v>
      </c>
      <c r="B20" s="18">
        <v>17.2</v>
      </c>
      <c r="C20" s="15">
        <v>1.5153250459999999E-3</v>
      </c>
      <c r="D20" s="18">
        <v>18.399999999999999</v>
      </c>
      <c r="E20" s="51">
        <v>1.5797923949999999E-3</v>
      </c>
      <c r="F20" s="53">
        <v>18.3</v>
      </c>
      <c r="G20" s="51">
        <v>1.537053058E-3</v>
      </c>
    </row>
    <row r="21" spans="1:255">
      <c r="A21" s="9" t="s">
        <v>532</v>
      </c>
      <c r="B21" s="14">
        <v>11350.7</v>
      </c>
      <c r="C21" s="48">
        <v>1</v>
      </c>
      <c r="D21" s="14">
        <v>11647.1</v>
      </c>
      <c r="E21" s="52">
        <v>1</v>
      </c>
      <c r="F21" s="54">
        <v>11905.9</v>
      </c>
      <c r="G21" s="52">
        <v>1</v>
      </c>
    </row>
    <row r="22" spans="1:255">
      <c r="A22" s="4"/>
      <c r="B22" s="4"/>
      <c r="C22" s="47"/>
      <c r="D22" s="4"/>
      <c r="F22" s="45"/>
    </row>
    <row r="23" spans="1:255">
      <c r="A23" s="11"/>
      <c r="B23" s="11"/>
      <c r="C23" s="11"/>
      <c r="D23" s="11"/>
    </row>
    <row r="25" spans="1:255">
      <c r="A25" s="6" t="s">
        <v>533</v>
      </c>
      <c r="B25" s="6"/>
      <c r="C25" s="6"/>
      <c r="D25" s="6"/>
      <c r="E25" s="6"/>
      <c r="F25" s="6"/>
      <c r="G25" s="57"/>
      <c r="H25" s="57"/>
      <c r="I25" s="57"/>
      <c r="J25" s="57"/>
      <c r="K25" s="57"/>
      <c r="L25" s="57"/>
      <c r="M25" s="57"/>
      <c r="N25" s="57"/>
      <c r="O25" s="57"/>
      <c r="P25" s="57"/>
      <c r="Q25" s="57"/>
      <c r="R25" s="57"/>
      <c r="S25" s="57"/>
      <c r="T25" s="57"/>
      <c r="U25" s="57"/>
      <c r="V25" s="57"/>
      <c r="W25" s="57"/>
      <c r="X25" s="57"/>
      <c r="Y25" s="57"/>
      <c r="Z25" s="57"/>
      <c r="AA25" s="57"/>
      <c r="AB25" s="57"/>
      <c r="AC25" s="57"/>
      <c r="AD25" s="57"/>
      <c r="AE25" s="57"/>
      <c r="AF25" s="57"/>
      <c r="AG25" s="57"/>
      <c r="AH25" s="57"/>
      <c r="AI25" s="57"/>
      <c r="AJ25" s="57"/>
      <c r="AK25" s="57"/>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M25" s="57"/>
      <c r="CN25" s="57"/>
      <c r="CO25" s="57"/>
      <c r="CP25" s="57"/>
      <c r="CQ25" s="57"/>
      <c r="CR25" s="57"/>
      <c r="CS25" s="57"/>
      <c r="CT25" s="57"/>
      <c r="CU25" s="57"/>
      <c r="CV25" s="57"/>
      <c r="CW25" s="57"/>
      <c r="CX25" s="57"/>
      <c r="CY25" s="57"/>
      <c r="CZ25" s="57"/>
      <c r="DA25" s="57"/>
      <c r="DB25" s="57"/>
      <c r="DC25" s="57"/>
      <c r="DD25" s="57"/>
      <c r="DE25" s="57"/>
      <c r="DF25" s="57"/>
      <c r="DG25" s="57"/>
      <c r="DH25" s="57"/>
      <c r="DI25" s="57"/>
      <c r="DJ25" s="57"/>
      <c r="DK25" s="57"/>
      <c r="DL25" s="57"/>
      <c r="DM25" s="57"/>
      <c r="DN25" s="57"/>
      <c r="DO25" s="57"/>
      <c r="DP25" s="57"/>
      <c r="DQ25" s="57"/>
      <c r="DR25" s="57"/>
      <c r="DS25" s="57"/>
      <c r="DT25" s="57"/>
      <c r="DU25" s="57"/>
      <c r="DV25" s="57"/>
      <c r="DW25" s="57"/>
      <c r="DX25" s="57"/>
      <c r="DY25" s="57"/>
      <c r="DZ25" s="57"/>
      <c r="EA25" s="57"/>
      <c r="EB25" s="57"/>
      <c r="EC25" s="57"/>
      <c r="ED25" s="57"/>
      <c r="EE25" s="57"/>
      <c r="EF25" s="57"/>
      <c r="EG25" s="57"/>
      <c r="EH25" s="57"/>
      <c r="EI25" s="57"/>
      <c r="EJ25" s="57"/>
      <c r="EK25" s="57"/>
      <c r="EL25" s="57"/>
      <c r="EM25" s="57"/>
      <c r="EN25" s="57"/>
      <c r="EO25" s="57"/>
      <c r="EP25" s="57"/>
      <c r="EQ25" s="57"/>
      <c r="ER25" s="57"/>
      <c r="ES25" s="57"/>
      <c r="ET25" s="57"/>
      <c r="EU25" s="57"/>
      <c r="EV25" s="57"/>
      <c r="EW25" s="57"/>
      <c r="EX25" s="57"/>
      <c r="EY25" s="57"/>
      <c r="EZ25" s="57"/>
      <c r="FA25" s="57"/>
      <c r="FB25" s="57"/>
      <c r="FC25" s="57"/>
      <c r="FD25" s="57"/>
      <c r="FE25" s="57"/>
      <c r="FF25" s="57"/>
      <c r="FG25" s="57"/>
      <c r="FH25" s="57"/>
      <c r="FI25" s="57"/>
      <c r="FJ25" s="57"/>
      <c r="FK25" s="57"/>
      <c r="FL25" s="57"/>
      <c r="FM25" s="57"/>
      <c r="FN25" s="57"/>
      <c r="FO25" s="57"/>
      <c r="FP25" s="57"/>
      <c r="FQ25" s="57"/>
      <c r="FR25" s="57"/>
      <c r="FS25" s="57"/>
      <c r="FT25" s="57"/>
      <c r="FU25" s="57"/>
      <c r="FV25" s="57"/>
      <c r="FW25" s="57"/>
      <c r="FX25" s="57"/>
      <c r="FY25" s="57"/>
      <c r="FZ25" s="57"/>
      <c r="GA25" s="57"/>
      <c r="GB25" s="57"/>
      <c r="GC25" s="57"/>
      <c r="GD25" s="57"/>
      <c r="GE25" s="57"/>
      <c r="GF25" s="57"/>
      <c r="GG25" s="57"/>
      <c r="GH25" s="57"/>
      <c r="GI25" s="57"/>
      <c r="GJ25" s="57"/>
      <c r="GK25" s="57"/>
      <c r="GL25" s="57"/>
      <c r="GM25" s="57"/>
      <c r="GN25" s="57"/>
      <c r="GO25" s="57"/>
      <c r="GP25" s="57"/>
      <c r="GQ25" s="57"/>
      <c r="GR25" s="57"/>
      <c r="GS25" s="57"/>
      <c r="GT25" s="57"/>
      <c r="GU25" s="57"/>
      <c r="GV25" s="57"/>
      <c r="GW25" s="57"/>
      <c r="GX25" s="57"/>
      <c r="GY25" s="57"/>
      <c r="GZ25" s="57"/>
      <c r="HA25" s="57"/>
      <c r="HB25" s="57"/>
      <c r="HC25" s="57"/>
      <c r="HD25" s="57"/>
      <c r="HE25" s="57"/>
      <c r="HF25" s="57"/>
      <c r="HG25" s="57"/>
      <c r="HH25" s="57"/>
      <c r="HI25" s="57"/>
      <c r="HJ25" s="57"/>
      <c r="HK25" s="57"/>
      <c r="HL25" s="57"/>
      <c r="HM25" s="57"/>
      <c r="HN25" s="57"/>
      <c r="HO25" s="57"/>
      <c r="HP25" s="57"/>
      <c r="HQ25" s="57"/>
      <c r="HR25" s="57"/>
      <c r="HS25" s="57"/>
      <c r="HT25" s="57"/>
      <c r="HU25" s="57"/>
      <c r="HV25" s="57"/>
      <c r="HW25" s="57"/>
      <c r="HX25" s="57"/>
      <c r="HY25" s="57"/>
      <c r="HZ25" s="57"/>
      <c r="IA25" s="57"/>
      <c r="IB25" s="57"/>
      <c r="IC25" s="57"/>
      <c r="ID25" s="57"/>
      <c r="IE25" s="57"/>
      <c r="IF25" s="57"/>
      <c r="IG25" s="57"/>
      <c r="IH25" s="57"/>
      <c r="II25" s="57"/>
      <c r="IJ25" s="57"/>
      <c r="IK25" s="57"/>
      <c r="IL25" s="57"/>
      <c r="IM25" s="57"/>
      <c r="IN25" s="57"/>
      <c r="IO25" s="57"/>
      <c r="IP25" s="57"/>
      <c r="IQ25" s="57"/>
      <c r="IR25" s="57"/>
      <c r="IS25" s="57"/>
      <c r="IT25" s="57"/>
      <c r="IU25" s="57"/>
    </row>
    <row r="26" spans="1:255" ht="20.25">
      <c r="A26" s="7" t="s">
        <v>522</v>
      </c>
      <c r="B26" s="390" t="s">
        <v>523</v>
      </c>
      <c r="C26" s="391"/>
      <c r="D26" s="390" t="s">
        <v>524</v>
      </c>
      <c r="E26" s="392"/>
      <c r="F26" s="393" t="s">
        <v>525</v>
      </c>
      <c r="G26" s="392"/>
    </row>
    <row r="27" spans="1:255">
      <c r="A27" s="8" t="s">
        <v>526</v>
      </c>
      <c r="B27" s="13" t="s">
        <v>527</v>
      </c>
      <c r="C27" s="13"/>
      <c r="D27" s="13" t="s">
        <v>527</v>
      </c>
      <c r="E27" s="49"/>
      <c r="F27" s="49" t="s">
        <v>527</v>
      </c>
      <c r="G27" s="49"/>
    </row>
    <row r="28" spans="1:255">
      <c r="A28" s="7" t="s">
        <v>528</v>
      </c>
      <c r="B28" s="12" t="s">
        <v>529</v>
      </c>
      <c r="C28" s="12" t="s">
        <v>530</v>
      </c>
      <c r="D28" s="12" t="s">
        <v>529</v>
      </c>
      <c r="E28" s="50" t="s">
        <v>530</v>
      </c>
      <c r="F28" s="50" t="s">
        <v>529</v>
      </c>
      <c r="G28" s="50" t="s">
        <v>530</v>
      </c>
    </row>
    <row r="29" spans="1:255">
      <c r="A29" s="9" t="s">
        <v>284</v>
      </c>
      <c r="B29" s="4"/>
      <c r="C29" s="47"/>
      <c r="D29" s="4"/>
      <c r="F29" s="45"/>
    </row>
    <row r="30" spans="1:255">
      <c r="A30" s="4" t="s">
        <v>534</v>
      </c>
      <c r="B30" s="18">
        <v>35.4</v>
      </c>
      <c r="C30" s="15">
        <v>8.2100000000000003E-3</v>
      </c>
      <c r="D30" s="18">
        <v>118</v>
      </c>
      <c r="E30" s="51">
        <v>2.5641000000000001E-2</v>
      </c>
      <c r="F30" s="53">
        <v>353.8</v>
      </c>
      <c r="G30" s="51">
        <v>7.2690000000000005E-2</v>
      </c>
    </row>
    <row r="31" spans="1:255">
      <c r="A31" s="4" t="s">
        <v>535</v>
      </c>
      <c r="B31" s="18">
        <v>51.5</v>
      </c>
      <c r="C31" s="15">
        <v>1.1943E-2</v>
      </c>
      <c r="D31" s="18">
        <v>49.9</v>
      </c>
      <c r="E31" s="51">
        <v>1.0843E-2</v>
      </c>
      <c r="F31" s="53">
        <v>37.799999999999997</v>
      </c>
      <c r="G31" s="51">
        <v>7.7660000000000003E-3</v>
      </c>
    </row>
    <row r="32" spans="1:255">
      <c r="A32" s="4" t="s">
        <v>536</v>
      </c>
      <c r="B32" s="18">
        <v>2598.8000000000002</v>
      </c>
      <c r="C32" s="15">
        <v>0.60271799999999998</v>
      </c>
      <c r="D32" s="18">
        <v>2800</v>
      </c>
      <c r="E32" s="51">
        <v>0.60843100000000006</v>
      </c>
      <c r="F32" s="53">
        <v>2800</v>
      </c>
      <c r="G32" s="51">
        <v>0.57527899999999998</v>
      </c>
    </row>
    <row r="33" spans="1:7">
      <c r="A33" s="4" t="s">
        <v>537</v>
      </c>
      <c r="B33" s="18">
        <v>1636.2</v>
      </c>
      <c r="C33" s="15">
        <v>0.37946999999999997</v>
      </c>
      <c r="D33" s="18">
        <v>1646.7</v>
      </c>
      <c r="E33" s="51">
        <v>0.35782199999999997</v>
      </c>
      <c r="F33" s="53">
        <v>1675.6</v>
      </c>
      <c r="G33" s="51">
        <v>0.34426299999999999</v>
      </c>
    </row>
    <row r="34" spans="1:7">
      <c r="A34" s="9" t="s">
        <v>538</v>
      </c>
      <c r="B34" s="14">
        <v>4321.8999999999996</v>
      </c>
      <c r="C34" s="48">
        <v>1.0023420000000001</v>
      </c>
      <c r="D34" s="14">
        <v>4614.6000000000004</v>
      </c>
      <c r="E34" s="52">
        <v>1.002737</v>
      </c>
      <c r="F34" s="54">
        <v>4867.2</v>
      </c>
      <c r="G34" s="52">
        <v>1</v>
      </c>
    </row>
    <row r="35" spans="1:7">
      <c r="A35" s="4"/>
      <c r="B35" s="4"/>
      <c r="C35" s="47"/>
      <c r="D35" s="4"/>
      <c r="F35" s="45"/>
    </row>
    <row r="36" spans="1:7">
      <c r="A36" s="4" t="s">
        <v>539</v>
      </c>
      <c r="B36" s="18">
        <v>-10.1</v>
      </c>
      <c r="C36" s="15">
        <v>-2.3419999999999999E-3</v>
      </c>
      <c r="D36" s="18">
        <v>-12.6</v>
      </c>
      <c r="E36" s="51">
        <v>-2.7369999999999998E-3</v>
      </c>
      <c r="F36" s="53" t="s">
        <v>291</v>
      </c>
      <c r="G36" s="51" t="s">
        <v>291</v>
      </c>
    </row>
    <row r="37" spans="1:7">
      <c r="A37" s="9" t="s">
        <v>540</v>
      </c>
      <c r="B37" s="14">
        <v>4311.8</v>
      </c>
      <c r="C37" s="48">
        <v>1</v>
      </c>
      <c r="D37" s="14">
        <v>4602</v>
      </c>
      <c r="E37" s="52">
        <v>1</v>
      </c>
      <c r="F37" s="54">
        <v>4867.2</v>
      </c>
      <c r="G37" s="52">
        <v>1</v>
      </c>
    </row>
    <row r="38" spans="1:7">
      <c r="A38" s="4"/>
      <c r="B38" s="4"/>
      <c r="C38" s="47"/>
      <c r="D38" s="4"/>
      <c r="F38" s="45"/>
    </row>
    <row r="39" spans="1:7">
      <c r="A39" s="9" t="s">
        <v>541</v>
      </c>
      <c r="B39" s="4"/>
      <c r="C39" s="47"/>
      <c r="D39" s="4"/>
      <c r="F39" s="45"/>
    </row>
    <row r="40" spans="1:7">
      <c r="A40" s="4" t="s">
        <v>542</v>
      </c>
      <c r="B40" s="18" t="s">
        <v>291</v>
      </c>
      <c r="C40" s="15" t="s">
        <v>291</v>
      </c>
      <c r="D40" s="18">
        <v>482</v>
      </c>
      <c r="E40" s="51" t="s">
        <v>291</v>
      </c>
      <c r="F40" s="53">
        <v>246.2</v>
      </c>
      <c r="G40" s="51" t="s">
        <v>291</v>
      </c>
    </row>
    <row r="41" spans="1:7">
      <c r="A41" s="9" t="s">
        <v>543</v>
      </c>
      <c r="B41" s="14" t="s">
        <v>291</v>
      </c>
      <c r="C41" s="48" t="s">
        <v>291</v>
      </c>
      <c r="D41" s="14">
        <v>482</v>
      </c>
      <c r="E41" s="52" t="s">
        <v>291</v>
      </c>
      <c r="F41" s="54">
        <v>246.2</v>
      </c>
      <c r="G41" s="52" t="s">
        <v>291</v>
      </c>
    </row>
    <row r="42" spans="1:7">
      <c r="A42" s="4"/>
      <c r="B42" s="4"/>
      <c r="C42" s="47"/>
      <c r="D42" s="4"/>
      <c r="F42" s="45"/>
    </row>
    <row r="43" spans="1:7">
      <c r="A43" s="9" t="s">
        <v>544</v>
      </c>
      <c r="B43" s="4"/>
      <c r="C43" s="47"/>
      <c r="D43" s="4"/>
      <c r="F43" s="45"/>
    </row>
    <row r="44" spans="1:7">
      <c r="A44" s="4" t="s">
        <v>545</v>
      </c>
      <c r="B44" s="18">
        <v>29.4</v>
      </c>
      <c r="C44" s="15" t="s">
        <v>291</v>
      </c>
      <c r="D44" s="18">
        <v>67.3</v>
      </c>
      <c r="E44" s="51" t="s">
        <v>291</v>
      </c>
      <c r="F44" s="53">
        <v>17.899999999999999</v>
      </c>
      <c r="G44" s="51" t="s">
        <v>291</v>
      </c>
    </row>
    <row r="45" spans="1:7">
      <c r="A45" s="4" t="s">
        <v>452</v>
      </c>
      <c r="B45" s="18">
        <v>4282.3999999999996</v>
      </c>
      <c r="C45" s="15" t="s">
        <v>291</v>
      </c>
      <c r="D45" s="18">
        <v>4534.7</v>
      </c>
      <c r="E45" s="51" t="s">
        <v>291</v>
      </c>
      <c r="F45" s="53">
        <v>4849.3</v>
      </c>
      <c r="G45" s="51" t="s">
        <v>291</v>
      </c>
    </row>
    <row r="46" spans="1:7">
      <c r="A46" s="4" t="s">
        <v>546</v>
      </c>
      <c r="B46" s="18">
        <v>4321.8999999999996</v>
      </c>
      <c r="C46" s="15">
        <v>1.0023420000000001</v>
      </c>
      <c r="D46" s="18">
        <v>4614.6000000000004</v>
      </c>
      <c r="E46" s="51">
        <v>1.002737</v>
      </c>
      <c r="F46" s="53">
        <v>4867.2</v>
      </c>
      <c r="G46" s="51">
        <v>1</v>
      </c>
    </row>
    <row r="47" spans="1:7">
      <c r="A47" s="4" t="s">
        <v>547</v>
      </c>
      <c r="B47" s="18">
        <v>580.79999999999995</v>
      </c>
      <c r="C47" s="15">
        <v>0.13469999999999999</v>
      </c>
      <c r="D47" s="18">
        <v>293.10000000000002</v>
      </c>
      <c r="E47" s="51">
        <v>6.3688999999999996E-2</v>
      </c>
      <c r="F47" s="53">
        <v>294.8</v>
      </c>
      <c r="G47" s="51">
        <v>6.0567999999999997E-2</v>
      </c>
    </row>
    <row r="48" spans="1:7">
      <c r="A48" s="4" t="s">
        <v>548</v>
      </c>
      <c r="B48" s="18">
        <v>3731</v>
      </c>
      <c r="C48" s="15">
        <v>0.86529900000000004</v>
      </c>
      <c r="D48" s="18">
        <v>4308.8999999999996</v>
      </c>
      <c r="E48" s="51">
        <v>0.93630999999999998</v>
      </c>
      <c r="F48" s="53">
        <v>4572.3999999999996</v>
      </c>
      <c r="G48" s="51">
        <v>0.93943100000000002</v>
      </c>
    </row>
    <row r="49" spans="1:7">
      <c r="A49" s="4" t="s">
        <v>549</v>
      </c>
      <c r="B49" s="18">
        <v>86.9</v>
      </c>
      <c r="C49" s="15">
        <v>2.0153000000000001E-2</v>
      </c>
      <c r="D49" s="18">
        <v>167.9</v>
      </c>
      <c r="E49" s="51">
        <v>3.6484000000000003E-2</v>
      </c>
      <c r="F49" s="53">
        <v>391.6</v>
      </c>
      <c r="G49" s="51">
        <v>8.0456E-2</v>
      </c>
    </row>
    <row r="50" spans="1:7">
      <c r="A50" s="4" t="s">
        <v>550</v>
      </c>
      <c r="B50" s="18">
        <v>1636.2</v>
      </c>
      <c r="C50" s="15">
        <v>0.37946999999999997</v>
      </c>
      <c r="D50" s="18">
        <v>1646.7</v>
      </c>
      <c r="E50" s="51">
        <v>0.35782199999999997</v>
      </c>
      <c r="F50" s="53">
        <v>1675.6</v>
      </c>
      <c r="G50" s="51">
        <v>0.34426299999999999</v>
      </c>
    </row>
    <row r="51" spans="1:7">
      <c r="A51" s="4" t="s">
        <v>551</v>
      </c>
      <c r="B51" s="18">
        <v>1636.2</v>
      </c>
      <c r="C51" s="15">
        <v>0.37946999999999997</v>
      </c>
      <c r="D51" s="18">
        <v>1646.7</v>
      </c>
      <c r="E51" s="51">
        <v>0.35782199999999997</v>
      </c>
      <c r="F51" s="53">
        <v>1675.6</v>
      </c>
      <c r="G51" s="51">
        <v>0.34426299999999999</v>
      </c>
    </row>
    <row r="52" spans="1:7">
      <c r="A52" s="4" t="s">
        <v>552</v>
      </c>
      <c r="B52" s="18">
        <v>2685.7</v>
      </c>
      <c r="C52" s="15">
        <v>0.62287199999999998</v>
      </c>
      <c r="D52" s="18">
        <v>2967.9</v>
      </c>
      <c r="E52" s="51">
        <v>0.64491500000000002</v>
      </c>
      <c r="F52" s="53">
        <v>3191.6</v>
      </c>
      <c r="G52" s="51">
        <v>0.65573599999999999</v>
      </c>
    </row>
    <row r="53" spans="1:7">
      <c r="A53" s="4" t="s">
        <v>553</v>
      </c>
      <c r="B53" s="18">
        <v>2598.8000000000002</v>
      </c>
      <c r="C53" s="15">
        <v>0.60271799999999998</v>
      </c>
      <c r="D53" s="18">
        <v>2800</v>
      </c>
      <c r="E53" s="51">
        <v>0.60843100000000006</v>
      </c>
      <c r="F53" s="53">
        <v>2800</v>
      </c>
      <c r="G53" s="51">
        <v>0.57527899999999998</v>
      </c>
    </row>
    <row r="54" spans="1:7">
      <c r="A54" s="4" t="s">
        <v>554</v>
      </c>
      <c r="B54" s="18">
        <v>2598.8000000000002</v>
      </c>
      <c r="C54" s="15">
        <v>0.60271799999999998</v>
      </c>
      <c r="D54" s="18">
        <v>2800</v>
      </c>
      <c r="E54" s="51">
        <v>0.60843100000000006</v>
      </c>
      <c r="F54" s="53">
        <v>2800</v>
      </c>
      <c r="G54" s="51">
        <v>0.57527899999999998</v>
      </c>
    </row>
    <row r="55" spans="1:7">
      <c r="A55" s="4" t="s">
        <v>555</v>
      </c>
      <c r="B55" s="18">
        <v>86.9</v>
      </c>
      <c r="C55" s="15">
        <v>2.0153000000000001E-2</v>
      </c>
      <c r="D55" s="18">
        <v>167.9</v>
      </c>
      <c r="E55" s="51">
        <v>3.6484000000000003E-2</v>
      </c>
      <c r="F55" s="53">
        <v>391.6</v>
      </c>
      <c r="G55" s="51">
        <v>8.0456E-2</v>
      </c>
    </row>
    <row r="56" spans="1:7">
      <c r="A56" s="4" t="s">
        <v>556</v>
      </c>
      <c r="B56" s="18">
        <v>1.3</v>
      </c>
      <c r="C56" s="15">
        <v>3.01E-4</v>
      </c>
      <c r="D56" s="18" t="s">
        <v>291</v>
      </c>
      <c r="E56" s="51" t="s">
        <v>291</v>
      </c>
      <c r="F56" s="53" t="s">
        <v>291</v>
      </c>
      <c r="G56" s="51" t="s">
        <v>291</v>
      </c>
    </row>
    <row r="57" spans="1:7">
      <c r="A57" s="4"/>
      <c r="B57" s="4"/>
      <c r="C57" s="47"/>
      <c r="D57" s="4"/>
      <c r="F57" s="45"/>
    </row>
    <row r="58" spans="1:7">
      <c r="A58" s="9" t="s">
        <v>557</v>
      </c>
      <c r="B58" s="4"/>
      <c r="C58" s="47"/>
      <c r="D58" s="4"/>
      <c r="F58" s="45"/>
    </row>
    <row r="59" spans="1:7">
      <c r="A59" s="4" t="s">
        <v>558</v>
      </c>
      <c r="B59" s="23">
        <v>2.191046</v>
      </c>
      <c r="C59" s="15" t="s">
        <v>291</v>
      </c>
      <c r="D59" s="23">
        <v>2.232742</v>
      </c>
      <c r="E59" s="51" t="s">
        <v>291</v>
      </c>
      <c r="F59" s="55">
        <v>2.5058389999999999</v>
      </c>
      <c r="G59" s="51" t="s">
        <v>291</v>
      </c>
    </row>
    <row r="60" spans="1:7">
      <c r="A60" s="4" t="s">
        <v>559</v>
      </c>
      <c r="B60" s="23">
        <v>2.2060879999999998</v>
      </c>
      <c r="C60" s="15" t="s">
        <v>291</v>
      </c>
      <c r="D60" s="23">
        <v>2.2658779999999998</v>
      </c>
      <c r="E60" s="51" t="s">
        <v>291</v>
      </c>
      <c r="F60" s="55">
        <v>2.5150890000000001</v>
      </c>
      <c r="G60" s="51" t="s">
        <v>291</v>
      </c>
    </row>
    <row r="61" spans="1:7">
      <c r="A61" s="4" t="s">
        <v>560</v>
      </c>
      <c r="B61" s="23">
        <v>2.2112560000000001</v>
      </c>
      <c r="C61" s="15" t="s">
        <v>291</v>
      </c>
      <c r="D61" s="23">
        <v>2.2720820000000002</v>
      </c>
      <c r="E61" s="51" t="s">
        <v>291</v>
      </c>
      <c r="F61" s="55">
        <v>2.5150890000000001</v>
      </c>
      <c r="G61" s="51" t="s">
        <v>291</v>
      </c>
    </row>
    <row r="62" spans="1:7">
      <c r="A62" s="4" t="s">
        <v>561</v>
      </c>
      <c r="B62" s="23">
        <v>0.83714500000000003</v>
      </c>
      <c r="C62" s="15" t="s">
        <v>291</v>
      </c>
      <c r="D62" s="23">
        <v>0.810782</v>
      </c>
      <c r="E62" s="51" t="s">
        <v>291</v>
      </c>
      <c r="F62" s="55">
        <v>0.86585400000000001</v>
      </c>
      <c r="G62" s="51" t="s">
        <v>291</v>
      </c>
    </row>
    <row r="63" spans="1:7">
      <c r="A63" s="4" t="s">
        <v>562</v>
      </c>
      <c r="B63" s="23">
        <v>2.9090410000000002</v>
      </c>
      <c r="C63" s="15" t="s">
        <v>291</v>
      </c>
      <c r="D63" s="23">
        <v>2.8469980000000001</v>
      </c>
      <c r="E63" s="51" t="s">
        <v>291</v>
      </c>
      <c r="F63" s="55">
        <v>2.7965970000000002</v>
      </c>
      <c r="G63" s="51" t="s">
        <v>291</v>
      </c>
    </row>
    <row r="64" spans="1:7">
      <c r="A64" s="4" t="s">
        <v>563</v>
      </c>
      <c r="B64" s="23">
        <v>2.9290120000000002</v>
      </c>
      <c r="C64" s="15" t="s">
        <v>291</v>
      </c>
      <c r="D64" s="23">
        <v>2.8892509999999998</v>
      </c>
      <c r="E64" s="51" t="s">
        <v>291</v>
      </c>
      <c r="F64" s="55">
        <v>2.8069199999999999</v>
      </c>
      <c r="G64" s="51" t="s">
        <v>291</v>
      </c>
    </row>
    <row r="65" spans="1:7">
      <c r="A65" s="4" t="s">
        <v>564</v>
      </c>
      <c r="B65" s="23">
        <v>2.935873</v>
      </c>
      <c r="C65" s="15" t="s">
        <v>291</v>
      </c>
      <c r="D65" s="23">
        <v>2.8971619999999998</v>
      </c>
      <c r="E65" s="51" t="s">
        <v>291</v>
      </c>
      <c r="F65" s="55">
        <v>2.8069199999999999</v>
      </c>
      <c r="G65" s="51" t="s">
        <v>291</v>
      </c>
    </row>
    <row r="66" spans="1:7">
      <c r="A66" s="4" t="s">
        <v>565</v>
      </c>
      <c r="B66" s="23">
        <v>1.1114729999999999</v>
      </c>
      <c r="C66" s="15" t="s">
        <v>291</v>
      </c>
      <c r="D66" s="23">
        <v>1.033839</v>
      </c>
      <c r="E66" s="51" t="s">
        <v>291</v>
      </c>
      <c r="F66" s="55">
        <v>0.96632099999999999</v>
      </c>
      <c r="G66" s="51" t="s">
        <v>291</v>
      </c>
    </row>
    <row r="67" spans="1:7">
      <c r="A67" s="4"/>
      <c r="B67" s="4"/>
      <c r="C67" s="47"/>
      <c r="D67" s="4"/>
      <c r="F67" s="45"/>
    </row>
    <row r="68" spans="1:7">
      <c r="A68" s="9" t="s">
        <v>566</v>
      </c>
      <c r="B68" s="4"/>
      <c r="C68" s="47"/>
      <c r="D68" s="4"/>
      <c r="F68" s="45"/>
    </row>
    <row r="69" spans="1:7">
      <c r="A69" s="4" t="s">
        <v>567</v>
      </c>
      <c r="B69" s="18">
        <v>579.45357999999999</v>
      </c>
      <c r="C69" s="15">
        <v>0.134387861218</v>
      </c>
      <c r="D69" s="18">
        <v>293.02697899999998</v>
      </c>
      <c r="E69" s="51">
        <v>6.3673832898999999E-2</v>
      </c>
      <c r="F69" s="53" t="s">
        <v>291</v>
      </c>
      <c r="G69" s="51" t="s">
        <v>291</v>
      </c>
    </row>
    <row r="70" spans="1:7">
      <c r="A70" s="4" t="s">
        <v>568</v>
      </c>
      <c r="B70" s="18">
        <v>303.45500399999997</v>
      </c>
      <c r="C70" s="15">
        <v>7.0377801382000005E-2</v>
      </c>
      <c r="D70" s="18">
        <v>268.319864</v>
      </c>
      <c r="E70" s="51">
        <v>5.8305055192999999E-2</v>
      </c>
      <c r="F70" s="53" t="s">
        <v>291</v>
      </c>
      <c r="G70" s="51" t="s">
        <v>291</v>
      </c>
    </row>
    <row r="71" spans="1:7">
      <c r="A71" s="4" t="s">
        <v>569</v>
      </c>
      <c r="B71" s="18">
        <v>233.51282399999999</v>
      </c>
      <c r="C71" s="15">
        <v>5.4156691868999997E-2</v>
      </c>
      <c r="D71" s="18">
        <v>680.972171</v>
      </c>
      <c r="E71" s="51">
        <v>0.14797309235100001</v>
      </c>
      <c r="F71" s="53" t="s">
        <v>291</v>
      </c>
      <c r="G71" s="51" t="s">
        <v>291</v>
      </c>
    </row>
    <row r="72" spans="1:7">
      <c r="A72" s="4" t="s">
        <v>570</v>
      </c>
      <c r="B72" s="18">
        <v>646.63538000000005</v>
      </c>
      <c r="C72" s="15">
        <v>0.1499687787</v>
      </c>
      <c r="D72" s="18">
        <v>194.83506299999999</v>
      </c>
      <c r="E72" s="51">
        <v>4.2337041068999999E-2</v>
      </c>
      <c r="F72" s="53" t="s">
        <v>291</v>
      </c>
      <c r="G72" s="51" t="s">
        <v>291</v>
      </c>
    </row>
    <row r="73" spans="1:7">
      <c r="A73" s="4" t="s">
        <v>571</v>
      </c>
      <c r="B73" s="18">
        <v>161.638552</v>
      </c>
      <c r="C73" s="15">
        <v>3.7487488287999998E-2</v>
      </c>
      <c r="D73" s="18">
        <v>760.29021799999998</v>
      </c>
      <c r="E73" s="51">
        <v>0.16520865232500001</v>
      </c>
      <c r="F73" s="53" t="s">
        <v>291</v>
      </c>
      <c r="G73" s="51" t="s">
        <v>291</v>
      </c>
    </row>
    <row r="74" spans="1:7">
      <c r="A74" s="4" t="s">
        <v>572</v>
      </c>
      <c r="B74" s="18">
        <v>1924.69534</v>
      </c>
      <c r="C74" s="15">
        <v>0.44637862145700002</v>
      </c>
      <c r="D74" s="18">
        <v>2197.4442949999998</v>
      </c>
      <c r="E74" s="51">
        <v>0.47749767383699998</v>
      </c>
      <c r="F74" s="53" t="s">
        <v>291</v>
      </c>
      <c r="G74" s="51" t="s">
        <v>291</v>
      </c>
    </row>
    <row r="75" spans="1:7">
      <c r="A75" s="4" t="s">
        <v>573</v>
      </c>
      <c r="B75" s="18">
        <v>2385.8046610000001</v>
      </c>
      <c r="C75" s="15">
        <v>0.55331988056000003</v>
      </c>
      <c r="D75" s="18">
        <v>2404.5557060000001</v>
      </c>
      <c r="E75" s="51">
        <v>0.52250232638000005</v>
      </c>
      <c r="F75" s="53" t="s">
        <v>291</v>
      </c>
      <c r="G75" s="51" t="s">
        <v>291</v>
      </c>
    </row>
    <row r="76" spans="1:7">
      <c r="A76" s="4"/>
      <c r="B76" s="4"/>
      <c r="C76" s="47"/>
      <c r="D76" s="4"/>
      <c r="F76" s="45"/>
    </row>
    <row r="77" spans="1:7">
      <c r="A77" s="4" t="s">
        <v>574</v>
      </c>
      <c r="B77" s="18">
        <v>263.60000000000002</v>
      </c>
      <c r="C77" s="15" t="s">
        <v>291</v>
      </c>
      <c r="D77" s="18">
        <v>275.89999999999998</v>
      </c>
      <c r="E77" s="51" t="s">
        <v>291</v>
      </c>
      <c r="F77" s="53">
        <v>278.5</v>
      </c>
      <c r="G77" s="51" t="s">
        <v>291</v>
      </c>
    </row>
    <row r="78" spans="1:7">
      <c r="A78" s="4" t="s">
        <v>575</v>
      </c>
      <c r="B78" s="18">
        <v>265.915029</v>
      </c>
      <c r="C78" s="15" t="s">
        <v>291</v>
      </c>
      <c r="D78" s="18">
        <v>264.93429800000001</v>
      </c>
      <c r="E78" s="51" t="s">
        <v>291</v>
      </c>
      <c r="F78" s="53" t="s">
        <v>291</v>
      </c>
      <c r="G78" s="51" t="s">
        <v>291</v>
      </c>
    </row>
    <row r="79" spans="1:7">
      <c r="A79" s="4" t="s">
        <v>576</v>
      </c>
      <c r="B79" s="18">
        <v>230.92385999999999</v>
      </c>
      <c r="C79" s="15" t="s">
        <v>291</v>
      </c>
      <c r="D79" s="18">
        <v>230.990679</v>
      </c>
      <c r="E79" s="51" t="s">
        <v>291</v>
      </c>
      <c r="F79" s="53" t="s">
        <v>291</v>
      </c>
      <c r="G79" s="51" t="s">
        <v>291</v>
      </c>
    </row>
    <row r="80" spans="1:7">
      <c r="A80" s="4" t="s">
        <v>577</v>
      </c>
      <c r="B80" s="18">
        <v>197.450166</v>
      </c>
      <c r="C80" s="15" t="s">
        <v>291</v>
      </c>
      <c r="D80" s="18">
        <v>193.739733</v>
      </c>
      <c r="E80" s="51" t="s">
        <v>291</v>
      </c>
      <c r="F80" s="53" t="s">
        <v>291</v>
      </c>
      <c r="G80" s="51" t="s">
        <v>291</v>
      </c>
    </row>
    <row r="81" spans="1:7">
      <c r="A81" s="4" t="s">
        <v>578</v>
      </c>
      <c r="B81" s="18">
        <v>160.94152299999999</v>
      </c>
      <c r="C81" s="15" t="s">
        <v>291</v>
      </c>
      <c r="D81" s="18">
        <v>144.21686299999999</v>
      </c>
      <c r="E81" s="51" t="s">
        <v>291</v>
      </c>
      <c r="F81" s="53" t="s">
        <v>291</v>
      </c>
      <c r="G81" s="51" t="s">
        <v>291</v>
      </c>
    </row>
    <row r="82" spans="1:7">
      <c r="A82" s="4" t="s">
        <v>579</v>
      </c>
      <c r="B82" s="18">
        <v>1118.8305780000001</v>
      </c>
      <c r="C82" s="15" t="s">
        <v>291</v>
      </c>
      <c r="D82" s="18">
        <v>1109.781573</v>
      </c>
      <c r="E82" s="51" t="s">
        <v>291</v>
      </c>
      <c r="F82" s="53">
        <v>278.5</v>
      </c>
      <c r="G82" s="51" t="s">
        <v>291</v>
      </c>
    </row>
    <row r="83" spans="1:7">
      <c r="A83" s="4" t="s">
        <v>580</v>
      </c>
      <c r="B83" s="18">
        <v>517.36942199999999</v>
      </c>
      <c r="C83" s="15" t="s">
        <v>291</v>
      </c>
      <c r="D83" s="18">
        <v>536.91842699999995</v>
      </c>
      <c r="E83" s="51" t="s">
        <v>291</v>
      </c>
      <c r="F83" s="53">
        <v>1397.1</v>
      </c>
      <c r="G83" s="51" t="s">
        <v>291</v>
      </c>
    </row>
    <row r="84" spans="1:7">
      <c r="A84" s="4" t="s">
        <v>581</v>
      </c>
      <c r="B84" s="18" t="s">
        <v>291</v>
      </c>
      <c r="C84" s="15" t="s">
        <v>291</v>
      </c>
      <c r="D84" s="18">
        <v>335</v>
      </c>
      <c r="E84" s="51" t="s">
        <v>291</v>
      </c>
      <c r="F84" s="53" t="s">
        <v>291</v>
      </c>
      <c r="G84" s="51" t="s">
        <v>291</v>
      </c>
    </row>
    <row r="85" spans="1:7">
      <c r="A85" s="4"/>
      <c r="B85" s="4"/>
      <c r="C85" s="47"/>
      <c r="D85" s="4"/>
      <c r="F85" s="45"/>
    </row>
    <row r="86" spans="1:7">
      <c r="A86" s="4" t="s">
        <v>582</v>
      </c>
      <c r="B86" s="18">
        <v>48.8</v>
      </c>
      <c r="C86" s="15" t="s">
        <v>291</v>
      </c>
      <c r="D86" s="18">
        <v>52.3</v>
      </c>
      <c r="E86" s="51" t="s">
        <v>291</v>
      </c>
      <c r="F86" s="53" t="s">
        <v>291</v>
      </c>
      <c r="G86" s="51" t="s">
        <v>291</v>
      </c>
    </row>
    <row r="87" spans="1:7">
      <c r="A87" s="4" t="s">
        <v>583</v>
      </c>
      <c r="B87" s="18">
        <v>41.6</v>
      </c>
      <c r="C87" s="15" t="s">
        <v>291</v>
      </c>
      <c r="D87" s="18">
        <v>45.1</v>
      </c>
      <c r="E87" s="51" t="s">
        <v>291</v>
      </c>
      <c r="F87" s="53" t="s">
        <v>291</v>
      </c>
      <c r="G87" s="51" t="s">
        <v>291</v>
      </c>
    </row>
    <row r="88" spans="1:7">
      <c r="A88" s="4" t="s">
        <v>584</v>
      </c>
      <c r="B88" s="18">
        <v>33.299999999999997</v>
      </c>
      <c r="C88" s="15" t="s">
        <v>291</v>
      </c>
      <c r="D88" s="18">
        <v>33.4</v>
      </c>
      <c r="E88" s="51" t="s">
        <v>291</v>
      </c>
      <c r="F88" s="53" t="s">
        <v>291</v>
      </c>
      <c r="G88" s="51" t="s">
        <v>291</v>
      </c>
    </row>
    <row r="89" spans="1:7">
      <c r="A89" s="4" t="s">
        <v>585</v>
      </c>
      <c r="B89" s="18">
        <v>21.3</v>
      </c>
      <c r="C89" s="15" t="s">
        <v>291</v>
      </c>
      <c r="D89" s="18">
        <v>23.6</v>
      </c>
      <c r="E89" s="51" t="s">
        <v>291</v>
      </c>
      <c r="F89" s="53" t="s">
        <v>291</v>
      </c>
      <c r="G89" s="51" t="s">
        <v>291</v>
      </c>
    </row>
    <row r="90" spans="1:7">
      <c r="A90" s="4" t="s">
        <v>586</v>
      </c>
      <c r="B90" s="18">
        <v>11.8</v>
      </c>
      <c r="C90" s="15" t="s">
        <v>291</v>
      </c>
      <c r="D90" s="18">
        <v>13.1</v>
      </c>
      <c r="E90" s="51" t="s">
        <v>291</v>
      </c>
      <c r="F90" s="53" t="s">
        <v>291</v>
      </c>
      <c r="G90" s="51" t="s">
        <v>291</v>
      </c>
    </row>
    <row r="91" spans="1:7">
      <c r="A91" s="4" t="s">
        <v>587</v>
      </c>
      <c r="B91" s="18">
        <v>156.80000000000001</v>
      </c>
      <c r="C91" s="15" t="s">
        <v>291</v>
      </c>
      <c r="D91" s="18">
        <v>167.5</v>
      </c>
      <c r="E91" s="51" t="s">
        <v>291</v>
      </c>
      <c r="F91" s="53" t="s">
        <v>291</v>
      </c>
      <c r="G91" s="51" t="s">
        <v>291</v>
      </c>
    </row>
    <row r="92" spans="1:7">
      <c r="A92" s="4" t="s">
        <v>588</v>
      </c>
      <c r="B92" s="18">
        <v>57.5</v>
      </c>
      <c r="C92" s="15" t="s">
        <v>291</v>
      </c>
      <c r="D92" s="18">
        <v>57</v>
      </c>
      <c r="E92" s="51" t="s">
        <v>291</v>
      </c>
      <c r="F92" s="53" t="s">
        <v>291</v>
      </c>
      <c r="G92" s="51" t="s">
        <v>291</v>
      </c>
    </row>
    <row r="93" spans="1:7">
      <c r="A93" s="4"/>
      <c r="B93" s="4"/>
      <c r="C93" s="47"/>
      <c r="D93" s="4"/>
      <c r="F93" s="45"/>
    </row>
    <row r="94" spans="1:7">
      <c r="A94" s="9" t="s">
        <v>589</v>
      </c>
      <c r="B94" s="4"/>
      <c r="C94" s="47"/>
      <c r="D94" s="4"/>
      <c r="F94" s="45"/>
    </row>
    <row r="95" spans="1:7">
      <c r="A95" s="4" t="s">
        <v>326</v>
      </c>
      <c r="B95" s="31">
        <v>46004</v>
      </c>
      <c r="C95" s="15" t="s">
        <v>291</v>
      </c>
      <c r="D95" s="31">
        <v>46004</v>
      </c>
      <c r="E95" s="51" t="s">
        <v>291</v>
      </c>
      <c r="F95" s="56">
        <v>46049</v>
      </c>
      <c r="G95" s="51" t="s">
        <v>291</v>
      </c>
    </row>
    <row r="96" spans="1:7" ht="60.75">
      <c r="A96" s="36" t="s">
        <v>334</v>
      </c>
      <c r="B96" s="11"/>
      <c r="C96" s="11"/>
      <c r="D96" s="11"/>
    </row>
  </sheetData>
  <mergeCells count="6">
    <mergeCell ref="B14:C14"/>
    <mergeCell ref="D14:E14"/>
    <mergeCell ref="F14:G14"/>
    <mergeCell ref="B26:C26"/>
    <mergeCell ref="D26:E26"/>
    <mergeCell ref="F26:G26"/>
  </mergeCells>
  <phoneticPr fontId="0" type="noConversion"/>
  <pageMargins left="0.2" right="0.2" top="0.5" bottom="0.5" header="0.5" footer="0.5"/>
  <pageSetup fitToWidth="0" fitToHeight="0" orientation="landscape" horizontalDpi="0" verticalDpi="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18E47-5CF3-4E83-8921-A61BC252BBF7}">
  <sheetPr>
    <tabColor theme="2" tint="-0.499984740745262"/>
    <outlinePr summaryBelow="0" summaryRight="0"/>
    <pageSetUpPr autoPageBreaks="0"/>
  </sheetPr>
  <dimension ref="A5:IU42"/>
  <sheetViews>
    <sheetView topLeftCell="B2" workbookViewId="0">
      <selection activeCell="F23" sqref="F23"/>
    </sheetView>
  </sheetViews>
  <sheetFormatPr defaultColWidth="9.1328125" defaultRowHeight="10.15"/>
  <cols>
    <col min="1" max="1" width="20.86328125" style="58" customWidth="1"/>
    <col min="2" max="2" width="22.86328125" style="58" customWidth="1"/>
    <col min="3" max="3" width="15.86328125" style="58" customWidth="1"/>
    <col min="4" max="4" width="12.86328125" style="58" customWidth="1"/>
    <col min="5" max="5" width="19.86328125" style="58" customWidth="1"/>
    <col min="6" max="7" width="15.86328125" style="58" customWidth="1"/>
    <col min="8" max="8" width="10.86328125" style="58" customWidth="1"/>
    <col min="9" max="9" width="16.86328125" style="58" customWidth="1"/>
    <col min="10" max="10" width="7.86328125" style="58" customWidth="1"/>
    <col min="11" max="16384" width="9.1328125" style="58"/>
  </cols>
  <sheetData>
    <row r="5" spans="1:255" ht="16.149999999999999">
      <c r="A5" s="72" t="s">
        <v>590</v>
      </c>
    </row>
    <row r="7" spans="1:255" ht="20.25">
      <c r="A7" s="71" t="s">
        <v>591</v>
      </c>
      <c r="B7" s="69" t="s">
        <v>260</v>
      </c>
      <c r="C7" s="58" t="s">
        <v>592</v>
      </c>
      <c r="D7" s="70" t="s">
        <v>257</v>
      </c>
      <c r="E7" s="69" t="s">
        <v>272</v>
      </c>
    </row>
    <row r="8" spans="1:255">
      <c r="A8" s="70"/>
      <c r="B8" s="69" t="s">
        <v>264</v>
      </c>
      <c r="C8" s="58" t="s">
        <v>265</v>
      </c>
      <c r="D8" s="70" t="s">
        <v>257</v>
      </c>
      <c r="E8" s="69" t="s">
        <v>266</v>
      </c>
      <c r="F8" s="58" t="s">
        <v>267</v>
      </c>
    </row>
    <row r="9" spans="1:255">
      <c r="A9" s="70"/>
      <c r="B9" s="69" t="s">
        <v>268</v>
      </c>
      <c r="C9" s="58" t="s">
        <v>269</v>
      </c>
      <c r="D9" s="70" t="s">
        <v>257</v>
      </c>
      <c r="E9" s="69" t="s">
        <v>270</v>
      </c>
      <c r="F9" s="68" t="s">
        <v>271</v>
      </c>
    </row>
    <row r="12" spans="1:255">
      <c r="A12" s="67" t="s">
        <v>593</v>
      </c>
      <c r="B12" s="67"/>
      <c r="C12" s="67"/>
      <c r="D12" s="67"/>
      <c r="E12" s="67"/>
      <c r="F12" s="67"/>
      <c r="G12" s="67"/>
      <c r="H12" s="67"/>
      <c r="I12" s="67"/>
      <c r="K12" s="57"/>
      <c r="L12" s="57"/>
      <c r="M12" s="57"/>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c r="ED12" s="57"/>
      <c r="EE12" s="57"/>
      <c r="EF12" s="57"/>
      <c r="EG12" s="57"/>
      <c r="EH12" s="57"/>
      <c r="EI12" s="57"/>
      <c r="EJ12" s="57"/>
      <c r="EK12" s="57"/>
      <c r="EL12" s="57"/>
      <c r="EM12" s="57"/>
      <c r="EN12" s="57"/>
      <c r="EO12" s="57"/>
      <c r="EP12" s="57"/>
      <c r="EQ12" s="57"/>
      <c r="ER12" s="57"/>
      <c r="ES12" s="57"/>
      <c r="ET12" s="57"/>
      <c r="EU12" s="57"/>
      <c r="EV12" s="57"/>
      <c r="EW12" s="57"/>
      <c r="EX12" s="57"/>
      <c r="EY12" s="57"/>
      <c r="EZ12" s="57"/>
      <c r="FA12" s="57"/>
      <c r="FB12" s="57"/>
      <c r="FC12" s="57"/>
      <c r="FD12" s="57"/>
      <c r="FE12" s="57"/>
      <c r="FF12" s="57"/>
      <c r="FG12" s="57"/>
      <c r="FH12" s="57"/>
      <c r="FI12" s="57"/>
      <c r="FJ12" s="57"/>
      <c r="FK12" s="57"/>
      <c r="FL12" s="57"/>
      <c r="FM12" s="57"/>
      <c r="FN12" s="57"/>
      <c r="FO12" s="57"/>
      <c r="FP12" s="57"/>
      <c r="FQ12" s="57"/>
      <c r="FR12" s="57"/>
      <c r="FS12" s="57"/>
      <c r="FT12" s="57"/>
      <c r="FU12" s="57"/>
      <c r="FV12" s="57"/>
      <c r="FW12" s="57"/>
      <c r="FX12" s="57"/>
      <c r="FY12" s="57"/>
      <c r="FZ12" s="57"/>
      <c r="GA12" s="57"/>
      <c r="GB12" s="57"/>
      <c r="GC12" s="57"/>
      <c r="GD12" s="57"/>
      <c r="GE12" s="57"/>
      <c r="GF12" s="57"/>
      <c r="GG12" s="57"/>
      <c r="GH12" s="57"/>
      <c r="GI12" s="57"/>
      <c r="GJ12" s="57"/>
      <c r="GK12" s="57"/>
      <c r="GL12" s="57"/>
      <c r="GM12" s="57"/>
      <c r="GN12" s="57"/>
      <c r="GO12" s="57"/>
      <c r="GP12" s="57"/>
      <c r="GQ12" s="57"/>
      <c r="GR12" s="57"/>
      <c r="GS12" s="57"/>
      <c r="GT12" s="57"/>
      <c r="GU12" s="57"/>
      <c r="GV12" s="57"/>
      <c r="GW12" s="57"/>
      <c r="GX12" s="57"/>
      <c r="GY12" s="57"/>
      <c r="GZ12" s="57"/>
      <c r="HA12" s="57"/>
      <c r="HB12" s="57"/>
      <c r="HC12" s="57"/>
      <c r="HD12" s="57"/>
      <c r="HE12" s="57"/>
      <c r="HF12" s="57"/>
      <c r="HG12" s="57"/>
      <c r="HH12" s="57"/>
      <c r="HI12" s="57"/>
      <c r="HJ12" s="57"/>
      <c r="HK12" s="57"/>
      <c r="HL12" s="57"/>
      <c r="HM12" s="57"/>
      <c r="HN12" s="57"/>
      <c r="HO12" s="57"/>
      <c r="HP12" s="57"/>
      <c r="HQ12" s="57"/>
      <c r="HR12" s="57"/>
      <c r="HS12" s="57"/>
      <c r="HT12" s="57"/>
      <c r="HU12" s="57"/>
      <c r="HV12" s="57"/>
      <c r="HW12" s="57"/>
      <c r="HX12" s="57"/>
      <c r="HY12" s="57"/>
      <c r="HZ12" s="57"/>
      <c r="IA12" s="57"/>
      <c r="IB12" s="57"/>
      <c r="IC12" s="57"/>
      <c r="ID12" s="57"/>
      <c r="IE12" s="57"/>
      <c r="IF12" s="57"/>
      <c r="IG12" s="57"/>
      <c r="IH12" s="57"/>
      <c r="II12" s="57"/>
      <c r="IJ12" s="57"/>
      <c r="IK12" s="57"/>
      <c r="IL12" s="57"/>
      <c r="IM12" s="57"/>
      <c r="IN12" s="57"/>
      <c r="IO12" s="57"/>
      <c r="IP12" s="57"/>
      <c r="IQ12" s="57"/>
      <c r="IR12" s="57"/>
      <c r="IS12" s="57"/>
      <c r="IT12" s="57"/>
      <c r="IU12" s="57"/>
    </row>
    <row r="13" spans="1:255" ht="24.75">
      <c r="A13" s="66" t="s">
        <v>65</v>
      </c>
      <c r="B13" s="66" t="s">
        <v>66</v>
      </c>
      <c r="C13" s="65" t="s">
        <v>594</v>
      </c>
      <c r="D13" s="65" t="s">
        <v>68</v>
      </c>
      <c r="E13" s="65" t="s">
        <v>69</v>
      </c>
      <c r="F13" s="65" t="s">
        <v>595</v>
      </c>
      <c r="G13" s="65" t="s">
        <v>596</v>
      </c>
      <c r="H13" s="65" t="s">
        <v>597</v>
      </c>
      <c r="I13" s="65" t="s">
        <v>598</v>
      </c>
      <c r="J13" s="65" t="s">
        <v>599</v>
      </c>
    </row>
    <row r="14" spans="1:255">
      <c r="A14" s="64" t="s">
        <v>600</v>
      </c>
      <c r="B14" s="64" t="s">
        <v>601</v>
      </c>
      <c r="C14" s="63">
        <v>1675.6</v>
      </c>
      <c r="D14" s="61" t="s">
        <v>602</v>
      </c>
      <c r="E14" s="61" t="s">
        <v>74</v>
      </c>
      <c r="F14" s="61" t="s">
        <v>291</v>
      </c>
      <c r="G14" s="61" t="s">
        <v>603</v>
      </c>
      <c r="H14" s="61" t="s">
        <v>604</v>
      </c>
      <c r="I14" s="61" t="s">
        <v>605</v>
      </c>
      <c r="J14" s="61" t="s">
        <v>283</v>
      </c>
    </row>
    <row r="15" spans="1:255">
      <c r="A15" s="64" t="s">
        <v>606</v>
      </c>
      <c r="B15" s="64" t="s">
        <v>607</v>
      </c>
      <c r="C15" s="63">
        <v>37.799999999999997</v>
      </c>
      <c r="D15" s="61" t="s">
        <v>608</v>
      </c>
      <c r="E15" s="61" t="s">
        <v>74</v>
      </c>
      <c r="F15" s="61">
        <v>2060</v>
      </c>
      <c r="G15" s="61" t="s">
        <v>603</v>
      </c>
      <c r="H15" s="61" t="s">
        <v>605</v>
      </c>
      <c r="I15" s="61" t="s">
        <v>605</v>
      </c>
      <c r="J15" s="61" t="s">
        <v>283</v>
      </c>
    </row>
    <row r="16" spans="1:255">
      <c r="A16" s="64" t="s">
        <v>609</v>
      </c>
      <c r="B16" s="64" t="s">
        <v>610</v>
      </c>
      <c r="C16" s="63">
        <v>353.8</v>
      </c>
      <c r="D16" s="61" t="s">
        <v>611</v>
      </c>
      <c r="E16" s="61" t="s">
        <v>612</v>
      </c>
      <c r="F16" s="62">
        <v>47828</v>
      </c>
      <c r="G16" s="61" t="s">
        <v>603</v>
      </c>
      <c r="H16" s="61" t="s">
        <v>605</v>
      </c>
      <c r="I16" s="61" t="s">
        <v>605</v>
      </c>
      <c r="J16" s="61" t="s">
        <v>283</v>
      </c>
    </row>
    <row r="17" spans="1:255">
      <c r="A17" s="64" t="s">
        <v>613</v>
      </c>
      <c r="B17" s="64" t="s">
        <v>73</v>
      </c>
      <c r="C17" s="63">
        <v>400</v>
      </c>
      <c r="D17" s="61" t="s">
        <v>614</v>
      </c>
      <c r="E17" s="61" t="s">
        <v>74</v>
      </c>
      <c r="F17" s="62">
        <v>49597</v>
      </c>
      <c r="G17" s="61" t="s">
        <v>603</v>
      </c>
      <c r="H17" s="61" t="s">
        <v>605</v>
      </c>
      <c r="I17" s="61" t="s">
        <v>605</v>
      </c>
      <c r="J17" s="61" t="s">
        <v>283</v>
      </c>
    </row>
    <row r="18" spans="1:255">
      <c r="A18" s="64" t="s">
        <v>615</v>
      </c>
      <c r="B18" s="64" t="s">
        <v>73</v>
      </c>
      <c r="C18" s="63">
        <v>300</v>
      </c>
      <c r="D18" s="61" t="s">
        <v>616</v>
      </c>
      <c r="E18" s="61" t="s">
        <v>74</v>
      </c>
      <c r="F18" s="62">
        <v>52932</v>
      </c>
      <c r="G18" s="61" t="s">
        <v>603</v>
      </c>
      <c r="H18" s="61" t="s">
        <v>605</v>
      </c>
      <c r="I18" s="61" t="s">
        <v>605</v>
      </c>
      <c r="J18" s="61" t="s">
        <v>283</v>
      </c>
    </row>
    <row r="19" spans="1:255">
      <c r="A19" s="64" t="s">
        <v>72</v>
      </c>
      <c r="B19" s="64" t="s">
        <v>73</v>
      </c>
      <c r="C19" s="63">
        <v>450</v>
      </c>
      <c r="D19" s="61" t="s">
        <v>617</v>
      </c>
      <c r="E19" s="61" t="s">
        <v>74</v>
      </c>
      <c r="F19" s="62">
        <v>46727</v>
      </c>
      <c r="G19" s="61" t="s">
        <v>603</v>
      </c>
      <c r="H19" s="61" t="s">
        <v>605</v>
      </c>
      <c r="I19" s="61" t="s">
        <v>605</v>
      </c>
      <c r="J19" s="61" t="s">
        <v>283</v>
      </c>
    </row>
    <row r="20" spans="1:255">
      <c r="A20" s="64" t="s">
        <v>618</v>
      </c>
      <c r="B20" s="64" t="s">
        <v>73</v>
      </c>
      <c r="C20" s="63">
        <v>450</v>
      </c>
      <c r="D20" s="61" t="s">
        <v>619</v>
      </c>
      <c r="E20" s="61" t="s">
        <v>74</v>
      </c>
      <c r="F20" s="62">
        <v>54030</v>
      </c>
      <c r="G20" s="61" t="s">
        <v>603</v>
      </c>
      <c r="H20" s="61" t="s">
        <v>605</v>
      </c>
      <c r="I20" s="61" t="s">
        <v>605</v>
      </c>
      <c r="J20" s="61" t="s">
        <v>283</v>
      </c>
    </row>
    <row r="21" spans="1:255">
      <c r="A21" s="64" t="s">
        <v>620</v>
      </c>
      <c r="B21" s="64" t="s">
        <v>73</v>
      </c>
      <c r="C21" s="63">
        <v>400</v>
      </c>
      <c r="D21" s="61" t="s">
        <v>621</v>
      </c>
      <c r="E21" s="61" t="s">
        <v>74</v>
      </c>
      <c r="F21" s="62">
        <v>54847</v>
      </c>
      <c r="G21" s="61" t="s">
        <v>603</v>
      </c>
      <c r="H21" s="61" t="s">
        <v>605</v>
      </c>
      <c r="I21" s="61" t="s">
        <v>605</v>
      </c>
      <c r="J21" s="61" t="s">
        <v>283</v>
      </c>
    </row>
    <row r="22" spans="1:255">
      <c r="A22" s="64" t="s">
        <v>622</v>
      </c>
      <c r="B22" s="64" t="s">
        <v>73</v>
      </c>
      <c r="C22" s="63">
        <v>300</v>
      </c>
      <c r="D22" s="61" t="s">
        <v>623</v>
      </c>
      <c r="E22" s="61" t="s">
        <v>74</v>
      </c>
      <c r="F22" s="62">
        <v>48617</v>
      </c>
      <c r="G22" s="61" t="s">
        <v>603</v>
      </c>
      <c r="H22" s="61" t="s">
        <v>605</v>
      </c>
      <c r="I22" s="61" t="s">
        <v>605</v>
      </c>
      <c r="J22" s="61" t="s">
        <v>283</v>
      </c>
    </row>
    <row r="23" spans="1:255">
      <c r="A23" s="64" t="s">
        <v>76</v>
      </c>
      <c r="B23" s="64" t="s">
        <v>73</v>
      </c>
      <c r="C23" s="63">
        <v>500</v>
      </c>
      <c r="D23" s="61" t="s">
        <v>624</v>
      </c>
      <c r="E23" s="61" t="s">
        <v>74</v>
      </c>
      <c r="F23" s="62">
        <v>47449</v>
      </c>
      <c r="G23" s="61" t="s">
        <v>603</v>
      </c>
      <c r="H23" s="61" t="s">
        <v>605</v>
      </c>
      <c r="I23" s="61" t="s">
        <v>605</v>
      </c>
      <c r="J23" s="61" t="s">
        <v>283</v>
      </c>
    </row>
    <row r="24" spans="1:255">
      <c r="A24" s="60"/>
      <c r="B24" s="60"/>
      <c r="C24" s="60"/>
      <c r="D24" s="60"/>
      <c r="E24" s="60"/>
      <c r="F24" s="60"/>
      <c r="G24" s="60"/>
      <c r="H24" s="60"/>
      <c r="I24" s="60"/>
      <c r="J24" s="60"/>
    </row>
    <row r="28" spans="1:255">
      <c r="A28" s="67" t="s">
        <v>625</v>
      </c>
      <c r="B28" s="67"/>
      <c r="C28" s="67"/>
      <c r="D28" s="67"/>
      <c r="E28" s="67"/>
      <c r="F28" s="67"/>
      <c r="G28" s="67"/>
      <c r="H28" s="67"/>
      <c r="I28" s="67"/>
      <c r="K28" s="57"/>
      <c r="L28" s="57"/>
      <c r="M28" s="57"/>
      <c r="N28" s="57"/>
      <c r="O28" s="57"/>
      <c r="P28" s="57"/>
      <c r="Q28" s="57"/>
      <c r="R28" s="57"/>
      <c r="S28" s="57"/>
      <c r="T28" s="57"/>
      <c r="U28" s="57"/>
      <c r="V28" s="57"/>
      <c r="W28" s="57"/>
      <c r="X28" s="57"/>
      <c r="Y28" s="57"/>
      <c r="Z28" s="57"/>
      <c r="AA28" s="57"/>
      <c r="AB28" s="57"/>
      <c r="AC28" s="57"/>
      <c r="AD28" s="57"/>
      <c r="AE28" s="57"/>
      <c r="AF28" s="57"/>
      <c r="AG28" s="57"/>
      <c r="AH28" s="57"/>
      <c r="AI28" s="57"/>
      <c r="AJ28" s="57"/>
      <c r="AK28" s="57"/>
      <c r="AL28" s="57"/>
      <c r="AM28" s="57"/>
      <c r="AN28" s="57"/>
      <c r="AO28" s="57"/>
      <c r="AP28" s="57"/>
      <c r="AQ28" s="57"/>
      <c r="AR28" s="57"/>
      <c r="AS28" s="57"/>
      <c r="AT28" s="57"/>
      <c r="AU28" s="57"/>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M28" s="57"/>
      <c r="CN28" s="57"/>
      <c r="CO28" s="57"/>
      <c r="CP28" s="57"/>
      <c r="CQ28" s="57"/>
      <c r="CR28" s="57"/>
      <c r="CS28" s="57"/>
      <c r="CT28" s="57"/>
      <c r="CU28" s="57"/>
      <c r="CV28" s="57"/>
      <c r="CW28" s="57"/>
      <c r="CX28" s="57"/>
      <c r="CY28" s="57"/>
      <c r="CZ28" s="57"/>
      <c r="DA28" s="57"/>
      <c r="DB28" s="57"/>
      <c r="DC28" s="57"/>
      <c r="DD28" s="57"/>
      <c r="DE28" s="57"/>
      <c r="DF28" s="57"/>
      <c r="DG28" s="57"/>
      <c r="DH28" s="57"/>
      <c r="DI28" s="57"/>
      <c r="DJ28" s="57"/>
      <c r="DK28" s="57"/>
      <c r="DL28" s="57"/>
      <c r="DM28" s="57"/>
      <c r="DN28" s="57"/>
      <c r="DO28" s="57"/>
      <c r="DP28" s="57"/>
      <c r="DQ28" s="57"/>
      <c r="DR28" s="57"/>
      <c r="DS28" s="57"/>
      <c r="DT28" s="57"/>
      <c r="DU28" s="57"/>
      <c r="DV28" s="57"/>
      <c r="DW28" s="57"/>
      <c r="DX28" s="57"/>
      <c r="DY28" s="57"/>
      <c r="DZ28" s="57"/>
      <c r="EA28" s="57"/>
      <c r="EB28" s="57"/>
      <c r="EC28" s="57"/>
      <c r="ED28" s="57"/>
      <c r="EE28" s="57"/>
      <c r="EF28" s="57"/>
      <c r="EG28" s="57"/>
      <c r="EH28" s="57"/>
      <c r="EI28" s="57"/>
      <c r="EJ28" s="57"/>
      <c r="EK28" s="57"/>
      <c r="EL28" s="57"/>
      <c r="EM28" s="57"/>
      <c r="EN28" s="57"/>
      <c r="EO28" s="57"/>
      <c r="EP28" s="57"/>
      <c r="EQ28" s="57"/>
      <c r="ER28" s="57"/>
      <c r="ES28" s="57"/>
      <c r="ET28" s="57"/>
      <c r="EU28" s="57"/>
      <c r="EV28" s="57"/>
      <c r="EW28" s="57"/>
      <c r="EX28" s="57"/>
      <c r="EY28" s="57"/>
      <c r="EZ28" s="57"/>
      <c r="FA28" s="57"/>
      <c r="FB28" s="57"/>
      <c r="FC28" s="57"/>
      <c r="FD28" s="57"/>
      <c r="FE28" s="57"/>
      <c r="FF28" s="57"/>
      <c r="FG28" s="57"/>
      <c r="FH28" s="57"/>
      <c r="FI28" s="57"/>
      <c r="FJ28" s="57"/>
      <c r="FK28" s="57"/>
      <c r="FL28" s="57"/>
      <c r="FM28" s="57"/>
      <c r="FN28" s="57"/>
      <c r="FO28" s="57"/>
      <c r="FP28" s="57"/>
      <c r="FQ28" s="57"/>
      <c r="FR28" s="57"/>
      <c r="FS28" s="57"/>
      <c r="FT28" s="57"/>
      <c r="FU28" s="57"/>
      <c r="FV28" s="57"/>
      <c r="FW28" s="57"/>
      <c r="FX28" s="57"/>
      <c r="FY28" s="57"/>
      <c r="FZ28" s="57"/>
      <c r="GA28" s="57"/>
      <c r="GB28" s="57"/>
      <c r="GC28" s="57"/>
      <c r="GD28" s="57"/>
      <c r="GE28" s="57"/>
      <c r="GF28" s="57"/>
      <c r="GG28" s="57"/>
      <c r="GH28" s="57"/>
      <c r="GI28" s="57"/>
      <c r="GJ28" s="57"/>
      <c r="GK28" s="57"/>
      <c r="GL28" s="57"/>
      <c r="GM28" s="57"/>
      <c r="GN28" s="57"/>
      <c r="GO28" s="57"/>
      <c r="GP28" s="57"/>
      <c r="GQ28" s="57"/>
      <c r="GR28" s="57"/>
      <c r="GS28" s="57"/>
      <c r="GT28" s="57"/>
      <c r="GU28" s="57"/>
      <c r="GV28" s="57"/>
      <c r="GW28" s="57"/>
      <c r="GX28" s="57"/>
      <c r="GY28" s="57"/>
      <c r="GZ28" s="57"/>
      <c r="HA28" s="57"/>
      <c r="HB28" s="57"/>
      <c r="HC28" s="57"/>
      <c r="HD28" s="57"/>
      <c r="HE28" s="57"/>
      <c r="HF28" s="57"/>
      <c r="HG28" s="57"/>
      <c r="HH28" s="57"/>
      <c r="HI28" s="57"/>
      <c r="HJ28" s="57"/>
      <c r="HK28" s="57"/>
      <c r="HL28" s="57"/>
      <c r="HM28" s="57"/>
      <c r="HN28" s="57"/>
      <c r="HO28" s="57"/>
      <c r="HP28" s="57"/>
      <c r="HQ28" s="57"/>
      <c r="HR28" s="57"/>
      <c r="HS28" s="57"/>
      <c r="HT28" s="57"/>
      <c r="HU28" s="57"/>
      <c r="HV28" s="57"/>
      <c r="HW28" s="57"/>
      <c r="HX28" s="57"/>
      <c r="HY28" s="57"/>
      <c r="HZ28" s="57"/>
      <c r="IA28" s="57"/>
      <c r="IB28" s="57"/>
      <c r="IC28" s="57"/>
      <c r="ID28" s="57"/>
      <c r="IE28" s="57"/>
      <c r="IF28" s="57"/>
      <c r="IG28" s="57"/>
      <c r="IH28" s="57"/>
      <c r="II28" s="57"/>
      <c r="IJ28" s="57"/>
      <c r="IK28" s="57"/>
      <c r="IL28" s="57"/>
      <c r="IM28" s="57"/>
      <c r="IN28" s="57"/>
      <c r="IO28" s="57"/>
      <c r="IP28" s="57"/>
      <c r="IQ28" s="57"/>
      <c r="IR28" s="57"/>
      <c r="IS28" s="57"/>
      <c r="IT28" s="57"/>
      <c r="IU28" s="57"/>
    </row>
    <row r="29" spans="1:255" ht="24.75">
      <c r="A29" s="66" t="s">
        <v>65</v>
      </c>
      <c r="B29" s="66" t="s">
        <v>66</v>
      </c>
      <c r="C29" s="65" t="s">
        <v>594</v>
      </c>
      <c r="D29" s="65" t="s">
        <v>68</v>
      </c>
      <c r="E29" s="65" t="s">
        <v>69</v>
      </c>
      <c r="F29" s="65" t="s">
        <v>595</v>
      </c>
      <c r="G29" s="65" t="s">
        <v>596</v>
      </c>
      <c r="H29" s="65" t="s">
        <v>597</v>
      </c>
      <c r="I29" s="65" t="s">
        <v>598</v>
      </c>
      <c r="J29" s="65" t="s">
        <v>599</v>
      </c>
    </row>
    <row r="30" spans="1:255">
      <c r="A30" s="64" t="s">
        <v>600</v>
      </c>
      <c r="B30" s="64" t="s">
        <v>601</v>
      </c>
      <c r="C30" s="63">
        <v>1646.7</v>
      </c>
      <c r="D30" s="61" t="s">
        <v>602</v>
      </c>
      <c r="E30" s="61" t="s">
        <v>74</v>
      </c>
      <c r="F30" s="61" t="s">
        <v>291</v>
      </c>
      <c r="G30" s="61" t="s">
        <v>603</v>
      </c>
      <c r="H30" s="61" t="s">
        <v>604</v>
      </c>
      <c r="I30" s="61" t="s">
        <v>605</v>
      </c>
      <c r="J30" s="61" t="s">
        <v>283</v>
      </c>
    </row>
    <row r="31" spans="1:255">
      <c r="A31" s="64" t="s">
        <v>606</v>
      </c>
      <c r="B31" s="64" t="s">
        <v>607</v>
      </c>
      <c r="C31" s="63">
        <v>49.9</v>
      </c>
      <c r="D31" s="61" t="s">
        <v>608</v>
      </c>
      <c r="E31" s="61" t="s">
        <v>74</v>
      </c>
      <c r="F31" s="61">
        <v>2060</v>
      </c>
      <c r="G31" s="61" t="s">
        <v>603</v>
      </c>
      <c r="H31" s="61" t="s">
        <v>605</v>
      </c>
      <c r="I31" s="61" t="s">
        <v>605</v>
      </c>
      <c r="J31" s="61" t="s">
        <v>283</v>
      </c>
    </row>
    <row r="32" spans="1:255">
      <c r="A32" s="64" t="s">
        <v>609</v>
      </c>
      <c r="B32" s="64" t="s">
        <v>610</v>
      </c>
      <c r="C32" s="63">
        <v>118</v>
      </c>
      <c r="D32" s="61" t="s">
        <v>611</v>
      </c>
      <c r="E32" s="61" t="s">
        <v>612</v>
      </c>
      <c r="F32" s="62">
        <v>47828</v>
      </c>
      <c r="G32" s="61" t="s">
        <v>603</v>
      </c>
      <c r="H32" s="61" t="s">
        <v>605</v>
      </c>
      <c r="I32" s="61" t="s">
        <v>605</v>
      </c>
      <c r="J32" s="61" t="s">
        <v>283</v>
      </c>
    </row>
    <row r="33" spans="1:10">
      <c r="A33" s="64" t="s">
        <v>613</v>
      </c>
      <c r="B33" s="64" t="s">
        <v>73</v>
      </c>
      <c r="C33" s="63">
        <v>400</v>
      </c>
      <c r="D33" s="61" t="s">
        <v>614</v>
      </c>
      <c r="E33" s="61" t="s">
        <v>74</v>
      </c>
      <c r="F33" s="62">
        <v>49597</v>
      </c>
      <c r="G33" s="61" t="s">
        <v>603</v>
      </c>
      <c r="H33" s="61" t="s">
        <v>605</v>
      </c>
      <c r="I33" s="61" t="s">
        <v>605</v>
      </c>
      <c r="J33" s="61" t="s">
        <v>283</v>
      </c>
    </row>
    <row r="34" spans="1:10">
      <c r="A34" s="64" t="s">
        <v>615</v>
      </c>
      <c r="B34" s="64" t="s">
        <v>73</v>
      </c>
      <c r="C34" s="63">
        <v>300</v>
      </c>
      <c r="D34" s="61" t="s">
        <v>616</v>
      </c>
      <c r="E34" s="61" t="s">
        <v>74</v>
      </c>
      <c r="F34" s="62">
        <v>52932</v>
      </c>
      <c r="G34" s="61" t="s">
        <v>603</v>
      </c>
      <c r="H34" s="61" t="s">
        <v>605</v>
      </c>
      <c r="I34" s="61" t="s">
        <v>605</v>
      </c>
      <c r="J34" s="61" t="s">
        <v>283</v>
      </c>
    </row>
    <row r="35" spans="1:10">
      <c r="A35" s="64" t="s">
        <v>72</v>
      </c>
      <c r="B35" s="64" t="s">
        <v>73</v>
      </c>
      <c r="C35" s="63">
        <v>450</v>
      </c>
      <c r="D35" s="61" t="s">
        <v>617</v>
      </c>
      <c r="E35" s="61" t="s">
        <v>74</v>
      </c>
      <c r="F35" s="62">
        <v>46727</v>
      </c>
      <c r="G35" s="61" t="s">
        <v>603</v>
      </c>
      <c r="H35" s="61" t="s">
        <v>605</v>
      </c>
      <c r="I35" s="61" t="s">
        <v>605</v>
      </c>
      <c r="J35" s="61" t="s">
        <v>283</v>
      </c>
    </row>
    <row r="36" spans="1:10">
      <c r="A36" s="64" t="s">
        <v>618</v>
      </c>
      <c r="B36" s="64" t="s">
        <v>73</v>
      </c>
      <c r="C36" s="63">
        <v>450</v>
      </c>
      <c r="D36" s="61" t="s">
        <v>619</v>
      </c>
      <c r="E36" s="61" t="s">
        <v>74</v>
      </c>
      <c r="F36" s="62">
        <v>54030</v>
      </c>
      <c r="G36" s="61" t="s">
        <v>603</v>
      </c>
      <c r="H36" s="61" t="s">
        <v>605</v>
      </c>
      <c r="I36" s="61" t="s">
        <v>605</v>
      </c>
      <c r="J36" s="61" t="s">
        <v>283</v>
      </c>
    </row>
    <row r="37" spans="1:10">
      <c r="A37" s="64" t="s">
        <v>620</v>
      </c>
      <c r="B37" s="64" t="s">
        <v>73</v>
      </c>
      <c r="C37" s="63">
        <v>400</v>
      </c>
      <c r="D37" s="61" t="s">
        <v>621</v>
      </c>
      <c r="E37" s="61" t="s">
        <v>74</v>
      </c>
      <c r="F37" s="62">
        <v>54847</v>
      </c>
      <c r="G37" s="61" t="s">
        <v>603</v>
      </c>
      <c r="H37" s="61" t="s">
        <v>605</v>
      </c>
      <c r="I37" s="61" t="s">
        <v>605</v>
      </c>
      <c r="J37" s="61" t="s">
        <v>283</v>
      </c>
    </row>
    <row r="38" spans="1:10">
      <c r="A38" s="64" t="s">
        <v>626</v>
      </c>
      <c r="B38" s="64" t="s">
        <v>73</v>
      </c>
      <c r="C38" s="61" t="s">
        <v>291</v>
      </c>
      <c r="D38" s="61" t="s">
        <v>627</v>
      </c>
      <c r="E38" s="61" t="s">
        <v>74</v>
      </c>
      <c r="F38" s="62">
        <v>45628</v>
      </c>
      <c r="G38" s="61" t="s">
        <v>603</v>
      </c>
      <c r="H38" s="61" t="s">
        <v>605</v>
      </c>
      <c r="I38" s="61" t="s">
        <v>605</v>
      </c>
      <c r="J38" s="61" t="s">
        <v>283</v>
      </c>
    </row>
    <row r="39" spans="1:10">
      <c r="A39" s="64" t="s">
        <v>622</v>
      </c>
      <c r="B39" s="64" t="s">
        <v>73</v>
      </c>
      <c r="C39" s="63">
        <v>300</v>
      </c>
      <c r="D39" s="61" t="s">
        <v>623</v>
      </c>
      <c r="E39" s="61" t="s">
        <v>74</v>
      </c>
      <c r="F39" s="62">
        <v>48617</v>
      </c>
      <c r="G39" s="61" t="s">
        <v>603</v>
      </c>
      <c r="H39" s="61" t="s">
        <v>605</v>
      </c>
      <c r="I39" s="61" t="s">
        <v>605</v>
      </c>
      <c r="J39" s="61" t="s">
        <v>283</v>
      </c>
    </row>
    <row r="40" spans="1:10">
      <c r="A40" s="64" t="s">
        <v>76</v>
      </c>
      <c r="B40" s="64" t="s">
        <v>73</v>
      </c>
      <c r="C40" s="63">
        <v>500</v>
      </c>
      <c r="D40" s="61" t="s">
        <v>624</v>
      </c>
      <c r="E40" s="61" t="s">
        <v>74</v>
      </c>
      <c r="F40" s="62">
        <v>47449</v>
      </c>
      <c r="G40" s="61" t="s">
        <v>603</v>
      </c>
      <c r="H40" s="61" t="s">
        <v>605</v>
      </c>
      <c r="I40" s="61" t="s">
        <v>605</v>
      </c>
      <c r="J40" s="61" t="s">
        <v>283</v>
      </c>
    </row>
    <row r="41" spans="1:10">
      <c r="A41" s="60"/>
      <c r="B41" s="60"/>
      <c r="C41" s="60"/>
      <c r="D41" s="60"/>
      <c r="E41" s="60"/>
      <c r="F41" s="60"/>
      <c r="G41" s="60"/>
      <c r="H41" s="60"/>
      <c r="I41" s="60"/>
      <c r="J41" s="60"/>
    </row>
    <row r="42" spans="1:10">
      <c r="A42" s="59" t="s">
        <v>334</v>
      </c>
    </row>
  </sheetData>
  <phoneticPr fontId="27" type="noConversion"/>
  <pageMargins left="0.2" right="0.2" top="0.5" bottom="0.5" header="0.5" footer="0.5"/>
  <pageSetup fitToWidth="0" fitToHeight="0" orientation="landscape"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FECB3-F066-4C6A-98F4-E490D7A49334}">
  <sheetPr>
    <tabColor theme="2" tint="-0.499984740745262"/>
    <outlinePr summaryBelow="0" summaryRight="0"/>
    <pageSetUpPr autoPageBreaks="0"/>
  </sheetPr>
  <dimension ref="A5:IU86"/>
  <sheetViews>
    <sheetView workbookViewId="0">
      <selection activeCell="A15" sqref="A15"/>
    </sheetView>
  </sheetViews>
  <sheetFormatPr defaultColWidth="8.86328125" defaultRowHeight="10.15"/>
  <cols>
    <col min="1" max="1" width="45.86328125" customWidth="1"/>
    <col min="2" max="9" width="14.86328125" customWidth="1"/>
  </cols>
  <sheetData>
    <row r="5" spans="1:255" ht="16.149999999999999">
      <c r="A5" s="1" t="s">
        <v>628</v>
      </c>
    </row>
    <row r="7" spans="1:255">
      <c r="A7" s="4"/>
      <c r="B7" s="3" t="s">
        <v>629</v>
      </c>
      <c r="C7" t="s">
        <v>630</v>
      </c>
      <c r="D7" s="4" t="s">
        <v>257</v>
      </c>
      <c r="E7" s="3" t="s">
        <v>631</v>
      </c>
      <c r="F7" t="s">
        <v>632</v>
      </c>
    </row>
    <row r="8" spans="1:255">
      <c r="A8" s="4"/>
      <c r="B8" s="3" t="s">
        <v>262</v>
      </c>
      <c r="C8" t="s">
        <v>263</v>
      </c>
      <c r="D8" s="4" t="s">
        <v>257</v>
      </c>
      <c r="E8" s="3" t="s">
        <v>270</v>
      </c>
      <c r="F8" s="5" t="s">
        <v>271</v>
      </c>
    </row>
    <row r="9" spans="1:255">
      <c r="A9" s="4"/>
      <c r="B9" s="3" t="s">
        <v>468</v>
      </c>
      <c r="C9" t="s">
        <v>469</v>
      </c>
      <c r="D9" s="4" t="s">
        <v>257</v>
      </c>
      <c r="E9" s="26"/>
      <c r="F9" s="26"/>
    </row>
    <row r="12" spans="1:255">
      <c r="A12" s="6" t="s">
        <v>633</v>
      </c>
      <c r="B12" s="6"/>
      <c r="C12" s="6"/>
      <c r="D12" s="6"/>
      <c r="E12" s="6"/>
      <c r="F12" s="6"/>
      <c r="G12" s="6"/>
      <c r="H12" s="6"/>
      <c r="I12" s="6"/>
      <c r="J12" s="57"/>
      <c r="K12" s="57"/>
      <c r="L12" s="57"/>
      <c r="M12" s="57"/>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c r="ED12" s="57"/>
      <c r="EE12" s="57"/>
      <c r="EF12" s="57"/>
      <c r="EG12" s="57"/>
      <c r="EH12" s="57"/>
      <c r="EI12" s="57"/>
      <c r="EJ12" s="57"/>
      <c r="EK12" s="57"/>
      <c r="EL12" s="57"/>
      <c r="EM12" s="57"/>
      <c r="EN12" s="57"/>
      <c r="EO12" s="57"/>
      <c r="EP12" s="57"/>
      <c r="EQ12" s="57"/>
      <c r="ER12" s="57"/>
      <c r="ES12" s="57"/>
      <c r="ET12" s="57"/>
      <c r="EU12" s="57"/>
      <c r="EV12" s="57"/>
      <c r="EW12" s="57"/>
      <c r="EX12" s="57"/>
      <c r="EY12" s="57"/>
      <c r="EZ12" s="57"/>
      <c r="FA12" s="57"/>
      <c r="FB12" s="57"/>
      <c r="FC12" s="57"/>
      <c r="FD12" s="57"/>
      <c r="FE12" s="57"/>
      <c r="FF12" s="57"/>
      <c r="FG12" s="57"/>
      <c r="FH12" s="57"/>
      <c r="FI12" s="57"/>
      <c r="FJ12" s="57"/>
      <c r="FK12" s="57"/>
      <c r="FL12" s="57"/>
      <c r="FM12" s="57"/>
      <c r="FN12" s="57"/>
      <c r="FO12" s="57"/>
      <c r="FP12" s="57"/>
      <c r="FQ12" s="57"/>
      <c r="FR12" s="57"/>
      <c r="FS12" s="57"/>
      <c r="FT12" s="57"/>
      <c r="FU12" s="57"/>
      <c r="FV12" s="57"/>
      <c r="FW12" s="57"/>
      <c r="FX12" s="57"/>
      <c r="FY12" s="57"/>
      <c r="FZ12" s="57"/>
      <c r="GA12" s="57"/>
      <c r="GB12" s="57"/>
      <c r="GC12" s="57"/>
      <c r="GD12" s="57"/>
      <c r="GE12" s="57"/>
      <c r="GF12" s="57"/>
      <c r="GG12" s="57"/>
      <c r="GH12" s="57"/>
      <c r="GI12" s="57"/>
      <c r="GJ12" s="57"/>
      <c r="GK12" s="57"/>
      <c r="GL12" s="57"/>
      <c r="GM12" s="57"/>
      <c r="GN12" s="57"/>
      <c r="GO12" s="57"/>
      <c r="GP12" s="57"/>
      <c r="GQ12" s="57"/>
      <c r="GR12" s="57"/>
      <c r="GS12" s="57"/>
      <c r="GT12" s="57"/>
      <c r="GU12" s="57"/>
      <c r="GV12" s="57"/>
      <c r="GW12" s="57"/>
      <c r="GX12" s="57"/>
      <c r="GY12" s="57"/>
      <c r="GZ12" s="57"/>
      <c r="HA12" s="57"/>
      <c r="HB12" s="57"/>
      <c r="HC12" s="57"/>
      <c r="HD12" s="57"/>
      <c r="HE12" s="57"/>
      <c r="HF12" s="57"/>
      <c r="HG12" s="57"/>
      <c r="HH12" s="57"/>
      <c r="HI12" s="57"/>
      <c r="HJ12" s="57"/>
      <c r="HK12" s="57"/>
      <c r="HL12" s="57"/>
      <c r="HM12" s="57"/>
      <c r="HN12" s="57"/>
      <c r="HO12" s="57"/>
      <c r="HP12" s="57"/>
      <c r="HQ12" s="57"/>
      <c r="HR12" s="57"/>
      <c r="HS12" s="57"/>
      <c r="HT12" s="57"/>
      <c r="HU12" s="57"/>
      <c r="HV12" s="57"/>
      <c r="HW12" s="57"/>
      <c r="HX12" s="57"/>
      <c r="HY12" s="57"/>
      <c r="HZ12" s="57"/>
      <c r="IA12" s="57"/>
      <c r="IB12" s="57"/>
      <c r="IC12" s="57"/>
      <c r="ID12" s="57"/>
      <c r="IE12" s="57"/>
      <c r="IF12" s="57"/>
      <c r="IG12" s="57"/>
      <c r="IH12" s="57"/>
      <c r="II12" s="57"/>
      <c r="IJ12" s="57"/>
      <c r="IK12" s="57"/>
      <c r="IL12" s="57"/>
      <c r="IM12" s="57"/>
      <c r="IN12" s="57"/>
      <c r="IO12" s="57"/>
      <c r="IP12" s="57"/>
      <c r="IQ12" s="57"/>
      <c r="IR12" s="57"/>
      <c r="IS12" s="57"/>
      <c r="IT12" s="57"/>
      <c r="IU12" s="57"/>
    </row>
    <row r="13" spans="1:255" ht="12.4">
      <c r="A13" s="37"/>
      <c r="B13" s="38"/>
      <c r="C13" s="38"/>
      <c r="D13" s="38"/>
      <c r="E13" s="38"/>
      <c r="F13" s="38"/>
      <c r="G13" s="38"/>
      <c r="H13" s="38"/>
      <c r="I13" s="38"/>
      <c r="J13" s="57"/>
      <c r="K13" s="57"/>
      <c r="L13" s="57"/>
      <c r="M13" s="57"/>
      <c r="N13" s="57"/>
      <c r="O13" s="57"/>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c r="ED13" s="57"/>
      <c r="EE13" s="57"/>
      <c r="EF13" s="57"/>
      <c r="EG13" s="57"/>
      <c r="EH13" s="57"/>
      <c r="EI13" s="57"/>
      <c r="EJ13" s="57"/>
      <c r="EK13" s="57"/>
      <c r="EL13" s="57"/>
      <c r="EM13" s="57"/>
      <c r="EN13" s="57"/>
      <c r="EO13" s="57"/>
      <c r="EP13" s="57"/>
      <c r="EQ13" s="57"/>
      <c r="ER13" s="57"/>
      <c r="ES13" s="57"/>
      <c r="ET13" s="57"/>
      <c r="EU13" s="57"/>
      <c r="EV13" s="57"/>
      <c r="EW13" s="57"/>
      <c r="EX13" s="57"/>
      <c r="EY13" s="57"/>
      <c r="EZ13" s="57"/>
      <c r="FA13" s="57"/>
      <c r="FB13" s="57"/>
      <c r="FC13" s="57"/>
      <c r="FD13" s="57"/>
      <c r="FE13" s="57"/>
      <c r="FF13" s="57"/>
      <c r="FG13" s="57"/>
      <c r="FH13" s="57"/>
      <c r="FI13" s="57"/>
      <c r="FJ13" s="57"/>
      <c r="FK13" s="57"/>
      <c r="FL13" s="57"/>
      <c r="FM13" s="57"/>
      <c r="FN13" s="57"/>
      <c r="FO13" s="57"/>
      <c r="FP13" s="57"/>
      <c r="FQ13" s="57"/>
      <c r="FR13" s="57"/>
      <c r="FS13" s="57"/>
      <c r="FT13" s="57"/>
      <c r="FU13" s="57"/>
      <c r="FV13" s="57"/>
      <c r="FW13" s="57"/>
      <c r="FX13" s="57"/>
      <c r="FY13" s="57"/>
      <c r="FZ13" s="57"/>
      <c r="GA13" s="57"/>
      <c r="GB13" s="57"/>
      <c r="GC13" s="57"/>
      <c r="GD13" s="57"/>
      <c r="GE13" s="57"/>
      <c r="GF13" s="57"/>
      <c r="GG13" s="57"/>
      <c r="GH13" s="57"/>
      <c r="GI13" s="57"/>
      <c r="GJ13" s="57"/>
      <c r="GK13" s="57"/>
      <c r="GL13" s="57"/>
      <c r="GM13" s="57"/>
      <c r="GN13" s="57"/>
      <c r="GO13" s="57"/>
      <c r="GP13" s="57"/>
      <c r="GQ13" s="57"/>
      <c r="GR13" s="57"/>
      <c r="GS13" s="57"/>
      <c r="GT13" s="57"/>
      <c r="GU13" s="57"/>
      <c r="GV13" s="57"/>
      <c r="GW13" s="57"/>
      <c r="GX13" s="57"/>
      <c r="GY13" s="57"/>
      <c r="GZ13" s="57"/>
      <c r="HA13" s="57"/>
      <c r="HB13" s="57"/>
      <c r="HC13" s="57"/>
      <c r="HD13" s="57"/>
      <c r="HE13" s="57"/>
      <c r="HF13" s="57"/>
      <c r="HG13" s="57"/>
      <c r="HH13" s="57"/>
      <c r="HI13" s="57"/>
      <c r="HJ13" s="57"/>
      <c r="HK13" s="57"/>
      <c r="HL13" s="57"/>
      <c r="HM13" s="57"/>
      <c r="HN13" s="57"/>
      <c r="HO13" s="57"/>
      <c r="HP13" s="57"/>
      <c r="HQ13" s="57"/>
      <c r="HR13" s="57"/>
      <c r="HS13" s="57"/>
      <c r="HT13" s="57"/>
      <c r="HU13" s="57"/>
      <c r="HV13" s="57"/>
      <c r="HW13" s="57"/>
      <c r="HX13" s="57"/>
      <c r="HY13" s="57"/>
      <c r="HZ13" s="57"/>
      <c r="IA13" s="57"/>
      <c r="IB13" s="57"/>
      <c r="IC13" s="57"/>
      <c r="ID13" s="57"/>
      <c r="IE13" s="57"/>
      <c r="IF13" s="57"/>
      <c r="IG13" s="57"/>
      <c r="IH13" s="57"/>
      <c r="II13" s="57"/>
      <c r="IJ13" s="57"/>
      <c r="IK13" s="57"/>
      <c r="IL13" s="57"/>
      <c r="IM13" s="57"/>
      <c r="IN13" s="57"/>
      <c r="IO13" s="57"/>
      <c r="IP13" s="57"/>
      <c r="IQ13" s="57"/>
      <c r="IR13" s="57"/>
      <c r="IS13" s="57"/>
      <c r="IT13" s="57"/>
      <c r="IU13" s="57"/>
    </row>
    <row r="14" spans="1:255">
      <c r="A14" s="39" t="s">
        <v>634</v>
      </c>
      <c r="B14" s="40"/>
      <c r="C14" s="41">
        <v>45565</v>
      </c>
      <c r="D14" s="41">
        <v>45657</v>
      </c>
      <c r="E14" s="41">
        <v>45747</v>
      </c>
      <c r="F14" s="41">
        <v>45838</v>
      </c>
      <c r="G14" s="41">
        <v>45930</v>
      </c>
      <c r="H14" s="41">
        <v>46022</v>
      </c>
      <c r="I14" s="41">
        <v>46087</v>
      </c>
    </row>
    <row r="15" spans="1:255">
      <c r="A15" s="39" t="s">
        <v>635</v>
      </c>
      <c r="B15" s="42" t="s">
        <v>636</v>
      </c>
      <c r="C15" s="43">
        <v>1.0754722380952382</v>
      </c>
      <c r="D15" s="43">
        <v>1.1198744761904762</v>
      </c>
      <c r="E15" s="43">
        <v>1.1687032741935484</v>
      </c>
      <c r="F15" s="43">
        <v>1.2616849206349205</v>
      </c>
      <c r="G15" s="43">
        <v>1.2093331111111112</v>
      </c>
      <c r="H15" s="43">
        <v>1.1502318095238095</v>
      </c>
      <c r="I15" s="43">
        <v>1.1472532444444445</v>
      </c>
    </row>
    <row r="16" spans="1:255">
      <c r="A16" s="42"/>
      <c r="B16" s="42" t="s">
        <v>637</v>
      </c>
      <c r="C16" s="44">
        <v>1.1124769999999999</v>
      </c>
      <c r="D16" s="44">
        <v>1.1833290000000001</v>
      </c>
      <c r="E16" s="44">
        <v>1.240402</v>
      </c>
      <c r="F16" s="44">
        <v>1.30121</v>
      </c>
      <c r="G16" s="44">
        <v>1.2863450000000001</v>
      </c>
      <c r="H16" s="44">
        <v>1.1870160000000001</v>
      </c>
      <c r="I16" s="44">
        <v>1.1756679999999999</v>
      </c>
    </row>
    <row r="17" spans="1:9">
      <c r="A17" s="42"/>
      <c r="B17" s="42" t="s">
        <v>638</v>
      </c>
      <c r="C17" s="44">
        <v>1.031841</v>
      </c>
      <c r="D17" s="44">
        <v>1.059061</v>
      </c>
      <c r="E17" s="44">
        <v>1.1244810000000001</v>
      </c>
      <c r="F17" s="44">
        <v>1.2061599999999999</v>
      </c>
      <c r="G17" s="44">
        <v>1.1109070000000001</v>
      </c>
      <c r="H17" s="44">
        <v>1.103289</v>
      </c>
      <c r="I17" s="44">
        <v>1.088951</v>
      </c>
    </row>
    <row r="18" spans="1:9">
      <c r="A18" s="42"/>
      <c r="B18" s="42" t="s">
        <v>639</v>
      </c>
      <c r="C18" s="44">
        <v>1.0993250000000001</v>
      </c>
      <c r="D18" s="44">
        <v>1.1446879999999999</v>
      </c>
      <c r="E18" s="44">
        <v>1.240402</v>
      </c>
      <c r="F18" s="44">
        <v>1.2890349999999999</v>
      </c>
      <c r="G18" s="44">
        <v>1.123472</v>
      </c>
      <c r="H18" s="44">
        <v>1.1667959999999999</v>
      </c>
      <c r="I18" s="44">
        <v>1.1317619999999999</v>
      </c>
    </row>
    <row r="19" spans="1:9">
      <c r="A19" s="39"/>
      <c r="B19" s="42"/>
      <c r="C19" s="42"/>
      <c r="D19" s="42"/>
      <c r="E19" s="42"/>
      <c r="F19" s="42"/>
      <c r="G19" s="42"/>
      <c r="H19" s="42"/>
      <c r="I19" s="42"/>
    </row>
    <row r="20" spans="1:9">
      <c r="A20" s="39" t="s">
        <v>640</v>
      </c>
      <c r="B20" s="42" t="s">
        <v>636</v>
      </c>
      <c r="C20" s="43">
        <v>1.0639350000000001</v>
      </c>
      <c r="D20" s="43">
        <v>1.09565</v>
      </c>
      <c r="E20" s="43">
        <v>1.127615</v>
      </c>
      <c r="F20" s="43">
        <v>1.2160820000000001</v>
      </c>
      <c r="G20" s="43">
        <v>1.1473390000000001</v>
      </c>
      <c r="H20" s="43">
        <v>1.0928709999999999</v>
      </c>
      <c r="I20" s="43">
        <v>1.1122019999999999</v>
      </c>
    </row>
    <row r="21" spans="1:9">
      <c r="A21" s="42"/>
      <c r="B21" s="42" t="s">
        <v>637</v>
      </c>
      <c r="C21" s="44">
        <v>1.103129</v>
      </c>
      <c r="D21" s="44">
        <v>1.141605</v>
      </c>
      <c r="E21" s="44">
        <v>1.1963269999999999</v>
      </c>
      <c r="F21" s="44">
        <v>1.2539849999999999</v>
      </c>
      <c r="G21" s="44">
        <v>1.2394350000000001</v>
      </c>
      <c r="H21" s="44">
        <v>1.150722</v>
      </c>
      <c r="I21" s="44">
        <v>1.140709</v>
      </c>
    </row>
    <row r="22" spans="1:9">
      <c r="A22" s="42"/>
      <c r="B22" s="42" t="s">
        <v>638</v>
      </c>
      <c r="C22" s="44">
        <v>1.0181439999999999</v>
      </c>
      <c r="D22" s="44">
        <v>1.049361</v>
      </c>
      <c r="E22" s="44">
        <v>1.0871</v>
      </c>
      <c r="F22" s="44">
        <v>1.1632169999999999</v>
      </c>
      <c r="G22" s="44">
        <v>1.030494</v>
      </c>
      <c r="H22" s="44">
        <v>1.0234270000000001</v>
      </c>
      <c r="I22" s="44">
        <v>1.0551729999999999</v>
      </c>
    </row>
    <row r="23" spans="1:9">
      <c r="A23" s="42"/>
      <c r="B23" s="42" t="s">
        <v>639</v>
      </c>
      <c r="C23" s="44">
        <v>1.0900879999999999</v>
      </c>
      <c r="D23" s="44">
        <v>1.1052740000000001</v>
      </c>
      <c r="E23" s="44">
        <v>1.1963269999999999</v>
      </c>
      <c r="F23" s="44">
        <v>1.2422519999999999</v>
      </c>
      <c r="G23" s="44">
        <v>1.0421499999999999</v>
      </c>
      <c r="H23" s="44">
        <v>1.132101</v>
      </c>
      <c r="I23" s="44">
        <v>1.0966560000000001</v>
      </c>
    </row>
    <row r="24" spans="1:9">
      <c r="A24" s="39"/>
      <c r="B24" s="42"/>
      <c r="C24" s="42"/>
      <c r="D24" s="42"/>
      <c r="E24" s="42"/>
      <c r="F24" s="42"/>
      <c r="G24" s="42"/>
      <c r="H24" s="42"/>
      <c r="I24" s="42"/>
    </row>
    <row r="25" spans="1:9">
      <c r="A25" s="39" t="s">
        <v>641</v>
      </c>
      <c r="B25" s="42" t="s">
        <v>636</v>
      </c>
      <c r="C25" s="43">
        <v>11.776060253968254</v>
      </c>
      <c r="D25" s="43">
        <v>12.18465526984127</v>
      </c>
      <c r="E25" s="43">
        <v>12.689762161290323</v>
      </c>
      <c r="F25" s="43">
        <v>13.667017111111111</v>
      </c>
      <c r="G25" s="43">
        <v>13.049601761904762</v>
      </c>
      <c r="H25" s="43">
        <v>12.366982777777778</v>
      </c>
      <c r="I25" s="43">
        <v>12.474563422222221</v>
      </c>
    </row>
    <row r="26" spans="1:9">
      <c r="A26" s="42"/>
      <c r="B26" s="42" t="s">
        <v>637</v>
      </c>
      <c r="C26" s="44">
        <v>12.212716</v>
      </c>
      <c r="D26" s="44">
        <v>12.768185000000001</v>
      </c>
      <c r="E26" s="44">
        <v>13.468776999999999</v>
      </c>
      <c r="F26" s="44">
        <v>14.08821</v>
      </c>
      <c r="G26" s="44">
        <v>13.927273</v>
      </c>
      <c r="H26" s="44">
        <v>12.744831</v>
      </c>
      <c r="I26" s="44">
        <v>12.796832</v>
      </c>
    </row>
    <row r="27" spans="1:9">
      <c r="A27" s="42"/>
      <c r="B27" s="42" t="s">
        <v>638</v>
      </c>
      <c r="C27" s="44">
        <v>11.265268000000001</v>
      </c>
      <c r="D27" s="44">
        <v>11.626315999999999</v>
      </c>
      <c r="E27" s="44">
        <v>12.21006</v>
      </c>
      <c r="F27" s="44">
        <v>13.096963000000001</v>
      </c>
      <c r="G27" s="44">
        <v>11.949862</v>
      </c>
      <c r="H27" s="44">
        <v>11.867912</v>
      </c>
      <c r="I27" s="44">
        <v>11.866303</v>
      </c>
    </row>
    <row r="28" spans="1:9">
      <c r="A28" s="42"/>
      <c r="B28" s="42" t="s">
        <v>639</v>
      </c>
      <c r="C28" s="44">
        <v>12.068334</v>
      </c>
      <c r="D28" s="44">
        <v>12.427820000000001</v>
      </c>
      <c r="E28" s="44">
        <v>13.468776999999999</v>
      </c>
      <c r="F28" s="44">
        <v>13.956398</v>
      </c>
      <c r="G28" s="44">
        <v>12.085027</v>
      </c>
      <c r="H28" s="44">
        <v>12.642707</v>
      </c>
      <c r="I28" s="44">
        <v>12.332813</v>
      </c>
    </row>
    <row r="29" spans="1:9">
      <c r="A29" s="39"/>
      <c r="B29" s="42"/>
      <c r="C29" s="42"/>
      <c r="D29" s="42"/>
      <c r="E29" s="42"/>
      <c r="F29" s="42"/>
      <c r="G29" s="42"/>
      <c r="H29" s="42"/>
      <c r="I29" s="42"/>
    </row>
    <row r="30" spans="1:9">
      <c r="A30" s="39" t="s">
        <v>642</v>
      </c>
      <c r="B30" s="42" t="s">
        <v>636</v>
      </c>
      <c r="C30" s="43">
        <v>11.085896</v>
      </c>
      <c r="D30" s="43">
        <v>11.390905</v>
      </c>
      <c r="E30" s="43">
        <v>11.746854000000001</v>
      </c>
      <c r="F30" s="43">
        <v>12.667247</v>
      </c>
      <c r="G30" s="43">
        <v>12.108841</v>
      </c>
      <c r="H30" s="43">
        <v>11.556070999999999</v>
      </c>
      <c r="I30" s="43">
        <v>11.498479</v>
      </c>
    </row>
    <row r="31" spans="1:9">
      <c r="A31" s="42"/>
      <c r="B31" s="42" t="s">
        <v>637</v>
      </c>
      <c r="C31" s="44">
        <v>11.432173000000001</v>
      </c>
      <c r="D31" s="44">
        <v>11.897186</v>
      </c>
      <c r="E31" s="44">
        <v>12.457651</v>
      </c>
      <c r="F31" s="44">
        <v>13.063514</v>
      </c>
      <c r="G31" s="44">
        <v>12.906488</v>
      </c>
      <c r="H31" s="44">
        <v>11.945377000000001</v>
      </c>
      <c r="I31" s="44">
        <v>11.826492999999999</v>
      </c>
    </row>
    <row r="32" spans="1:9">
      <c r="A32" s="42"/>
      <c r="B32" s="42" t="s">
        <v>638</v>
      </c>
      <c r="C32" s="44">
        <v>10.682653</v>
      </c>
      <c r="D32" s="44">
        <v>10.88325</v>
      </c>
      <c r="E32" s="44">
        <v>11.298054</v>
      </c>
      <c r="F32" s="44">
        <v>12.112690000000001</v>
      </c>
      <c r="G32" s="44">
        <v>11.127761</v>
      </c>
      <c r="H32" s="44">
        <v>11.051444</v>
      </c>
      <c r="I32" s="44">
        <v>10.890245</v>
      </c>
    </row>
    <row r="33" spans="1:9">
      <c r="A33" s="42"/>
      <c r="B33" s="42" t="s">
        <v>639</v>
      </c>
      <c r="C33" s="44">
        <v>11.29702</v>
      </c>
      <c r="D33" s="44">
        <v>11.520721</v>
      </c>
      <c r="E33" s="44">
        <v>12.457651</v>
      </c>
      <c r="F33" s="44">
        <v>12.941285000000001</v>
      </c>
      <c r="G33" s="44">
        <v>11.253624</v>
      </c>
      <c r="H33" s="44">
        <v>11.737249</v>
      </c>
      <c r="I33" s="44">
        <v>11.318389</v>
      </c>
    </row>
    <row r="34" spans="1:9">
      <c r="A34" s="39"/>
      <c r="B34" s="42"/>
      <c r="C34" s="42"/>
      <c r="D34" s="42"/>
      <c r="E34" s="42"/>
      <c r="F34" s="42"/>
      <c r="G34" s="42"/>
      <c r="H34" s="42"/>
      <c r="I34" s="42"/>
    </row>
    <row r="35" spans="1:9">
      <c r="A35" s="39" t="s">
        <v>643</v>
      </c>
      <c r="B35" s="42" t="s">
        <v>636</v>
      </c>
      <c r="C35" s="43">
        <v>16.154278238095237</v>
      </c>
      <c r="D35" s="43">
        <v>16.884218206349207</v>
      </c>
      <c r="E35" s="43">
        <v>17.506372403225807</v>
      </c>
      <c r="F35" s="43">
        <v>18.835172761904762</v>
      </c>
      <c r="G35" s="43">
        <v>17.992206460317462</v>
      </c>
      <c r="H35" s="43">
        <v>17.157883142857141</v>
      </c>
      <c r="I35" s="43">
        <v>17.284697977777778</v>
      </c>
    </row>
    <row r="36" spans="1:9">
      <c r="A36" s="42"/>
      <c r="B36" s="42" t="s">
        <v>637</v>
      </c>
      <c r="C36" s="44">
        <v>16.818857999999999</v>
      </c>
      <c r="D36" s="44">
        <v>17.811138</v>
      </c>
      <c r="E36" s="44">
        <v>18.577168</v>
      </c>
      <c r="F36" s="44">
        <v>19.412368000000001</v>
      </c>
      <c r="G36" s="44">
        <v>19.190608999999998</v>
      </c>
      <c r="H36" s="44">
        <v>17.844331</v>
      </c>
      <c r="I36" s="44">
        <v>17.772165000000001</v>
      </c>
    </row>
    <row r="37" spans="1:9">
      <c r="A37" s="42"/>
      <c r="B37" s="42" t="s">
        <v>638</v>
      </c>
      <c r="C37" s="44">
        <v>15.38471</v>
      </c>
      <c r="D37" s="44">
        <v>16.011291</v>
      </c>
      <c r="E37" s="44">
        <v>16.841049000000002</v>
      </c>
      <c r="F37" s="44">
        <v>18.064333000000001</v>
      </c>
      <c r="G37" s="44">
        <v>16.485368999999999</v>
      </c>
      <c r="H37" s="44">
        <v>16.372315</v>
      </c>
      <c r="I37" s="44">
        <v>16.479852000000001</v>
      </c>
    </row>
    <row r="38" spans="1:9">
      <c r="A38" s="42"/>
      <c r="B38" s="42" t="s">
        <v>639</v>
      </c>
      <c r="C38" s="44">
        <v>16.62002</v>
      </c>
      <c r="D38" s="44">
        <v>17.154077999999998</v>
      </c>
      <c r="E38" s="44">
        <v>18.577168</v>
      </c>
      <c r="F38" s="44">
        <v>19.230741999999999</v>
      </c>
      <c r="G38" s="44">
        <v>16.671834</v>
      </c>
      <c r="H38" s="44">
        <v>17.452143</v>
      </c>
      <c r="I38" s="44">
        <v>17.127738000000001</v>
      </c>
    </row>
    <row r="39" spans="1:9">
      <c r="A39" s="39"/>
      <c r="B39" s="42"/>
      <c r="C39" s="42"/>
      <c r="D39" s="42"/>
      <c r="E39" s="42"/>
      <c r="F39" s="42"/>
      <c r="G39" s="42"/>
      <c r="H39" s="42"/>
      <c r="I39" s="42"/>
    </row>
    <row r="40" spans="1:9">
      <c r="A40" s="39" t="s">
        <v>644</v>
      </c>
      <c r="B40" s="42" t="s">
        <v>636</v>
      </c>
      <c r="C40" s="43">
        <v>15.286972</v>
      </c>
      <c r="D40" s="43">
        <v>15.674797</v>
      </c>
      <c r="E40" s="43">
        <v>16.006881</v>
      </c>
      <c r="F40" s="43">
        <v>17.283878999999999</v>
      </c>
      <c r="G40" s="43">
        <v>16.582284999999999</v>
      </c>
      <c r="H40" s="43">
        <v>15.897917</v>
      </c>
      <c r="I40" s="43">
        <v>15.805726</v>
      </c>
    </row>
    <row r="41" spans="1:9">
      <c r="A41" s="42"/>
      <c r="B41" s="42" t="s">
        <v>637</v>
      </c>
      <c r="C41" s="44">
        <v>15.880095000000001</v>
      </c>
      <c r="D41" s="44">
        <v>16.327562</v>
      </c>
      <c r="E41" s="44">
        <v>16.95055</v>
      </c>
      <c r="F41" s="44">
        <v>17.838936</v>
      </c>
      <c r="G41" s="44">
        <v>17.615483999999999</v>
      </c>
      <c r="H41" s="44">
        <v>16.435921</v>
      </c>
      <c r="I41" s="44">
        <v>16.281428999999999</v>
      </c>
    </row>
    <row r="42" spans="1:9">
      <c r="A42" s="42"/>
      <c r="B42" s="42" t="s">
        <v>638</v>
      </c>
      <c r="C42" s="44">
        <v>14.572827</v>
      </c>
      <c r="D42" s="44">
        <v>14.940519999999999</v>
      </c>
      <c r="E42" s="44">
        <v>15.283462</v>
      </c>
      <c r="F42" s="44">
        <v>16.450693999999999</v>
      </c>
      <c r="G42" s="44">
        <v>15.248059</v>
      </c>
      <c r="H42" s="44">
        <v>15.143484000000001</v>
      </c>
      <c r="I42" s="44">
        <v>14.960758999999999</v>
      </c>
    </row>
    <row r="43" spans="1:9">
      <c r="A43" s="42"/>
      <c r="B43" s="42" t="s">
        <v>639</v>
      </c>
      <c r="C43" s="44">
        <v>15.692359</v>
      </c>
      <c r="D43" s="44">
        <v>15.808524</v>
      </c>
      <c r="E43" s="44">
        <v>16.95055</v>
      </c>
      <c r="F43" s="44">
        <v>17.672025000000001</v>
      </c>
      <c r="G43" s="44">
        <v>15.420526000000001</v>
      </c>
      <c r="H43" s="44">
        <v>16.158567999999999</v>
      </c>
      <c r="I43" s="44">
        <v>15.548933</v>
      </c>
    </row>
    <row r="44" spans="1:9">
      <c r="A44" s="39"/>
      <c r="B44" s="42"/>
      <c r="C44" s="42"/>
      <c r="D44" s="42"/>
      <c r="E44" s="42"/>
      <c r="F44" s="42"/>
      <c r="G44" s="42"/>
      <c r="H44" s="42"/>
      <c r="I44" s="42"/>
    </row>
    <row r="45" spans="1:9">
      <c r="A45" s="39" t="s">
        <v>645</v>
      </c>
      <c r="B45" s="42" t="s">
        <v>636</v>
      </c>
      <c r="C45" s="43">
        <v>19.763128444444444</v>
      </c>
      <c r="D45" s="43">
        <v>21.37762980952381</v>
      </c>
      <c r="E45" s="43">
        <v>21.963785919354837</v>
      </c>
      <c r="F45" s="43">
        <v>23.497451380952381</v>
      </c>
      <c r="G45" s="43">
        <v>22.219830682539683</v>
      </c>
      <c r="H45" s="43">
        <v>20.956378920634922</v>
      </c>
      <c r="I45" s="43">
        <v>21.201652088888888</v>
      </c>
    </row>
    <row r="46" spans="1:9">
      <c r="A46" s="42"/>
      <c r="B46" s="42" t="s">
        <v>637</v>
      </c>
      <c r="C46" s="44">
        <v>21.227177999999999</v>
      </c>
      <c r="D46" s="44">
        <v>22.781020999999999</v>
      </c>
      <c r="E46" s="44">
        <v>23.381402999999999</v>
      </c>
      <c r="F46" s="44">
        <v>24.287182000000001</v>
      </c>
      <c r="G46" s="44">
        <v>24.084714000000002</v>
      </c>
      <c r="H46" s="44">
        <v>21.773218</v>
      </c>
      <c r="I46" s="44">
        <v>22.019435999999999</v>
      </c>
    </row>
    <row r="47" spans="1:9">
      <c r="A47" s="42"/>
      <c r="B47" s="42" t="s">
        <v>638</v>
      </c>
      <c r="C47" s="44">
        <v>18.018353999999999</v>
      </c>
      <c r="D47" s="44">
        <v>19.993921</v>
      </c>
      <c r="E47" s="44">
        <v>20.692086</v>
      </c>
      <c r="F47" s="44">
        <v>22.605684</v>
      </c>
      <c r="G47" s="44">
        <v>20.012115000000001</v>
      </c>
      <c r="H47" s="44">
        <v>19.844985999999999</v>
      </c>
      <c r="I47" s="44">
        <v>19.991330000000001</v>
      </c>
    </row>
    <row r="48" spans="1:9">
      <c r="A48" s="42"/>
      <c r="B48" s="42" t="s">
        <v>639</v>
      </c>
      <c r="C48" s="44">
        <v>20.918863000000002</v>
      </c>
      <c r="D48" s="44">
        <v>21.934305999999999</v>
      </c>
      <c r="E48" s="44">
        <v>23.381402999999999</v>
      </c>
      <c r="F48" s="44">
        <v>24.064467</v>
      </c>
      <c r="G48" s="44">
        <v>20.287769999999998</v>
      </c>
      <c r="H48" s="44">
        <v>21.336932999999998</v>
      </c>
      <c r="I48" s="44">
        <v>21.037451999999998</v>
      </c>
    </row>
    <row r="49" spans="1:9">
      <c r="A49" s="39"/>
      <c r="B49" s="42"/>
      <c r="C49" s="42"/>
      <c r="D49" s="42"/>
      <c r="E49" s="42"/>
      <c r="F49" s="42"/>
      <c r="G49" s="42"/>
      <c r="H49" s="42"/>
      <c r="I49" s="42"/>
    </row>
    <row r="50" spans="1:9">
      <c r="A50" s="39" t="s">
        <v>646</v>
      </c>
      <c r="B50" s="42" t="s">
        <v>636</v>
      </c>
      <c r="C50" s="43">
        <v>18.188399</v>
      </c>
      <c r="D50" s="43">
        <v>18.795105</v>
      </c>
      <c r="E50" s="43">
        <v>19.100359000000001</v>
      </c>
      <c r="F50" s="43">
        <v>20.697545000000002</v>
      </c>
      <c r="G50" s="43">
        <v>19.776076</v>
      </c>
      <c r="H50" s="43">
        <v>18.797395999999999</v>
      </c>
      <c r="I50" s="43">
        <v>18.449912999999999</v>
      </c>
    </row>
    <row r="51" spans="1:9">
      <c r="A51" s="42"/>
      <c r="B51" s="42" t="s">
        <v>637</v>
      </c>
      <c r="C51" s="44">
        <v>18.883735999999999</v>
      </c>
      <c r="D51" s="44">
        <v>19.765160999999999</v>
      </c>
      <c r="E51" s="44">
        <v>20.345226</v>
      </c>
      <c r="F51" s="44">
        <v>21.449154</v>
      </c>
      <c r="G51" s="44">
        <v>21.269501999999999</v>
      </c>
      <c r="H51" s="44">
        <v>19.478475</v>
      </c>
      <c r="I51" s="44">
        <v>19.225068</v>
      </c>
    </row>
    <row r="52" spans="1:9">
      <c r="A52" s="42"/>
      <c r="B52" s="42" t="s">
        <v>638</v>
      </c>
      <c r="C52" s="44">
        <v>17.231287999999999</v>
      </c>
      <c r="D52" s="44">
        <v>17.786625999999998</v>
      </c>
      <c r="E52" s="44">
        <v>18.280528</v>
      </c>
      <c r="F52" s="44">
        <v>19.661833999999999</v>
      </c>
      <c r="G52" s="44">
        <v>17.990603</v>
      </c>
      <c r="H52" s="44">
        <v>17.840347999999999</v>
      </c>
      <c r="I52" s="44">
        <v>17.153749000000001</v>
      </c>
    </row>
    <row r="53" spans="1:9">
      <c r="A53" s="42"/>
      <c r="B53" s="42" t="s">
        <v>639</v>
      </c>
      <c r="C53" s="44">
        <v>18.609463999999999</v>
      </c>
      <c r="D53" s="44">
        <v>19.046423000000001</v>
      </c>
      <c r="E53" s="44">
        <v>20.345226</v>
      </c>
      <c r="F53" s="44">
        <v>21.252457</v>
      </c>
      <c r="G53" s="44">
        <v>18.238409000000001</v>
      </c>
      <c r="H53" s="44">
        <v>19.001956</v>
      </c>
      <c r="I53" s="44">
        <v>18.051393999999998</v>
      </c>
    </row>
    <row r="54" spans="1:9">
      <c r="A54" s="39"/>
      <c r="B54" s="42"/>
      <c r="C54" s="42"/>
      <c r="D54" s="42"/>
      <c r="E54" s="42"/>
      <c r="F54" s="42"/>
      <c r="G54" s="42"/>
      <c r="H54" s="42"/>
      <c r="I54" s="42"/>
    </row>
    <row r="55" spans="1:9">
      <c r="A55" s="39" t="s">
        <v>647</v>
      </c>
      <c r="B55" s="42" t="s">
        <v>636</v>
      </c>
      <c r="C55" s="43">
        <v>23.79596857142857</v>
      </c>
      <c r="D55" s="43">
        <v>25.211016317460317</v>
      </c>
      <c r="E55" s="43">
        <v>26.320712596774193</v>
      </c>
      <c r="F55" s="43">
        <v>28.675955222222221</v>
      </c>
      <c r="G55" s="43">
        <v>27.327358666666665</v>
      </c>
      <c r="H55" s="43">
        <v>25.910304285714286</v>
      </c>
      <c r="I55" s="43">
        <v>25.844929511111111</v>
      </c>
    </row>
    <row r="56" spans="1:9">
      <c r="A56" s="42"/>
      <c r="B56" s="42" t="s">
        <v>637</v>
      </c>
      <c r="C56" s="44">
        <v>25.040019999999998</v>
      </c>
      <c r="D56" s="44">
        <v>26.858062</v>
      </c>
      <c r="E56" s="44">
        <v>28.20552</v>
      </c>
      <c r="F56" s="44">
        <v>29.710795000000001</v>
      </c>
      <c r="G56" s="44">
        <v>29.463114000000001</v>
      </c>
      <c r="H56" s="44">
        <v>26.925567999999998</v>
      </c>
      <c r="I56" s="44">
        <v>26.695868000000001</v>
      </c>
    </row>
    <row r="57" spans="1:9">
      <c r="A57" s="42"/>
      <c r="B57" s="42" t="s">
        <v>638</v>
      </c>
      <c r="C57" s="44">
        <v>22.230653</v>
      </c>
      <c r="D57" s="44">
        <v>23.585246000000001</v>
      </c>
      <c r="E57" s="44">
        <v>24.961335999999999</v>
      </c>
      <c r="F57" s="44">
        <v>27.269752</v>
      </c>
      <c r="G57" s="44">
        <v>24.738461000000001</v>
      </c>
      <c r="H57" s="44">
        <v>24.531860000000002</v>
      </c>
      <c r="I57" s="44">
        <v>24.154123999999999</v>
      </c>
    </row>
    <row r="58" spans="1:9">
      <c r="A58" s="42"/>
      <c r="B58" s="42" t="s">
        <v>639</v>
      </c>
      <c r="C58" s="44">
        <v>24.676327000000001</v>
      </c>
      <c r="D58" s="44">
        <v>25.859812999999999</v>
      </c>
      <c r="E58" s="44">
        <v>28.20552</v>
      </c>
      <c r="F58" s="44">
        <v>29.438345000000002</v>
      </c>
      <c r="G58" s="44">
        <v>25.079218999999998</v>
      </c>
      <c r="H58" s="44">
        <v>26.386040999999999</v>
      </c>
      <c r="I58" s="44">
        <v>25.41808</v>
      </c>
    </row>
    <row r="59" spans="1:9">
      <c r="A59" s="39"/>
      <c r="B59" s="42"/>
      <c r="C59" s="42"/>
      <c r="D59" s="42"/>
      <c r="E59" s="42"/>
      <c r="F59" s="42"/>
      <c r="G59" s="42"/>
      <c r="H59" s="42"/>
      <c r="I59" s="42"/>
    </row>
    <row r="60" spans="1:9">
      <c r="A60" s="39" t="s">
        <v>517</v>
      </c>
      <c r="B60" s="42" t="s">
        <v>636</v>
      </c>
      <c r="C60" s="43">
        <v>2.6969825873015871</v>
      </c>
      <c r="D60" s="43">
        <v>2.8129855873015872</v>
      </c>
      <c r="E60" s="43">
        <v>2.9056815483870966</v>
      </c>
      <c r="F60" s="43">
        <v>3.2212971746031744</v>
      </c>
      <c r="G60" s="43">
        <v>3.0940851904761906</v>
      </c>
      <c r="H60" s="43">
        <v>2.9546799523809524</v>
      </c>
      <c r="I60" s="43">
        <v>2.9445025111111112</v>
      </c>
    </row>
    <row r="61" spans="1:9">
      <c r="A61" s="42"/>
      <c r="B61" s="42" t="s">
        <v>637</v>
      </c>
      <c r="C61" s="44">
        <v>2.8188520000000001</v>
      </c>
      <c r="D61" s="44">
        <v>2.9657520000000002</v>
      </c>
      <c r="E61" s="44">
        <v>3.1134400000000002</v>
      </c>
      <c r="F61" s="44">
        <v>3.3494350000000002</v>
      </c>
      <c r="G61" s="44">
        <v>3.3215119999999998</v>
      </c>
      <c r="H61" s="44">
        <v>3.0809259999999998</v>
      </c>
      <c r="I61" s="44">
        <v>3.054643</v>
      </c>
    </row>
    <row r="62" spans="1:9">
      <c r="A62" s="42"/>
      <c r="B62" s="42" t="s">
        <v>638</v>
      </c>
      <c r="C62" s="44">
        <v>2.5393189999999999</v>
      </c>
      <c r="D62" s="44">
        <v>2.6550829999999999</v>
      </c>
      <c r="E62" s="44">
        <v>2.7553339999999999</v>
      </c>
      <c r="F62" s="44">
        <v>3.0101460000000002</v>
      </c>
      <c r="G62" s="44">
        <v>2.8124790000000002</v>
      </c>
      <c r="H62" s="44">
        <v>2.7889910000000002</v>
      </c>
      <c r="I62" s="44">
        <v>2.7444030000000001</v>
      </c>
    </row>
    <row r="63" spans="1:9">
      <c r="A63" s="42"/>
      <c r="B63" s="42" t="s">
        <v>639</v>
      </c>
      <c r="C63" s="44">
        <v>2.7779099999999999</v>
      </c>
      <c r="D63" s="44">
        <v>2.8555220000000001</v>
      </c>
      <c r="E63" s="44">
        <v>3.1134400000000002</v>
      </c>
      <c r="F63" s="44">
        <v>3.3187199999999999</v>
      </c>
      <c r="G63" s="44">
        <v>2.8512189999999999</v>
      </c>
      <c r="H63" s="44">
        <v>3.0191910000000002</v>
      </c>
      <c r="I63" s="44">
        <v>2.8880140000000001</v>
      </c>
    </row>
    <row r="64" spans="1:9">
      <c r="A64" s="39"/>
      <c r="B64" s="42"/>
      <c r="C64" s="42"/>
      <c r="D64" s="42"/>
      <c r="E64" s="42"/>
      <c r="F64" s="42"/>
      <c r="G64" s="42"/>
      <c r="H64" s="42"/>
      <c r="I64" s="42"/>
    </row>
    <row r="65" spans="1:9">
      <c r="A65" s="39" t="s">
        <v>648</v>
      </c>
      <c r="B65" s="42" t="s">
        <v>636</v>
      </c>
      <c r="C65" s="43">
        <v>22.137905333333332</v>
      </c>
      <c r="D65" s="43">
        <v>21.547697793650794</v>
      </c>
      <c r="E65" s="43">
        <v>19.095933822580644</v>
      </c>
      <c r="F65" s="43">
        <v>21.076152730158729</v>
      </c>
      <c r="G65" s="43">
        <v>19.75515557142857</v>
      </c>
      <c r="H65" s="43">
        <v>19.038390714285715</v>
      </c>
      <c r="I65" s="43">
        <v>19.674698555555555</v>
      </c>
    </row>
    <row r="66" spans="1:9">
      <c r="A66" s="42"/>
      <c r="B66" s="42" t="s">
        <v>637</v>
      </c>
      <c r="C66" s="44">
        <v>23.258675</v>
      </c>
      <c r="D66" s="44">
        <v>23.508019000000001</v>
      </c>
      <c r="E66" s="44">
        <v>20.309667999999999</v>
      </c>
      <c r="F66" s="44">
        <v>22.000048</v>
      </c>
      <c r="G66" s="44">
        <v>21.816645999999999</v>
      </c>
      <c r="H66" s="44">
        <v>20.649318999999998</v>
      </c>
      <c r="I66" s="44">
        <v>20.473161999999999</v>
      </c>
    </row>
    <row r="67" spans="1:9">
      <c r="A67" s="42"/>
      <c r="B67" s="42" t="s">
        <v>638</v>
      </c>
      <c r="C67" s="44">
        <v>20.719438</v>
      </c>
      <c r="D67" s="44">
        <v>19.202670000000001</v>
      </c>
      <c r="E67" s="44">
        <v>17.677267000000001</v>
      </c>
      <c r="F67" s="44">
        <v>19.312055000000001</v>
      </c>
      <c r="G67" s="44">
        <v>17.469415999999999</v>
      </c>
      <c r="H67" s="44">
        <v>17.323522000000001</v>
      </c>
      <c r="I67" s="44">
        <v>18.302278999999999</v>
      </c>
    </row>
    <row r="68" spans="1:9">
      <c r="A68" s="42"/>
      <c r="B68" s="42" t="s">
        <v>639</v>
      </c>
      <c r="C68" s="44">
        <v>22.920855</v>
      </c>
      <c r="D68" s="44">
        <v>19.879659</v>
      </c>
      <c r="E68" s="44">
        <v>19.974753</v>
      </c>
      <c r="F68" s="44">
        <v>21.798306</v>
      </c>
      <c r="G68" s="44">
        <v>17.710046999999999</v>
      </c>
      <c r="H68" s="44">
        <v>20.235555000000002</v>
      </c>
      <c r="I68" s="44">
        <v>19.260016</v>
      </c>
    </row>
    <row r="69" spans="1:9">
      <c r="A69" s="39"/>
      <c r="B69" s="42"/>
      <c r="C69" s="42"/>
      <c r="D69" s="42"/>
      <c r="E69" s="42"/>
      <c r="F69" s="42"/>
      <c r="G69" s="42"/>
      <c r="H69" s="42"/>
      <c r="I69" s="42"/>
    </row>
    <row r="70" spans="1:9">
      <c r="A70" s="39" t="s">
        <v>649</v>
      </c>
      <c r="B70" s="42" t="s">
        <v>636</v>
      </c>
      <c r="C70" s="43">
        <v>34.760840476190474</v>
      </c>
      <c r="D70" s="43">
        <v>31.750172619047618</v>
      </c>
      <c r="E70" s="43">
        <v>28.553623467741936</v>
      </c>
      <c r="F70" s="43">
        <v>33.18249465079365</v>
      </c>
      <c r="G70" s="43">
        <v>30.237007079365078</v>
      </c>
      <c r="H70" s="43">
        <v>27.122101015873017</v>
      </c>
      <c r="I70" s="43">
        <v>26.835970177777778</v>
      </c>
    </row>
    <row r="71" spans="1:9">
      <c r="A71" s="42"/>
      <c r="B71" s="42" t="s">
        <v>637</v>
      </c>
      <c r="C71" s="44">
        <v>36.082394000000001</v>
      </c>
      <c r="D71" s="44">
        <v>35.448560999999998</v>
      </c>
      <c r="E71" s="44">
        <v>30.48254</v>
      </c>
      <c r="F71" s="44">
        <v>34.682681000000002</v>
      </c>
      <c r="G71" s="44">
        <v>34.286481000000002</v>
      </c>
      <c r="H71" s="44">
        <v>28.414283000000001</v>
      </c>
      <c r="I71" s="44">
        <v>27.501542000000001</v>
      </c>
    </row>
    <row r="72" spans="1:9">
      <c r="A72" s="42"/>
      <c r="B72" s="42" t="s">
        <v>638</v>
      </c>
      <c r="C72" s="44">
        <v>33.661819000000001</v>
      </c>
      <c r="D72" s="44">
        <v>27.555501</v>
      </c>
      <c r="E72" s="44">
        <v>27.201425</v>
      </c>
      <c r="F72" s="44">
        <v>29.64105</v>
      </c>
      <c r="G72" s="44">
        <v>26.06204</v>
      </c>
      <c r="H72" s="44">
        <v>25.883310999999999</v>
      </c>
      <c r="I72" s="44">
        <v>25.501750999999999</v>
      </c>
    </row>
    <row r="73" spans="1:9">
      <c r="A73" s="42"/>
      <c r="B73" s="42" t="s">
        <v>639</v>
      </c>
      <c r="C73" s="44">
        <v>34.753300000000003</v>
      </c>
      <c r="D73" s="44">
        <v>27.555501</v>
      </c>
      <c r="E73" s="44">
        <v>30.48254</v>
      </c>
      <c r="F73" s="44">
        <v>34.358181999999999</v>
      </c>
      <c r="G73" s="44">
        <v>26.356826000000002</v>
      </c>
      <c r="H73" s="44">
        <v>27.242052999999999</v>
      </c>
      <c r="I73" s="44">
        <v>26.504322999999999</v>
      </c>
    </row>
    <row r="74" spans="1:9">
      <c r="A74" s="39"/>
      <c r="B74" s="42"/>
      <c r="C74" s="42"/>
      <c r="D74" s="42"/>
      <c r="E74" s="42"/>
      <c r="F74" s="42"/>
      <c r="G74" s="42"/>
      <c r="H74" s="42"/>
      <c r="I74" s="42"/>
    </row>
    <row r="75" spans="1:9">
      <c r="A75" s="39" t="s">
        <v>650</v>
      </c>
      <c r="B75" s="42" t="s">
        <v>636</v>
      </c>
      <c r="C75" s="43">
        <v>33.255288999999998</v>
      </c>
      <c r="D75" s="43">
        <v>30.082144126984126</v>
      </c>
      <c r="E75" s="43">
        <v>26.642394354838711</v>
      </c>
      <c r="F75" s="43">
        <v>31.697892111111113</v>
      </c>
      <c r="G75" s="43">
        <v>28.549194634920635</v>
      </c>
      <c r="H75" s="43">
        <v>24.981937476190478</v>
      </c>
      <c r="I75" s="43">
        <v>24.524668244444445</v>
      </c>
    </row>
    <row r="76" spans="1:9">
      <c r="A76" s="42"/>
      <c r="B76" s="42" t="s">
        <v>637</v>
      </c>
      <c r="C76" s="44">
        <v>34.579773000000003</v>
      </c>
      <c r="D76" s="44">
        <v>34.292316999999997</v>
      </c>
      <c r="E76" s="44">
        <v>28.753329999999998</v>
      </c>
      <c r="F76" s="44">
        <v>33.382987999999997</v>
      </c>
      <c r="G76" s="44">
        <v>32.929766999999998</v>
      </c>
      <c r="H76" s="44">
        <v>26.003847</v>
      </c>
      <c r="I76" s="44">
        <v>25.36336</v>
      </c>
    </row>
    <row r="77" spans="1:9">
      <c r="A77" s="42"/>
      <c r="B77" s="42" t="s">
        <v>638</v>
      </c>
      <c r="C77" s="44">
        <v>32.172609999999999</v>
      </c>
      <c r="D77" s="44">
        <v>25.268875000000001</v>
      </c>
      <c r="E77" s="44">
        <v>25.294864</v>
      </c>
      <c r="F77" s="44">
        <v>27.799386999999999</v>
      </c>
      <c r="G77" s="44">
        <v>24.012440999999999</v>
      </c>
      <c r="H77" s="44">
        <v>23.811903999999998</v>
      </c>
      <c r="I77" s="44">
        <v>22.931272</v>
      </c>
    </row>
    <row r="78" spans="1:9">
      <c r="A78" s="42"/>
      <c r="B78" s="42" t="s">
        <v>639</v>
      </c>
      <c r="C78" s="44">
        <v>33.467491000000003</v>
      </c>
      <c r="D78" s="44">
        <v>25.696065000000001</v>
      </c>
      <c r="E78" s="44">
        <v>28.753329999999998</v>
      </c>
      <c r="F78" s="44">
        <v>33.011788000000003</v>
      </c>
      <c r="G78" s="44">
        <v>24.343198000000001</v>
      </c>
      <c r="H78" s="44">
        <v>25.131073000000001</v>
      </c>
      <c r="I78" s="44">
        <v>24.060390000000002</v>
      </c>
    </row>
    <row r="79" spans="1:9">
      <c r="A79" s="39"/>
      <c r="B79" s="42"/>
      <c r="C79" s="42"/>
      <c r="D79" s="42"/>
      <c r="E79" s="42"/>
      <c r="F79" s="42"/>
      <c r="G79" s="42"/>
      <c r="H79" s="42"/>
      <c r="I79" s="42"/>
    </row>
    <row r="80" spans="1:9">
      <c r="A80" s="45" t="s">
        <v>651</v>
      </c>
    </row>
    <row r="82" spans="1:1">
      <c r="A82" s="45" t="s">
        <v>652</v>
      </c>
    </row>
    <row r="86" spans="1:1" ht="24.95" customHeight="1">
      <c r="A86" s="46" t="s">
        <v>653</v>
      </c>
    </row>
  </sheetData>
  <phoneticPr fontId="0" type="noConversion"/>
  <pageMargins left="0.2" right="0.2" top="0.5" bottom="0.5" header="0.5" footer="0.5"/>
  <pageSetup fitToWidth="0" fitToHeight="0" orientation="landscape" horizontalDpi="0" verticalDpi="0"/>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15815E5D755104FB4BF5357390E989C" ma:contentTypeVersion="10" ma:contentTypeDescription="Create a new document." ma:contentTypeScope="" ma:versionID="73bbbf7ca5c3e5c1f56dc6d2dff78eab">
  <xsd:schema xmlns:xsd="http://www.w3.org/2001/XMLSchema" xmlns:xs="http://www.w3.org/2001/XMLSchema" xmlns:p="http://schemas.microsoft.com/office/2006/metadata/properties" xmlns:ns3="8f53b814-ab9e-4f96-9758-d4ba129294ab" targetNamespace="http://schemas.microsoft.com/office/2006/metadata/properties" ma:root="true" ma:fieldsID="2aec0070bf6d1ff49dcdb81c75100355" ns3:_="">
    <xsd:import namespace="8f53b814-ab9e-4f96-9758-d4ba129294ab"/>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3:MediaServiceSearchProperties" minOccurs="0"/>
                <xsd:element ref="ns3:MediaServiceDateTaken"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53b814-ab9e-4f96-9758-d4ba129294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8f53b814-ab9e-4f96-9758-d4ba129294a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BFC122-2E12-434A-91BF-C02A9B574D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53b814-ab9e-4f96-9758-d4ba129294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2BD18FF-2F16-40F8-B871-B7B11B85570B}">
  <ds:schemaRefs>
    <ds:schemaRef ds:uri="http://schemas.microsoft.com/office/2006/documentManagement/types"/>
    <ds:schemaRef ds:uri="http://schemas.microsoft.com/office/2006/metadata/properties"/>
    <ds:schemaRef ds:uri="http://purl.org/dc/elements/1.1/"/>
    <ds:schemaRef ds:uri="8f53b814-ab9e-4f96-9758-d4ba129294ab"/>
    <ds:schemaRef ds:uri="http://purl.org/dc/terms/"/>
    <ds:schemaRef ds:uri="http://www.w3.org/XML/1998/namespace"/>
    <ds:schemaRef ds:uri="http://purl.org/dc/dcmitype/"/>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017CF8BF-4D32-4E0D-B960-3C31C295B9A9}">
  <ds:schemaRefs>
    <ds:schemaRef ds:uri="http://schemas.microsoft.com/sharepoint/v3/contenttype/forms"/>
  </ds:schemaRefs>
</ds:datastoreItem>
</file>

<file path=docMetadata/LabelInfo.xml><?xml version="1.0" encoding="utf-8"?>
<clbl:labelList xmlns:clbl="http://schemas.microsoft.com/office/2020/mipLabelMetadata">
  <clbl:label id="{78aac226-2f03-4b4d-9037-b46d56c55210}" enabled="0" method="" siteId="{78aac226-2f03-4b4d-9037-b46d56c55210}"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15</vt:i4>
      </vt:variant>
      <vt:variant>
        <vt:lpstr>Named Ranges</vt:lpstr>
      </vt:variant>
      <vt:variant>
        <vt:i4>8</vt:i4>
      </vt:variant>
    </vt:vector>
  </HeadingPairs>
  <TitlesOfParts>
    <vt:vector size="23" baseType="lpstr">
      <vt:lpstr>Cover Page</vt:lpstr>
      <vt:lpstr>Industry Data</vt:lpstr>
      <vt:lpstr>Competitors WACC</vt:lpstr>
      <vt:lpstr>Debt &amp; Dividend</vt:lpstr>
      <vt:lpstr>Capital Structure (WACC)</vt:lpstr>
      <vt:lpstr>WACC Explanation </vt:lpstr>
      <vt:lpstr>Comparable Analysis</vt:lpstr>
      <vt:lpstr>DCF Model </vt:lpstr>
      <vt:lpstr>Raw - Cash Flow</vt:lpstr>
      <vt:lpstr>Raw - Income Statement</vt:lpstr>
      <vt:lpstr>Raw - Balance Sheet</vt:lpstr>
      <vt:lpstr>Raw - Key Stats</vt:lpstr>
      <vt:lpstr>Raw - Capital Structure Summary</vt:lpstr>
      <vt:lpstr>Raw - Capital Structure Details</vt:lpstr>
      <vt:lpstr>Raw - Multiples</vt:lpstr>
      <vt:lpstr>'Comparable Analysis'!Print_Area</vt:lpstr>
      <vt:lpstr>'Raw - Balance Sheet'!Print_Titles</vt:lpstr>
      <vt:lpstr>'Raw - Capital Structure Details'!Print_Titles</vt:lpstr>
      <vt:lpstr>'Raw - Capital Structure Summary'!Print_Titles</vt:lpstr>
      <vt:lpstr>'Raw - Cash Flow'!Print_Titles</vt:lpstr>
      <vt:lpstr>'Raw - Income Statement'!Print_Titles</vt:lpstr>
      <vt:lpstr>'Raw - Key Stats'!Print_Titles</vt:lpstr>
      <vt:lpstr>'Raw - Multiples'!Print_Titles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2004-07-20T21:40:42Z</dcterms:created>
  <dcterms:modified xsi:type="dcterms:W3CDTF">2026-03-27T20:37:04Z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By">
    <vt:lpwstr>SoftArtisans OfficeWriter for Excel 8.6.2.281 (http://officewriter.softartisans.com)</vt:lpwstr>
  </property>
  <property fmtid="{D5CDD505-2E9C-101B-9397-08002B2CF9AE}" pid="3" name="ContentTypeId">
    <vt:lpwstr>0x010100415815E5D755104FB4BF5357390E989C</vt:lpwstr>
  </property>
</Properties>
</file>